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U:\Bioindicators\Website\PowerBI visualizations\"/>
    </mc:Choice>
  </mc:AlternateContent>
  <bookViews>
    <workbookView xWindow="0" yWindow="0" windowWidth="28800" windowHeight="11910" activeTab="10"/>
  </bookViews>
  <sheets>
    <sheet name="Summary" sheetId="1" r:id="rId1"/>
    <sheet name="Ethanol" sheetId="2" r:id="rId2"/>
    <sheet name="EthanolMap" sheetId="10" r:id="rId3"/>
    <sheet name="Biodiesel" sheetId="4" r:id="rId4"/>
    <sheet name="BiodieselMap" sheetId="5" r:id="rId5"/>
    <sheet name="WoodPellets" sheetId="3" r:id="rId6"/>
    <sheet name="WoodPelletsMap" sheetId="11" r:id="rId7"/>
    <sheet name="WTE" sheetId="8" r:id="rId8"/>
    <sheet name="WTEMap" sheetId="12" r:id="rId9"/>
    <sheet name="Biogas" sheetId="9" r:id="rId10"/>
    <sheet name="BiogasMap" sheetId="13" r:id="rId11"/>
  </sheets>
  <definedNames>
    <definedName name="_xlnm._FilterDatabase" localSheetId="4" hidden="1">BiodieselMap!$A$1:$D$1</definedName>
    <definedName name="_xlnm._FilterDatabase" localSheetId="10" hidden="1">BiogasMap!$A$1:$D$1</definedName>
    <definedName name="_xlnm._FilterDatabase" localSheetId="2" hidden="1">EthanolMap!$A$1:$D$1</definedName>
    <definedName name="_xlnm._FilterDatabase" localSheetId="6" hidden="1">WoodPelletsMap!$A$1:$D$1</definedName>
    <definedName name="_xlnm._FilterDatabase" localSheetId="8" hidden="1">WTEMap!$A$1:$D$1</definedName>
  </definedNames>
  <calcPr calcId="171027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2" l="1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2" i="12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2" i="1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2" i="5"/>
  <c r="D17" i="13"/>
  <c r="D18" i="13"/>
  <c r="D19" i="13"/>
  <c r="D5" i="13"/>
  <c r="D20" i="13"/>
  <c r="D21" i="13"/>
  <c r="D22" i="13"/>
  <c r="D23" i="13"/>
  <c r="D24" i="13"/>
  <c r="D25" i="13"/>
  <c r="D26" i="13"/>
  <c r="D7" i="13"/>
  <c r="D27" i="13"/>
  <c r="D8" i="13"/>
  <c r="D9" i="13"/>
  <c r="D28" i="13"/>
  <c r="D29" i="13"/>
  <c r="D30" i="13"/>
  <c r="D31" i="13"/>
  <c r="D32" i="13"/>
  <c r="D33" i="13"/>
  <c r="D10" i="13"/>
  <c r="D11" i="13"/>
  <c r="D34" i="13"/>
  <c r="D35" i="13"/>
  <c r="D36" i="13"/>
  <c r="D37" i="13"/>
  <c r="D38" i="13"/>
  <c r="D39" i="13"/>
  <c r="D40" i="13"/>
  <c r="D41" i="13"/>
  <c r="D2" i="13"/>
  <c r="D12" i="13"/>
  <c r="D42" i="13"/>
  <c r="D13" i="13"/>
  <c r="D43" i="13"/>
  <c r="D14" i="13"/>
  <c r="D3" i="13"/>
  <c r="D44" i="13"/>
  <c r="D45" i="13"/>
  <c r="D46" i="13"/>
  <c r="D47" i="13"/>
  <c r="D48" i="13"/>
  <c r="D49" i="13"/>
  <c r="D6" i="13"/>
  <c r="D50" i="13"/>
  <c r="D15" i="13"/>
  <c r="D51" i="13"/>
  <c r="D4" i="13"/>
  <c r="D52" i="13"/>
  <c r="D16" i="13"/>
  <c r="D19" i="10"/>
  <c r="D20" i="10"/>
  <c r="D21" i="10"/>
  <c r="D14" i="10"/>
  <c r="D22" i="10"/>
  <c r="D23" i="10"/>
  <c r="D24" i="10"/>
  <c r="D25" i="10"/>
  <c r="D26" i="10"/>
  <c r="D27" i="10"/>
  <c r="D28" i="10"/>
  <c r="D29" i="10"/>
  <c r="D2" i="10"/>
  <c r="D3" i="10"/>
  <c r="D4" i="10"/>
  <c r="D8" i="10"/>
  <c r="D30" i="10"/>
  <c r="D31" i="10"/>
  <c r="D32" i="10"/>
  <c r="D33" i="10"/>
  <c r="D34" i="10"/>
  <c r="D9" i="10"/>
  <c r="D5" i="10"/>
  <c r="D35" i="10"/>
  <c r="D15" i="10"/>
  <c r="D36" i="10"/>
  <c r="D6" i="10"/>
  <c r="D37" i="10"/>
  <c r="D38" i="10"/>
  <c r="D39" i="10"/>
  <c r="D40" i="10"/>
  <c r="D16" i="10"/>
  <c r="D41" i="10"/>
  <c r="D10" i="10"/>
  <c r="D11" i="10"/>
  <c r="D42" i="10"/>
  <c r="D43" i="10"/>
  <c r="D44" i="10"/>
  <c r="D45" i="10"/>
  <c r="D46" i="10"/>
  <c r="D7" i="10"/>
  <c r="D17" i="10"/>
  <c r="D12" i="10"/>
  <c r="D47" i="10"/>
  <c r="D48" i="10"/>
  <c r="D49" i="10"/>
  <c r="D50" i="10"/>
  <c r="D51" i="10"/>
  <c r="D13" i="10"/>
  <c r="D52" i="10"/>
  <c r="D18" i="10"/>
  <c r="C18" i="10"/>
  <c r="C52" i="13"/>
  <c r="C4" i="13"/>
  <c r="C51" i="13"/>
  <c r="C15" i="13"/>
  <c r="C50" i="13"/>
  <c r="C6" i="13"/>
  <c r="C49" i="13"/>
  <c r="C48" i="13"/>
  <c r="C47" i="13"/>
  <c r="C46" i="13"/>
  <c r="C45" i="13"/>
  <c r="C44" i="13"/>
  <c r="C3" i="13"/>
  <c r="C14" i="13"/>
  <c r="C43" i="13"/>
  <c r="C13" i="13"/>
  <c r="C42" i="13"/>
  <c r="C12" i="13"/>
  <c r="C2" i="13"/>
  <c r="C41" i="13"/>
  <c r="C40" i="13"/>
  <c r="C39" i="13"/>
  <c r="C38" i="13"/>
  <c r="C37" i="13"/>
  <c r="C36" i="13"/>
  <c r="C35" i="13"/>
  <c r="C34" i="13"/>
  <c r="C11" i="13"/>
  <c r="C10" i="13"/>
  <c r="C33" i="13"/>
  <c r="C32" i="13"/>
  <c r="C31" i="13"/>
  <c r="C30" i="13"/>
  <c r="C29" i="13"/>
  <c r="C28" i="13"/>
  <c r="C9" i="13"/>
  <c r="C8" i="13"/>
  <c r="C27" i="13"/>
  <c r="C7" i="13"/>
  <c r="C26" i="13"/>
  <c r="C25" i="13"/>
  <c r="C24" i="13"/>
  <c r="C23" i="13"/>
  <c r="C22" i="13"/>
  <c r="C21" i="13"/>
  <c r="C20" i="13"/>
  <c r="C5" i="13"/>
  <c r="C19" i="13"/>
  <c r="C18" i="13"/>
  <c r="C17" i="13"/>
  <c r="C16" i="13"/>
  <c r="C21" i="12"/>
  <c r="C20" i="12"/>
  <c r="C10" i="12"/>
  <c r="C19" i="12"/>
  <c r="C7" i="12"/>
  <c r="C18" i="12"/>
  <c r="C17" i="12"/>
  <c r="C6" i="12"/>
  <c r="C5" i="12"/>
  <c r="C16" i="12"/>
  <c r="C9" i="12"/>
  <c r="C14" i="12"/>
  <c r="C4" i="12"/>
  <c r="C8" i="12"/>
  <c r="C13" i="12"/>
  <c r="C15" i="12"/>
  <c r="C12" i="12"/>
  <c r="C3" i="12"/>
  <c r="C2" i="12"/>
  <c r="C11" i="12"/>
  <c r="C52" i="11"/>
  <c r="C15" i="11"/>
  <c r="C51" i="11"/>
  <c r="C50" i="11"/>
  <c r="C4" i="11"/>
  <c r="C49" i="11"/>
  <c r="C48" i="11"/>
  <c r="C10" i="11"/>
  <c r="C47" i="11"/>
  <c r="C46" i="11"/>
  <c r="C14" i="11"/>
  <c r="C13" i="11"/>
  <c r="C12" i="11"/>
  <c r="C43" i="11"/>
  <c r="C3" i="11"/>
  <c r="C11" i="11"/>
  <c r="C41" i="11"/>
  <c r="C39" i="11"/>
  <c r="C37" i="11"/>
  <c r="C35" i="11"/>
  <c r="C9" i="11"/>
  <c r="C34" i="11"/>
  <c r="C33" i="11"/>
  <c r="C30" i="11"/>
  <c r="C8" i="11"/>
  <c r="C29" i="11"/>
  <c r="C27" i="11"/>
  <c r="C26" i="11"/>
  <c r="C24" i="11"/>
  <c r="C2" i="11"/>
  <c r="C7" i="11"/>
  <c r="C19" i="11"/>
  <c r="C18" i="11"/>
  <c r="C6" i="11"/>
  <c r="C17" i="11"/>
  <c r="C16" i="11"/>
  <c r="C5" i="11"/>
  <c r="C52" i="10"/>
  <c r="C13" i="10"/>
  <c r="C51" i="10"/>
  <c r="C50" i="10"/>
  <c r="C49" i="10"/>
  <c r="C48" i="10"/>
  <c r="C47" i="10"/>
  <c r="C12" i="10"/>
  <c r="C17" i="10"/>
  <c r="C7" i="10"/>
  <c r="C46" i="10"/>
  <c r="C45" i="10"/>
  <c r="C44" i="10"/>
  <c r="C43" i="10"/>
  <c r="C42" i="10"/>
  <c r="C11" i="10"/>
  <c r="C10" i="10"/>
  <c r="C41" i="10"/>
  <c r="C16" i="10"/>
  <c r="C40" i="10"/>
  <c r="C39" i="10"/>
  <c r="C38" i="10"/>
  <c r="C37" i="10"/>
  <c r="C6" i="10"/>
  <c r="C36" i="10"/>
  <c r="C15" i="10"/>
  <c r="C35" i="10"/>
  <c r="C5" i="10"/>
  <c r="C9" i="10"/>
  <c r="C34" i="10"/>
  <c r="C33" i="10"/>
  <c r="C32" i="10"/>
  <c r="C31" i="10"/>
  <c r="C30" i="10"/>
  <c r="C8" i="10"/>
  <c r="C4" i="10"/>
  <c r="C3" i="10"/>
  <c r="C2" i="10"/>
  <c r="C29" i="10"/>
  <c r="C28" i="10"/>
  <c r="C27" i="10"/>
  <c r="C26" i="10"/>
  <c r="C25" i="10"/>
  <c r="C24" i="10"/>
  <c r="C23" i="10"/>
  <c r="C22" i="10"/>
  <c r="C14" i="10"/>
  <c r="C21" i="10"/>
  <c r="C20" i="10"/>
  <c r="C19" i="10"/>
  <c r="C51" i="5"/>
  <c r="C7" i="5"/>
  <c r="C49" i="5"/>
  <c r="C47" i="5"/>
  <c r="C4" i="5"/>
  <c r="C46" i="5"/>
  <c r="C44" i="5"/>
  <c r="C43" i="5"/>
  <c r="C15" i="5"/>
  <c r="C42" i="5"/>
  <c r="C41" i="5"/>
  <c r="C14" i="5"/>
  <c r="C13" i="5"/>
  <c r="C40" i="5"/>
  <c r="C38" i="5"/>
  <c r="C36" i="5"/>
  <c r="C34" i="5"/>
  <c r="C3" i="5"/>
  <c r="C12" i="5"/>
  <c r="C11" i="5"/>
  <c r="C32" i="5"/>
  <c r="C31" i="5"/>
  <c r="C29" i="5"/>
  <c r="C27" i="5"/>
  <c r="C10" i="5"/>
  <c r="C2" i="5"/>
  <c r="C6" i="5"/>
  <c r="C5" i="5"/>
  <c r="C25" i="5"/>
  <c r="C24" i="5"/>
  <c r="C23" i="5"/>
  <c r="C20" i="5"/>
  <c r="C9" i="5"/>
  <c r="C8" i="5"/>
  <c r="C18" i="5"/>
  <c r="C17" i="5"/>
  <c r="C16" i="5"/>
</calcChain>
</file>

<file path=xl/sharedStrings.xml><?xml version="1.0" encoding="utf-8"?>
<sst xmlns="http://schemas.openxmlformats.org/spreadsheetml/2006/main" count="426" uniqueCount="130">
  <si>
    <t>Year</t>
  </si>
  <si>
    <t/>
  </si>
  <si>
    <t>BTUs of Ethanol Produced in the United States (trillions)</t>
  </si>
  <si>
    <t>BTUs of Biodiesel Produced in the United States (trillions)</t>
  </si>
  <si>
    <t>BTUs of Energy Used for Transportation (trillions)</t>
  </si>
  <si>
    <t>BTUs of WTE Produced in the United States (trillions)</t>
  </si>
  <si>
    <t>BTUs Produced by Biomass Energy in US (quadrillion)</t>
  </si>
  <si>
    <t>BTUs Produced by Biogas in US (trillions)</t>
  </si>
  <si>
    <t>Sum of Produced BTUs</t>
  </si>
  <si>
    <t>Deficit</t>
  </si>
  <si>
    <t>Total Ethanol Production of Ethanol in US (million gallons)</t>
  </si>
  <si>
    <t>Total Volume of Ethanol Imported into the US</t>
  </si>
  <si>
    <t>Total Volume of Ethanol Exported From the US</t>
  </si>
  <si>
    <t>Ethanol Consumed for Transportation</t>
  </si>
  <si>
    <t>Ethanol Consumed for Non-transport</t>
  </si>
  <si>
    <t xml:space="preserve">Total corn used for Fuel ethanol use (Million bushels) </t>
  </si>
  <si>
    <t>Production Volume of Corn Stover Plants (1000 metric tons)</t>
  </si>
  <si>
    <t># of direct jobs working with ethanol production</t>
  </si>
  <si>
    <t># of  indirect jobs working with ethanol production</t>
  </si>
  <si>
    <t>GDP influence (Billion $)</t>
  </si>
  <si>
    <t>Household income from industry (billion $)</t>
  </si>
  <si>
    <t>Tax Revenue (billion $)</t>
  </si>
  <si>
    <t>Price for Ethanol Per gallon ($/gal)</t>
  </si>
  <si>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</si>
  <si>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</si>
  <si>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</si>
  <si>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</si>
  <si>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</si>
  <si>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</si>
  <si>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</si>
  <si>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</si>
  <si>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</si>
  <si>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</si>
  <si>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</si>
  <si>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</si>
  <si>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</si>
  <si>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</si>
  <si>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</si>
  <si>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</si>
  <si>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</si>
  <si>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</si>
  <si>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</si>
  <si>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</si>
  <si>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</si>
  <si>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</si>
  <si>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</si>
  <si>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</si>
  <si>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</si>
  <si>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</si>
  <si>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</si>
  <si>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</si>
  <si>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</si>
  <si>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</si>
  <si>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</si>
  <si>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</si>
  <si>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</si>
  <si>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</si>
  <si>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</si>
  <si>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</si>
  <si>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</si>
  <si>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</si>
  <si>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</si>
  <si>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</si>
  <si>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</si>
  <si>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</si>
  <si>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</si>
  <si>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</si>
  <si>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</si>
  <si>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</si>
  <si>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</si>
  <si>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</si>
  <si>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</si>
  <si>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</si>
  <si>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2016 Ethanol production (million metric tons)</t>
  </si>
  <si>
    <t>Ethanol Legend</t>
  </si>
  <si>
    <t>Florida</t>
  </si>
  <si>
    <t>Louisiana</t>
  </si>
  <si>
    <t>Biodiesel Legend</t>
  </si>
  <si>
    <t>No data</t>
  </si>
  <si>
    <t>Total Production of Biodiesel in US (million gallon)</t>
  </si>
  <si>
    <t>Total Volume of Biodiesel Imported into the US ( million gallon)</t>
  </si>
  <si>
    <t>Total Volume of Biodiesel Exported From the US (million barrels)</t>
  </si>
  <si>
    <t xml:space="preserve">Number of Biodiesel stations </t>
  </si>
  <si>
    <t>Biodiesel Consumed for Transportation</t>
  </si>
  <si>
    <t>Biodiesel Consumed for Non-Transportation</t>
  </si>
  <si>
    <t># of direct jobs working with biodisel production</t>
  </si>
  <si>
    <t>Price Per Gallon of Biodiesel ($/gall)</t>
  </si>
  <si>
    <t>Biomass fuel capacity (thousand metric tons)</t>
  </si>
  <si>
    <t>WoodPellets Legend</t>
  </si>
  <si>
    <t>2017 Biodiesel production (million gallons per year)</t>
  </si>
  <si>
    <t>Total Energy Consumption from Wood in US (trillion BTUs)</t>
  </si>
  <si>
    <t>Wood pellet production worldwide (million metric tons)</t>
  </si>
  <si>
    <t>Wood Pellets Exported From US (in million $)</t>
  </si>
  <si>
    <t>Number of Jobs in Wood Biomass</t>
  </si>
  <si>
    <t>U.S. waste energy consumption (trillion BTU)</t>
  </si>
  <si>
    <t>Net Total Production of Electricity from waste (MW)</t>
  </si>
  <si>
    <t>Total Production of Electricity from waste (billion Kwh)</t>
  </si>
  <si>
    <t>Municipal solid waste combustion with energy recovery (thousand metric tons)</t>
  </si>
  <si>
    <t>Production of Electricity from waste in non-commercial sector</t>
  </si>
  <si>
    <t>Production of Electricity from waste in Commercial Sector</t>
  </si>
  <si>
    <t>Biogenic Municipal Solid Waste:Consumption for Electricity Generation in Industrial Sector (thousand metric tons)</t>
  </si>
  <si>
    <t>Biogenic Municipal Solid Waste:Consumption for Electricity Generation in Commercial Sector (thousand metric tons)</t>
  </si>
  <si>
    <t>Biogenic Municipal Solid Waste:Consumption for Electricity Generation in Independent Power Producers Sector (thousand metric tons)</t>
  </si>
  <si>
    <t>Biogenic Municipal Solid Waste:Consumption for Electricity Generation in Electric Utilities Sector (thousand metric tons)</t>
  </si>
  <si>
    <t>Total Waste Energy Consumption (trillion BTU)</t>
  </si>
  <si>
    <t>Revenue from waste electricity generation in the U.S. from 2011 to 2014 (in million U.S. dollars)</t>
  </si>
  <si>
    <t># of direct jobs working with WTE</t>
  </si>
  <si>
    <t>Electricity net generation by municipal solid waste (MWh)</t>
  </si>
  <si>
    <t>WTE Legend</t>
  </si>
  <si>
    <t>Total Generated from Biogas (trillion BTU)</t>
  </si>
  <si>
    <t>Total Methane Emission Reductions in thousand metric tons of CO2 a Year</t>
  </si>
  <si>
    <t>Production of biogas worldwide (trillion BTU)</t>
  </si>
  <si>
    <t>Estimate of Total Biogas Generated  (million gallons)</t>
  </si>
  <si>
    <t>Methane potential for biogas from landfills ( million metric tons)</t>
  </si>
  <si>
    <t>Methane potential for biogas from wastewater (million metric tons)</t>
  </si>
  <si>
    <t>Methane potential for biogas from animal maniure (million metric tons)</t>
  </si>
  <si>
    <t>Methane potential for biogas from organic waste (million metric tons)</t>
  </si>
  <si>
    <t># of New Biogas Plants (AD) that Went on Line from livestock</t>
  </si>
  <si>
    <t># Of Plants that Shut Down</t>
  </si>
  <si>
    <t># of anaerobic digestion (AD) Plants</t>
  </si>
  <si>
    <t># anaerobic digesters in livestock farms used for Electricity</t>
  </si>
  <si>
    <t># anaerobic digesters in livestock farms used for Boiler/Furnace</t>
  </si>
  <si>
    <t># anaerobic digesters in livestock farms used for "Flare Full Time"</t>
  </si>
  <si>
    <t>Biogas plants</t>
  </si>
  <si>
    <t>Biogas Legend</t>
  </si>
  <si>
    <t>Ethanol ID</t>
  </si>
  <si>
    <t>BiodieselID</t>
  </si>
  <si>
    <t>WoodPelletsID</t>
  </si>
  <si>
    <t>WTEID</t>
  </si>
  <si>
    <t>BiogasID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</si>
</sst>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0_);_(* \(#,##0.000\);_(* &quot;-&quot;??_);_(@_)"/>
    <numFmt numFmtId="165" formatCode="_(* #,##0.0_);_(* \(#,##0.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</borders>
  <cellStyleXfs count="5">
    <xf numFmtId="0" fontId="0" fillId="0" borderId="0"/>
    <xf numFmtId="0" fontId="5" fillId="0" borderId="2" applyNumberFormat="0" applyProtection="0">
      <alignment wrapText="1"/>
    </xf>
    <xf numFmtId="0" fontId="6" fillId="0" borderId="3" applyNumberFormat="0" applyFont="0" applyProtection="0">
      <alignment wrapText="1"/>
    </xf>
    <xf numFmtId="0" fontId="6" fillId="0" borderId="4" applyNumberFormat="0" applyProtection="0">
      <alignment vertical="top" wrapText="1"/>
    </xf>
    <xf numFmtId="0" fontId="6" fillId="0" borderId="0" applyNumberFormat="0" applyProtection="0">
      <alignment vertical="top" wrapText="1"/>
    </xf>
  </cellStyleXfs>
  <cellXfs count="4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Font="1" applyBorder="1" applyAlignment="1">
      <alignment horizontal="left"/>
    </xf>
    <xf numFmtId="3" fontId="0" fillId="0" borderId="0" xfId="0" applyNumberFormat="1" applyFill="1" applyBorder="1"/>
    <xf numFmtId="0" fontId="2" fillId="0" borderId="0" xfId="0" applyFont="1" applyFill="1" applyBorder="1"/>
    <xf numFmtId="0" fontId="3" fillId="0" borderId="0" xfId="0" applyNumberFormat="1" applyFont="1" applyFill="1" applyBorder="1" applyAlignment="1" applyProtection="1"/>
    <xf numFmtId="1" fontId="3" fillId="0" borderId="0" xfId="0" applyNumberFormat="1" applyFont="1" applyFill="1" applyBorder="1" applyAlignment="1" applyProtection="1"/>
    <xf numFmtId="0" fontId="3" fillId="0" borderId="1" xfId="0" applyNumberFormat="1" applyFont="1" applyFill="1" applyBorder="1" applyAlignment="1" applyProtection="1"/>
    <xf numFmtId="0" fontId="1" fillId="0" borderId="1" xfId="0" applyFont="1" applyBorder="1" applyAlignment="1">
      <alignment horizontal="center" vertical="center"/>
    </xf>
    <xf numFmtId="1" fontId="3" fillId="0" borderId="1" xfId="0" applyNumberFormat="1" applyFont="1" applyFill="1" applyBorder="1" applyAlignment="1" applyProtection="1"/>
    <xf numFmtId="0" fontId="0" fillId="0" borderId="0" xfId="0" applyBorder="1"/>
    <xf numFmtId="0" fontId="0" fillId="0" borderId="0" xfId="0" applyFont="1" applyFill="1" applyBorder="1" applyAlignment="1">
      <alignment horizontal="left" vertical="top"/>
    </xf>
    <xf numFmtId="3" fontId="0" fillId="0" borderId="0" xfId="0" applyNumberFormat="1" applyFont="1" applyBorder="1" applyAlignment="1">
      <alignment horizontal="right"/>
    </xf>
    <xf numFmtId="3" fontId="0" fillId="0" borderId="0" xfId="0" applyNumberFormat="1" applyFont="1" applyBorder="1" applyAlignment="1">
      <alignment horizontal="right" vertical="center"/>
    </xf>
    <xf numFmtId="0" fontId="0" fillId="0" borderId="0" xfId="0" applyFont="1" applyBorder="1" applyAlignment="1">
      <alignment horizontal="center"/>
    </xf>
    <xf numFmtId="3" fontId="0" fillId="0" borderId="0" xfId="0" applyNumberFormat="1" applyFont="1" applyBorder="1" applyAlignment="1">
      <alignment horizontal="center"/>
    </xf>
    <xf numFmtId="2" fontId="0" fillId="0" borderId="1" xfId="0" applyNumberFormat="1" applyBorder="1"/>
    <xf numFmtId="2" fontId="0" fillId="0" borderId="1" xfId="0" applyNumberFormat="1" applyFont="1" applyBorder="1"/>
    <xf numFmtId="0" fontId="0" fillId="0" borderId="1" xfId="0" applyFont="1" applyBorder="1"/>
    <xf numFmtId="3" fontId="0" fillId="0" borderId="1" xfId="0" applyNumberFormat="1" applyBorder="1"/>
    <xf numFmtId="1" fontId="0" fillId="0" borderId="1" xfId="0" applyNumberFormat="1" applyBorder="1"/>
    <xf numFmtId="2" fontId="0" fillId="0" borderId="1" xfId="0" applyNumberFormat="1" applyFill="1" applyBorder="1"/>
    <xf numFmtId="164" fontId="0" fillId="0" borderId="1" xfId="0" applyNumberFormat="1" applyFont="1" applyBorder="1" applyAlignment="1">
      <alignment horizontal="center"/>
    </xf>
    <xf numFmtId="0" fontId="0" fillId="0" borderId="1" xfId="0" applyFill="1" applyBorder="1"/>
    <xf numFmtId="0" fontId="0" fillId="2" borderId="1" xfId="0" applyFill="1" applyBorder="1"/>
    <xf numFmtId="0" fontId="0" fillId="3" borderId="1" xfId="0" applyFill="1" applyBorder="1" applyProtection="1"/>
    <xf numFmtId="0" fontId="4" fillId="2" borderId="1" xfId="0" applyFont="1" applyFill="1" applyBorder="1"/>
    <xf numFmtId="1" fontId="4" fillId="0" borderId="1" xfId="0" applyNumberFormat="1" applyFont="1" applyBorder="1"/>
    <xf numFmtId="0" fontId="0" fillId="0" borderId="1" xfId="0" applyNumberFormat="1" applyBorder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left"/>
    </xf>
    <xf numFmtId="0" fontId="0" fillId="0" borderId="1" xfId="0" applyFill="1" applyBorder="1" applyAlignment="1"/>
    <xf numFmtId="0" fontId="0" fillId="0" borderId="1" xfId="0" applyFont="1" applyFill="1" applyBorder="1" applyAlignment="1">
      <alignment horizontal="center"/>
    </xf>
    <xf numFmtId="3" fontId="0" fillId="0" borderId="1" xfId="0" applyNumberFormat="1" applyFill="1" applyBorder="1"/>
    <xf numFmtId="0" fontId="7" fillId="0" borderId="1" xfId="0" applyFont="1" applyFill="1" applyBorder="1" applyAlignment="1">
      <alignment horizontal="right" vertical="top" wrapText="1" indent="1"/>
    </xf>
    <xf numFmtId="0" fontId="0" fillId="4" borderId="1" xfId="0" applyFill="1" applyBorder="1"/>
    <xf numFmtId="165" fontId="0" fillId="0" borderId="1" xfId="0" applyNumberFormat="1" applyFont="1" applyBorder="1" applyAlignment="1">
      <alignment horizontal="center"/>
    </xf>
    <xf numFmtId="0" fontId="0" fillId="0" borderId="1" xfId="0" applyBorder="1" applyAlignment="1">
      <alignment vertical="top" wrapText="1"/>
    </xf>
  </cellXfs>
  <cellStyles count="5">
    <cellStyle name="Body: normal cell" xfId="2"/>
    <cellStyle name="Footnotes: all except top row" xfId="4"/>
    <cellStyle name="Footnotes: top row" xfId="3"/>
    <cellStyle name="Header: bottom row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Views>
    <sheetView workbookViewId="0">
      <selection activeCell="D26" sqref="D26"/>
    </sheetView>
  </sheetViews>
  <sheetFormatPr defaultRowHeight="15" x14ac:dyDescent="0.25"/>
  <cols>
    <col min="2" max="2" width="21.7109375" bestFit="1" customWidth="1"/>
    <col min="3" max="3" width="27.28515625" bestFit="1" customWidth="1"/>
    <col min="4" max="4" width="25" bestFit="1" customWidth="1"/>
    <col min="5" max="5" width="25.28515625" bestFit="1" customWidth="1"/>
    <col min="6" max="6" width="26" bestFit="1" customWidth="1"/>
    <col min="7" max="7" width="24.42578125" bestFit="1" customWidth="1"/>
    <col min="8" max="8" width="25.85546875" bestFit="1" customWidth="1"/>
    <col min="9" max="9" width="45.140625" bestFit="1" customWidth="1"/>
    <col min="10" max="10" width="48.28515625" bestFit="1" customWidth="1"/>
    <col min="11" max="11" width="26.5703125" bestFit="1" customWidth="1"/>
  </cols>
  <sheetData>
    <row r="1" spans="1:17" x14ac:dyDescent="0.25">
      <c r="A1" s="2" t="s">
        <v>0</v>
      </c>
      <c r="B1" s="2" t="s">
        <v>2</v>
      </c>
      <c r="C1" s="2" t="s">
        <v>3</v>
      </c>
      <c r="D1" s="2" t="s">
        <v>5</v>
      </c>
      <c r="E1" s="2" t="s">
        <v>6</v>
      </c>
      <c r="F1" s="2" t="s">
        <v>7</v>
      </c>
      <c r="G1" s="8" t="s">
        <v>8</v>
      </c>
      <c r="H1" s="8" t="s">
        <v>9</v>
      </c>
      <c r="I1" s="2" t="s">
        <v>4</v>
      </c>
      <c r="J1" s="12"/>
      <c r="K1" s="12"/>
    </row>
    <row r="2" spans="1:17" x14ac:dyDescent="0.25">
      <c r="A2" s="1">
        <v>2010</v>
      </c>
      <c r="B2" s="17">
        <v>1010.648</v>
      </c>
      <c r="C2" s="17">
        <v>47.121682999999997</v>
      </c>
      <c r="D2" s="18">
        <v>64.555040000000005</v>
      </c>
      <c r="E2" s="2">
        <v>4300</v>
      </c>
      <c r="F2" s="23">
        <v>1.545636</v>
      </c>
      <c r="G2" s="8">
        <v>5423.8703589999996</v>
      </c>
      <c r="H2" s="8">
        <v>21635.129641</v>
      </c>
      <c r="I2" s="2">
        <v>27059</v>
      </c>
      <c r="J2" s="13"/>
      <c r="K2" s="13"/>
    </row>
    <row r="3" spans="1:17" x14ac:dyDescent="0.25">
      <c r="A3" s="1">
        <v>2011</v>
      </c>
      <c r="B3" s="17">
        <v>1058.604</v>
      </c>
      <c r="C3" s="17">
        <v>132.84742700000001</v>
      </c>
      <c r="D3" s="18">
        <v>65.578639999999993</v>
      </c>
      <c r="E3" s="2">
        <v>4500</v>
      </c>
      <c r="F3" s="23">
        <v>2.0540240000000001</v>
      </c>
      <c r="G3" s="8">
        <v>5759.0840909999997</v>
      </c>
      <c r="H3" s="8">
        <v>20952.915908999999</v>
      </c>
      <c r="I3" s="20">
        <v>26712</v>
      </c>
      <c r="J3" s="13"/>
      <c r="K3" s="13"/>
    </row>
    <row r="4" spans="1:17" x14ac:dyDescent="0.25">
      <c r="A4" s="1">
        <v>2012</v>
      </c>
      <c r="B4" s="17">
        <v>1004.568</v>
      </c>
      <c r="C4" s="17">
        <v>136.14457100000001</v>
      </c>
      <c r="D4" s="18">
        <v>67.625839999999997</v>
      </c>
      <c r="E4" s="2">
        <v>4000</v>
      </c>
      <c r="F4" s="23">
        <v>3.03668</v>
      </c>
      <c r="G4" s="8">
        <v>5211.3750909999999</v>
      </c>
      <c r="H4" s="8">
        <v>21007.624908999998</v>
      </c>
      <c r="I4" s="20">
        <v>26219</v>
      </c>
      <c r="J4" s="13"/>
      <c r="K4" s="13"/>
    </row>
    <row r="5" spans="1:17" x14ac:dyDescent="0.25">
      <c r="A5" s="9">
        <v>2013</v>
      </c>
      <c r="B5" s="17">
        <v>1010.268</v>
      </c>
      <c r="C5" s="17">
        <v>186.70077900000001</v>
      </c>
      <c r="D5" s="17">
        <v>71.071960000000004</v>
      </c>
      <c r="E5" s="2">
        <v>4200</v>
      </c>
      <c r="F5" s="23">
        <v>3.6849599999999998</v>
      </c>
      <c r="G5" s="8">
        <v>5471.7256989999996</v>
      </c>
      <c r="H5" s="8">
        <v>21278.274301000001</v>
      </c>
      <c r="I5" s="20">
        <v>26750</v>
      </c>
      <c r="J5" s="14"/>
      <c r="K5" s="14"/>
    </row>
    <row r="6" spans="1:17" x14ac:dyDescent="0.25">
      <c r="A6" s="9">
        <v>2014</v>
      </c>
      <c r="B6" s="17">
        <v>1087.788</v>
      </c>
      <c r="C6" s="17">
        <v>175.71029899999999</v>
      </c>
      <c r="D6" s="17">
        <v>73.869799999999998</v>
      </c>
      <c r="E6" s="2">
        <v>4400</v>
      </c>
      <c r="F6" s="23">
        <v>3.4802399999999998</v>
      </c>
      <c r="G6" s="8">
        <v>5740.8483390000001</v>
      </c>
      <c r="H6" s="8">
        <v>21255.151661</v>
      </c>
      <c r="I6" s="20">
        <v>26986</v>
      </c>
      <c r="J6" s="14"/>
      <c r="K6" s="14"/>
    </row>
    <row r="7" spans="1:17" x14ac:dyDescent="0.25">
      <c r="A7" s="1">
        <v>2015</v>
      </c>
      <c r="B7" s="21">
        <v>1117.2</v>
      </c>
      <c r="C7" s="17">
        <v>173.512203</v>
      </c>
      <c r="D7" s="22">
        <v>74.483959999999996</v>
      </c>
      <c r="E7" s="2">
        <v>4100</v>
      </c>
      <c r="F7" s="23">
        <v>3.347172</v>
      </c>
      <c r="G7" s="8">
        <v>5468.5433350000003</v>
      </c>
      <c r="H7" s="8">
        <v>21899.456665000002</v>
      </c>
      <c r="I7" s="20">
        <v>27600</v>
      </c>
      <c r="J7" s="15"/>
      <c r="K7" s="16"/>
    </row>
    <row r="8" spans="1:17" x14ac:dyDescent="0.25">
      <c r="A8" s="1">
        <v>2016</v>
      </c>
      <c r="B8" s="24"/>
      <c r="C8" s="24"/>
      <c r="D8" s="24"/>
      <c r="E8" s="24">
        <v>3900</v>
      </c>
      <c r="F8" s="24"/>
      <c r="G8" s="2"/>
      <c r="H8" s="2"/>
      <c r="I8" s="20">
        <v>21156</v>
      </c>
      <c r="J8" s="11"/>
      <c r="K8" s="11"/>
    </row>
    <row r="13" spans="1:17" x14ac:dyDescent="0.25">
      <c r="B13" s="6"/>
      <c r="I13" s="6"/>
      <c r="J13" s="6"/>
      <c r="K13" s="6"/>
      <c r="L13" s="6"/>
      <c r="M13" s="6"/>
      <c r="N13" s="6"/>
      <c r="O13" s="6"/>
      <c r="P13" s="6"/>
      <c r="Q13" s="6"/>
    </row>
    <row r="14" spans="1:17" x14ac:dyDescent="0.25">
      <c r="B14" s="7"/>
      <c r="I14" s="6"/>
      <c r="J14" s="6"/>
      <c r="K14" s="6"/>
      <c r="L14" s="6"/>
      <c r="M14" s="6"/>
      <c r="N14" s="6"/>
      <c r="O14" s="6"/>
      <c r="P14" s="6"/>
      <c r="Q14" s="6"/>
    </row>
    <row r="15" spans="1:17" x14ac:dyDescent="0.25">
      <c r="B15" s="7"/>
      <c r="I15" s="6"/>
      <c r="J15" s="6"/>
      <c r="K15" s="6"/>
      <c r="L15" s="6"/>
      <c r="M15" s="6"/>
      <c r="N15" s="6"/>
      <c r="O15" s="6"/>
      <c r="P15" s="6"/>
      <c r="Q15" s="6"/>
    </row>
    <row r="16" spans="1:17" x14ac:dyDescent="0.25">
      <c r="B16" s="7"/>
      <c r="I16" s="6"/>
      <c r="J16" s="6"/>
      <c r="K16" s="6"/>
      <c r="L16" s="6"/>
      <c r="M16" s="6"/>
      <c r="N16" s="6"/>
      <c r="O16" s="6"/>
      <c r="P16" s="6"/>
      <c r="Q16" s="6"/>
    </row>
    <row r="17" spans="2:17" x14ac:dyDescent="0.25">
      <c r="B17" s="6"/>
      <c r="C17" s="6"/>
      <c r="D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2:17" x14ac:dyDescent="0.25">
      <c r="B18" s="6"/>
      <c r="C18" s="6"/>
      <c r="D18" s="7"/>
      <c r="F18" s="7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2:17" x14ac:dyDescent="0.25">
      <c r="B19" s="6"/>
      <c r="C19" s="6"/>
      <c r="D19" s="7"/>
      <c r="F19" s="7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2:17" x14ac:dyDescent="0.25">
      <c r="B20" s="6"/>
      <c r="C20" s="6"/>
      <c r="D20" s="7"/>
      <c r="F20" s="7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2:17" x14ac:dyDescent="0.25">
      <c r="B21" s="6"/>
      <c r="C21" s="6"/>
      <c r="D21" s="7"/>
      <c r="F21" s="7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2:17" x14ac:dyDescent="0.25">
      <c r="B22" s="6"/>
      <c r="C22" s="6"/>
      <c r="D22" s="7"/>
      <c r="F22" s="7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2:17" x14ac:dyDescent="0.25">
      <c r="B23" s="6"/>
      <c r="C23" s="6"/>
      <c r="D23" s="7"/>
      <c r="F23" s="7"/>
      <c r="G23" s="6"/>
      <c r="H23" s="6"/>
      <c r="I23" s="6"/>
    </row>
    <row r="24" spans="2:17" x14ac:dyDescent="0.25">
      <c r="B24" s="6"/>
      <c r="C24" s="6"/>
      <c r="D24" s="7"/>
      <c r="F24" s="7"/>
      <c r="G24" s="6"/>
      <c r="H24" s="6"/>
      <c r="I24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"/>
  <sheetViews>
    <sheetView zoomScale="70" zoomScaleNormal="70" workbookViewId="0">
      <selection activeCell="D8" sqref="D8"/>
    </sheetView>
  </sheetViews>
  <sheetFormatPr defaultRowHeight="15" x14ac:dyDescent="0.25"/>
  <cols>
    <col min="2" max="2" width="55.7109375" bestFit="1" customWidth="1"/>
    <col min="3" max="3" width="16.28515625" bestFit="1" customWidth="1"/>
    <col min="4" max="4" width="15.85546875" bestFit="1" customWidth="1"/>
    <col min="5" max="5" width="18.7109375" bestFit="1" customWidth="1"/>
    <col min="6" max="6" width="16.85546875" bestFit="1" customWidth="1"/>
    <col min="7" max="7" width="18.5703125" bestFit="1" customWidth="1"/>
    <col min="8" max="8" width="18.28515625" bestFit="1" customWidth="1"/>
    <col min="9" max="9" width="21" bestFit="1" customWidth="1"/>
    <col min="10" max="10" width="19.28515625" bestFit="1" customWidth="1"/>
    <col min="11" max="11" width="21" bestFit="1" customWidth="1"/>
    <col min="12" max="12" width="20.7109375" bestFit="1" customWidth="1"/>
    <col min="13" max="13" width="23.5703125" bestFit="1" customWidth="1"/>
    <col min="14" max="14" width="13.42578125" bestFit="1" customWidth="1"/>
    <col min="15" max="15" width="15" bestFit="1" customWidth="1"/>
    <col min="16" max="16" width="14.85546875" bestFit="1" customWidth="1"/>
    <col min="17" max="17" width="17.7109375" bestFit="1" customWidth="1"/>
  </cols>
  <sheetData>
    <row r="1" spans="1:14" x14ac:dyDescent="0.25">
      <c r="A1" s="2" t="s">
        <v>0</v>
      </c>
      <c r="B1" s="2" t="s">
        <v>10</v>
      </c>
      <c r="C1" s="8" t="s">
        <v>13</v>
      </c>
      <c r="D1" s="8" t="s">
        <v>14</v>
      </c>
      <c r="E1" s="8" t="s">
        <v>11</v>
      </c>
      <c r="F1" s="8" t="s">
        <v>12</v>
      </c>
      <c r="G1" s="8" t="s">
        <v>15</v>
      </c>
      <c r="H1" s="8" t="s">
        <v>16</v>
      </c>
      <c r="I1" s="8" t="s">
        <v>17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</row>
    <row r="2" spans="1:14" x14ac:dyDescent="0.25">
      <c r="A2" s="1">
        <v>2010</v>
      </c>
      <c r="B2" s="10">
        <v>13298</v>
      </c>
      <c r="C2" s="10">
        <v>13244</v>
      </c>
      <c r="D2" s="10">
        <v>12858</v>
      </c>
      <c r="E2" s="8">
        <v>15.666</v>
      </c>
      <c r="F2" s="8">
        <v>398.58</v>
      </c>
      <c r="G2" s="10">
        <v>4591</v>
      </c>
      <c r="H2" s="10">
        <v>16</v>
      </c>
      <c r="I2" s="10" t="s">
        <v>1</v>
      </c>
      <c r="J2" s="10" t="s">
        <v>1</v>
      </c>
      <c r="K2" s="8" t="s">
        <v>1</v>
      </c>
      <c r="L2" s="8" t="s">
        <v>1</v>
      </c>
      <c r="M2" s="8" t="s">
        <v>1</v>
      </c>
      <c r="N2" s="8">
        <v>1.84</v>
      </c>
    </row>
    <row r="3" spans="1:14" x14ac:dyDescent="0.25">
      <c r="A3" s="1">
        <v>2011</v>
      </c>
      <c r="B3" s="10">
        <v>13929</v>
      </c>
      <c r="C3" s="10">
        <v>14089</v>
      </c>
      <c r="D3" s="10">
        <v>12893</v>
      </c>
      <c r="E3" s="8">
        <v>171.864</v>
      </c>
      <c r="F3" s="8">
        <v>1195.194</v>
      </c>
      <c r="G3" s="10">
        <v>5019</v>
      </c>
      <c r="H3" s="10">
        <v>114</v>
      </c>
      <c r="I3" s="10">
        <v>90200</v>
      </c>
      <c r="J3" s="10">
        <v>311400</v>
      </c>
      <c r="K3" s="8">
        <v>42.4</v>
      </c>
      <c r="L3" s="8">
        <v>29.9</v>
      </c>
      <c r="M3" s="8">
        <v>8</v>
      </c>
      <c r="N3" s="8">
        <v>2.56</v>
      </c>
    </row>
    <row r="4" spans="1:14" x14ac:dyDescent="0.25">
      <c r="A4" s="1">
        <v>2012</v>
      </c>
      <c r="B4" s="10">
        <v>13218</v>
      </c>
      <c r="C4" s="10">
        <v>12955</v>
      </c>
      <c r="D4" s="10">
        <v>12882</v>
      </c>
      <c r="E4" s="8">
        <v>494.13</v>
      </c>
      <c r="F4" s="8">
        <v>741.55200000000002</v>
      </c>
      <c r="G4" s="10">
        <v>5000</v>
      </c>
      <c r="H4" s="10">
        <v>408</v>
      </c>
      <c r="I4" s="10">
        <v>87000</v>
      </c>
      <c r="J4" s="10">
        <v>295000</v>
      </c>
      <c r="K4" s="8">
        <v>43.4</v>
      </c>
      <c r="L4" s="8">
        <v>30.2</v>
      </c>
      <c r="M4" s="8">
        <v>7.9</v>
      </c>
      <c r="N4" s="8">
        <v>2.5</v>
      </c>
    </row>
    <row r="5" spans="1:14" x14ac:dyDescent="0.25">
      <c r="A5" s="9">
        <v>2013</v>
      </c>
      <c r="B5" s="10">
        <v>13293</v>
      </c>
      <c r="C5" s="10">
        <v>13033</v>
      </c>
      <c r="D5" s="10">
        <v>13216</v>
      </c>
      <c r="E5" s="8">
        <v>376.99200000000002</v>
      </c>
      <c r="F5" s="8">
        <v>618.99599999999998</v>
      </c>
      <c r="G5" s="10">
        <v>4641</v>
      </c>
      <c r="H5" s="10">
        <v>713</v>
      </c>
      <c r="I5" s="10">
        <v>86504</v>
      </c>
      <c r="J5" s="10">
        <v>300277</v>
      </c>
      <c r="K5" s="8">
        <v>44</v>
      </c>
      <c r="L5" s="8">
        <v>31</v>
      </c>
      <c r="M5" s="8">
        <v>8.3000000000000007</v>
      </c>
      <c r="N5" s="8">
        <v>2.5</v>
      </c>
    </row>
    <row r="6" spans="1:14" x14ac:dyDescent="0.25">
      <c r="A6" s="9">
        <v>2014</v>
      </c>
      <c r="B6" s="10">
        <v>14313</v>
      </c>
      <c r="C6" s="10">
        <v>14027</v>
      </c>
      <c r="D6" s="10">
        <v>13444</v>
      </c>
      <c r="E6" s="8">
        <v>74.676000000000002</v>
      </c>
      <c r="F6" s="8">
        <v>846.21600000000001</v>
      </c>
      <c r="G6" s="10">
        <v>5124</v>
      </c>
      <c r="H6" s="10">
        <v>959</v>
      </c>
      <c r="I6" s="10">
        <v>83949</v>
      </c>
      <c r="J6" s="10">
        <v>295265</v>
      </c>
      <c r="K6" s="8">
        <v>53</v>
      </c>
      <c r="L6" s="8">
        <v>27</v>
      </c>
      <c r="M6" s="8">
        <v>10.3</v>
      </c>
      <c r="N6" s="8">
        <v>2.39</v>
      </c>
    </row>
    <row r="7" spans="1:14" x14ac:dyDescent="0.25">
      <c r="A7" s="1">
        <v>2015</v>
      </c>
      <c r="B7" s="10">
        <v>14700</v>
      </c>
      <c r="C7" s="10">
        <v>14510</v>
      </c>
      <c r="D7" s="10">
        <v>13947</v>
      </c>
      <c r="E7" s="8">
        <v>91.518000000000001</v>
      </c>
      <c r="F7" s="8">
        <v>827.14800000000002</v>
      </c>
      <c r="G7" s="10">
        <v>5200</v>
      </c>
      <c r="H7" s="10">
        <v>1208</v>
      </c>
      <c r="I7" s="10">
        <v>85967</v>
      </c>
      <c r="J7" s="10">
        <v>271440</v>
      </c>
      <c r="K7" s="8">
        <v>44</v>
      </c>
      <c r="L7" s="8">
        <v>24</v>
      </c>
      <c r="M7" s="8">
        <v>10</v>
      </c>
      <c r="N7" s="8">
        <v>1.82</v>
      </c>
    </row>
    <row r="8" spans="1:14" x14ac:dyDescent="0.25">
      <c r="A8" s="1">
        <v>2016</v>
      </c>
      <c r="B8" s="8"/>
      <c r="C8" s="10" t="s">
        <v>1</v>
      </c>
      <c r="D8" s="10"/>
      <c r="E8" s="8"/>
      <c r="F8" s="8"/>
      <c r="G8" s="10">
        <v>5206</v>
      </c>
      <c r="H8" s="10">
        <v>1454</v>
      </c>
      <c r="I8" s="8"/>
      <c r="J8" s="8"/>
      <c r="K8" s="8"/>
      <c r="L8" s="8"/>
      <c r="M8" s="8"/>
      <c r="N8" s="8">
        <v>1.55</v>
      </c>
    </row>
    <row r="10" spans="1:14" x14ac:dyDescent="0.25">
      <c r="J10" s="5"/>
      <c r="K10" s="5"/>
      <c r="L10" s="5"/>
      <c r="M10" s="5"/>
      <c r="N10" s="4"/>
    </row>
    <row r="18" spans="1:25" x14ac:dyDescent="0.25">
      <c r="B18" s="6"/>
      <c r="C18" s="6"/>
      <c r="H18" s="6"/>
      <c r="I18" s="6"/>
      <c r="L18" s="6"/>
      <c r="M18" s="6"/>
      <c r="N18" s="6"/>
    </row>
    <row r="19" spans="1:25" x14ac:dyDescent="0.25">
      <c r="A19" s="6"/>
      <c r="B19" s="7"/>
      <c r="C19" s="7"/>
      <c r="H19" s="6"/>
      <c r="I19" s="6"/>
      <c r="L19" s="7"/>
      <c r="M19" s="7"/>
      <c r="N19" s="6"/>
    </row>
    <row r="20" spans="1:25" x14ac:dyDescent="0.25">
      <c r="A20" s="7"/>
      <c r="B20" s="7"/>
      <c r="C20" s="7"/>
      <c r="H20" s="6"/>
      <c r="I20" s="6"/>
      <c r="L20" s="7"/>
      <c r="M20" s="7"/>
      <c r="N20" s="6"/>
      <c r="R20" s="6"/>
      <c r="S20" s="6"/>
      <c r="T20" s="6"/>
      <c r="U20" s="6"/>
      <c r="V20" s="6"/>
      <c r="W20" s="6"/>
      <c r="X20" s="6"/>
      <c r="Y20" s="6"/>
    </row>
    <row r="21" spans="1:25" x14ac:dyDescent="0.25">
      <c r="A21" s="7"/>
      <c r="B21" s="7"/>
      <c r="C21" s="7"/>
      <c r="H21" s="6"/>
      <c r="I21" s="6"/>
      <c r="L21" s="7"/>
      <c r="M21" s="7"/>
      <c r="N21" s="6"/>
      <c r="R21" s="6"/>
      <c r="S21" s="6"/>
      <c r="T21" s="6"/>
      <c r="U21" s="6"/>
      <c r="V21" s="6"/>
      <c r="W21" s="6"/>
      <c r="X21" s="6"/>
      <c r="Y21" s="6"/>
    </row>
    <row r="22" spans="1:25" x14ac:dyDescent="0.25">
      <c r="A22" s="7"/>
      <c r="B22" s="6"/>
      <c r="C22" s="6"/>
      <c r="D22" s="6"/>
      <c r="L22" s="7"/>
      <c r="M22" s="7"/>
      <c r="N22" s="6"/>
      <c r="R22" s="6"/>
      <c r="S22" s="6"/>
      <c r="T22" s="6"/>
      <c r="U22" s="6"/>
      <c r="V22" s="6"/>
      <c r="W22" s="6"/>
      <c r="X22" s="6"/>
      <c r="Y22" s="6"/>
    </row>
    <row r="23" spans="1:25" x14ac:dyDescent="0.25">
      <c r="A23" s="7"/>
      <c r="B23" s="7"/>
      <c r="C23" s="6"/>
      <c r="D23" s="6"/>
      <c r="L23" s="7"/>
      <c r="M23" s="7"/>
      <c r="N23" s="6"/>
      <c r="R23" s="6"/>
      <c r="S23" s="6"/>
      <c r="T23" s="6"/>
      <c r="U23" s="6"/>
      <c r="V23" s="6"/>
      <c r="W23" s="6"/>
      <c r="X23" s="6"/>
      <c r="Y23" s="6"/>
    </row>
    <row r="24" spans="1:25" x14ac:dyDescent="0.25">
      <c r="A24" s="7"/>
      <c r="B24" s="7"/>
      <c r="C24" s="6"/>
      <c r="D24" s="6"/>
      <c r="L24" s="7"/>
      <c r="M24" s="7"/>
      <c r="N24" s="6"/>
      <c r="R24" s="6"/>
      <c r="S24" s="6"/>
      <c r="T24" s="6"/>
      <c r="U24" s="6"/>
      <c r="V24" s="6"/>
      <c r="W24" s="6"/>
      <c r="X24" s="6"/>
      <c r="Y24" s="6"/>
    </row>
    <row r="25" spans="1:25" x14ac:dyDescent="0.25">
      <c r="A25" s="7"/>
      <c r="B25" s="7"/>
      <c r="C25" s="6"/>
      <c r="D25" s="6"/>
      <c r="L25" s="7"/>
      <c r="M25" s="7"/>
      <c r="N25" s="6"/>
      <c r="R25" s="6"/>
      <c r="S25" s="6"/>
      <c r="T25" s="6"/>
      <c r="U25" s="6"/>
      <c r="V25" s="6"/>
      <c r="W25" s="6"/>
      <c r="X25" s="6"/>
      <c r="Y25" s="6"/>
    </row>
    <row r="26" spans="1:25" x14ac:dyDescent="0.25">
      <c r="A26" s="7"/>
      <c r="B26" s="7"/>
      <c r="C26" s="6"/>
      <c r="D26" s="6"/>
      <c r="K26" s="6"/>
      <c r="L26" s="6"/>
      <c r="M26" s="6"/>
      <c r="N26" s="6"/>
      <c r="R26" s="6"/>
      <c r="S26" s="6"/>
      <c r="T26" s="6"/>
      <c r="U26" s="6"/>
      <c r="V26" s="6"/>
      <c r="W26" s="6"/>
      <c r="X26" s="6"/>
      <c r="Y26" s="6"/>
    </row>
    <row r="27" spans="1:25" x14ac:dyDescent="0.25">
      <c r="A27" s="7"/>
      <c r="B27" s="7"/>
      <c r="C27" s="6"/>
      <c r="D27" s="6"/>
      <c r="K27" s="6"/>
      <c r="L27" s="6"/>
      <c r="M27" s="6"/>
      <c r="N27" s="6"/>
      <c r="R27" s="6"/>
      <c r="S27" s="6"/>
      <c r="T27" s="6"/>
      <c r="U27" s="6"/>
      <c r="V27" s="6"/>
      <c r="W27" s="6"/>
      <c r="X27" s="6"/>
      <c r="Y27" s="6"/>
    </row>
    <row r="28" spans="1:25" x14ac:dyDescent="0.25">
      <c r="A28" s="7"/>
      <c r="B28" s="7"/>
      <c r="C28" s="6"/>
      <c r="D28" s="6"/>
      <c r="K28" s="6"/>
      <c r="L28" s="6"/>
      <c r="M28" s="6"/>
      <c r="N28" s="6"/>
      <c r="R28" s="6"/>
      <c r="S28" s="6"/>
      <c r="T28" s="6"/>
      <c r="U28" s="6"/>
      <c r="V28" s="6"/>
      <c r="W28" s="6"/>
      <c r="X28" s="6"/>
      <c r="Y28" s="6"/>
    </row>
    <row r="29" spans="1:25" x14ac:dyDescent="0.25">
      <c r="B29" s="7"/>
      <c r="C29" s="6"/>
      <c r="D29" s="6"/>
      <c r="E29" s="7"/>
      <c r="F29" s="7" t="s">
        <v>1</v>
      </c>
      <c r="G29" s="6" t="s">
        <v>1</v>
      </c>
      <c r="H29" s="6" t="s">
        <v>1</v>
      </c>
      <c r="I29" s="6" t="s">
        <v>1</v>
      </c>
      <c r="K29" s="6"/>
      <c r="L29" s="6"/>
      <c r="M29" s="6"/>
      <c r="N29" s="6"/>
      <c r="R29" s="6"/>
      <c r="S29" s="6"/>
      <c r="T29" s="6"/>
      <c r="U29" s="6"/>
      <c r="V29" s="6"/>
      <c r="W29" s="6"/>
      <c r="X29" s="6"/>
      <c r="Y29" s="6"/>
    </row>
    <row r="30" spans="1:25" x14ac:dyDescent="0.25">
      <c r="C30" s="7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" sqref="D2"/>
    </sheetView>
  </sheetViews>
  <sheetFormatPr defaultRowHeight="15" x14ac:dyDescent="0.25"/>
  <cols>
    <col min="1" max="1" width="18.7109375" bestFit="1" customWidth="1"/>
    <col min="2" max="2" width="41.85546875" bestFit="1" customWidth="1"/>
    <col min="3" max="3" width="14.7109375" bestFit="1" customWidth="1"/>
    <col min="4" max="4" width="10" bestFit="1" customWidth="1"/>
    <col min="7" max="7" width="10.140625" bestFit="1" customWidth="1"/>
  </cols>
  <sheetData>
    <row r="1" spans="1:4" x14ac:dyDescent="0.25">
      <c r="A1" s="25" t="s">
        <v>23</v>
      </c>
      <c r="B1" s="27" t="s">
        <v>73</v>
      </c>
      <c r="C1" s="25" t="s">
        <v>74</v>
      </c>
      <c r="D1" s="25" t="s">
        <v>125</v>
      </c>
    </row>
    <row r="2" spans="1:4" x14ac:dyDescent="0.25">
      <c r="A2" s="26" t="s">
        <v>36</v>
      </c>
      <c r="B2" s="28">
        <v>5223.53</v>
      </c>
      <c r="C2" s="2" t="str">
        <f>+_xlfn.IFS(B2&gt;3000,"&gt;3,000",B2&gt;1000,"1,000 to 3,000",B2&gt;500,"500 to 1,000",B2&lt;500,"&lt;500")</f>
        <v>&gt;3,000</v>
      </c>
      <c r="D2" s="2" t="str">
        <f>+_xlfn.IFS(B2&gt;3000,"1",B2&gt;1000,"2",B2&gt;500,"3",B2&lt;500,"4")</f>
        <v>1</v>
      </c>
    </row>
    <row r="3" spans="1:4" x14ac:dyDescent="0.25">
      <c r="A3" s="26" t="s">
        <v>37</v>
      </c>
      <c r="B3" s="28">
        <v>3507.27</v>
      </c>
      <c r="C3" s="2" t="str">
        <f>+_xlfn.IFS(B3&gt;3000,"&gt;3,000",B3&gt;1000,"1,000 to 3,000",B3&gt;500,"500 to 1,000",B3&lt;500,"&lt;500")</f>
        <v>&gt;3,000</v>
      </c>
      <c r="D3" s="2" t="str">
        <f>+_xlfn.IFS(B3&gt;3000,"1",B3&gt;1000,"2",B3&gt;500,"3",B3&lt;500,"4")</f>
        <v>1</v>
      </c>
    </row>
    <row r="4" spans="1:4" x14ac:dyDescent="0.25">
      <c r="A4" s="26" t="s">
        <v>38</v>
      </c>
      <c r="B4" s="28">
        <v>12226.11</v>
      </c>
      <c r="C4" s="2" t="str">
        <f>+_xlfn.IFS(B4&gt;3000,"&gt;3,000",B4&gt;1000,"1,000 to 3,000",B4&gt;500,"500 to 1,000",B4&lt;500,"&lt;500")</f>
        <v>&gt;3,000</v>
      </c>
      <c r="D4" s="2" t="str">
        <f>+_xlfn.IFS(B4&gt;3000,"1",B4&gt;1000,"2",B4&gt;500,"3",B4&lt;500,"4")</f>
        <v>1</v>
      </c>
    </row>
    <row r="5" spans="1:4" x14ac:dyDescent="0.25">
      <c r="A5" s="26" t="s">
        <v>45</v>
      </c>
      <c r="B5" s="28">
        <v>3513.25</v>
      </c>
      <c r="C5" s="2" t="str">
        <f>+_xlfn.IFS(B5&gt;3000,"&gt;3,000",B5&gt;1000,"1,000 to 3,000",B5&gt;500,"500 to 1,000",B5&lt;500,"&lt;500")</f>
        <v>&gt;3,000</v>
      </c>
      <c r="D5" s="2" t="str">
        <f>+_xlfn.IFS(B5&gt;3000,"1",B5&gt;1000,"2",B5&gt;500,"3",B5&lt;500,"4")</f>
        <v>1</v>
      </c>
    </row>
    <row r="6" spans="1:4" x14ac:dyDescent="0.25">
      <c r="A6" s="26" t="s">
        <v>49</v>
      </c>
      <c r="B6" s="28">
        <v>6485.31</v>
      </c>
      <c r="C6" s="2" t="str">
        <f>+_xlfn.IFS(B6&gt;3000,"&gt;3,000",B6&gt;1000,"1,000 to 3,000",B6&gt;500,"500 to 1,000",B6&lt;500,"&lt;500")</f>
        <v>&gt;3,000</v>
      </c>
      <c r="D6" s="2" t="str">
        <f>+_xlfn.IFS(B6&gt;3000,"1",B6&gt;1000,"2",B6&gt;500,"3",B6&lt;500,"4")</f>
        <v>1</v>
      </c>
    </row>
    <row r="7" spans="1:4" x14ac:dyDescent="0.25">
      <c r="A7" s="26" t="s">
        <v>63</v>
      </c>
      <c r="B7" s="28">
        <v>3196.31</v>
      </c>
      <c r="C7" s="2" t="str">
        <f>+_xlfn.IFS(B7&gt;3000,"&gt;3,000",B7&gt;1000,"1,000 to 3,000",B7&gt;500,"500 to 1,000",B7&lt;500,"&lt;500")</f>
        <v>&gt;3,000</v>
      </c>
      <c r="D7" s="2" t="str">
        <f>+_xlfn.IFS(B7&gt;3000,"1",B7&gt;1000,"2",B7&gt;500,"3",B7&lt;500,"4")</f>
        <v>1</v>
      </c>
    </row>
    <row r="8" spans="1:4" x14ac:dyDescent="0.25">
      <c r="A8" s="26" t="s">
        <v>39</v>
      </c>
      <c r="B8" s="28">
        <v>1500.98</v>
      </c>
      <c r="C8" s="2" t="str">
        <f>+_xlfn.IFS(B8&gt;3000,"&gt;3,000",B8&gt;1000,"1,000 to 3,000",B8&gt;500,"500 to 1,000",B8&lt;500,"&lt;500")</f>
        <v>1,000 to 3,000</v>
      </c>
      <c r="D8" s="2" t="str">
        <f>+_xlfn.IFS(B8&gt;3000,"1",B8&gt;1000,"2",B8&gt;500,"3",B8&lt;500,"4")</f>
        <v>2</v>
      </c>
    </row>
    <row r="9" spans="1:4" x14ac:dyDescent="0.25">
      <c r="A9" s="26" t="s">
        <v>44</v>
      </c>
      <c r="B9" s="28">
        <v>1082.3800000000001</v>
      </c>
      <c r="C9" s="2" t="str">
        <f>+_xlfn.IFS(B9&gt;3000,"&gt;3,000",B9&gt;1000,"1,000 to 3,000",B9&gt;500,"500 to 1,000",B9&lt;500,"&lt;500")</f>
        <v>1,000 to 3,000</v>
      </c>
      <c r="D9" s="2" t="str">
        <f>+_xlfn.IFS(B9&gt;3000,"1",B9&gt;1000,"2",B9&gt;500,"3",B9&lt;500,"4")</f>
        <v>2</v>
      </c>
    </row>
    <row r="10" spans="1:4" x14ac:dyDescent="0.25">
      <c r="A10" s="26" t="s">
        <v>56</v>
      </c>
      <c r="B10" s="28">
        <v>1435.2</v>
      </c>
      <c r="C10" s="2" t="str">
        <f>+_xlfn.IFS(B10&gt;3000,"&gt;3,000",B10&gt;1000,"1,000 to 3,000",B10&gt;500,"500 to 1,000",B10&lt;500,"&lt;500")</f>
        <v>1,000 to 3,000</v>
      </c>
      <c r="D10" s="2" t="str">
        <f>+_xlfn.IFS(B10&gt;3000,"1",B10&gt;1000,"2",B10&gt;500,"3",B10&lt;500,"4")</f>
        <v>2</v>
      </c>
    </row>
    <row r="11" spans="1:4" x14ac:dyDescent="0.25">
      <c r="A11" s="26" t="s">
        <v>57</v>
      </c>
      <c r="B11" s="28">
        <v>1638.52</v>
      </c>
      <c r="C11" s="2" t="str">
        <f>+_xlfn.IFS(B11&gt;3000,"&gt;3,000",B11&gt;1000,"1,000 to 3,000",B11&gt;500,"500 to 1,000",B11&lt;500,"&lt;500")</f>
        <v>1,000 to 3,000</v>
      </c>
      <c r="D11" s="2" t="str">
        <f>+_xlfn.IFS(B11&gt;3000,"1",B11&gt;1000,"2",B11&gt;500,"3",B11&lt;500,"4")</f>
        <v>2</v>
      </c>
    </row>
    <row r="12" spans="1:4" x14ac:dyDescent="0.25">
      <c r="A12" s="26" t="s">
        <v>65</v>
      </c>
      <c r="B12" s="28">
        <v>1166.0999999999999</v>
      </c>
      <c r="C12" s="2" t="str">
        <f>+_xlfn.IFS(B12&gt;3000,"&gt;3,000",B12&gt;1000,"1,000 to 3,000",B12&gt;500,"500 to 1,000",B12&lt;500,"&lt;500")</f>
        <v>1,000 to 3,000</v>
      </c>
      <c r="D12" s="2" t="str">
        <f>+_xlfn.IFS(B12&gt;3000,"1",B12&gt;1000,"2",B12&gt;500,"3",B12&lt;500,"4")</f>
        <v>2</v>
      </c>
    </row>
    <row r="13" spans="1:4" x14ac:dyDescent="0.25">
      <c r="A13" s="26" t="s">
        <v>71</v>
      </c>
      <c r="B13" s="28">
        <v>1734.2</v>
      </c>
      <c r="C13" s="2" t="str">
        <f>+_xlfn.IFS(B13&gt;3000,"&gt;3,000",B13&gt;1000,"1,000 to 3,000",B13&gt;500,"500 to 1,000",B13&lt;500,"&lt;500")</f>
        <v>1,000 to 3,000</v>
      </c>
      <c r="D13" s="2" t="str">
        <f>+_xlfn.IFS(B13&gt;3000,"1",B13&gt;1000,"2",B13&gt;500,"3",B13&lt;500,"4")</f>
        <v>2</v>
      </c>
    </row>
    <row r="14" spans="1:4" x14ac:dyDescent="0.25">
      <c r="A14" s="26" t="s">
        <v>28</v>
      </c>
      <c r="B14" s="28">
        <v>654.0625</v>
      </c>
      <c r="C14" s="2" t="str">
        <f>+_xlfn.IFS(B14&gt;3000,"&gt;3,000",B14&gt;1000,"1,000 to 3,000",B14&gt;500,"500 to 1,000",B14&lt;500,"&lt;500")</f>
        <v>500 to 1,000</v>
      </c>
      <c r="D14" s="2" t="str">
        <f>+_xlfn.IFS(B14&gt;3000,"1",B14&gt;1000,"2",B14&gt;500,"3",B14&lt;500,"4")</f>
        <v>3</v>
      </c>
    </row>
    <row r="15" spans="1:4" x14ac:dyDescent="0.25">
      <c r="A15" s="26" t="s">
        <v>47</v>
      </c>
      <c r="B15" s="28">
        <v>765.44</v>
      </c>
      <c r="C15" s="2" t="str">
        <f>+_xlfn.IFS(B15&gt;3000,"&gt;3,000",B15&gt;1000,"1,000 to 3,000",B15&gt;500,"500 to 1,000",B15&lt;500,"&lt;500")</f>
        <v>500 to 1,000</v>
      </c>
      <c r="D15" s="2" t="str">
        <f>+_xlfn.IFS(B15&gt;3000,"1",B15&gt;1000,"2",B15&gt;500,"3",B15&lt;500,"4")</f>
        <v>3</v>
      </c>
    </row>
    <row r="16" spans="1:4" x14ac:dyDescent="0.25">
      <c r="A16" s="26" t="s">
        <v>54</v>
      </c>
      <c r="B16" s="28">
        <v>526.24</v>
      </c>
      <c r="C16" s="2" t="str">
        <f>+_xlfn.IFS(B16&gt;3000,"&gt;3,000",B16&gt;1000,"1,000 to 3,000",B16&gt;500,"500 to 1,000",B16&lt;500,"&lt;500")</f>
        <v>500 to 1,000</v>
      </c>
      <c r="D16" s="2" t="str">
        <f>+_xlfn.IFS(B16&gt;3000,"1",B16&gt;1000,"2",B16&gt;500,"3",B16&lt;500,"4")</f>
        <v>3</v>
      </c>
    </row>
    <row r="17" spans="1:4" x14ac:dyDescent="0.25">
      <c r="A17" s="26" t="s">
        <v>64</v>
      </c>
      <c r="B17" s="28">
        <v>672.75</v>
      </c>
      <c r="C17" s="2" t="str">
        <f>+_xlfn.IFS(B17&gt;3000,"&gt;3,000",B17&gt;1000,"1,000 to 3,000",B17&gt;500,"500 to 1,000",B17&lt;500,"&lt;500")</f>
        <v>500 to 1,000</v>
      </c>
      <c r="D17" s="2" t="str">
        <f>+_xlfn.IFS(B17&gt;3000,"1",B17&gt;1000,"2",B17&gt;500,"3",B17&lt;500,"4")</f>
        <v>3</v>
      </c>
    </row>
    <row r="18" spans="1:4" x14ac:dyDescent="0.25">
      <c r="A18" s="26" t="s">
        <v>24</v>
      </c>
      <c r="B18" s="28">
        <v>0</v>
      </c>
      <c r="C18" s="2" t="str">
        <f>+_xlfn.IFS(B18&gt;3000,"&gt;3,000",B18&gt;1000,"1,000 to 3,000",B18&gt;500,"500 to 1,000",B18&lt;500,"&lt;500")</f>
        <v>&lt;500</v>
      </c>
      <c r="D18" s="2" t="str">
        <f>+_xlfn.IFS(B18&gt;3000,"1",B18&gt;1000,"2",B18&gt;500,"3",B18&lt;500,"4")</f>
        <v>4</v>
      </c>
    </row>
    <row r="19" spans="1:4" x14ac:dyDescent="0.25">
      <c r="A19" s="26" t="s">
        <v>25</v>
      </c>
      <c r="B19" s="28">
        <v>0</v>
      </c>
      <c r="C19" s="2" t="str">
        <f>+_xlfn.IFS(B19&gt;3000,"&gt;3,000",B19&gt;1000,"1,000 to 3,000",B19&gt;500,"500 to 1,000",B19&lt;500,"&lt;500")</f>
        <v>&lt;500</v>
      </c>
      <c r="D19" s="2" t="str">
        <f>+_xlfn.IFS(B19&gt;3000,"1",B19&gt;1000,"2",B19&gt;500,"3",B19&lt;500,"4")</f>
        <v>4</v>
      </c>
    </row>
    <row r="20" spans="1:4" x14ac:dyDescent="0.25">
      <c r="A20" s="26" t="s">
        <v>26</v>
      </c>
      <c r="B20" s="28">
        <v>149.5</v>
      </c>
      <c r="C20" s="2" t="str">
        <f>+_xlfn.IFS(B20&gt;3000,"&gt;3,000",B20&gt;1000,"1,000 to 3,000",B20&gt;500,"500 to 1,000",B20&lt;500,"&lt;500")</f>
        <v>&lt;500</v>
      </c>
      <c r="D20" s="2" t="str">
        <f>+_xlfn.IFS(B20&gt;3000,"1",B20&gt;1000,"2",B20&gt;500,"3",B20&lt;500,"4")</f>
        <v>4</v>
      </c>
    </row>
    <row r="21" spans="1:4" x14ac:dyDescent="0.25">
      <c r="A21" s="26" t="s">
        <v>27</v>
      </c>
      <c r="B21" s="28">
        <v>0</v>
      </c>
      <c r="C21" s="2" t="str">
        <f>+_xlfn.IFS(B21&gt;3000,"&gt;3,000",B21&gt;1000,"1,000 to 3,000",B21&gt;500,"500 to 1,000",B21&lt;500,"&lt;500")</f>
        <v>&lt;500</v>
      </c>
      <c r="D21" s="2" t="str">
        <f>+_xlfn.IFS(B21&gt;3000,"1",B21&gt;1000,"2",B21&gt;500,"3",B21&lt;500,"4")</f>
        <v>4</v>
      </c>
    </row>
    <row r="22" spans="1:4" x14ac:dyDescent="0.25">
      <c r="A22" s="26" t="s">
        <v>29</v>
      </c>
      <c r="B22" s="28">
        <v>379.73</v>
      </c>
      <c r="C22" s="2" t="str">
        <f>+_xlfn.IFS(B22&gt;3000,"&gt;3,000",B22&gt;1000,"1,000 to 3,000",B22&gt;500,"500 to 1,000",B22&lt;500,"&lt;500")</f>
        <v>&lt;500</v>
      </c>
      <c r="D22" s="2" t="str">
        <f>+_xlfn.IFS(B22&gt;3000,"1",B22&gt;1000,"2",B22&gt;500,"3",B22&lt;500,"4")</f>
        <v>4</v>
      </c>
    </row>
    <row r="23" spans="1:4" x14ac:dyDescent="0.25">
      <c r="A23" s="26" t="s">
        <v>30</v>
      </c>
      <c r="B23" s="28">
        <v>0</v>
      </c>
      <c r="C23" s="2" t="str">
        <f>+_xlfn.IFS(B23&gt;3000,"&gt;3,000",B23&gt;1000,"1,000 to 3,000",B23&gt;500,"500 to 1,000",B23&lt;500,"&lt;500")</f>
        <v>&lt;500</v>
      </c>
      <c r="D23" s="2" t="str">
        <f>+_xlfn.IFS(B23&gt;3000,"1",B23&gt;1000,"2",B23&gt;500,"3",B23&lt;500,"4")</f>
        <v>4</v>
      </c>
    </row>
    <row r="24" spans="1:4" x14ac:dyDescent="0.25">
      <c r="A24" s="26" t="s">
        <v>31</v>
      </c>
      <c r="B24" s="28">
        <v>0</v>
      </c>
      <c r="C24" s="2" t="str">
        <f>+_xlfn.IFS(B24&gt;3000,"&gt;3,000",B24&gt;1000,"1,000 to 3,000",B24&gt;500,"500 to 1,000",B24&lt;500,"&lt;500")</f>
        <v>&lt;500</v>
      </c>
      <c r="D24" s="2" t="str">
        <f>+_xlfn.IFS(B24&gt;3000,"1",B24&gt;1000,"2",B24&gt;500,"3",B24&lt;500,"4")</f>
        <v>4</v>
      </c>
    </row>
    <row r="25" spans="1:4" x14ac:dyDescent="0.25">
      <c r="A25" s="26" t="s">
        <v>32</v>
      </c>
      <c r="B25" s="28">
        <v>0</v>
      </c>
      <c r="C25" s="2" t="str">
        <f>+_xlfn.IFS(B25&gt;3000,"&gt;3,000",B25&gt;1000,"1,000 to 3,000",B25&gt;500,"500 to 1,000",B25&lt;500,"&lt;500")</f>
        <v>&lt;500</v>
      </c>
      <c r="D25" s="2" t="str">
        <f>+_xlfn.IFS(B25&gt;3000,"1",B25&gt;1000,"2",B25&gt;500,"3",B25&lt;500,"4")</f>
        <v>4</v>
      </c>
    </row>
    <row r="26" spans="1:4" x14ac:dyDescent="0.25">
      <c r="A26" s="26" t="s">
        <v>75</v>
      </c>
      <c r="B26" s="28">
        <v>0</v>
      </c>
      <c r="C26" s="2" t="str">
        <f>+_xlfn.IFS(B26&gt;3000,"&gt;3,000",B26&gt;1000,"1,000 to 3,000",B26&gt;500,"500 to 1,000",B26&lt;500,"&lt;500")</f>
        <v>&lt;500</v>
      </c>
      <c r="D26" s="2" t="str">
        <f>+_xlfn.IFS(B26&gt;3000,"1",B26&gt;1000,"2",B26&gt;500,"3",B26&lt;500,"4")</f>
        <v>4</v>
      </c>
    </row>
    <row r="27" spans="1:4" x14ac:dyDescent="0.25">
      <c r="A27" s="26" t="s">
        <v>33</v>
      </c>
      <c r="B27" s="28">
        <v>358.8</v>
      </c>
      <c r="C27" s="2" t="str">
        <f>+_xlfn.IFS(B27&gt;3000,"&gt;3,000",B27&gt;1000,"1,000 to 3,000",B27&gt;500,"500 to 1,000",B27&lt;500,"&lt;500")</f>
        <v>&lt;500</v>
      </c>
      <c r="D27" s="2" t="str">
        <f>+_xlfn.IFS(B27&gt;3000,"1",B27&gt;1000,"2",B27&gt;500,"3",B27&lt;500,"4")</f>
        <v>4</v>
      </c>
    </row>
    <row r="28" spans="1:4" x14ac:dyDescent="0.25">
      <c r="A28" s="26" t="s">
        <v>34</v>
      </c>
      <c r="B28" s="28">
        <v>0</v>
      </c>
      <c r="C28" s="2" t="str">
        <f>+_xlfn.IFS(B28&gt;3000,"&gt;3,000",B28&gt;1000,"1,000 to 3,000",B28&gt;500,"500 to 1,000",B28&lt;500,"&lt;500")</f>
        <v>&lt;500</v>
      </c>
      <c r="D28" s="2" t="str">
        <f>+_xlfn.IFS(B28&gt;3000,"1",B28&gt;1000,"2",B28&gt;500,"3",B28&lt;500,"4")</f>
        <v>4</v>
      </c>
    </row>
    <row r="29" spans="1:4" x14ac:dyDescent="0.25">
      <c r="A29" s="26" t="s">
        <v>35</v>
      </c>
      <c r="B29" s="28">
        <v>179.4</v>
      </c>
      <c r="C29" s="2" t="str">
        <f>+_xlfn.IFS(B29&gt;3000,"&gt;3,000",B29&gt;1000,"1,000 to 3,000",B29&gt;500,"500 to 1,000",B29&lt;500,"&lt;500")</f>
        <v>&lt;500</v>
      </c>
      <c r="D29" s="2" t="str">
        <f>+_xlfn.IFS(B29&gt;3000,"1",B29&gt;1000,"2",B29&gt;500,"3",B29&lt;500,"4")</f>
        <v>4</v>
      </c>
    </row>
    <row r="30" spans="1:4" x14ac:dyDescent="0.25">
      <c r="A30" s="26" t="s">
        <v>40</v>
      </c>
      <c r="B30" s="28">
        <v>107.64</v>
      </c>
      <c r="C30" s="2" t="str">
        <f>+_xlfn.IFS(B30&gt;3000,"&gt;3,000",B30&gt;1000,"1,000 to 3,000",B30&gt;500,"500 to 1,000",B30&lt;500,"&lt;500")</f>
        <v>&lt;500</v>
      </c>
      <c r="D30" s="2" t="str">
        <f>+_xlfn.IFS(B30&gt;3000,"1",B30&gt;1000,"2",B30&gt;500,"3",B30&lt;500,"4")</f>
        <v>4</v>
      </c>
    </row>
    <row r="31" spans="1:4" x14ac:dyDescent="0.25">
      <c r="A31" s="26" t="s">
        <v>76</v>
      </c>
      <c r="B31" s="28">
        <v>0</v>
      </c>
      <c r="C31" s="2" t="str">
        <f>+_xlfn.IFS(B31&gt;3000,"&gt;3,000",B31&gt;1000,"1,000 to 3,000",B31&gt;500,"500 to 1,000",B31&lt;500,"&lt;500")</f>
        <v>&lt;500</v>
      </c>
      <c r="D31" s="2" t="str">
        <f>+_xlfn.IFS(B31&gt;3000,"1",B31&gt;1000,"2",B31&gt;500,"3",B31&lt;500,"4")</f>
        <v>4</v>
      </c>
    </row>
    <row r="32" spans="1:4" x14ac:dyDescent="0.25">
      <c r="A32" s="26" t="s">
        <v>41</v>
      </c>
      <c r="B32" s="28">
        <v>0</v>
      </c>
      <c r="C32" s="2" t="str">
        <f>+_xlfn.IFS(B32&gt;3000,"&gt;3,000",B32&gt;1000,"1,000 to 3,000",B32&gt;500,"500 to 1,000",B32&lt;500,"&lt;500")</f>
        <v>&lt;500</v>
      </c>
      <c r="D32" s="2" t="str">
        <f>+_xlfn.IFS(B32&gt;3000,"1",B32&gt;1000,"2",B32&gt;500,"3",B32&lt;500,"4")</f>
        <v>4</v>
      </c>
    </row>
    <row r="33" spans="1:4" x14ac:dyDescent="0.25">
      <c r="A33" s="26" t="s">
        <v>42</v>
      </c>
      <c r="B33" s="28">
        <v>0</v>
      </c>
      <c r="C33" s="2" t="str">
        <f>+_xlfn.IFS(B33&gt;3000,"&gt;3,000",B33&gt;1000,"1,000 to 3,000",B33&gt;500,"500 to 1,000",B33&lt;500,"&lt;500")</f>
        <v>&lt;500</v>
      </c>
      <c r="D33" s="2" t="str">
        <f>+_xlfn.IFS(B33&gt;3000,"1",B33&gt;1000,"2",B33&gt;500,"3",B33&lt;500,"4")</f>
        <v>4</v>
      </c>
    </row>
    <row r="34" spans="1:4" x14ac:dyDescent="0.25">
      <c r="A34" s="26" t="s">
        <v>43</v>
      </c>
      <c r="B34" s="28">
        <v>0</v>
      </c>
      <c r="C34" s="2" t="str">
        <f>+_xlfn.IFS(B34&gt;3000,"&gt;3,000",B34&gt;1000,"1,000 to 3,000",B34&gt;500,"500 to 1,000",B34&lt;500,"&lt;500")</f>
        <v>&lt;500</v>
      </c>
      <c r="D34" s="2" t="str">
        <f>+_xlfn.IFS(B34&gt;3000,"1",B34&gt;1000,"2",B34&gt;500,"3",B34&lt;500,"4")</f>
        <v>4</v>
      </c>
    </row>
    <row r="35" spans="1:4" x14ac:dyDescent="0.25">
      <c r="A35" s="26" t="s">
        <v>46</v>
      </c>
      <c r="B35" s="28">
        <v>161.46</v>
      </c>
      <c r="C35" s="2" t="str">
        <f>+_xlfn.IFS(B35&gt;3000,"&gt;3,000",B35&gt;1000,"1,000 to 3,000",B35&gt;500,"500 to 1,000",B35&lt;500,"&lt;500")</f>
        <v>&lt;500</v>
      </c>
      <c r="D35" s="2" t="str">
        <f>+_xlfn.IFS(B35&gt;3000,"1",B35&gt;1000,"2",B35&gt;500,"3",B35&lt;500,"4")</f>
        <v>4</v>
      </c>
    </row>
    <row r="36" spans="1:4" x14ac:dyDescent="0.25">
      <c r="A36" s="26" t="s">
        <v>48</v>
      </c>
      <c r="B36" s="28">
        <v>0</v>
      </c>
      <c r="C36" s="2" t="str">
        <f>+_xlfn.IFS(B36&gt;3000,"&gt;3,000",B36&gt;1000,"1,000 to 3,000",B36&gt;500,"500 to 1,000",B36&lt;500,"&lt;500")</f>
        <v>&lt;500</v>
      </c>
      <c r="D36" s="2" t="str">
        <f>+_xlfn.IFS(B36&gt;3000,"1",B36&gt;1000,"2",B36&gt;500,"3",B36&lt;500,"4")</f>
        <v>4</v>
      </c>
    </row>
    <row r="37" spans="1:4" x14ac:dyDescent="0.25">
      <c r="A37" s="26" t="s">
        <v>50</v>
      </c>
      <c r="B37" s="28">
        <v>0</v>
      </c>
      <c r="C37" s="2" t="str">
        <f>+_xlfn.IFS(B37&gt;3000,"&gt;3,000",B37&gt;1000,"1,000 to 3,000",B37&gt;500,"500 to 1,000",B37&lt;500,"&lt;500")</f>
        <v>&lt;500</v>
      </c>
      <c r="D37" s="2" t="str">
        <f>+_xlfn.IFS(B37&gt;3000,"1",B37&gt;1000,"2",B37&gt;500,"3",B37&lt;500,"4")</f>
        <v>4</v>
      </c>
    </row>
    <row r="38" spans="1:4" x14ac:dyDescent="0.25">
      <c r="A38" s="26" t="s">
        <v>51</v>
      </c>
      <c r="B38" s="28">
        <v>0</v>
      </c>
      <c r="C38" s="2" t="str">
        <f>+_xlfn.IFS(B38&gt;3000,"&gt;3,000",B38&gt;1000,"1,000 to 3,000",B38&gt;500,"500 to 1,000",B38&lt;500,"&lt;500")</f>
        <v>&lt;500</v>
      </c>
      <c r="D38" s="2" t="str">
        <f>+_xlfn.IFS(B38&gt;3000,"1",B38&gt;1000,"2",B38&gt;500,"3",B38&lt;500,"4")</f>
        <v>4</v>
      </c>
    </row>
    <row r="39" spans="1:4" x14ac:dyDescent="0.25">
      <c r="A39" s="26" t="s">
        <v>52</v>
      </c>
      <c r="B39" s="28">
        <v>0</v>
      </c>
      <c r="C39" s="2" t="str">
        <f>+_xlfn.IFS(B39&gt;3000,"&gt;3,000",B39&gt;1000,"1,000 to 3,000",B39&gt;500,"500 to 1,000",B39&lt;500,"&lt;500")</f>
        <v>&lt;500</v>
      </c>
      <c r="D39" s="2" t="str">
        <f>+_xlfn.IFS(B39&gt;3000,"1",B39&gt;1000,"2",B39&gt;500,"3",B39&lt;500,"4")</f>
        <v>4</v>
      </c>
    </row>
    <row r="40" spans="1:4" x14ac:dyDescent="0.25">
      <c r="A40" s="26" t="s">
        <v>53</v>
      </c>
      <c r="B40" s="28">
        <v>0</v>
      </c>
      <c r="C40" s="2" t="str">
        <f>+_xlfn.IFS(B40&gt;3000,"&gt;3,000",B40&gt;1000,"1,000 to 3,000",B40&gt;500,"500 to 1,000",B40&lt;500,"&lt;500")</f>
        <v>&lt;500</v>
      </c>
      <c r="D40" s="2" t="str">
        <f>+_xlfn.IFS(B40&gt;3000,"1",B40&gt;1000,"2",B40&gt;500,"3",B40&lt;500,"4")</f>
        <v>4</v>
      </c>
    </row>
    <row r="41" spans="1:4" x14ac:dyDescent="0.25">
      <c r="A41" s="26" t="s">
        <v>55</v>
      </c>
      <c r="B41" s="28">
        <v>0</v>
      </c>
      <c r="C41" s="2" t="str">
        <f>+_xlfn.IFS(B41&gt;3000,"&gt;3,000",B41&gt;1000,"1,000 to 3,000",B41&gt;500,"500 to 1,000",B41&lt;500,"&lt;500")</f>
        <v>&lt;500</v>
      </c>
      <c r="D41" s="2" t="str">
        <f>+_xlfn.IFS(B41&gt;3000,"1",B41&gt;1000,"2",B41&gt;500,"3",B41&lt;500,"4")</f>
        <v>4</v>
      </c>
    </row>
    <row r="42" spans="1:4" x14ac:dyDescent="0.25">
      <c r="A42" s="26" t="s">
        <v>58</v>
      </c>
      <c r="B42" s="28">
        <v>0</v>
      </c>
      <c r="C42" s="2" t="str">
        <f>+_xlfn.IFS(B42&gt;3000,"&gt;3,000",B42&gt;1000,"1,000 to 3,000",B42&gt;500,"500 to 1,000",B42&lt;500,"&lt;500")</f>
        <v>&lt;500</v>
      </c>
      <c r="D42" s="2" t="str">
        <f>+_xlfn.IFS(B42&gt;3000,"1",B42&gt;1000,"2",B42&gt;500,"3",B42&lt;500,"4")</f>
        <v>4</v>
      </c>
    </row>
    <row r="43" spans="1:4" x14ac:dyDescent="0.25">
      <c r="A43" s="26" t="s">
        <v>59</v>
      </c>
      <c r="B43" s="28">
        <v>125.58</v>
      </c>
      <c r="C43" s="2" t="str">
        <f>+_xlfn.IFS(B43&gt;3000,"&gt;3,000",B43&gt;1000,"1,000 to 3,000",B43&gt;500,"500 to 1,000",B43&lt;500,"&lt;500")</f>
        <v>&lt;500</v>
      </c>
      <c r="D43" s="2" t="str">
        <f>+_xlfn.IFS(B43&gt;3000,"1",B43&gt;1000,"2",B43&gt;500,"3",B43&lt;500,"4")</f>
        <v>4</v>
      </c>
    </row>
    <row r="44" spans="1:4" x14ac:dyDescent="0.25">
      <c r="A44" s="26" t="s">
        <v>60</v>
      </c>
      <c r="B44" s="28">
        <v>328.9</v>
      </c>
      <c r="C44" s="2" t="str">
        <f>+_xlfn.IFS(B44&gt;3000,"&gt;3,000",B44&gt;1000,"1,000 to 3,000",B44&gt;500,"500 to 1,000",B44&lt;500,"&lt;500")</f>
        <v>&lt;500</v>
      </c>
      <c r="D44" s="2" t="str">
        <f>+_xlfn.IFS(B44&gt;3000,"1",B44&gt;1000,"2",B44&gt;500,"3",B44&lt;500,"4")</f>
        <v>4</v>
      </c>
    </row>
    <row r="45" spans="1:4" x14ac:dyDescent="0.25">
      <c r="A45" s="26" t="s">
        <v>61</v>
      </c>
      <c r="B45" s="28">
        <v>0</v>
      </c>
      <c r="C45" s="2" t="str">
        <f>+_xlfn.IFS(B45&gt;3000,"&gt;3,000",B45&gt;1000,"1,000 to 3,000",B45&gt;500,"500 to 1,000",B45&lt;500,"&lt;500")</f>
        <v>&lt;500</v>
      </c>
      <c r="D45" s="2" t="str">
        <f>+_xlfn.IFS(B45&gt;3000,"1",B45&gt;1000,"2",B45&gt;500,"3",B45&lt;500,"4")</f>
        <v>4</v>
      </c>
    </row>
    <row r="46" spans="1:4" x14ac:dyDescent="0.25">
      <c r="A46" s="26" t="s">
        <v>62</v>
      </c>
      <c r="B46" s="28">
        <v>0</v>
      </c>
      <c r="C46" s="2" t="str">
        <f>+_xlfn.IFS(B46&gt;3000,"&gt;3,000",B46&gt;1000,"1,000 to 3,000",B46&gt;500,"500 to 1,000",B46&lt;500,"&lt;500")</f>
        <v>&lt;500</v>
      </c>
      <c r="D46" s="2" t="str">
        <f>+_xlfn.IFS(B46&gt;3000,"1",B46&gt;1000,"2",B46&gt;500,"3",B46&lt;500,"4")</f>
        <v>4</v>
      </c>
    </row>
    <row r="47" spans="1:4" x14ac:dyDescent="0.25">
      <c r="A47" s="26" t="s">
        <v>66</v>
      </c>
      <c r="B47" s="28">
        <v>0</v>
      </c>
      <c r="C47" s="2" t="str">
        <f>+_xlfn.IFS(B47&gt;3000,"&gt;3,000",B47&gt;1000,"1,000 to 3,000",B47&gt;500,"500 to 1,000",B47&lt;500,"&lt;500")</f>
        <v>&lt;500</v>
      </c>
      <c r="D47" s="2" t="str">
        <f>+_xlfn.IFS(B47&gt;3000,"1",B47&gt;1000,"2",B47&gt;500,"3",B47&lt;500,"4")</f>
        <v>4</v>
      </c>
    </row>
    <row r="48" spans="1:4" x14ac:dyDescent="0.25">
      <c r="A48" s="26" t="s">
        <v>67</v>
      </c>
      <c r="B48" s="28">
        <v>0</v>
      </c>
      <c r="C48" s="2" t="str">
        <f>+_xlfn.IFS(B48&gt;3000,"&gt;3,000",B48&gt;1000,"1,000 to 3,000",B48&gt;500,"500 to 1,000",B48&lt;500,"&lt;500")</f>
        <v>&lt;500</v>
      </c>
      <c r="D48" s="2" t="str">
        <f>+_xlfn.IFS(B48&gt;3000,"1",B48&gt;1000,"2",B48&gt;500,"3",B48&lt;500,"4")</f>
        <v>4</v>
      </c>
    </row>
    <row r="49" spans="1:4" x14ac:dyDescent="0.25">
      <c r="A49" s="26" t="s">
        <v>68</v>
      </c>
      <c r="B49" s="28">
        <v>179.4</v>
      </c>
      <c r="C49" s="2" t="str">
        <f>+_xlfn.IFS(B49&gt;3000,"&gt;3,000",B49&gt;1000,"1,000 to 3,000",B49&gt;500,"500 to 1,000",B49&lt;500,"&lt;500")</f>
        <v>&lt;500</v>
      </c>
      <c r="D49" s="2" t="str">
        <f>+_xlfn.IFS(B49&gt;3000,"1",B49&gt;1000,"2",B49&gt;500,"3",B49&lt;500,"4")</f>
        <v>4</v>
      </c>
    </row>
    <row r="50" spans="1:4" x14ac:dyDescent="0.25">
      <c r="A50" s="26" t="s">
        <v>69</v>
      </c>
      <c r="B50" s="28">
        <v>0</v>
      </c>
      <c r="C50" s="2" t="str">
        <f>+_xlfn.IFS(B50&gt;3000,"&gt;3,000",B50&gt;1000,"1,000 to 3,000",B50&gt;500,"500 to 1,000",B50&lt;500,"&lt;500")</f>
        <v>&lt;500</v>
      </c>
      <c r="D50" s="2" t="str">
        <f>+_xlfn.IFS(B50&gt;3000,"1",B50&gt;1000,"2",B50&gt;500,"3",B50&lt;500,"4")</f>
        <v>4</v>
      </c>
    </row>
    <row r="51" spans="1:4" x14ac:dyDescent="0.25">
      <c r="A51" s="26" t="s">
        <v>70</v>
      </c>
      <c r="B51" s="28">
        <v>0</v>
      </c>
      <c r="C51" s="2" t="str">
        <f>+_xlfn.IFS(B51&gt;3000,"&gt;3,000",B51&gt;1000,"1,000 to 3,000",B51&gt;500,"500 to 1,000",B51&lt;500,"&lt;500")</f>
        <v>&lt;500</v>
      </c>
      <c r="D51" s="2" t="str">
        <f>+_xlfn.IFS(B51&gt;3000,"1",B51&gt;1000,"2",B51&gt;500,"3",B51&lt;500,"4")</f>
        <v>4</v>
      </c>
    </row>
    <row r="52" spans="1:4" x14ac:dyDescent="0.25">
      <c r="A52" s="26" t="s">
        <v>72</v>
      </c>
      <c r="B52" s="28">
        <v>0</v>
      </c>
      <c r="C52" s="2" t="str">
        <f>+_xlfn.IFS(B52&gt;3000,"&gt;3,000",B52&gt;1000,"1,000 to 3,000",B52&gt;500,"500 to 1,000",B52&lt;500,"&lt;500")</f>
        <v>&lt;500</v>
      </c>
      <c r="D52" s="2" t="str">
        <f>+_xlfn.IFS(B52&gt;3000,"1",B52&gt;1000,"2",B52&gt;500,"3",B52&lt;500,"4")</f>
        <v>4</v>
      </c>
    </row>
  </sheetData>
  <autoFilter ref="A1:D1">
    <sortState ref="A2:D52">
      <sortCondition ref="D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workbookViewId="0">
      <selection activeCell="B2" sqref="B2"/>
    </sheetView>
  </sheetViews>
  <sheetFormatPr defaultRowHeight="15" x14ac:dyDescent="0.25"/>
  <cols>
    <col min="2" max="2" width="26.7109375" bestFit="1" customWidth="1"/>
    <col min="3" max="3" width="26.85546875" bestFit="1" customWidth="1"/>
    <col min="4" max="4" width="14.85546875" customWidth="1"/>
    <col min="5" max="5" width="27.85546875" customWidth="1"/>
  </cols>
  <sheetData>
    <row r="1" spans="1:20" x14ac:dyDescent="0.25">
      <c r="A1" s="24" t="s">
        <v>0</v>
      </c>
      <c r="B1" s="8" t="s">
        <v>79</v>
      </c>
      <c r="C1" s="8" t="s">
        <v>83</v>
      </c>
      <c r="D1" s="8" t="s">
        <v>84</v>
      </c>
      <c r="E1" s="8" t="s">
        <v>80</v>
      </c>
      <c r="F1" s="8" t="s">
        <v>81</v>
      </c>
      <c r="G1" s="8" t="s">
        <v>82</v>
      </c>
      <c r="H1" s="24" t="s">
        <v>85</v>
      </c>
      <c r="I1" s="24" t="s">
        <v>19</v>
      </c>
      <c r="J1" s="24" t="s">
        <v>20</v>
      </c>
      <c r="K1" s="24" t="s">
        <v>86</v>
      </c>
      <c r="L1" s="6"/>
      <c r="M1" s="6"/>
      <c r="N1" s="6"/>
      <c r="O1" s="6"/>
      <c r="P1" s="6"/>
      <c r="Q1" s="6"/>
      <c r="R1" s="6"/>
      <c r="S1" s="6"/>
      <c r="T1" s="6"/>
    </row>
    <row r="2" spans="1:20" x14ac:dyDescent="0.25">
      <c r="A2" s="30">
        <v>2010</v>
      </c>
      <c r="B2" s="10">
        <v>343</v>
      </c>
      <c r="C2" s="8">
        <v>260.07</v>
      </c>
      <c r="D2" s="8">
        <v>136.91900000000001</v>
      </c>
      <c r="E2" s="8">
        <v>2.3859999999999999E-2</v>
      </c>
      <c r="F2" s="10">
        <v>2588</v>
      </c>
      <c r="G2" s="10">
        <v>2151</v>
      </c>
      <c r="H2" s="24"/>
      <c r="I2" s="24"/>
      <c r="J2" s="24"/>
      <c r="K2" s="24">
        <v>2.8</v>
      </c>
      <c r="L2" s="6"/>
      <c r="M2" s="6"/>
      <c r="N2" s="6"/>
      <c r="O2" s="6"/>
      <c r="P2" s="6"/>
      <c r="Q2" s="6"/>
      <c r="R2" s="6"/>
      <c r="S2" s="6"/>
      <c r="T2" s="6"/>
    </row>
    <row r="3" spans="1:20" x14ac:dyDescent="0.25">
      <c r="A3" s="30">
        <v>2011</v>
      </c>
      <c r="B3" s="10">
        <v>967</v>
      </c>
      <c r="C3" s="8">
        <v>873.37</v>
      </c>
      <c r="D3" s="8">
        <v>159.73599999999999</v>
      </c>
      <c r="E3" s="8">
        <v>3.7395999999999999E-2</v>
      </c>
      <c r="F3" s="10">
        <v>1799</v>
      </c>
      <c r="G3" s="10">
        <v>2442</v>
      </c>
      <c r="H3" s="24"/>
      <c r="I3" s="24"/>
      <c r="J3" s="24"/>
      <c r="K3" s="24">
        <v>3.53</v>
      </c>
      <c r="L3" s="6"/>
      <c r="M3" s="6"/>
      <c r="N3" s="6"/>
      <c r="O3" s="6"/>
      <c r="P3" s="6"/>
      <c r="Q3" s="6"/>
      <c r="R3" s="6"/>
      <c r="S3" s="6"/>
      <c r="T3" s="6"/>
    </row>
    <row r="4" spans="1:20" x14ac:dyDescent="0.25">
      <c r="A4" s="30">
        <v>2012</v>
      </c>
      <c r="B4" s="10">
        <v>991</v>
      </c>
      <c r="C4" s="8">
        <v>899.05</v>
      </c>
      <c r="D4" s="8">
        <v>211.685</v>
      </c>
      <c r="E4" s="8">
        <v>3.5825999999999997E-2</v>
      </c>
      <c r="F4" s="10">
        <v>3056</v>
      </c>
      <c r="G4" s="10">
        <v>2553</v>
      </c>
      <c r="H4" s="24"/>
      <c r="I4" s="24"/>
      <c r="J4" s="24"/>
      <c r="K4" s="24">
        <v>3.69</v>
      </c>
      <c r="L4" s="6"/>
      <c r="M4" s="6"/>
      <c r="N4" s="6"/>
      <c r="O4" s="6"/>
      <c r="P4" s="6"/>
      <c r="Q4" s="6"/>
      <c r="R4" s="6"/>
      <c r="S4" s="6"/>
      <c r="T4" s="6"/>
    </row>
    <row r="5" spans="1:20" x14ac:dyDescent="0.25">
      <c r="A5" s="31">
        <v>2013</v>
      </c>
      <c r="B5" s="10">
        <v>1359</v>
      </c>
      <c r="C5" s="8">
        <v>1428.84</v>
      </c>
      <c r="D5" s="8">
        <v>356.34300000000002</v>
      </c>
      <c r="E5" s="8">
        <v>0.34238400000000002</v>
      </c>
      <c r="F5" s="10">
        <v>4675</v>
      </c>
      <c r="G5" s="10">
        <v>2639</v>
      </c>
      <c r="H5" s="24">
        <v>62000</v>
      </c>
      <c r="I5" s="24">
        <v>16.8</v>
      </c>
      <c r="J5" s="24">
        <v>2.6</v>
      </c>
      <c r="K5" s="24">
        <v>3.67</v>
      </c>
      <c r="L5" s="6"/>
      <c r="M5" s="6"/>
      <c r="N5" s="6"/>
      <c r="O5" s="6"/>
      <c r="P5" s="6"/>
      <c r="Q5" s="6"/>
      <c r="R5" s="6"/>
      <c r="S5" s="6"/>
      <c r="T5" s="6"/>
    </row>
    <row r="6" spans="1:20" x14ac:dyDescent="0.25">
      <c r="A6" s="31">
        <v>2014</v>
      </c>
      <c r="B6" s="10">
        <v>1279</v>
      </c>
      <c r="C6" s="8">
        <v>1416.85</v>
      </c>
      <c r="D6" s="8">
        <v>214.40700000000001</v>
      </c>
      <c r="E6" s="8">
        <v>0.192276</v>
      </c>
      <c r="F6" s="10">
        <v>1974</v>
      </c>
      <c r="G6" s="10">
        <v>2840</v>
      </c>
      <c r="H6" s="24">
        <v>54500</v>
      </c>
      <c r="I6" s="24">
        <v>12.3</v>
      </c>
      <c r="J6" s="24">
        <v>2.2999999999999998</v>
      </c>
      <c r="K6" s="24">
        <v>3.6</v>
      </c>
      <c r="L6" s="6"/>
      <c r="M6" s="6"/>
      <c r="N6" s="6"/>
      <c r="O6" s="6"/>
      <c r="P6" s="6"/>
      <c r="Q6" s="6"/>
      <c r="R6" s="6"/>
      <c r="S6" s="6"/>
      <c r="T6" s="6"/>
    </row>
    <row r="7" spans="1:20" x14ac:dyDescent="0.25">
      <c r="A7" s="30">
        <v>2015</v>
      </c>
      <c r="B7" s="10">
        <v>1263</v>
      </c>
      <c r="C7" s="8">
        <v>1480.25</v>
      </c>
      <c r="D7" s="8">
        <v>248.12299999999999</v>
      </c>
      <c r="E7" s="8">
        <v>0.33419399999999999</v>
      </c>
      <c r="F7" s="10">
        <v>2093</v>
      </c>
      <c r="G7" s="10">
        <v>2990</v>
      </c>
      <c r="H7" s="24">
        <v>47400</v>
      </c>
      <c r="I7" s="24">
        <v>8.4</v>
      </c>
      <c r="J7" s="24">
        <v>1.9</v>
      </c>
      <c r="K7" s="24">
        <v>2.64</v>
      </c>
      <c r="L7" s="6"/>
    </row>
    <row r="8" spans="1:20" x14ac:dyDescent="0.25">
      <c r="A8" s="30">
        <v>2016</v>
      </c>
      <c r="B8" s="8"/>
      <c r="C8" s="8"/>
      <c r="D8" s="8"/>
      <c r="E8" s="8"/>
      <c r="F8" s="8"/>
      <c r="G8" s="10">
        <v>3090</v>
      </c>
      <c r="H8" s="8"/>
      <c r="I8" s="24"/>
      <c r="J8" s="24"/>
      <c r="K8" s="24">
        <v>2.17</v>
      </c>
      <c r="L8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" sqref="D2"/>
    </sheetView>
  </sheetViews>
  <sheetFormatPr defaultRowHeight="15" x14ac:dyDescent="0.25"/>
  <cols>
    <col min="1" max="1" width="18.7109375" bestFit="1" customWidth="1"/>
    <col min="2" max="2" width="47.7109375" bestFit="1" customWidth="1"/>
    <col min="3" max="3" width="16.28515625" bestFit="1" customWidth="1"/>
    <col min="4" max="4" width="11.140625" bestFit="1" customWidth="1"/>
    <col min="7" max="7" width="10.140625" bestFit="1" customWidth="1"/>
  </cols>
  <sheetData>
    <row r="1" spans="1:4" x14ac:dyDescent="0.25">
      <c r="A1" s="25" t="s">
        <v>23</v>
      </c>
      <c r="B1" s="25" t="s">
        <v>89</v>
      </c>
      <c r="C1" s="25" t="s">
        <v>77</v>
      </c>
      <c r="D1" s="25" t="s">
        <v>126</v>
      </c>
    </row>
    <row r="2" spans="1:4" x14ac:dyDescent="0.25">
      <c r="A2" s="26" t="s">
        <v>38</v>
      </c>
      <c r="B2" s="2">
        <v>423</v>
      </c>
      <c r="C2" s="2" t="str">
        <f>+_xlfn.IFS(B2&gt;200,"&gt;200",B2&gt;100,"100 to 200",B2&gt;50,"50 to 100",B2&lt;50,"&lt;50")</f>
        <v>&gt;200</v>
      </c>
      <c r="D2" s="2" t="str">
        <f>+_xlfn.IFS(C2="&gt;200","1",C2="100 to 200","2",C2="50 to 100","3",C2="&lt;50","4",C2="No data","")</f>
        <v>1</v>
      </c>
    </row>
    <row r="3" spans="1:4" x14ac:dyDescent="0.25">
      <c r="A3" s="26" t="s">
        <v>47</v>
      </c>
      <c r="B3" s="2">
        <v>202</v>
      </c>
      <c r="C3" s="2" t="str">
        <f>+_xlfn.IFS(B3&gt;200,"&gt;200",B3&gt;100,"100 to 200",B3&gt;50,"50 to 100",B3&lt;50,"&lt;50")</f>
        <v>&gt;200</v>
      </c>
      <c r="D3" s="2" t="str">
        <f t="shared" ref="D3:D52" si="0">+_xlfn.IFS(C3="&gt;200","1",C3="100 to 200","2",C3="50 to 100","3",C3="&lt;50","4",C3="No data","")</f>
        <v>1</v>
      </c>
    </row>
    <row r="4" spans="1:4" x14ac:dyDescent="0.25">
      <c r="A4" s="26" t="s">
        <v>65</v>
      </c>
      <c r="B4" s="2">
        <v>426</v>
      </c>
      <c r="C4" s="2" t="str">
        <f>+_xlfn.IFS(B4&gt;200,"&gt;200",B4&gt;100,"100 to 200",B4&gt;50,"50 to 100",B4&lt;50,"&lt;50")</f>
        <v>&gt;200</v>
      </c>
      <c r="D4" s="2" t="str">
        <f t="shared" si="0"/>
        <v>1</v>
      </c>
    </row>
    <row r="5" spans="1:4" x14ac:dyDescent="0.25">
      <c r="A5" s="26" t="s">
        <v>36</v>
      </c>
      <c r="B5" s="2">
        <v>171</v>
      </c>
      <c r="C5" s="2" t="str">
        <f>+_xlfn.IFS(B5&gt;200,"&gt;200",B5&gt;100,"100 to 200",B5&gt;50,"50 to 100",B5&lt;50,"&lt;50")</f>
        <v>100 to 200</v>
      </c>
      <c r="D5" s="2" t="str">
        <f t="shared" si="0"/>
        <v>2</v>
      </c>
    </row>
    <row r="6" spans="1:4" x14ac:dyDescent="0.25">
      <c r="A6" s="26" t="s">
        <v>37</v>
      </c>
      <c r="B6" s="2">
        <v>104</v>
      </c>
      <c r="C6" s="2" t="str">
        <f>+_xlfn.IFS(B6&gt;200,"&gt;200",B6&gt;100,"100 to 200",B6&gt;50,"50 to 100",B6&lt;50,"&lt;50")</f>
        <v>100 to 200</v>
      </c>
      <c r="D6" s="2" t="str">
        <f t="shared" si="0"/>
        <v>2</v>
      </c>
    </row>
    <row r="7" spans="1:4" x14ac:dyDescent="0.25">
      <c r="A7" s="26" t="s">
        <v>69</v>
      </c>
      <c r="B7" s="2">
        <v>107</v>
      </c>
      <c r="C7" s="2" t="str">
        <f>+_xlfn.IFS(B7&gt;200,"&gt;200",B7&gt;100,"100 to 200",B7&gt;50,"50 to 100",B7&lt;50,"&lt;50")</f>
        <v>100 to 200</v>
      </c>
      <c r="D7" s="2" t="str">
        <f t="shared" si="0"/>
        <v>2</v>
      </c>
    </row>
    <row r="8" spans="1:4" x14ac:dyDescent="0.25">
      <c r="A8" s="26" t="s">
        <v>27</v>
      </c>
      <c r="B8" s="2">
        <v>75</v>
      </c>
      <c r="C8" s="2" t="str">
        <f>+_xlfn.IFS(B8&gt;200,"&gt;200",B8&gt;100,"100 to 200",B8&gt;50,"50 to 100",B8&lt;50,"&lt;50")</f>
        <v>50 to 100</v>
      </c>
      <c r="D8" s="2" t="str">
        <f t="shared" si="0"/>
        <v>3</v>
      </c>
    </row>
    <row r="9" spans="1:4" x14ac:dyDescent="0.25">
      <c r="A9" s="26" t="s">
        <v>28</v>
      </c>
      <c r="B9" s="2">
        <v>83</v>
      </c>
      <c r="C9" s="2" t="str">
        <f>+_xlfn.IFS(B9&gt;200,"&gt;200",B9&gt;100,"100 to 200",B9&gt;50,"50 to 100",B9&lt;50,"&lt;50")</f>
        <v>50 to 100</v>
      </c>
      <c r="D9" s="2" t="str">
        <f t="shared" si="0"/>
        <v>3</v>
      </c>
    </row>
    <row r="10" spans="1:4" x14ac:dyDescent="0.25">
      <c r="A10" s="26" t="s">
        <v>39</v>
      </c>
      <c r="B10" s="2">
        <v>51</v>
      </c>
      <c r="C10" s="2" t="str">
        <f>+_xlfn.IFS(B10&gt;200,"&gt;200",B10&gt;100,"100 to 200",B10&gt;50,"50 to 100",B10&lt;50,"&lt;50")</f>
        <v>50 to 100</v>
      </c>
      <c r="D10" s="2" t="str">
        <f t="shared" si="0"/>
        <v>3</v>
      </c>
    </row>
    <row r="11" spans="1:4" x14ac:dyDescent="0.25">
      <c r="A11" s="26" t="s">
        <v>45</v>
      </c>
      <c r="B11" s="2">
        <v>83</v>
      </c>
      <c r="C11" s="2" t="str">
        <f>+_xlfn.IFS(B11&gt;200,"&gt;200",B11&gt;100,"100 to 200",B11&gt;50,"50 to 100",B11&lt;50,"&lt;50")</f>
        <v>50 to 100</v>
      </c>
      <c r="D11" s="2" t="str">
        <f t="shared" si="0"/>
        <v>3</v>
      </c>
    </row>
    <row r="12" spans="1:4" x14ac:dyDescent="0.25">
      <c r="A12" s="26" t="s">
        <v>46</v>
      </c>
      <c r="B12" s="2">
        <v>94</v>
      </c>
      <c r="C12" s="2" t="str">
        <f>+_xlfn.IFS(B12&gt;200,"&gt;200",B12&gt;100,"100 to 200",B12&gt;50,"50 to 100",B12&lt;50,"&lt;50")</f>
        <v>50 to 100</v>
      </c>
      <c r="D12" s="2" t="str">
        <f t="shared" si="0"/>
        <v>3</v>
      </c>
    </row>
    <row r="13" spans="1:4" x14ac:dyDescent="0.25">
      <c r="A13" s="26" t="s">
        <v>56</v>
      </c>
      <c r="B13" s="2">
        <v>85</v>
      </c>
      <c r="C13" s="2" t="str">
        <f>+_xlfn.IFS(B13&gt;200,"&gt;200",B13&gt;100,"100 to 200",B13&gt;50,"50 to 100",B13&lt;50,"&lt;50")</f>
        <v>50 to 100</v>
      </c>
      <c r="D13" s="2" t="str">
        <f t="shared" si="0"/>
        <v>3</v>
      </c>
    </row>
    <row r="14" spans="1:4" x14ac:dyDescent="0.25">
      <c r="A14" s="26" t="s">
        <v>57</v>
      </c>
      <c r="B14" s="2">
        <v>71</v>
      </c>
      <c r="C14" s="2" t="str">
        <f>+_xlfn.IFS(B14&gt;200,"&gt;200",B14&gt;100,"100 to 200",B14&gt;50,"50 to 100",B14&lt;50,"&lt;50")</f>
        <v>50 to 100</v>
      </c>
      <c r="D14" s="2" t="str">
        <f t="shared" si="0"/>
        <v>3</v>
      </c>
    </row>
    <row r="15" spans="1:4" x14ac:dyDescent="0.25">
      <c r="A15" s="26" t="s">
        <v>60</v>
      </c>
      <c r="B15" s="2">
        <v>90</v>
      </c>
      <c r="C15" s="2" t="str">
        <f>+_xlfn.IFS(B15&gt;200,"&gt;200",B15&gt;100,"100 to 200",B15&gt;50,"50 to 100",B15&lt;50,"&lt;50")</f>
        <v>50 to 100</v>
      </c>
      <c r="D15" s="2" t="str">
        <f t="shared" si="0"/>
        <v>3</v>
      </c>
    </row>
    <row r="16" spans="1:4" x14ac:dyDescent="0.25">
      <c r="A16" s="26" t="s">
        <v>24</v>
      </c>
      <c r="B16" s="2">
        <v>20</v>
      </c>
      <c r="C16" s="2" t="str">
        <f>+_xlfn.IFS(B16&gt;200,"&gt;200",B16&gt;100,"100 to 200",B16&gt;50,"50 to 100",B16&lt;50,"&lt;50")</f>
        <v>&lt;50</v>
      </c>
      <c r="D16" s="2" t="str">
        <f t="shared" si="0"/>
        <v>4</v>
      </c>
    </row>
    <row r="17" spans="1:4" x14ac:dyDescent="0.25">
      <c r="A17" s="26" t="s">
        <v>25</v>
      </c>
      <c r="B17" s="2">
        <v>0</v>
      </c>
      <c r="C17" s="2" t="str">
        <f>+_xlfn.IFS(B17&gt;200,"&gt;200",B17&gt;100,"100 to 200",B17&gt;50,"50 to 100",B17&lt;50,"&lt;50")</f>
        <v>&lt;50</v>
      </c>
      <c r="D17" s="2" t="str">
        <f t="shared" si="0"/>
        <v>4</v>
      </c>
    </row>
    <row r="18" spans="1:4" x14ac:dyDescent="0.25">
      <c r="A18" s="26" t="s">
        <v>26</v>
      </c>
      <c r="B18" s="2">
        <v>2</v>
      </c>
      <c r="C18" s="2" t="str">
        <f>+_xlfn.IFS(B18&gt;200,"&gt;200",B18&gt;100,"100 to 200",B18&gt;50,"50 to 100",B18&lt;50,"&lt;50")</f>
        <v>&lt;50</v>
      </c>
      <c r="D18" s="2" t="str">
        <f t="shared" si="0"/>
        <v>4</v>
      </c>
    </row>
    <row r="19" spans="1:4" x14ac:dyDescent="0.25">
      <c r="A19" s="26" t="s">
        <v>29</v>
      </c>
      <c r="B19" s="2"/>
      <c r="C19" s="2" t="s">
        <v>78</v>
      </c>
      <c r="D19" s="2" t="str">
        <f t="shared" si="0"/>
        <v/>
      </c>
    </row>
    <row r="20" spans="1:4" x14ac:dyDescent="0.25">
      <c r="A20" s="26" t="s">
        <v>30</v>
      </c>
      <c r="B20" s="2">
        <v>15</v>
      </c>
      <c r="C20" s="2" t="str">
        <f>+_xlfn.IFS(B20&gt;200,"&gt;200",B20&gt;100,"100 to 200",B20&gt;50,"50 to 100",B20&lt;50,"&lt;50")</f>
        <v>&lt;50</v>
      </c>
      <c r="D20" s="2" t="str">
        <f t="shared" si="0"/>
        <v>4</v>
      </c>
    </row>
    <row r="21" spans="1:4" x14ac:dyDescent="0.25">
      <c r="A21" s="26" t="s">
        <v>31</v>
      </c>
      <c r="B21" s="29"/>
      <c r="C21" s="2" t="s">
        <v>78</v>
      </c>
      <c r="D21" s="2" t="str">
        <f t="shared" si="0"/>
        <v/>
      </c>
    </row>
    <row r="22" spans="1:4" x14ac:dyDescent="0.25">
      <c r="A22" s="26" t="s">
        <v>32</v>
      </c>
      <c r="B22" s="29"/>
      <c r="C22" s="2" t="s">
        <v>78</v>
      </c>
      <c r="D22" s="2" t="str">
        <f t="shared" si="0"/>
        <v/>
      </c>
    </row>
    <row r="23" spans="1:4" x14ac:dyDescent="0.25">
      <c r="A23" s="26" t="s">
        <v>75</v>
      </c>
      <c r="B23" s="2">
        <v>13</v>
      </c>
      <c r="C23" s="2" t="str">
        <f>+_xlfn.IFS(B23&gt;200,"&gt;200",B23&gt;100,"100 to 200",B23&gt;50,"50 to 100",B23&lt;50,"&lt;50")</f>
        <v>&lt;50</v>
      </c>
      <c r="D23" s="2" t="str">
        <f t="shared" si="0"/>
        <v>4</v>
      </c>
    </row>
    <row r="24" spans="1:4" x14ac:dyDescent="0.25">
      <c r="A24" s="26" t="s">
        <v>33</v>
      </c>
      <c r="B24" s="2">
        <v>20</v>
      </c>
      <c r="C24" s="2" t="str">
        <f>+_xlfn.IFS(B24&gt;200,"&gt;200",B24&gt;100,"100 to 200",B24&gt;50,"50 to 100",B24&lt;50,"&lt;50")</f>
        <v>&lt;50</v>
      </c>
      <c r="D24" s="2" t="str">
        <f t="shared" si="0"/>
        <v>4</v>
      </c>
    </row>
    <row r="25" spans="1:4" x14ac:dyDescent="0.25">
      <c r="A25" s="26" t="s">
        <v>34</v>
      </c>
      <c r="B25" s="2">
        <v>6</v>
      </c>
      <c r="C25" s="2" t="str">
        <f>+_xlfn.IFS(B25&gt;200,"&gt;200",B25&gt;100,"100 to 200",B25&gt;50,"50 to 100",B25&lt;50,"&lt;50")</f>
        <v>&lt;50</v>
      </c>
      <c r="D25" s="2" t="str">
        <f t="shared" si="0"/>
        <v>4</v>
      </c>
    </row>
    <row r="26" spans="1:4" x14ac:dyDescent="0.25">
      <c r="A26" s="26" t="s">
        <v>35</v>
      </c>
      <c r="B26" s="2"/>
      <c r="C26" s="2" t="s">
        <v>78</v>
      </c>
      <c r="D26" s="2" t="str">
        <f t="shared" si="0"/>
        <v/>
      </c>
    </row>
    <row r="27" spans="1:4" x14ac:dyDescent="0.25">
      <c r="A27" s="26" t="s">
        <v>40</v>
      </c>
      <c r="B27" s="2">
        <v>49</v>
      </c>
      <c r="C27" s="2" t="str">
        <f>+_xlfn.IFS(B27&gt;200,"&gt;200",B27&gt;100,"100 to 200",B27&gt;50,"50 to 100",B27&lt;50,"&lt;50")</f>
        <v>&lt;50</v>
      </c>
      <c r="D27" s="2" t="str">
        <f t="shared" si="0"/>
        <v>4</v>
      </c>
    </row>
    <row r="28" spans="1:4" x14ac:dyDescent="0.25">
      <c r="A28" s="26" t="s">
        <v>76</v>
      </c>
      <c r="B28" s="2"/>
      <c r="C28" s="2" t="s">
        <v>78</v>
      </c>
      <c r="D28" s="2" t="str">
        <f t="shared" si="0"/>
        <v/>
      </c>
    </row>
    <row r="29" spans="1:4" x14ac:dyDescent="0.25">
      <c r="A29" s="26" t="s">
        <v>41</v>
      </c>
      <c r="B29" s="2">
        <v>1</v>
      </c>
      <c r="C29" s="2" t="str">
        <f>+_xlfn.IFS(B29&gt;200,"&gt;200",B29&gt;100,"100 to 200",B29&gt;50,"50 to 100",B29&lt;50,"&lt;50")</f>
        <v>&lt;50</v>
      </c>
      <c r="D29" s="2" t="str">
        <f t="shared" si="0"/>
        <v>4</v>
      </c>
    </row>
    <row r="30" spans="1:4" x14ac:dyDescent="0.25">
      <c r="A30" s="26" t="s">
        <v>42</v>
      </c>
      <c r="B30" s="2"/>
      <c r="C30" s="2" t="s">
        <v>78</v>
      </c>
      <c r="D30" s="2" t="str">
        <f t="shared" si="0"/>
        <v/>
      </c>
    </row>
    <row r="31" spans="1:4" x14ac:dyDescent="0.25">
      <c r="A31" s="26" t="s">
        <v>43</v>
      </c>
      <c r="B31" s="2">
        <v>1</v>
      </c>
      <c r="C31" s="2" t="str">
        <f>+_xlfn.IFS(B31&gt;200,"&gt;200",B31&gt;100,"100 to 200",B31&gt;50,"50 to 100",B31&lt;50,"&lt;50")</f>
        <v>&lt;50</v>
      </c>
      <c r="D31" s="2" t="str">
        <f t="shared" si="0"/>
        <v>4</v>
      </c>
    </row>
    <row r="32" spans="1:4" x14ac:dyDescent="0.25">
      <c r="A32" s="26" t="s">
        <v>44</v>
      </c>
      <c r="B32" s="2">
        <v>10</v>
      </c>
      <c r="C32" s="2" t="str">
        <f>+_xlfn.IFS(B32&gt;200,"&gt;200",B32&gt;100,"100 to 200",B32&gt;50,"50 to 100",B32&lt;50,"&lt;50")</f>
        <v>&lt;50</v>
      </c>
      <c r="D32" s="2" t="str">
        <f t="shared" si="0"/>
        <v>4</v>
      </c>
    </row>
    <row r="33" spans="1:4" x14ac:dyDescent="0.25">
      <c r="A33" s="26" t="s">
        <v>48</v>
      </c>
      <c r="B33" s="2"/>
      <c r="C33" s="2" t="s">
        <v>78</v>
      </c>
      <c r="D33" s="2" t="str">
        <f t="shared" si="0"/>
        <v/>
      </c>
    </row>
    <row r="34" spans="1:4" x14ac:dyDescent="0.25">
      <c r="A34" s="26" t="s">
        <v>49</v>
      </c>
      <c r="B34" s="2">
        <v>3</v>
      </c>
      <c r="C34" s="2" t="str">
        <f>+_xlfn.IFS(B34&gt;200,"&gt;200",B34&gt;100,"100 to 200",B34&gt;50,"50 to 100",B34&lt;50,"&lt;50")</f>
        <v>&lt;50</v>
      </c>
      <c r="D34" s="2" t="str">
        <f t="shared" si="0"/>
        <v>4</v>
      </c>
    </row>
    <row r="35" spans="1:4" x14ac:dyDescent="0.25">
      <c r="A35" s="26" t="s">
        <v>50</v>
      </c>
      <c r="B35" s="2"/>
      <c r="C35" s="2" t="s">
        <v>78</v>
      </c>
      <c r="D35" s="2" t="str">
        <f t="shared" si="0"/>
        <v/>
      </c>
    </row>
    <row r="36" spans="1:4" x14ac:dyDescent="0.25">
      <c r="A36" s="26" t="s">
        <v>51</v>
      </c>
      <c r="B36" s="2">
        <v>4</v>
      </c>
      <c r="C36" s="2" t="str">
        <f>+_xlfn.IFS(B36&gt;200,"&gt;200",B36&gt;100,"100 to 200",B36&gt;50,"50 to 100",B36&lt;50,"&lt;50")</f>
        <v>&lt;50</v>
      </c>
      <c r="D36" s="2" t="str">
        <f t="shared" si="0"/>
        <v>4</v>
      </c>
    </row>
    <row r="37" spans="1:4" x14ac:dyDescent="0.25">
      <c r="A37" s="26" t="s">
        <v>52</v>
      </c>
      <c r="B37" s="2"/>
      <c r="C37" s="2" t="s">
        <v>78</v>
      </c>
      <c r="D37" s="2" t="str">
        <f t="shared" si="0"/>
        <v/>
      </c>
    </row>
    <row r="38" spans="1:4" x14ac:dyDescent="0.25">
      <c r="A38" s="26" t="s">
        <v>53</v>
      </c>
      <c r="B38" s="2">
        <v>1</v>
      </c>
      <c r="C38" s="2" t="str">
        <f>+_xlfn.IFS(B38&gt;200,"&gt;200",B38&gt;100,"100 to 200",B38&gt;50,"50 to 100",B38&lt;50,"&lt;50")</f>
        <v>&lt;50</v>
      </c>
      <c r="D38" s="2" t="str">
        <f t="shared" si="0"/>
        <v>4</v>
      </c>
    </row>
    <row r="39" spans="1:4" x14ac:dyDescent="0.25">
      <c r="A39" s="26" t="s">
        <v>54</v>
      </c>
      <c r="B39" s="2"/>
      <c r="C39" s="2" t="s">
        <v>78</v>
      </c>
      <c r="D39" s="2" t="str">
        <f t="shared" si="0"/>
        <v/>
      </c>
    </row>
    <row r="40" spans="1:4" x14ac:dyDescent="0.25">
      <c r="A40" s="26" t="s">
        <v>55</v>
      </c>
      <c r="B40" s="2">
        <v>8</v>
      </c>
      <c r="C40" s="2" t="str">
        <f>+_xlfn.IFS(B40&gt;200,"&gt;200",B40&gt;100,"100 to 200",B40&gt;50,"50 to 100",B40&lt;50,"&lt;50")</f>
        <v>&lt;50</v>
      </c>
      <c r="D40" s="2" t="str">
        <f t="shared" si="0"/>
        <v>4</v>
      </c>
    </row>
    <row r="41" spans="1:4" x14ac:dyDescent="0.25">
      <c r="A41" s="26" t="s">
        <v>58</v>
      </c>
      <c r="B41" s="2">
        <v>38</v>
      </c>
      <c r="C41" s="2" t="str">
        <f>+_xlfn.IFS(B41&gt;200,"&gt;200",B41&gt;100,"100 to 200",B41&gt;50,"50 to 100",B41&lt;50,"&lt;50")</f>
        <v>&lt;50</v>
      </c>
      <c r="D41" s="2" t="str">
        <f t="shared" si="0"/>
        <v>4</v>
      </c>
    </row>
    <row r="42" spans="1:4" x14ac:dyDescent="0.25">
      <c r="A42" s="26" t="s">
        <v>59</v>
      </c>
      <c r="B42" s="2">
        <v>17</v>
      </c>
      <c r="C42" s="2" t="str">
        <f>+_xlfn.IFS(B42&gt;200,"&gt;200",B42&gt;100,"100 to 200",B42&gt;50,"50 to 100",B42&lt;50,"&lt;50")</f>
        <v>&lt;50</v>
      </c>
      <c r="D42" s="2" t="str">
        <f t="shared" si="0"/>
        <v>4</v>
      </c>
    </row>
    <row r="43" spans="1:4" x14ac:dyDescent="0.25">
      <c r="A43" s="26" t="s">
        <v>61</v>
      </c>
      <c r="B43" s="2">
        <v>2</v>
      </c>
      <c r="C43" s="2" t="str">
        <f>+_xlfn.IFS(B43&gt;200,"&gt;200",B43&gt;100,"100 to 200",B43&gt;50,"50 to 100",B43&lt;50,"&lt;50")</f>
        <v>&lt;50</v>
      </c>
      <c r="D43" s="2" t="str">
        <f t="shared" si="0"/>
        <v>4</v>
      </c>
    </row>
    <row r="44" spans="1:4" x14ac:dyDescent="0.25">
      <c r="A44" s="26" t="s">
        <v>62</v>
      </c>
      <c r="B44" s="2">
        <v>5</v>
      </c>
      <c r="C44" s="2" t="str">
        <f>+_xlfn.IFS(B44&gt;200,"&gt;200",B44&gt;100,"100 to 200",B44&gt;50,"50 to 100",B44&lt;50,"&lt;50")</f>
        <v>&lt;50</v>
      </c>
      <c r="D44" s="2" t="str">
        <f t="shared" si="0"/>
        <v>4</v>
      </c>
    </row>
    <row r="45" spans="1:4" x14ac:dyDescent="0.25">
      <c r="A45" s="26" t="s">
        <v>63</v>
      </c>
      <c r="B45" s="2"/>
      <c r="C45" s="2" t="s">
        <v>78</v>
      </c>
      <c r="D45" s="2" t="str">
        <f t="shared" si="0"/>
        <v/>
      </c>
    </row>
    <row r="46" spans="1:4" x14ac:dyDescent="0.25">
      <c r="A46" s="26" t="s">
        <v>64</v>
      </c>
      <c r="B46" s="2">
        <v>42</v>
      </c>
      <c r="C46" s="2" t="str">
        <f>+_xlfn.IFS(B46&gt;200,"&gt;200",B46&gt;100,"100 to 200",B46&gt;50,"50 to 100",B46&lt;50,"&lt;50")</f>
        <v>&lt;50</v>
      </c>
      <c r="D46" s="2" t="str">
        <f t="shared" si="0"/>
        <v>4</v>
      </c>
    </row>
    <row r="47" spans="1:4" x14ac:dyDescent="0.25">
      <c r="A47" s="26" t="s">
        <v>66</v>
      </c>
      <c r="B47" s="2">
        <v>40</v>
      </c>
      <c r="C47" s="2" t="str">
        <f>+_xlfn.IFS(B47&gt;200,"&gt;200",B47&gt;100,"100 to 200",B47&gt;50,"50 to 100",B47&lt;50,"&lt;50")</f>
        <v>&lt;50</v>
      </c>
      <c r="D47" s="2" t="str">
        <f t="shared" si="0"/>
        <v>4</v>
      </c>
    </row>
    <row r="48" spans="1:4" x14ac:dyDescent="0.25">
      <c r="A48" s="26" t="s">
        <v>67</v>
      </c>
      <c r="B48" s="2"/>
      <c r="C48" s="2" t="s">
        <v>78</v>
      </c>
      <c r="D48" s="2" t="str">
        <f t="shared" si="0"/>
        <v/>
      </c>
    </row>
    <row r="49" spans="1:4" x14ac:dyDescent="0.25">
      <c r="A49" s="26" t="s">
        <v>68</v>
      </c>
      <c r="B49" s="2">
        <v>9</v>
      </c>
      <c r="C49" s="2" t="str">
        <f>+_xlfn.IFS(B49&gt;200,"&gt;200",B49&gt;100,"100 to 200",B49&gt;50,"50 to 100",B49&lt;50,"&lt;50")</f>
        <v>&lt;50</v>
      </c>
      <c r="D49" s="2" t="str">
        <f t="shared" si="0"/>
        <v>4</v>
      </c>
    </row>
    <row r="50" spans="1:4" x14ac:dyDescent="0.25">
      <c r="A50" s="26" t="s">
        <v>70</v>
      </c>
      <c r="B50" s="2"/>
      <c r="C50" s="2" t="s">
        <v>78</v>
      </c>
      <c r="D50" s="2" t="str">
        <f t="shared" si="0"/>
        <v/>
      </c>
    </row>
    <row r="51" spans="1:4" x14ac:dyDescent="0.25">
      <c r="A51" s="26" t="s">
        <v>71</v>
      </c>
      <c r="B51" s="2">
        <v>27</v>
      </c>
      <c r="C51" s="2" t="str">
        <f>+_xlfn.IFS(B51&gt;200,"&gt;200",B51&gt;100,"100 to 200",B51&gt;50,"50 to 100",B51&lt;50,"&lt;50")</f>
        <v>&lt;50</v>
      </c>
      <c r="D51" s="2" t="str">
        <f t="shared" si="0"/>
        <v>4</v>
      </c>
    </row>
    <row r="52" spans="1:4" x14ac:dyDescent="0.25">
      <c r="A52" s="26" t="s">
        <v>72</v>
      </c>
      <c r="B52" s="2"/>
      <c r="C52" s="2" t="s">
        <v>78</v>
      </c>
      <c r="D52" s="2" t="str">
        <f t="shared" si="0"/>
        <v/>
      </c>
    </row>
  </sheetData>
  <autoFilter ref="A1:D1">
    <sortState ref="A2:D52">
      <sortCondition ref="D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sqref="A1:XFD1048576"/>
    </sheetView>
  </sheetViews>
  <sheetFormatPr defaultRowHeight="15" x14ac:dyDescent="0.25"/>
  <cols>
    <col min="2" max="2" width="19.28515625" customWidth="1"/>
    <col min="3" max="3" width="43.28515625" bestFit="1" customWidth="1"/>
    <col min="4" max="4" width="18.140625" customWidth="1"/>
    <col min="5" max="5" width="32.140625" bestFit="1" customWidth="1"/>
  </cols>
  <sheetData>
    <row r="1" spans="1:5" x14ac:dyDescent="0.25">
      <c r="A1" s="2" t="s">
        <v>0</v>
      </c>
      <c r="B1" s="2" t="s">
        <v>90</v>
      </c>
      <c r="C1" s="2" t="s">
        <v>91</v>
      </c>
      <c r="D1" s="2" t="s">
        <v>92</v>
      </c>
      <c r="E1" s="2" t="s">
        <v>93</v>
      </c>
    </row>
    <row r="2" spans="1:5" x14ac:dyDescent="0.25">
      <c r="A2" s="1">
        <v>2010</v>
      </c>
      <c r="B2" s="2">
        <v>1981</v>
      </c>
      <c r="C2" s="2">
        <v>16</v>
      </c>
      <c r="D2" s="24"/>
      <c r="E2" s="2"/>
    </row>
    <row r="3" spans="1:5" x14ac:dyDescent="0.25">
      <c r="A3" s="1">
        <v>2011</v>
      </c>
      <c r="B3" s="2">
        <v>2010</v>
      </c>
      <c r="C3" s="2">
        <v>18</v>
      </c>
      <c r="D3" s="24"/>
      <c r="E3" s="2"/>
    </row>
    <row r="4" spans="1:5" x14ac:dyDescent="0.25">
      <c r="A4" s="1">
        <v>2012</v>
      </c>
      <c r="B4" s="2">
        <v>2010</v>
      </c>
      <c r="C4" s="2">
        <v>20</v>
      </c>
      <c r="D4" s="20">
        <v>258.23</v>
      </c>
      <c r="E4" s="2"/>
    </row>
    <row r="5" spans="1:5" x14ac:dyDescent="0.25">
      <c r="A5" s="9">
        <v>2013</v>
      </c>
      <c r="B5" s="2">
        <v>2170</v>
      </c>
      <c r="C5" s="2">
        <v>23</v>
      </c>
      <c r="D5" s="20">
        <v>370.93700000000001</v>
      </c>
      <c r="E5" s="2"/>
    </row>
    <row r="6" spans="1:5" x14ac:dyDescent="0.25">
      <c r="A6" s="9">
        <v>2014</v>
      </c>
      <c r="B6" s="2">
        <v>2230</v>
      </c>
      <c r="C6" s="2">
        <v>25</v>
      </c>
      <c r="D6" s="20">
        <v>522.39499999999998</v>
      </c>
      <c r="E6" s="2"/>
    </row>
    <row r="7" spans="1:5" x14ac:dyDescent="0.25">
      <c r="A7" s="1">
        <v>2015</v>
      </c>
      <c r="B7" s="2">
        <v>2040</v>
      </c>
      <c r="C7" s="2">
        <v>28</v>
      </c>
      <c r="D7" s="20">
        <v>682.928</v>
      </c>
      <c r="E7" s="20">
        <v>18031</v>
      </c>
    </row>
    <row r="8" spans="1:5" x14ac:dyDescent="0.25">
      <c r="A8" s="1">
        <v>2016</v>
      </c>
      <c r="B8" s="8"/>
      <c r="C8" s="8"/>
      <c r="D8" s="20">
        <v>556.83100000000002</v>
      </c>
      <c r="E8" s="2">
        <v>30458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" sqref="D2"/>
    </sheetView>
  </sheetViews>
  <sheetFormatPr defaultRowHeight="15" x14ac:dyDescent="0.25"/>
  <cols>
    <col min="1" max="1" width="18.7109375" bestFit="1" customWidth="1"/>
    <col min="2" max="2" width="20.5703125" customWidth="1"/>
    <col min="3" max="3" width="19.5703125" bestFit="1" customWidth="1"/>
    <col min="4" max="4" width="14.42578125" bestFit="1" customWidth="1"/>
    <col min="7" max="7" width="10.140625" bestFit="1" customWidth="1"/>
  </cols>
  <sheetData>
    <row r="1" spans="1:4" x14ac:dyDescent="0.25">
      <c r="A1" s="25" t="s">
        <v>23</v>
      </c>
      <c r="B1" s="25" t="s">
        <v>87</v>
      </c>
      <c r="C1" s="25" t="s">
        <v>88</v>
      </c>
      <c r="D1" s="25" t="s">
        <v>127</v>
      </c>
    </row>
    <row r="2" spans="1:4" x14ac:dyDescent="0.25">
      <c r="A2" s="26" t="s">
        <v>33</v>
      </c>
      <c r="B2" s="2">
        <v>1937.154</v>
      </c>
      <c r="C2" s="2" t="str">
        <f>+_xlfn.IFS(B2&gt;1000,"&gt;1,000",B2&gt;500,"500 to 1,000",B2&gt;250,"250 to 500",B2&lt;250,"&lt;250")</f>
        <v>&gt;1,000</v>
      </c>
      <c r="D2" s="2" t="str">
        <f>+_xlfn.IFS(C2="&gt;1,000","1",C2="500 to 1,000","2",C2="250 to 500","3",C2="&lt;250","4",C2="No data","")</f>
        <v>1</v>
      </c>
    </row>
    <row r="3" spans="1:4" x14ac:dyDescent="0.25">
      <c r="A3" s="26" t="s">
        <v>55</v>
      </c>
      <c r="B3" s="2">
        <v>1497.7180000000001</v>
      </c>
      <c r="C3" s="2" t="str">
        <f>+_xlfn.IFS(B3&gt;1000,"&gt;1,000",B3&gt;500,"500 to 1,000",B3&gt;250,"250 to 500",B3&lt;250,"&lt;250")</f>
        <v>&gt;1,000</v>
      </c>
      <c r="D3" s="2" t="str">
        <f t="shared" ref="D3:D52" si="0">+_xlfn.IFS(C3="&gt;1,000","1",C3="500 to 1,000","2",C3="250 to 500","3",C3="&lt;250","4",C3="No data","")</f>
        <v>1</v>
      </c>
    </row>
    <row r="4" spans="1:4" x14ac:dyDescent="0.25">
      <c r="A4" s="26" t="s">
        <v>68</v>
      </c>
      <c r="B4" s="2">
        <v>1093.2380000000001</v>
      </c>
      <c r="C4" s="2" t="str">
        <f>+_xlfn.IFS(B4&gt;1000,"&gt;1,000",B4&gt;500,"500 to 1,000",B4&gt;250,"250 to 500",B4&lt;250,"&lt;250")</f>
        <v>&gt;1,000</v>
      </c>
      <c r="D4" s="2" t="str">
        <f t="shared" si="0"/>
        <v>1</v>
      </c>
    </row>
    <row r="5" spans="1:4" x14ac:dyDescent="0.25">
      <c r="A5" s="26" t="s">
        <v>24</v>
      </c>
      <c r="B5" s="2">
        <v>788.14700000000005</v>
      </c>
      <c r="C5" s="2" t="str">
        <f>+_xlfn.IFS(B5&gt;1000,"&gt;1,000",B5&gt;500,"500 to 1,000",B5&gt;250,"250 to 500",B5&lt;250,"&lt;250")</f>
        <v>500 to 1,000</v>
      </c>
      <c r="D5" s="2" t="str">
        <f t="shared" si="0"/>
        <v>2</v>
      </c>
    </row>
    <row r="6" spans="1:4" x14ac:dyDescent="0.25">
      <c r="A6" s="26" t="s">
        <v>27</v>
      </c>
      <c r="B6" s="2">
        <v>627.173</v>
      </c>
      <c r="C6" s="2" t="str">
        <f>+_xlfn.IFS(B6&gt;1000,"&gt;1,000",B6&gt;500,"500 to 1,000",B6&gt;250,"250 to 500",B6&lt;250,"&lt;250")</f>
        <v>500 to 1,000</v>
      </c>
      <c r="D6" s="2" t="str">
        <f t="shared" si="0"/>
        <v>2</v>
      </c>
    </row>
    <row r="7" spans="1:4" x14ac:dyDescent="0.25">
      <c r="A7" s="26" t="s">
        <v>75</v>
      </c>
      <c r="B7" s="2">
        <v>686.28700000000003</v>
      </c>
      <c r="C7" s="2" t="str">
        <f>+_xlfn.IFS(B7&gt;1000,"&gt;1,000",B7&gt;500,"500 to 1,000",B7&gt;250,"250 to 500",B7&lt;250,"&lt;250")</f>
        <v>500 to 1,000</v>
      </c>
      <c r="D7" s="2" t="str">
        <f t="shared" si="0"/>
        <v>2</v>
      </c>
    </row>
    <row r="8" spans="1:4" x14ac:dyDescent="0.25">
      <c r="A8" s="26" t="s">
        <v>76</v>
      </c>
      <c r="B8" s="2">
        <v>724.35200000000009</v>
      </c>
      <c r="C8" s="2" t="str">
        <f>+_xlfn.IFS(B8&gt;1000,"&gt;1,000",B8&gt;500,"500 to 1,000",B8&gt;250,"250 to 500",B8&lt;250,"&lt;250")</f>
        <v>500 to 1,000</v>
      </c>
      <c r="D8" s="2" t="str">
        <f t="shared" si="0"/>
        <v>2</v>
      </c>
    </row>
    <row r="9" spans="1:4" x14ac:dyDescent="0.25">
      <c r="A9" s="26" t="s">
        <v>46</v>
      </c>
      <c r="B9" s="2">
        <v>887.72400000000005</v>
      </c>
      <c r="C9" s="2" t="str">
        <f>+_xlfn.IFS(B9&gt;1000,"&gt;1,000",B9&gt;500,"500 to 1,000",B9&gt;250,"250 to 500",B9&lt;250,"&lt;250")</f>
        <v>500 to 1,000</v>
      </c>
      <c r="D9" s="2" t="str">
        <f t="shared" si="0"/>
        <v>2</v>
      </c>
    </row>
    <row r="10" spans="1:4" x14ac:dyDescent="0.25">
      <c r="A10" s="26" t="s">
        <v>65</v>
      </c>
      <c r="B10" s="2">
        <v>576.20299999999986</v>
      </c>
      <c r="C10" s="2" t="str">
        <f>+_xlfn.IFS(B10&gt;1000,"&gt;1,000",B10&gt;500,"500 to 1,000",B10&gt;250,"250 to 500",B10&lt;250,"&lt;250")</f>
        <v>500 to 1,000</v>
      </c>
      <c r="D10" s="2" t="str">
        <f t="shared" si="0"/>
        <v>2</v>
      </c>
    </row>
    <row r="11" spans="1:4" x14ac:dyDescent="0.25">
      <c r="A11" s="26" t="s">
        <v>54</v>
      </c>
      <c r="B11" s="2">
        <v>407.28</v>
      </c>
      <c r="C11" s="2" t="str">
        <f>+_xlfn.IFS(B11&gt;1000,"&gt;1,000",B11&gt;500,"500 to 1,000",B11&gt;250,"250 to 500",B11&lt;250,"&lt;250")</f>
        <v>250 to 500</v>
      </c>
      <c r="D11" s="2" t="str">
        <f t="shared" si="0"/>
        <v>3</v>
      </c>
    </row>
    <row r="12" spans="1:4" x14ac:dyDescent="0.25">
      <c r="A12" s="26" t="s">
        <v>59</v>
      </c>
      <c r="B12" s="2">
        <v>268.52300000000002</v>
      </c>
      <c r="C12" s="2" t="str">
        <f>+_xlfn.IFS(B12&gt;1000,"&gt;1,000",B12&gt;500,"500 to 1,000",B12&gt;250,"250 to 500",B12&lt;250,"&lt;250")</f>
        <v>250 to 500</v>
      </c>
      <c r="D12" s="2" t="str">
        <f t="shared" si="0"/>
        <v>3</v>
      </c>
    </row>
    <row r="13" spans="1:4" x14ac:dyDescent="0.25">
      <c r="A13" s="26" t="s">
        <v>60</v>
      </c>
      <c r="B13" s="2">
        <v>399.108</v>
      </c>
      <c r="C13" s="2" t="str">
        <f>+_xlfn.IFS(B13&gt;1000,"&gt;1,000",B13&gt;500,"500 to 1,000",B13&gt;250,"250 to 500",B13&lt;250,"&lt;250")</f>
        <v>250 to 500</v>
      </c>
      <c r="D13" s="2" t="str">
        <f t="shared" si="0"/>
        <v>3</v>
      </c>
    </row>
    <row r="14" spans="1:4" x14ac:dyDescent="0.25">
      <c r="A14" s="26" t="s">
        <v>62</v>
      </c>
      <c r="B14" s="2">
        <v>462.66300000000001</v>
      </c>
      <c r="C14" s="2" t="str">
        <f>+_xlfn.IFS(B14&gt;1000,"&gt;1,000",B14&gt;500,"500 to 1,000",B14&gt;250,"250 to 500",B14&lt;250,"&lt;250")</f>
        <v>250 to 500</v>
      </c>
      <c r="D14" s="2" t="str">
        <f t="shared" si="0"/>
        <v>3</v>
      </c>
    </row>
    <row r="15" spans="1:4" x14ac:dyDescent="0.25">
      <c r="A15" s="26" t="s">
        <v>71</v>
      </c>
      <c r="B15" s="2">
        <v>474.09399999999994</v>
      </c>
      <c r="C15" s="2" t="str">
        <f>+_xlfn.IFS(B15&gt;1000,"&gt;1,000",B15&gt;500,"500 to 1,000",B15&gt;250,"250 to 500",B15&lt;250,"&lt;250")</f>
        <v>250 to 500</v>
      </c>
      <c r="D15" s="2" t="str">
        <f t="shared" si="0"/>
        <v>3</v>
      </c>
    </row>
    <row r="16" spans="1:4" x14ac:dyDescent="0.25">
      <c r="A16" s="26" t="s">
        <v>25</v>
      </c>
      <c r="B16" s="2">
        <v>31.751000000000001</v>
      </c>
      <c r="C16" s="2" t="str">
        <f>+_xlfn.IFS(B16&gt;1000,"&gt;1,000",B16&gt;500,"500 to 1,000",B16&gt;250,"250 to 500",B16&lt;250,"&lt;250")</f>
        <v>&lt;250</v>
      </c>
      <c r="D16" s="2" t="str">
        <f t="shared" si="0"/>
        <v>4</v>
      </c>
    </row>
    <row r="17" spans="1:4" x14ac:dyDescent="0.25">
      <c r="A17" s="26" t="s">
        <v>26</v>
      </c>
      <c r="B17" s="2">
        <v>72.573999999999998</v>
      </c>
      <c r="C17" s="2" t="str">
        <f>+_xlfn.IFS(B17&gt;1000,"&gt;1,000",B17&gt;500,"500 to 1,000",B17&gt;250,"250 to 500",B17&lt;250,"&lt;250")</f>
        <v>&lt;250</v>
      </c>
      <c r="D17" s="2" t="str">
        <f t="shared" si="0"/>
        <v>4</v>
      </c>
    </row>
    <row r="18" spans="1:4" x14ac:dyDescent="0.25">
      <c r="A18" s="26" t="s">
        <v>28</v>
      </c>
      <c r="B18" s="2">
        <v>154.221</v>
      </c>
      <c r="C18" s="2" t="str">
        <f>+_xlfn.IFS(B18&gt;1000,"&gt;1,000",B18&gt;500,"500 to 1,000",B18&gt;250,"250 to 500",B18&lt;250,"&lt;250")</f>
        <v>&lt;250</v>
      </c>
      <c r="D18" s="2" t="str">
        <f t="shared" si="0"/>
        <v>4</v>
      </c>
    </row>
    <row r="19" spans="1:4" x14ac:dyDescent="0.25">
      <c r="A19" s="26" t="s">
        <v>29</v>
      </c>
      <c r="B19" s="2">
        <v>206.83700000000002</v>
      </c>
      <c r="C19" s="2" t="str">
        <f>+_xlfn.IFS(B19&gt;1000,"&gt;1,000",B19&gt;500,"500 to 1,000",B19&gt;250,"250 to 500",B19&lt;250,"&lt;250")</f>
        <v>&lt;250</v>
      </c>
      <c r="D19" s="2" t="str">
        <f t="shared" si="0"/>
        <v>4</v>
      </c>
    </row>
    <row r="20" spans="1:4" x14ac:dyDescent="0.25">
      <c r="A20" s="26" t="s">
        <v>30</v>
      </c>
      <c r="B20" s="2"/>
      <c r="C20" s="2" t="s">
        <v>78</v>
      </c>
      <c r="D20" s="2" t="str">
        <f t="shared" si="0"/>
        <v/>
      </c>
    </row>
    <row r="21" spans="1:4" x14ac:dyDescent="0.25">
      <c r="A21" s="26" t="s">
        <v>31</v>
      </c>
      <c r="B21" s="2"/>
      <c r="C21" s="2" t="s">
        <v>78</v>
      </c>
      <c r="D21" s="2" t="str">
        <f t="shared" si="0"/>
        <v/>
      </c>
    </row>
    <row r="22" spans="1:4" x14ac:dyDescent="0.25">
      <c r="A22" s="26" t="s">
        <v>32</v>
      </c>
      <c r="B22" s="2"/>
      <c r="C22" s="2" t="s">
        <v>78</v>
      </c>
      <c r="D22" s="2" t="str">
        <f t="shared" si="0"/>
        <v/>
      </c>
    </row>
    <row r="23" spans="1:4" x14ac:dyDescent="0.25">
      <c r="A23" s="26" t="s">
        <v>34</v>
      </c>
      <c r="B23" s="2"/>
      <c r="C23" s="2" t="s">
        <v>78</v>
      </c>
      <c r="D23" s="2" t="str">
        <f t="shared" si="0"/>
        <v/>
      </c>
    </row>
    <row r="24" spans="1:4" x14ac:dyDescent="0.25">
      <c r="A24" s="26" t="s">
        <v>35</v>
      </c>
      <c r="B24" s="2">
        <v>227.39999999999998</v>
      </c>
      <c r="C24" s="2" t="str">
        <f>+_xlfn.IFS(B24&gt;1000,"&gt;1,000",B24&gt;500,"500 to 1,000",B24&gt;250,"250 to 500",B24&lt;250,"&lt;250")</f>
        <v>&lt;250</v>
      </c>
      <c r="D24" s="2" t="str">
        <f t="shared" si="0"/>
        <v>4</v>
      </c>
    </row>
    <row r="25" spans="1:4" x14ac:dyDescent="0.25">
      <c r="A25" s="26" t="s">
        <v>36</v>
      </c>
      <c r="B25" s="2"/>
      <c r="C25" s="2" t="s">
        <v>78</v>
      </c>
      <c r="D25" s="2" t="str">
        <f t="shared" si="0"/>
        <v/>
      </c>
    </row>
    <row r="26" spans="1:4" x14ac:dyDescent="0.25">
      <c r="A26" s="26" t="s">
        <v>37</v>
      </c>
      <c r="B26" s="2">
        <v>84.366</v>
      </c>
      <c r="C26" s="2" t="str">
        <f>+_xlfn.IFS(B26&gt;1000,"&gt;1,000",B26&gt;500,"500 to 1,000",B26&gt;250,"250 to 500",B26&lt;250,"&lt;250")</f>
        <v>&lt;250</v>
      </c>
      <c r="D26" s="2" t="str">
        <f t="shared" si="0"/>
        <v>4</v>
      </c>
    </row>
    <row r="27" spans="1:4" x14ac:dyDescent="0.25">
      <c r="A27" s="26" t="s">
        <v>38</v>
      </c>
      <c r="B27" s="2">
        <v>27.215</v>
      </c>
      <c r="C27" s="2" t="str">
        <f>+_xlfn.IFS(B27&gt;1000,"&gt;1,000",B27&gt;500,"500 to 1,000",B27&gt;250,"250 to 500",B27&lt;250,"&lt;250")</f>
        <v>&lt;250</v>
      </c>
      <c r="D27" s="2" t="str">
        <f t="shared" si="0"/>
        <v>4</v>
      </c>
    </row>
    <row r="28" spans="1:4" x14ac:dyDescent="0.25">
      <c r="A28" s="26" t="s">
        <v>39</v>
      </c>
      <c r="B28" s="2"/>
      <c r="C28" s="2" t="s">
        <v>78</v>
      </c>
      <c r="D28" s="2" t="str">
        <f t="shared" si="0"/>
        <v/>
      </c>
    </row>
    <row r="29" spans="1:4" x14ac:dyDescent="0.25">
      <c r="A29" s="26" t="s">
        <v>40</v>
      </c>
      <c r="B29" s="2">
        <v>60.780999999999999</v>
      </c>
      <c r="C29" s="2" t="str">
        <f>+_xlfn.IFS(B29&gt;1000,"&gt;1,000",B29&gt;500,"500 to 1,000",B29&gt;250,"250 to 500",B29&lt;250,"&lt;250")</f>
        <v>&lt;250</v>
      </c>
      <c r="D29" s="2" t="str">
        <f t="shared" si="0"/>
        <v>4</v>
      </c>
    </row>
    <row r="30" spans="1:4" x14ac:dyDescent="0.25">
      <c r="A30" s="26" t="s">
        <v>41</v>
      </c>
      <c r="B30" s="2">
        <v>212.00000000000003</v>
      </c>
      <c r="C30" s="2" t="str">
        <f>+_xlfn.IFS(B30&gt;1000,"&gt;1,000",B30&gt;500,"500 to 1,000",B30&gt;250,"250 to 500",B30&lt;250,"&lt;250")</f>
        <v>&lt;250</v>
      </c>
      <c r="D30" s="2" t="str">
        <f t="shared" si="0"/>
        <v>4</v>
      </c>
    </row>
    <row r="31" spans="1:4" x14ac:dyDescent="0.25">
      <c r="A31" s="26" t="s">
        <v>42</v>
      </c>
      <c r="B31" s="2"/>
      <c r="C31" s="2" t="s">
        <v>78</v>
      </c>
      <c r="D31" s="2" t="str">
        <f t="shared" si="0"/>
        <v/>
      </c>
    </row>
    <row r="32" spans="1:4" x14ac:dyDescent="0.25">
      <c r="A32" s="26" t="s">
        <v>43</v>
      </c>
      <c r="B32" s="2"/>
      <c r="C32" s="2" t="s">
        <v>78</v>
      </c>
      <c r="D32" s="2" t="str">
        <f t="shared" si="0"/>
        <v/>
      </c>
    </row>
    <row r="33" spans="1:4" x14ac:dyDescent="0.25">
      <c r="A33" s="26" t="s">
        <v>44</v>
      </c>
      <c r="B33" s="2">
        <v>231.392</v>
      </c>
      <c r="C33" s="2" t="str">
        <f>+_xlfn.IFS(B33&gt;1000,"&gt;1,000",B33&gt;500,"500 to 1,000",B33&gt;250,"250 to 500",B33&lt;250,"&lt;250")</f>
        <v>&lt;250</v>
      </c>
      <c r="D33" s="2" t="str">
        <f t="shared" si="0"/>
        <v>4</v>
      </c>
    </row>
    <row r="34" spans="1:4" x14ac:dyDescent="0.25">
      <c r="A34" s="26" t="s">
        <v>45</v>
      </c>
      <c r="B34" s="2">
        <v>54.029000000000003</v>
      </c>
      <c r="C34" s="2" t="str">
        <f>+_xlfn.IFS(B34&gt;1000,"&gt;1,000",B34&gt;500,"500 to 1,000",B34&gt;250,"250 to 500",B34&lt;250,"&lt;250")</f>
        <v>&lt;250</v>
      </c>
      <c r="D34" s="2" t="str">
        <f t="shared" si="0"/>
        <v>4</v>
      </c>
    </row>
    <row r="35" spans="1:4" x14ac:dyDescent="0.25">
      <c r="A35" s="26" t="s">
        <v>47</v>
      </c>
      <c r="B35" s="2">
        <v>146.05500000000001</v>
      </c>
      <c r="C35" s="2" t="str">
        <f>+_xlfn.IFS(B35&gt;1000,"&gt;1,000",B35&gt;500,"500 to 1,000",B35&gt;250,"250 to 500",B35&lt;250,"&lt;250")</f>
        <v>&lt;250</v>
      </c>
      <c r="D35" s="2" t="str">
        <f t="shared" si="0"/>
        <v>4</v>
      </c>
    </row>
    <row r="36" spans="1:4" x14ac:dyDescent="0.25">
      <c r="A36" s="26" t="s">
        <v>48</v>
      </c>
      <c r="B36" s="2"/>
      <c r="C36" s="2" t="s">
        <v>78</v>
      </c>
      <c r="D36" s="2" t="str">
        <f t="shared" si="0"/>
        <v/>
      </c>
    </row>
    <row r="37" spans="1:4" x14ac:dyDescent="0.25">
      <c r="A37" s="26" t="s">
        <v>49</v>
      </c>
      <c r="B37" s="2">
        <v>20.409999999999997</v>
      </c>
      <c r="C37" s="2" t="str">
        <f>+_xlfn.IFS(B37&gt;1000,"&gt;1,000",B37&gt;500,"500 to 1,000",B37&gt;250,"250 to 500",B37&lt;250,"&lt;250")</f>
        <v>&lt;250</v>
      </c>
      <c r="D37" s="2" t="str">
        <f t="shared" si="0"/>
        <v>4</v>
      </c>
    </row>
    <row r="38" spans="1:4" x14ac:dyDescent="0.25">
      <c r="A38" s="26" t="s">
        <v>50</v>
      </c>
      <c r="B38" s="2"/>
      <c r="C38" s="2" t="s">
        <v>78</v>
      </c>
      <c r="D38" s="2" t="str">
        <f t="shared" si="0"/>
        <v/>
      </c>
    </row>
    <row r="39" spans="1:4" x14ac:dyDescent="0.25">
      <c r="A39" s="26" t="s">
        <v>51</v>
      </c>
      <c r="B39" s="2">
        <v>77</v>
      </c>
      <c r="C39" s="2" t="str">
        <f>+_xlfn.IFS(B39&gt;1000,"&gt;1,000",B39&gt;500,"500 to 1,000",B39&gt;250,"250 to 500",B39&lt;250,"&lt;250")</f>
        <v>&lt;250</v>
      </c>
      <c r="D39" s="2" t="str">
        <f t="shared" si="0"/>
        <v>4</v>
      </c>
    </row>
    <row r="40" spans="1:4" x14ac:dyDescent="0.25">
      <c r="A40" s="26" t="s">
        <v>52</v>
      </c>
      <c r="B40" s="2"/>
      <c r="C40" s="2" t="s">
        <v>78</v>
      </c>
      <c r="D40" s="2" t="str">
        <f t="shared" si="0"/>
        <v/>
      </c>
    </row>
    <row r="41" spans="1:4" x14ac:dyDescent="0.25">
      <c r="A41" s="26" t="s">
        <v>53</v>
      </c>
      <c r="B41" s="2">
        <v>47.173000000000002</v>
      </c>
      <c r="C41" s="2" t="str">
        <f>+_xlfn.IFS(B41&gt;1000,"&gt;1,000",B41&gt;500,"500 to 1,000",B41&gt;250,"250 to 500",B41&lt;250,"&lt;250")</f>
        <v>&lt;250</v>
      </c>
      <c r="D41" s="2" t="str">
        <f t="shared" si="0"/>
        <v>4</v>
      </c>
    </row>
    <row r="42" spans="1:4" x14ac:dyDescent="0.25">
      <c r="A42" s="26" t="s">
        <v>56</v>
      </c>
      <c r="B42" s="2"/>
      <c r="C42" s="2" t="s">
        <v>78</v>
      </c>
      <c r="D42" s="2" t="str">
        <f t="shared" si="0"/>
        <v/>
      </c>
    </row>
    <row r="43" spans="1:4" x14ac:dyDescent="0.25">
      <c r="A43" s="26" t="s">
        <v>57</v>
      </c>
      <c r="B43" s="2">
        <v>104.325</v>
      </c>
      <c r="C43" s="2" t="str">
        <f>+_xlfn.IFS(B43&gt;1000,"&gt;1,000",B43&gt;500,"500 to 1,000",B43&gt;250,"250 to 500",B43&lt;250,"&lt;250")</f>
        <v>&lt;250</v>
      </c>
      <c r="D43" s="2" t="str">
        <f t="shared" si="0"/>
        <v>4</v>
      </c>
    </row>
    <row r="44" spans="1:4" x14ac:dyDescent="0.25">
      <c r="A44" s="26" t="s">
        <v>58</v>
      </c>
      <c r="B44" s="2"/>
      <c r="C44" s="2" t="s">
        <v>78</v>
      </c>
      <c r="D44" s="2" t="str">
        <f t="shared" si="0"/>
        <v/>
      </c>
    </row>
    <row r="45" spans="1:4" x14ac:dyDescent="0.25">
      <c r="A45" s="26" t="s">
        <v>61</v>
      </c>
      <c r="B45" s="2"/>
      <c r="C45" s="2" t="s">
        <v>78</v>
      </c>
      <c r="D45" s="2" t="str">
        <f t="shared" si="0"/>
        <v/>
      </c>
    </row>
    <row r="46" spans="1:4" x14ac:dyDescent="0.25">
      <c r="A46" s="26" t="s">
        <v>63</v>
      </c>
      <c r="B46" s="2">
        <v>116.616</v>
      </c>
      <c r="C46" s="2" t="str">
        <f>+_xlfn.IFS(B46&gt;1000,"&gt;1,000",B46&gt;500,"500 to 1,000",B46&gt;250,"250 to 500",B46&lt;250,"&lt;250")</f>
        <v>&lt;250</v>
      </c>
      <c r="D46" s="2" t="str">
        <f t="shared" si="0"/>
        <v>4</v>
      </c>
    </row>
    <row r="47" spans="1:4" x14ac:dyDescent="0.25">
      <c r="A47" s="26" t="s">
        <v>64</v>
      </c>
      <c r="B47" s="2">
        <v>176.68499999999997</v>
      </c>
      <c r="C47" s="2" t="str">
        <f>+_xlfn.IFS(B47&gt;1000,"&gt;1,000",B47&gt;500,"500 to 1,000",B47&gt;250,"250 to 500",B47&lt;250,"&lt;250")</f>
        <v>&lt;250</v>
      </c>
      <c r="D47" s="2" t="str">
        <f t="shared" si="0"/>
        <v>4</v>
      </c>
    </row>
    <row r="48" spans="1:4" x14ac:dyDescent="0.25">
      <c r="A48" s="26" t="s">
        <v>66</v>
      </c>
      <c r="B48" s="2">
        <v>77.108999999999995</v>
      </c>
      <c r="C48" s="2" t="str">
        <f>+_xlfn.IFS(B48&gt;1000,"&gt;1,000",B48&gt;500,"500 to 1,000",B48&gt;250,"250 to 500",B48&lt;250,"&lt;250")</f>
        <v>&lt;250</v>
      </c>
      <c r="D48" s="2" t="str">
        <f t="shared" si="0"/>
        <v>4</v>
      </c>
    </row>
    <row r="49" spans="1:4" x14ac:dyDescent="0.25">
      <c r="A49" s="26" t="s">
        <v>67</v>
      </c>
      <c r="B49" s="2">
        <v>69.489999999999995</v>
      </c>
      <c r="C49" s="2" t="str">
        <f>+_xlfn.IFS(B49&gt;1000,"&gt;1,000",B49&gt;500,"500 to 1,000",B49&gt;250,"250 to 500",B49&lt;250,"&lt;250")</f>
        <v>&lt;250</v>
      </c>
      <c r="D49" s="2" t="str">
        <f t="shared" si="0"/>
        <v>4</v>
      </c>
    </row>
    <row r="50" spans="1:4" x14ac:dyDescent="0.25">
      <c r="A50" s="26" t="s">
        <v>69</v>
      </c>
      <c r="B50" s="2">
        <v>79.831000000000003</v>
      </c>
      <c r="C50" s="2" t="str">
        <f>+_xlfn.IFS(B50&gt;1000,"&gt;1,000",B50&gt;500,"500 to 1,000",B50&gt;250,"250 to 500",B50&lt;250,"&lt;250")</f>
        <v>&lt;250</v>
      </c>
      <c r="D50" s="2" t="str">
        <f t="shared" si="0"/>
        <v>4</v>
      </c>
    </row>
    <row r="51" spans="1:4" x14ac:dyDescent="0.25">
      <c r="A51" s="26" t="s">
        <v>70</v>
      </c>
      <c r="B51" s="2">
        <v>173.398</v>
      </c>
      <c r="C51" s="2" t="str">
        <f>+_xlfn.IFS(B51&gt;1000,"&gt;1,000",B51&gt;500,"500 to 1,000",B51&gt;250,"250 to 500",B51&lt;250,"&lt;250")</f>
        <v>&lt;250</v>
      </c>
      <c r="D51" s="2" t="str">
        <f t="shared" si="0"/>
        <v>4</v>
      </c>
    </row>
    <row r="52" spans="1:4" x14ac:dyDescent="0.25">
      <c r="A52" s="26" t="s">
        <v>72</v>
      </c>
      <c r="B52" s="2">
        <v>4.5350000000000001</v>
      </c>
      <c r="C52" s="2" t="str">
        <f>+_xlfn.IFS(B52&gt;1000,"&gt;1,000",B52&gt;500,"500 to 1,000",B52&gt;250,"250 to 500",B52&lt;250,"&lt;250")</f>
        <v>&lt;250</v>
      </c>
      <c r="D52" s="2" t="str">
        <f t="shared" si="0"/>
        <v>4</v>
      </c>
    </row>
  </sheetData>
  <autoFilter ref="A1:D1">
    <sortState ref="A2:D52">
      <sortCondition ref="D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selection activeCell="F15" sqref="F15"/>
    </sheetView>
  </sheetViews>
  <sheetFormatPr defaultRowHeight="15" x14ac:dyDescent="0.25"/>
  <cols>
    <col min="2" max="2" width="19.28515625" customWidth="1"/>
    <col min="3" max="3" width="18.28515625" customWidth="1"/>
    <col min="4" max="4" width="18.140625" customWidth="1"/>
    <col min="5" max="5" width="32.140625" bestFit="1" customWidth="1"/>
    <col min="8" max="8" width="11" bestFit="1" customWidth="1"/>
    <col min="13" max="13" width="15.7109375" customWidth="1"/>
  </cols>
  <sheetData>
    <row r="1" spans="1:15" x14ac:dyDescent="0.25">
      <c r="A1" s="24" t="s">
        <v>0</v>
      </c>
      <c r="B1" s="33" t="s">
        <v>94</v>
      </c>
      <c r="C1" s="24" t="s">
        <v>95</v>
      </c>
      <c r="D1" s="24" t="s">
        <v>96</v>
      </c>
      <c r="E1" s="8" t="s">
        <v>100</v>
      </c>
      <c r="F1" s="8" t="s">
        <v>101</v>
      </c>
      <c r="G1" s="8" t="s">
        <v>102</v>
      </c>
      <c r="H1" s="8" t="s">
        <v>103</v>
      </c>
      <c r="I1" s="8" t="s">
        <v>104</v>
      </c>
      <c r="J1" s="8" t="s">
        <v>98</v>
      </c>
      <c r="K1" s="8" t="s">
        <v>99</v>
      </c>
      <c r="L1" s="8" t="s">
        <v>97</v>
      </c>
      <c r="M1" s="34" t="s">
        <v>105</v>
      </c>
      <c r="N1" s="24" t="s">
        <v>106</v>
      </c>
      <c r="O1" s="24" t="s">
        <v>19</v>
      </c>
    </row>
    <row r="2" spans="1:15" x14ac:dyDescent="0.25">
      <c r="A2" s="30">
        <v>2010</v>
      </c>
      <c r="B2" s="35">
        <v>468</v>
      </c>
      <c r="C2" s="24">
        <v>14218</v>
      </c>
      <c r="D2" s="24">
        <v>18.920000000000002</v>
      </c>
      <c r="E2" s="2">
        <v>0</v>
      </c>
      <c r="F2" s="20">
        <v>2233</v>
      </c>
      <c r="G2" s="20">
        <v>16802</v>
      </c>
      <c r="H2" s="2">
        <v>402</v>
      </c>
      <c r="I2" s="10">
        <v>168</v>
      </c>
      <c r="J2" s="8">
        <v>64.557719698781</v>
      </c>
      <c r="K2" s="8">
        <v>5.7050999999999998</v>
      </c>
      <c r="L2" s="8">
        <v>26544.224999999999</v>
      </c>
      <c r="M2" s="24"/>
      <c r="N2" s="24"/>
      <c r="O2" s="24"/>
    </row>
    <row r="3" spans="1:15" x14ac:dyDescent="0.25">
      <c r="A3" s="30">
        <v>2011</v>
      </c>
      <c r="B3" s="35">
        <v>462</v>
      </c>
      <c r="C3" s="24">
        <v>14422</v>
      </c>
      <c r="D3" s="24">
        <v>19.22</v>
      </c>
      <c r="E3" s="2">
        <v>4</v>
      </c>
      <c r="F3" s="20">
        <v>1955</v>
      </c>
      <c r="G3" s="20">
        <v>14625</v>
      </c>
      <c r="H3" s="2">
        <v>388</v>
      </c>
      <c r="I3" s="10">
        <v>165</v>
      </c>
      <c r="J3" s="8">
        <v>65.581362188718998</v>
      </c>
      <c r="K3" s="8">
        <v>7.899108</v>
      </c>
      <c r="L3" s="8">
        <v>26544.224999999999</v>
      </c>
      <c r="M3" s="24">
        <v>640</v>
      </c>
      <c r="N3" s="24"/>
      <c r="O3" s="24">
        <v>2.7</v>
      </c>
    </row>
    <row r="4" spans="1:15" x14ac:dyDescent="0.25">
      <c r="A4" s="30">
        <v>2012</v>
      </c>
      <c r="B4" s="35">
        <v>467</v>
      </c>
      <c r="C4" s="24">
        <v>14565</v>
      </c>
      <c r="D4" s="24">
        <v>19.82</v>
      </c>
      <c r="E4" s="2">
        <v>12</v>
      </c>
      <c r="F4" s="20">
        <v>2304</v>
      </c>
      <c r="G4" s="20">
        <v>14235</v>
      </c>
      <c r="H4" s="2">
        <v>418</v>
      </c>
      <c r="I4" s="10">
        <v>159</v>
      </c>
      <c r="J4" s="8">
        <v>67.628647168596004</v>
      </c>
      <c r="K4" s="8">
        <v>7.9127559999999999</v>
      </c>
      <c r="L4" s="24"/>
      <c r="M4" s="24">
        <v>290</v>
      </c>
      <c r="N4" s="24">
        <v>7000</v>
      </c>
      <c r="O4" s="24"/>
    </row>
    <row r="5" spans="1:15" x14ac:dyDescent="0.25">
      <c r="A5" s="31">
        <v>2013</v>
      </c>
      <c r="B5" s="35">
        <v>469</v>
      </c>
      <c r="C5" s="24">
        <v>14214</v>
      </c>
      <c r="D5" s="24">
        <v>20.83</v>
      </c>
      <c r="E5" s="2">
        <v>8</v>
      </c>
      <c r="F5" s="20">
        <v>2485</v>
      </c>
      <c r="G5" s="20">
        <v>14057</v>
      </c>
      <c r="H5" s="2">
        <v>456</v>
      </c>
      <c r="I5" s="10">
        <v>187</v>
      </c>
      <c r="J5" s="8">
        <v>71.074910218054995</v>
      </c>
      <c r="K5" s="8">
        <v>8.7589675722393991</v>
      </c>
      <c r="L5" s="24"/>
      <c r="M5" s="24">
        <v>550</v>
      </c>
      <c r="N5" s="36">
        <v>14000</v>
      </c>
      <c r="O5" s="24">
        <v>5.6</v>
      </c>
    </row>
    <row r="6" spans="1:15" x14ac:dyDescent="0.25">
      <c r="A6" s="31">
        <v>2014</v>
      </c>
      <c r="B6" s="35">
        <v>516</v>
      </c>
      <c r="C6" s="24">
        <v>14310</v>
      </c>
      <c r="D6" s="24">
        <v>21.65</v>
      </c>
      <c r="E6" s="2">
        <v>6</v>
      </c>
      <c r="F6" s="20">
        <v>2447</v>
      </c>
      <c r="G6" s="20">
        <v>13809</v>
      </c>
      <c r="H6" s="2">
        <v>444</v>
      </c>
      <c r="I6" s="10">
        <v>190</v>
      </c>
      <c r="J6" s="8">
        <v>73.872866357220005</v>
      </c>
      <c r="K6" s="8">
        <v>9.1479517184159995</v>
      </c>
      <c r="L6" s="24"/>
      <c r="M6" s="24">
        <v>270</v>
      </c>
      <c r="N6" s="24"/>
      <c r="O6" s="24"/>
    </row>
    <row r="7" spans="1:15" x14ac:dyDescent="0.25">
      <c r="A7" s="30">
        <v>2015</v>
      </c>
      <c r="B7" s="35">
        <v>512</v>
      </c>
      <c r="C7" s="24"/>
      <c r="D7" s="24">
        <v>21.83</v>
      </c>
      <c r="E7" s="8"/>
      <c r="F7" s="20">
        <v>2375</v>
      </c>
      <c r="G7" s="20">
        <v>13797</v>
      </c>
      <c r="H7" s="2">
        <v>452</v>
      </c>
      <c r="I7" s="10">
        <v>195</v>
      </c>
      <c r="J7" s="8">
        <v>74.487051851182997</v>
      </c>
      <c r="K7" s="8">
        <v>9.0762967441203006</v>
      </c>
      <c r="L7" s="24"/>
      <c r="M7" s="24"/>
      <c r="N7" s="24"/>
      <c r="O7" s="24"/>
    </row>
    <row r="8" spans="1:15" x14ac:dyDescent="0.25">
      <c r="A8" s="30">
        <v>2016</v>
      </c>
      <c r="B8" s="8"/>
      <c r="C8" s="8"/>
      <c r="D8" s="36"/>
      <c r="E8" s="37"/>
      <c r="F8" s="37"/>
      <c r="G8" s="24"/>
      <c r="H8" s="24"/>
      <c r="I8" s="24"/>
      <c r="J8" s="24"/>
      <c r="K8" s="24"/>
      <c r="L8" s="24"/>
      <c r="M8" s="24"/>
      <c r="N8" s="24"/>
      <c r="O8" s="24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" sqref="D2:D52"/>
    </sheetView>
  </sheetViews>
  <sheetFormatPr defaultRowHeight="15" x14ac:dyDescent="0.25"/>
  <cols>
    <col min="1" max="1" width="18.7109375" bestFit="1" customWidth="1"/>
    <col min="2" max="2" width="12.42578125" customWidth="1"/>
    <col min="3" max="3" width="18.7109375" bestFit="1" customWidth="1"/>
    <col min="7" max="7" width="10.140625" bestFit="1" customWidth="1"/>
  </cols>
  <sheetData>
    <row r="1" spans="1:4" x14ac:dyDescent="0.25">
      <c r="A1" s="25" t="s">
        <v>23</v>
      </c>
      <c r="B1" s="25" t="s">
        <v>107</v>
      </c>
      <c r="C1" s="25" t="s">
        <v>108</v>
      </c>
      <c r="D1" s="25" t="s">
        <v>128</v>
      </c>
    </row>
    <row r="2" spans="1:4" x14ac:dyDescent="0.25">
      <c r="A2" s="26" t="s">
        <v>30</v>
      </c>
      <c r="B2" s="20">
        <v>1135651.1429999999</v>
      </c>
      <c r="C2" s="2" t="str">
        <f>+_xlfn.IFS(B2&gt;1000000,"&gt;1,000,000",B2&gt;500000,"500,000 to 1,000,000",B2&gt;250000,"250,000 to 500,000",B2&lt;250000,"&lt;250,000")</f>
        <v>&gt;1,000,000</v>
      </c>
      <c r="D2" s="2" t="str">
        <f>+_xlfn.IFS(C2="&gt;1,000,000","1",C2="500,000 to 1,000,000","2",C2="250,000 to 500,000","3",C2="&lt;250,000","4",C2="No data","")</f>
        <v>1</v>
      </c>
    </row>
    <row r="3" spans="1:4" x14ac:dyDescent="0.25">
      <c r="A3" s="26" t="s">
        <v>75</v>
      </c>
      <c r="B3" s="20">
        <v>2756716.324</v>
      </c>
      <c r="C3" s="2" t="str">
        <f>+_xlfn.IFS(B3&gt;1000000,"&gt;1,000,000",B3&gt;500000,"500,000 to 1,000,000",B3&gt;250000,"250,000 to 500,000",B3&lt;250000,"&lt;250,000")</f>
        <v>&gt;1,000,000</v>
      </c>
      <c r="D3" s="2" t="str">
        <f t="shared" ref="D3:D52" si="0">+_xlfn.IFS(C3="&gt;1,000,000","1",C3="500,000 to 1,000,000","2",C3="250,000 to 500,000","3",C3="&lt;250,000","4",C3="No data","")</f>
        <v>1</v>
      </c>
    </row>
    <row r="4" spans="1:4" x14ac:dyDescent="0.25">
      <c r="A4" s="26" t="s">
        <v>43</v>
      </c>
      <c r="B4" s="20">
        <v>1770161.952</v>
      </c>
      <c r="C4" s="2" t="str">
        <f>+_xlfn.IFS(B4&gt;1000000,"&gt;1,000,000",B4&gt;500000,"500,000 to 1,000,000",B4&gt;250000,"250,000 to 500,000",B4&lt;250000,"&lt;250,000")</f>
        <v>&gt;1,000,000</v>
      </c>
      <c r="D4" s="2" t="str">
        <f t="shared" si="0"/>
        <v>1</v>
      </c>
    </row>
    <row r="5" spans="1:4" x14ac:dyDescent="0.25">
      <c r="A5" s="26" t="s">
        <v>52</v>
      </c>
      <c r="B5" s="20">
        <v>1051760</v>
      </c>
      <c r="C5" s="2" t="str">
        <f>+_xlfn.IFS(B5&gt;1000000,"&gt;1,000,000",B5&gt;500000,"500,000 to 1,000,000",B5&gt;250000,"250,000 to 500,000",B5&lt;250000,"&lt;250,000")</f>
        <v>&gt;1,000,000</v>
      </c>
      <c r="D5" s="2" t="str">
        <f t="shared" si="0"/>
        <v>1</v>
      </c>
    </row>
    <row r="6" spans="1:4" x14ac:dyDescent="0.25">
      <c r="A6" s="26" t="s">
        <v>54</v>
      </c>
      <c r="B6" s="20">
        <v>1789806.425</v>
      </c>
      <c r="C6" s="2" t="str">
        <f>+_xlfn.IFS(B6&gt;1000000,"&gt;1,000,000",B6&gt;500000,"500,000 to 1,000,000",B6&gt;250000,"250,000 to 500,000",B6&lt;250000,"&lt;250,000")</f>
        <v>&gt;1,000,000</v>
      </c>
      <c r="D6" s="2" t="str">
        <f t="shared" si="0"/>
        <v>1</v>
      </c>
    </row>
    <row r="7" spans="1:4" x14ac:dyDescent="0.25">
      <c r="A7" s="26" t="s">
        <v>60</v>
      </c>
      <c r="B7" s="20">
        <v>1644013.4469999999</v>
      </c>
      <c r="C7" s="2" t="str">
        <f>+_xlfn.IFS(B7&gt;1000000,"&gt;1,000,000",B7&gt;500000,"500,000 to 1,000,000",B7&gt;250000,"250,000 to 500,000",B7&lt;250000,"&lt;250,000")</f>
        <v>&gt;1,000,000</v>
      </c>
      <c r="D7" s="2" t="str">
        <f t="shared" si="0"/>
        <v>1</v>
      </c>
    </row>
    <row r="8" spans="1:4" x14ac:dyDescent="0.25">
      <c r="A8" s="26" t="s">
        <v>42</v>
      </c>
      <c r="B8" s="20">
        <v>649072.43999999994</v>
      </c>
      <c r="C8" s="2" t="str">
        <f>+_xlfn.IFS(B8&gt;1000000,"&gt;1,000,000",B8&gt;500000,"500,000 to 1,000,000",B8&gt;250000,"250,000 to 500,000",B8&lt;250000,"&lt;250,000")</f>
        <v>500,000 to 1,000,000</v>
      </c>
      <c r="D8" s="2" t="str">
        <f t="shared" si="0"/>
        <v>2</v>
      </c>
    </row>
    <row r="9" spans="1:4" x14ac:dyDescent="0.25">
      <c r="A9" s="26" t="s">
        <v>45</v>
      </c>
      <c r="B9" s="20">
        <v>566302.70399999991</v>
      </c>
      <c r="C9" s="2" t="str">
        <f>+_xlfn.IFS(B9&gt;1000000,"&gt;1,000,000",B9&gt;500000,"500,000 to 1,000,000",B9&gt;250000,"250,000 to 500,000",B9&lt;250000,"&lt;250,000")</f>
        <v>500,000 to 1,000,000</v>
      </c>
      <c r="D9" s="2" t="str">
        <f t="shared" si="0"/>
        <v>2</v>
      </c>
    </row>
    <row r="10" spans="1:4" x14ac:dyDescent="0.25">
      <c r="A10" s="26" t="s">
        <v>68</v>
      </c>
      <c r="B10" s="20">
        <v>941953.25699999998</v>
      </c>
      <c r="C10" s="2" t="str">
        <f>+_xlfn.IFS(B10&gt;1000000,"&gt;1,000,000",B10&gt;500000,"500,000 to 1,000,000",B10&gt;250000,"250,000 to 500,000",B10&lt;250000,"&lt;250,000")</f>
        <v>500,000 to 1,000,000</v>
      </c>
      <c r="D10" s="2" t="str">
        <f t="shared" si="0"/>
        <v>2</v>
      </c>
    </row>
    <row r="11" spans="1:4" x14ac:dyDescent="0.25">
      <c r="A11" s="26" t="s">
        <v>28</v>
      </c>
      <c r="B11" s="20">
        <v>422026.50599999999</v>
      </c>
      <c r="C11" s="2" t="str">
        <f>+_xlfn.IFS(B11&gt;1000000,"&gt;1,000,000",B11&gt;500000,"500,000 to 1,000,000",B11&gt;250000,"250,000 to 500,000",B11&lt;250000,"&lt;250,000")</f>
        <v>250,000 to 500,000</v>
      </c>
      <c r="D11" s="2" t="str">
        <f t="shared" si="0"/>
        <v>3</v>
      </c>
    </row>
    <row r="12" spans="1:4" x14ac:dyDescent="0.25">
      <c r="A12" s="26" t="s">
        <v>34</v>
      </c>
      <c r="B12" s="20">
        <v>371404.51</v>
      </c>
      <c r="C12" s="2" t="str">
        <f>+_xlfn.IFS(B12&gt;1000000,"&gt;1,000,000",B12&gt;500000,"500,000 to 1,000,000",B12&gt;250000,"250,000 to 500,000",B12&lt;250000,"&lt;250,000")</f>
        <v>250,000 to 500,000</v>
      </c>
      <c r="D12" s="2" t="str">
        <f t="shared" si="0"/>
        <v>3</v>
      </c>
    </row>
    <row r="13" spans="1:4" x14ac:dyDescent="0.25">
      <c r="A13" s="26" t="s">
        <v>41</v>
      </c>
      <c r="B13" s="20">
        <v>252242.98499999999</v>
      </c>
      <c r="C13" s="2" t="str">
        <f>+_xlfn.IFS(B13&gt;1000000,"&gt;1,000,000",B13&gt;500000,"500,000 to 1,000,000",B13&gt;250000,"250,000 to 500,000",B13&lt;250000,"&lt;250,000")</f>
        <v>250,000 to 500,000</v>
      </c>
      <c r="D13" s="2" t="str">
        <f t="shared" si="0"/>
        <v>3</v>
      </c>
    </row>
    <row r="14" spans="1:4" x14ac:dyDescent="0.25">
      <c r="A14" s="26" t="s">
        <v>44</v>
      </c>
      <c r="B14" s="20">
        <v>391448.95699999999</v>
      </c>
      <c r="C14" s="2" t="str">
        <f>+_xlfn.IFS(B14&gt;1000000,"&gt;1,000,000",B14&gt;500000,"500,000 to 1,000,000",B14&gt;250000,"250,000 to 500,000",B14&lt;250000,"&lt;250,000")</f>
        <v>250,000 to 500,000</v>
      </c>
      <c r="D14" s="2" t="str">
        <f t="shared" si="0"/>
        <v>3</v>
      </c>
    </row>
    <row r="15" spans="1:4" x14ac:dyDescent="0.25">
      <c r="A15" s="26" t="s">
        <v>37</v>
      </c>
      <c r="B15" s="20">
        <v>40616.889000000003</v>
      </c>
      <c r="C15" s="2" t="str">
        <f>+_xlfn.IFS(B15&gt;1000000,"&gt;1,000,000",B15&gt;500000,"500,000 to 1,000,000",B15&gt;250000,"250,000 to 500,000",B15&lt;250000,"&lt;250,000")</f>
        <v>&lt;250,000</v>
      </c>
      <c r="D15" s="2" t="str">
        <f t="shared" si="0"/>
        <v>4</v>
      </c>
    </row>
    <row r="16" spans="1:4" x14ac:dyDescent="0.25">
      <c r="A16" s="26" t="s">
        <v>51</v>
      </c>
      <c r="B16" s="20">
        <v>101472</v>
      </c>
      <c r="C16" s="2" t="str">
        <f>+_xlfn.IFS(B16&gt;1000000,"&gt;1,000,000",B16&gt;500000,"500,000 to 1,000,000",B16&gt;250000,"250,000 to 500,000",B16&lt;250000,"&lt;250,000")</f>
        <v>&lt;250,000</v>
      </c>
      <c r="D16" s="2" t="str">
        <f t="shared" si="0"/>
        <v>4</v>
      </c>
    </row>
    <row r="17" spans="1:4" x14ac:dyDescent="0.25">
      <c r="A17" s="26" t="s">
        <v>58</v>
      </c>
      <c r="B17" s="20">
        <v>23265.027000000002</v>
      </c>
      <c r="C17" s="2" t="str">
        <f>+_xlfn.IFS(B17&gt;1000000,"&gt;1,000,000",B17&gt;500000,"500,000 to 1,000,000",B17&gt;250000,"250,000 to 500,000",B17&lt;250000,"&lt;250,000")</f>
        <v>&lt;250,000</v>
      </c>
      <c r="D17" s="2" t="str">
        <f t="shared" si="0"/>
        <v>4</v>
      </c>
    </row>
    <row r="18" spans="1:4" x14ac:dyDescent="0.25">
      <c r="A18" s="26" t="s">
        <v>59</v>
      </c>
      <c r="B18" s="20">
        <v>86317.625</v>
      </c>
      <c r="C18" s="2" t="str">
        <f>+_xlfn.IFS(B18&gt;1000000,"&gt;1,000,000",B18&gt;500000,"500,000 to 1,000,000",B18&gt;250000,"250,000 to 500,000",B18&lt;250000,"&lt;250,000")</f>
        <v>&lt;250,000</v>
      </c>
      <c r="D18" s="2" t="str">
        <f t="shared" si="0"/>
        <v>4</v>
      </c>
    </row>
    <row r="19" spans="1:4" x14ac:dyDescent="0.25">
      <c r="A19" s="26" t="s">
        <v>66</v>
      </c>
      <c r="B19" s="20">
        <v>7334.2870000000003</v>
      </c>
      <c r="C19" s="2" t="str">
        <f>+_xlfn.IFS(B19&gt;1000000,"&gt;1,000,000",B19&gt;500000,"500,000 to 1,000,000",B19&gt;250000,"250,000 to 500,000",B19&lt;250000,"&lt;250,000")</f>
        <v>&lt;250,000</v>
      </c>
      <c r="D19" s="2" t="str">
        <f t="shared" si="0"/>
        <v>4</v>
      </c>
    </row>
    <row r="20" spans="1:4" x14ac:dyDescent="0.25">
      <c r="A20" s="26" t="s">
        <v>69</v>
      </c>
      <c r="B20" s="20">
        <v>110118</v>
      </c>
      <c r="C20" s="2" t="str">
        <f>+_xlfn.IFS(B20&gt;1000000,"&gt;1,000,000",B20&gt;500000,"500,000 to 1,000,000",B20&gt;250000,"250,000 to 500,000",B20&lt;250000,"&lt;250,000")</f>
        <v>&lt;250,000</v>
      </c>
      <c r="D20" s="2" t="str">
        <f t="shared" si="0"/>
        <v>4</v>
      </c>
    </row>
    <row r="21" spans="1:4" x14ac:dyDescent="0.25">
      <c r="A21" s="26" t="s">
        <v>71</v>
      </c>
      <c r="B21" s="20">
        <v>27959.839</v>
      </c>
      <c r="C21" s="2" t="str">
        <f>+_xlfn.IFS(B21&gt;1000000,"&gt;1,000,000",B21&gt;500000,"500,000 to 1,000,000",B21&gt;250000,"250,000 to 500,000",B21&lt;250000,"&lt;250,000")</f>
        <v>&lt;250,000</v>
      </c>
      <c r="D21" s="2" t="str">
        <f t="shared" si="0"/>
        <v>4</v>
      </c>
    </row>
    <row r="22" spans="1:4" x14ac:dyDescent="0.25">
      <c r="A22" s="26" t="s">
        <v>24</v>
      </c>
      <c r="B22" s="2"/>
      <c r="C22" s="2" t="s">
        <v>78</v>
      </c>
      <c r="D22" s="2" t="str">
        <f t="shared" si="0"/>
        <v/>
      </c>
    </row>
    <row r="23" spans="1:4" x14ac:dyDescent="0.25">
      <c r="A23" s="26" t="s">
        <v>25</v>
      </c>
      <c r="B23" s="2"/>
      <c r="C23" s="2" t="s">
        <v>78</v>
      </c>
      <c r="D23" s="2" t="str">
        <f t="shared" si="0"/>
        <v/>
      </c>
    </row>
    <row r="24" spans="1:4" x14ac:dyDescent="0.25">
      <c r="A24" s="26" t="s">
        <v>26</v>
      </c>
      <c r="B24" s="2"/>
      <c r="C24" s="2" t="s">
        <v>78</v>
      </c>
      <c r="D24" s="2" t="str">
        <f t="shared" si="0"/>
        <v/>
      </c>
    </row>
    <row r="25" spans="1:4" x14ac:dyDescent="0.25">
      <c r="A25" s="26" t="s">
        <v>27</v>
      </c>
      <c r="B25" s="2"/>
      <c r="C25" s="2" t="s">
        <v>78</v>
      </c>
      <c r="D25" s="2" t="str">
        <f t="shared" si="0"/>
        <v/>
      </c>
    </row>
    <row r="26" spans="1:4" x14ac:dyDescent="0.25">
      <c r="A26" s="26" t="s">
        <v>29</v>
      </c>
      <c r="B26" s="2"/>
      <c r="C26" s="2" t="s">
        <v>78</v>
      </c>
      <c r="D26" s="2" t="str">
        <f t="shared" si="0"/>
        <v/>
      </c>
    </row>
    <row r="27" spans="1:4" x14ac:dyDescent="0.25">
      <c r="A27" s="26" t="s">
        <v>31</v>
      </c>
      <c r="B27" s="2"/>
      <c r="C27" s="2" t="s">
        <v>78</v>
      </c>
      <c r="D27" s="2" t="str">
        <f t="shared" si="0"/>
        <v/>
      </c>
    </row>
    <row r="28" spans="1:4" x14ac:dyDescent="0.25">
      <c r="A28" s="26" t="s">
        <v>32</v>
      </c>
      <c r="B28" s="2"/>
      <c r="C28" s="2" t="s">
        <v>78</v>
      </c>
      <c r="D28" s="2" t="str">
        <f t="shared" si="0"/>
        <v/>
      </c>
    </row>
    <row r="29" spans="1:4" x14ac:dyDescent="0.25">
      <c r="A29" s="26" t="s">
        <v>33</v>
      </c>
      <c r="B29" s="2"/>
      <c r="C29" s="2" t="s">
        <v>78</v>
      </c>
      <c r="D29" s="2" t="str">
        <f t="shared" si="0"/>
        <v/>
      </c>
    </row>
    <row r="30" spans="1:4" x14ac:dyDescent="0.25">
      <c r="A30" s="26" t="s">
        <v>35</v>
      </c>
      <c r="B30" s="2"/>
      <c r="C30" s="2" t="s">
        <v>78</v>
      </c>
      <c r="D30" s="2" t="str">
        <f t="shared" si="0"/>
        <v/>
      </c>
    </row>
    <row r="31" spans="1:4" x14ac:dyDescent="0.25">
      <c r="A31" s="26" t="s">
        <v>36</v>
      </c>
      <c r="B31" s="2"/>
      <c r="C31" s="2" t="s">
        <v>78</v>
      </c>
      <c r="D31" s="2" t="str">
        <f t="shared" si="0"/>
        <v/>
      </c>
    </row>
    <row r="32" spans="1:4" x14ac:dyDescent="0.25">
      <c r="A32" s="26" t="s">
        <v>38</v>
      </c>
      <c r="B32" s="2"/>
      <c r="C32" s="2" t="s">
        <v>78</v>
      </c>
      <c r="D32" s="2" t="str">
        <f t="shared" si="0"/>
        <v/>
      </c>
    </row>
    <row r="33" spans="1:4" x14ac:dyDescent="0.25">
      <c r="A33" s="26" t="s">
        <v>39</v>
      </c>
      <c r="B33" s="2"/>
      <c r="C33" s="2" t="s">
        <v>78</v>
      </c>
      <c r="D33" s="2" t="str">
        <f t="shared" si="0"/>
        <v/>
      </c>
    </row>
    <row r="34" spans="1:4" x14ac:dyDescent="0.25">
      <c r="A34" s="26" t="s">
        <v>40</v>
      </c>
      <c r="B34" s="2"/>
      <c r="C34" s="2" t="s">
        <v>78</v>
      </c>
      <c r="D34" s="2" t="str">
        <f t="shared" si="0"/>
        <v/>
      </c>
    </row>
    <row r="35" spans="1:4" x14ac:dyDescent="0.25">
      <c r="A35" s="26" t="s">
        <v>76</v>
      </c>
      <c r="B35" s="2"/>
      <c r="C35" s="2" t="s">
        <v>78</v>
      </c>
      <c r="D35" s="2" t="str">
        <f t="shared" si="0"/>
        <v/>
      </c>
    </row>
    <row r="36" spans="1:4" x14ac:dyDescent="0.25">
      <c r="A36" s="26" t="s">
        <v>46</v>
      </c>
      <c r="B36" s="2"/>
      <c r="C36" s="2" t="s">
        <v>78</v>
      </c>
      <c r="D36" s="2" t="str">
        <f t="shared" si="0"/>
        <v/>
      </c>
    </row>
    <row r="37" spans="1:4" x14ac:dyDescent="0.25">
      <c r="A37" s="26" t="s">
        <v>47</v>
      </c>
      <c r="B37" s="2"/>
      <c r="C37" s="2" t="s">
        <v>78</v>
      </c>
      <c r="D37" s="2" t="str">
        <f t="shared" si="0"/>
        <v/>
      </c>
    </row>
    <row r="38" spans="1:4" x14ac:dyDescent="0.25">
      <c r="A38" s="26" t="s">
        <v>48</v>
      </c>
      <c r="B38" s="2"/>
      <c r="C38" s="2" t="s">
        <v>78</v>
      </c>
      <c r="D38" s="2" t="str">
        <f t="shared" si="0"/>
        <v/>
      </c>
    </row>
    <row r="39" spans="1:4" x14ac:dyDescent="0.25">
      <c r="A39" s="26" t="s">
        <v>49</v>
      </c>
      <c r="B39" s="2"/>
      <c r="C39" s="2" t="s">
        <v>78</v>
      </c>
      <c r="D39" s="2" t="str">
        <f t="shared" si="0"/>
        <v/>
      </c>
    </row>
    <row r="40" spans="1:4" x14ac:dyDescent="0.25">
      <c r="A40" s="26" t="s">
        <v>50</v>
      </c>
      <c r="B40" s="2"/>
      <c r="C40" s="2" t="s">
        <v>78</v>
      </c>
      <c r="D40" s="2" t="str">
        <f t="shared" si="0"/>
        <v/>
      </c>
    </row>
    <row r="41" spans="1:4" x14ac:dyDescent="0.25">
      <c r="A41" s="26" t="s">
        <v>53</v>
      </c>
      <c r="B41" s="2"/>
      <c r="C41" s="2" t="s">
        <v>78</v>
      </c>
      <c r="D41" s="2" t="str">
        <f t="shared" si="0"/>
        <v/>
      </c>
    </row>
    <row r="42" spans="1:4" x14ac:dyDescent="0.25">
      <c r="A42" s="26" t="s">
        <v>55</v>
      </c>
      <c r="B42" s="2"/>
      <c r="C42" s="2" t="s">
        <v>78</v>
      </c>
      <c r="D42" s="2" t="str">
        <f t="shared" si="0"/>
        <v/>
      </c>
    </row>
    <row r="43" spans="1:4" x14ac:dyDescent="0.25">
      <c r="A43" s="26" t="s">
        <v>56</v>
      </c>
      <c r="B43" s="2"/>
      <c r="C43" s="2" t="s">
        <v>78</v>
      </c>
      <c r="D43" s="2" t="str">
        <f t="shared" si="0"/>
        <v/>
      </c>
    </row>
    <row r="44" spans="1:4" x14ac:dyDescent="0.25">
      <c r="A44" s="26" t="s">
        <v>57</v>
      </c>
      <c r="B44" s="2"/>
      <c r="C44" s="2" t="s">
        <v>78</v>
      </c>
      <c r="D44" s="2" t="str">
        <f t="shared" si="0"/>
        <v/>
      </c>
    </row>
    <row r="45" spans="1:4" x14ac:dyDescent="0.25">
      <c r="A45" s="26" t="s">
        <v>61</v>
      </c>
      <c r="B45" s="2"/>
      <c r="C45" s="2" t="s">
        <v>78</v>
      </c>
      <c r="D45" s="2" t="str">
        <f t="shared" si="0"/>
        <v/>
      </c>
    </row>
    <row r="46" spans="1:4" x14ac:dyDescent="0.25">
      <c r="A46" s="26" t="s">
        <v>62</v>
      </c>
      <c r="B46" s="2"/>
      <c r="C46" s="2" t="s">
        <v>78</v>
      </c>
      <c r="D46" s="2" t="str">
        <f t="shared" si="0"/>
        <v/>
      </c>
    </row>
    <row r="47" spans="1:4" x14ac:dyDescent="0.25">
      <c r="A47" s="26" t="s">
        <v>63</v>
      </c>
      <c r="B47" s="2"/>
      <c r="C47" s="2" t="s">
        <v>78</v>
      </c>
      <c r="D47" s="2" t="str">
        <f t="shared" si="0"/>
        <v/>
      </c>
    </row>
    <row r="48" spans="1:4" x14ac:dyDescent="0.25">
      <c r="A48" s="26" t="s">
        <v>64</v>
      </c>
      <c r="B48" s="2"/>
      <c r="C48" s="2" t="s">
        <v>78</v>
      </c>
      <c r="D48" s="2" t="str">
        <f t="shared" si="0"/>
        <v/>
      </c>
    </row>
    <row r="49" spans="1:4" x14ac:dyDescent="0.25">
      <c r="A49" s="26" t="s">
        <v>65</v>
      </c>
      <c r="B49" s="2"/>
      <c r="C49" s="2" t="s">
        <v>78</v>
      </c>
      <c r="D49" s="2" t="str">
        <f t="shared" si="0"/>
        <v/>
      </c>
    </row>
    <row r="50" spans="1:4" x14ac:dyDescent="0.25">
      <c r="A50" s="26" t="s">
        <v>67</v>
      </c>
      <c r="B50" s="2"/>
      <c r="C50" s="2" t="s">
        <v>78</v>
      </c>
      <c r="D50" s="2" t="str">
        <f t="shared" si="0"/>
        <v/>
      </c>
    </row>
    <row r="51" spans="1:4" x14ac:dyDescent="0.25">
      <c r="A51" s="26" t="s">
        <v>70</v>
      </c>
      <c r="B51" s="2"/>
      <c r="C51" s="2" t="s">
        <v>78</v>
      </c>
      <c r="D51" s="2" t="str">
        <f t="shared" si="0"/>
        <v/>
      </c>
    </row>
    <row r="52" spans="1:4" x14ac:dyDescent="0.25">
      <c r="A52" s="26" t="s">
        <v>72</v>
      </c>
      <c r="B52" s="2"/>
      <c r="C52" s="2" t="s">
        <v>78</v>
      </c>
      <c r="D52" s="2" t="str">
        <f t="shared" si="0"/>
        <v/>
      </c>
    </row>
  </sheetData>
  <autoFilter ref="A1:D1">
    <sortState ref="A2:D52">
      <sortCondition ref="D1"/>
    </sortState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selection activeCell="I21" sqref="I21"/>
    </sheetView>
  </sheetViews>
  <sheetFormatPr defaultRowHeight="15" x14ac:dyDescent="0.25"/>
  <sheetData>
    <row r="1" spans="1:15" x14ac:dyDescent="0.25">
      <c r="A1" s="24" t="s">
        <v>0</v>
      </c>
      <c r="B1" s="8" t="s">
        <v>109</v>
      </c>
      <c r="C1" s="8" t="s">
        <v>112</v>
      </c>
      <c r="D1" s="8" t="s">
        <v>110</v>
      </c>
      <c r="E1" s="8" t="s">
        <v>111</v>
      </c>
      <c r="F1" s="8" t="s">
        <v>113</v>
      </c>
      <c r="G1" s="8" t="s">
        <v>114</v>
      </c>
      <c r="H1" s="8" t="s">
        <v>115</v>
      </c>
      <c r="I1" s="8" t="s">
        <v>116</v>
      </c>
      <c r="J1" s="2" t="s">
        <v>117</v>
      </c>
      <c r="K1" s="2" t="s">
        <v>118</v>
      </c>
      <c r="L1" s="3" t="s">
        <v>119</v>
      </c>
      <c r="M1" s="3" t="s">
        <v>120</v>
      </c>
      <c r="N1" s="3" t="s">
        <v>121</v>
      </c>
      <c r="O1" s="3" t="s">
        <v>122</v>
      </c>
    </row>
    <row r="2" spans="1:15" x14ac:dyDescent="0.25">
      <c r="A2" s="30">
        <v>2010</v>
      </c>
      <c r="B2" s="8">
        <v>1.54570016</v>
      </c>
      <c r="C2" s="8">
        <v>1539.0606616844</v>
      </c>
      <c r="D2" s="8">
        <v>214.13552999999999</v>
      </c>
      <c r="E2" s="8">
        <v>890.95</v>
      </c>
      <c r="F2" s="10" t="s">
        <v>1</v>
      </c>
      <c r="G2" s="10" t="s">
        <v>1</v>
      </c>
      <c r="H2" s="10" t="s">
        <v>1</v>
      </c>
      <c r="I2" s="10" t="s">
        <v>1</v>
      </c>
      <c r="J2" s="38">
        <v>17</v>
      </c>
      <c r="K2" s="38">
        <v>3</v>
      </c>
      <c r="L2" s="32">
        <v>154</v>
      </c>
      <c r="M2" s="32">
        <v>38</v>
      </c>
      <c r="N2" s="32">
        <v>14</v>
      </c>
      <c r="O2" s="32">
        <v>14</v>
      </c>
    </row>
    <row r="3" spans="1:15" x14ac:dyDescent="0.25">
      <c r="A3" s="30">
        <v>2011</v>
      </c>
      <c r="B3" s="8">
        <v>2.0541092999999999</v>
      </c>
      <c r="C3" s="8">
        <v>3601.8073566190001</v>
      </c>
      <c r="D3" s="8">
        <v>455.30144999999999</v>
      </c>
      <c r="E3" s="8">
        <v>1033.0999999999999</v>
      </c>
      <c r="F3" s="10" t="s">
        <v>1</v>
      </c>
      <c r="G3" s="10" t="s">
        <v>1</v>
      </c>
      <c r="H3" s="10" t="s">
        <v>1</v>
      </c>
      <c r="I3" s="10" t="s">
        <v>1</v>
      </c>
      <c r="J3" s="38">
        <v>22</v>
      </c>
      <c r="K3" s="38">
        <v>6</v>
      </c>
      <c r="L3" s="32">
        <v>180</v>
      </c>
      <c r="M3" s="32">
        <v>52</v>
      </c>
      <c r="N3" s="32">
        <v>15</v>
      </c>
      <c r="O3" s="32">
        <v>15</v>
      </c>
    </row>
    <row r="4" spans="1:15" x14ac:dyDescent="0.25">
      <c r="A4" s="30">
        <v>2012</v>
      </c>
      <c r="B4" s="8">
        <v>3.0368059999999999</v>
      </c>
      <c r="C4" s="8">
        <v>10091.548004697999</v>
      </c>
      <c r="D4" s="8">
        <v>541.72</v>
      </c>
      <c r="E4" s="2"/>
      <c r="F4" s="10" t="s">
        <v>1</v>
      </c>
      <c r="G4" s="10" t="s">
        <v>1</v>
      </c>
      <c r="H4" s="10" t="s">
        <v>1</v>
      </c>
      <c r="I4" s="10" t="s">
        <v>1</v>
      </c>
      <c r="J4" s="38">
        <v>36</v>
      </c>
      <c r="K4" s="38">
        <v>1</v>
      </c>
      <c r="L4" s="32">
        <v>211</v>
      </c>
      <c r="M4" s="32">
        <v>69</v>
      </c>
      <c r="N4" s="32">
        <v>15</v>
      </c>
      <c r="O4" s="32">
        <v>15</v>
      </c>
    </row>
    <row r="5" spans="1:15" x14ac:dyDescent="0.25">
      <c r="A5" s="31">
        <v>2013</v>
      </c>
      <c r="B5" s="8">
        <v>3.6851129999999999</v>
      </c>
      <c r="C5" s="8">
        <v>4279.8614379917999</v>
      </c>
      <c r="D5" s="8">
        <v>352.08953000000002</v>
      </c>
      <c r="E5" s="2"/>
      <c r="F5" s="39">
        <v>2.454974</v>
      </c>
      <c r="G5" s="39">
        <v>2.3393389999999998</v>
      </c>
      <c r="H5" s="39">
        <v>1.9052530000000001</v>
      </c>
      <c r="I5" s="39">
        <v>1.157883</v>
      </c>
      <c r="J5" s="38">
        <v>21</v>
      </c>
      <c r="K5" s="38">
        <v>2</v>
      </c>
      <c r="L5" s="32">
        <v>237</v>
      </c>
      <c r="M5" s="32">
        <v>77</v>
      </c>
      <c r="N5" s="32">
        <v>15</v>
      </c>
      <c r="O5" s="32">
        <v>15</v>
      </c>
    </row>
    <row r="6" spans="1:15" x14ac:dyDescent="0.25">
      <c r="A6" s="31">
        <v>2014</v>
      </c>
      <c r="B6" s="8">
        <v>3.4803839999999999</v>
      </c>
      <c r="C6" s="8">
        <v>2812.3014939999998</v>
      </c>
      <c r="D6" s="8">
        <v>43.38344</v>
      </c>
      <c r="E6" s="2"/>
      <c r="F6" s="39">
        <v>10.586</v>
      </c>
      <c r="G6" s="39">
        <v>2.339</v>
      </c>
      <c r="H6" s="39">
        <v>1.905</v>
      </c>
      <c r="I6" s="39">
        <v>1.1579999999999999</v>
      </c>
      <c r="J6" s="38">
        <v>2</v>
      </c>
      <c r="K6" s="38">
        <v>3</v>
      </c>
      <c r="L6" s="32">
        <v>245</v>
      </c>
      <c r="M6" s="32">
        <v>80</v>
      </c>
      <c r="N6" s="32">
        <v>16</v>
      </c>
      <c r="O6" s="32">
        <v>15</v>
      </c>
    </row>
    <row r="7" spans="1:15" x14ac:dyDescent="0.25">
      <c r="A7" s="30">
        <v>2015</v>
      </c>
      <c r="B7" s="8">
        <v>3.3473109000000001</v>
      </c>
      <c r="C7" s="8" t="s">
        <v>1</v>
      </c>
      <c r="D7" s="8">
        <v>5.1438899999999999</v>
      </c>
      <c r="E7" s="2"/>
      <c r="F7" s="2"/>
      <c r="G7" s="2"/>
      <c r="H7" s="2"/>
      <c r="I7" s="2"/>
      <c r="J7" s="38">
        <v>3</v>
      </c>
      <c r="K7" s="38">
        <v>8</v>
      </c>
      <c r="L7" s="32">
        <v>249</v>
      </c>
      <c r="M7" s="32">
        <v>82</v>
      </c>
      <c r="N7" s="32">
        <v>16</v>
      </c>
      <c r="O7" s="32">
        <v>15</v>
      </c>
    </row>
    <row r="8" spans="1:15" x14ac:dyDescent="0.25">
      <c r="A8" s="30">
        <v>2016</v>
      </c>
      <c r="B8" s="2"/>
      <c r="C8" s="8">
        <v>16382.3388</v>
      </c>
      <c r="D8" s="2"/>
      <c r="E8" s="2"/>
      <c r="F8" s="2"/>
      <c r="G8" s="2"/>
      <c r="H8" s="2"/>
      <c r="I8" s="2"/>
      <c r="J8" s="2"/>
      <c r="K8" s="2"/>
      <c r="L8" s="32">
        <v>252</v>
      </c>
      <c r="M8" s="19"/>
      <c r="N8" s="19"/>
      <c r="O8" s="1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7" sqref="F17"/>
    </sheetView>
  </sheetViews>
  <sheetFormatPr defaultRowHeight="15" x14ac:dyDescent="0.25"/>
  <cols>
    <col min="1" max="1" width="18.7109375" bestFit="1" customWidth="1"/>
    <col min="2" max="2" width="12.5703125" bestFit="1" customWidth="1"/>
    <col min="3" max="3" width="13.7109375" bestFit="1" customWidth="1"/>
    <col min="7" max="7" width="10.140625" bestFit="1" customWidth="1"/>
  </cols>
  <sheetData>
    <row r="1" spans="1:4" x14ac:dyDescent="0.25">
      <c r="A1" s="25" t="s">
        <v>23</v>
      </c>
      <c r="B1" s="25" t="s">
        <v>123</v>
      </c>
      <c r="C1" s="25" t="s">
        <v>124</v>
      </c>
      <c r="D1" s="25" t="s">
        <v>129</v>
      </c>
    </row>
    <row r="2" spans="1:4" x14ac:dyDescent="0.25">
      <c r="A2" s="26" t="s">
        <v>54</v>
      </c>
      <c r="B2" s="2">
        <v>34</v>
      </c>
      <c r="C2" s="2" t="str">
        <f>+_xlfn.IFS(B2&gt;25,"&gt;25",B2&gt;15,"15 to 25",B2&gt;=5,"5 to 15",B2&lt;5,"&lt;5")</f>
        <v>&gt;25</v>
      </c>
      <c r="D2" s="2" t="str">
        <f>+_xlfn.IFS(B2&gt;25,"1",B2&gt;15,"2",B2&gt;=5,"3",B2&lt;5,"4")</f>
        <v>1</v>
      </c>
    </row>
    <row r="3" spans="1:4" x14ac:dyDescent="0.25">
      <c r="A3" s="26" t="s">
        <v>60</v>
      </c>
      <c r="B3" s="2">
        <v>28</v>
      </c>
      <c r="C3" s="2" t="str">
        <f>+_xlfn.IFS(B3&gt;25,"&gt;25",B3&gt;15,"15 to 25",B3&gt;=5,"5 to 15",B3&lt;5,"&lt;5")</f>
        <v>&gt;25</v>
      </c>
      <c r="D3" s="2" t="str">
        <f>+_xlfn.IFS(B3&gt;25,"1",B3&gt;15,"2",B3&gt;=5,"3",B3&lt;5,"4")</f>
        <v>1</v>
      </c>
    </row>
    <row r="4" spans="1:4" x14ac:dyDescent="0.25">
      <c r="A4" s="26" t="s">
        <v>71</v>
      </c>
      <c r="B4" s="2">
        <v>38</v>
      </c>
      <c r="C4" s="2" t="str">
        <f>+_xlfn.IFS(B4&gt;25,"&gt;25",B4&gt;15,"15 to 25",B4&gt;=5,"5 to 15",B4&lt;5,"&lt;5")</f>
        <v>&gt;25</v>
      </c>
      <c r="D4" s="2" t="str">
        <f>+_xlfn.IFS(B4&gt;25,"1",B4&gt;15,"2",B4&gt;=5,"3",B4&lt;5,"4")</f>
        <v>1</v>
      </c>
    </row>
    <row r="5" spans="1:4" x14ac:dyDescent="0.25">
      <c r="A5" s="26" t="s">
        <v>28</v>
      </c>
      <c r="B5" s="2">
        <v>17</v>
      </c>
      <c r="C5" s="2" t="str">
        <f>+_xlfn.IFS(B5&gt;25,"&gt;25",B5&gt;15,"15 to 25",B5&gt;=5,"5 to 15",B5&lt;5,"&lt;5")</f>
        <v>15 to 25</v>
      </c>
      <c r="D5" s="2" t="str">
        <f>+_xlfn.IFS(B5&gt;25,"1",B5&gt;15,"2",B5&gt;=5,"3",B5&lt;5,"4")</f>
        <v>2</v>
      </c>
    </row>
    <row r="6" spans="1:4" x14ac:dyDescent="0.25">
      <c r="A6" s="26" t="s">
        <v>67</v>
      </c>
      <c r="B6" s="2">
        <v>18</v>
      </c>
      <c r="C6" s="2" t="str">
        <f>+_xlfn.IFS(B6&gt;25,"&gt;25",B6&gt;15,"15 to 25",B6&gt;=5,"5 to 15",B6&lt;5,"&lt;5")</f>
        <v>15 to 25</v>
      </c>
      <c r="D6" s="2" t="str">
        <f>+_xlfn.IFS(B6&gt;25,"1",B6&gt;15,"2",B6&gt;=5,"3",B6&lt;5,"4")</f>
        <v>2</v>
      </c>
    </row>
    <row r="7" spans="1:4" x14ac:dyDescent="0.25">
      <c r="A7" s="26" t="s">
        <v>35</v>
      </c>
      <c r="B7" s="2">
        <v>6</v>
      </c>
      <c r="C7" s="2" t="str">
        <f>+_xlfn.IFS(B7&gt;25,"&gt;25",B7&gt;15,"15 to 25",B7&gt;=5,"5 to 15",B7&lt;5,"&lt;5")</f>
        <v>5 to 15</v>
      </c>
      <c r="D7" s="2" t="str">
        <f>+_xlfn.IFS(B7&gt;25,"1",B7&gt;15,"2",B7&gt;=5,"3",B7&lt;5,"4")</f>
        <v>3</v>
      </c>
    </row>
    <row r="8" spans="1:4" x14ac:dyDescent="0.25">
      <c r="A8" s="26" t="s">
        <v>37</v>
      </c>
      <c r="B8" s="2">
        <v>10</v>
      </c>
      <c r="C8" s="2" t="str">
        <f>+_xlfn.IFS(B8&gt;25,"&gt;25",B8&gt;15,"15 to 25",B8&gt;=5,"5 to 15",B8&lt;5,"&lt;5")</f>
        <v>5 to 15</v>
      </c>
      <c r="D8" s="2" t="str">
        <f>+_xlfn.IFS(B8&gt;25,"1",B8&gt;15,"2",B8&gt;=5,"3",B8&lt;5,"4")</f>
        <v>3</v>
      </c>
    </row>
    <row r="9" spans="1:4" x14ac:dyDescent="0.25">
      <c r="A9" s="26" t="s">
        <v>38</v>
      </c>
      <c r="B9" s="2">
        <v>5</v>
      </c>
      <c r="C9" s="2" t="str">
        <f>+_xlfn.IFS(B9&gt;25,"&gt;25",B9&gt;15,"15 to 25",B9&gt;=5,"5 to 15",B9&lt;5,"&lt;5")</f>
        <v>5 to 15</v>
      </c>
      <c r="D9" s="2" t="str">
        <f>+_xlfn.IFS(B9&gt;25,"1",B9&gt;15,"2",B9&gt;=5,"3",B9&lt;5,"4")</f>
        <v>3</v>
      </c>
    </row>
    <row r="10" spans="1:4" x14ac:dyDescent="0.25">
      <c r="A10" s="26" t="s">
        <v>44</v>
      </c>
      <c r="B10" s="2">
        <v>8</v>
      </c>
      <c r="C10" s="2" t="str">
        <f>+_xlfn.IFS(B10&gt;25,"&gt;25",B10&gt;15,"15 to 25",B10&gt;=5,"5 to 15",B10&lt;5,"&lt;5")</f>
        <v>5 to 15</v>
      </c>
      <c r="D10" s="2" t="str">
        <f>+_xlfn.IFS(B10&gt;25,"1",B10&gt;15,"2",B10&gt;=5,"3",B10&lt;5,"4")</f>
        <v>3</v>
      </c>
    </row>
    <row r="11" spans="1:4" x14ac:dyDescent="0.25">
      <c r="A11" s="26" t="s">
        <v>45</v>
      </c>
      <c r="B11" s="2">
        <v>7</v>
      </c>
      <c r="C11" s="2" t="str">
        <f>+_xlfn.IFS(B11&gt;25,"&gt;25",B11&gt;15,"15 to 25",B11&gt;=5,"5 to 15",B11&lt;5,"&lt;5")</f>
        <v>5 to 15</v>
      </c>
      <c r="D11" s="2" t="str">
        <f>+_xlfn.IFS(B11&gt;25,"1",B11&gt;15,"2",B11&gt;=5,"3",B11&lt;5,"4")</f>
        <v>3</v>
      </c>
    </row>
    <row r="12" spans="1:4" x14ac:dyDescent="0.25">
      <c r="A12" s="26" t="s">
        <v>55</v>
      </c>
      <c r="B12" s="2">
        <v>10</v>
      </c>
      <c r="C12" s="2" t="str">
        <f>+_xlfn.IFS(B12&gt;25,"&gt;25",B12&gt;15,"15 to 25",B12&gt;=5,"5 to 15",B12&lt;5,"&lt;5")</f>
        <v>5 to 15</v>
      </c>
      <c r="D12" s="2" t="str">
        <f>+_xlfn.IFS(B12&gt;25,"1",B12&gt;15,"2",B12&gt;=5,"3",B12&lt;5,"4")</f>
        <v>3</v>
      </c>
    </row>
    <row r="13" spans="1:4" x14ac:dyDescent="0.25">
      <c r="A13" s="26" t="s">
        <v>57</v>
      </c>
      <c r="B13" s="2">
        <v>11</v>
      </c>
      <c r="C13" s="2" t="str">
        <f>+_xlfn.IFS(B13&gt;25,"&gt;25",B13&gt;15,"15 to 25",B13&gt;=5,"5 to 15",B13&lt;5,"&lt;5")</f>
        <v>5 to 15</v>
      </c>
      <c r="D13" s="2" t="str">
        <f>+_xlfn.IFS(B13&gt;25,"1",B13&gt;15,"2",B13&gt;=5,"3",B13&lt;5,"4")</f>
        <v>3</v>
      </c>
    </row>
    <row r="14" spans="1:4" x14ac:dyDescent="0.25">
      <c r="A14" s="26" t="s">
        <v>59</v>
      </c>
      <c r="B14" s="2">
        <v>7</v>
      </c>
      <c r="C14" s="2" t="str">
        <f>+_xlfn.IFS(B14&gt;25,"&gt;25",B14&gt;15,"15 to 25",B14&gt;=5,"5 to 15",B14&lt;5,"&lt;5")</f>
        <v>5 to 15</v>
      </c>
      <c r="D14" s="2" t="str">
        <f>+_xlfn.IFS(B14&gt;25,"1",B14&gt;15,"2",B14&gt;=5,"3",B14&lt;5,"4")</f>
        <v>3</v>
      </c>
    </row>
    <row r="15" spans="1:4" x14ac:dyDescent="0.25">
      <c r="A15" s="26" t="s">
        <v>69</v>
      </c>
      <c r="B15" s="2">
        <v>8</v>
      </c>
      <c r="C15" s="2" t="str">
        <f>+_xlfn.IFS(B15&gt;25,"&gt;25",B15&gt;15,"15 to 25",B15&gt;=5,"5 to 15",B15&lt;5,"&lt;5")</f>
        <v>5 to 15</v>
      </c>
      <c r="D15" s="2" t="str">
        <f>+_xlfn.IFS(B15&gt;25,"1",B15&gt;15,"2",B15&gt;=5,"3",B15&lt;5,"4")</f>
        <v>3</v>
      </c>
    </row>
    <row r="16" spans="1:4" x14ac:dyDescent="0.25">
      <c r="A16" s="26" t="s">
        <v>24</v>
      </c>
      <c r="B16" s="2">
        <v>0</v>
      </c>
      <c r="C16" s="2" t="str">
        <f>+_xlfn.IFS(B16&gt;25,"&gt;25",B16&gt;15,"15 to 25",B16&gt;=5,"5 to 15",B16&lt;5,"&lt;5")</f>
        <v>&lt;5</v>
      </c>
      <c r="D16" s="2" t="str">
        <f>+_xlfn.IFS(B16&gt;25,"1",B16&gt;15,"2",B16&gt;=5,"3",B16&lt;5,"4")</f>
        <v>4</v>
      </c>
    </row>
    <row r="17" spans="1:4" x14ac:dyDescent="0.25">
      <c r="A17" s="26" t="s">
        <v>25</v>
      </c>
      <c r="B17" s="2">
        <v>0</v>
      </c>
      <c r="C17" s="2" t="str">
        <f>+_xlfn.IFS(B17&gt;25,"&gt;25",B17&gt;15,"15 to 25",B17&gt;=5,"5 to 15",B17&lt;5,"&lt;5")</f>
        <v>&lt;5</v>
      </c>
      <c r="D17" s="2" t="str">
        <f>+_xlfn.IFS(B17&gt;25,"1",B17&gt;15,"2",B17&gt;=5,"3",B17&lt;5,"4")</f>
        <v>4</v>
      </c>
    </row>
    <row r="18" spans="1:4" x14ac:dyDescent="0.25">
      <c r="A18" s="26" t="s">
        <v>26</v>
      </c>
      <c r="B18" s="40">
        <v>2</v>
      </c>
      <c r="C18" s="2" t="str">
        <f>+_xlfn.IFS(B18&gt;25,"&gt;25",B18&gt;15,"15 to 25",B18&gt;=5,"5 to 15",B18&lt;5,"&lt;5")</f>
        <v>&lt;5</v>
      </c>
      <c r="D18" s="2" t="str">
        <f>+_xlfn.IFS(B18&gt;25,"1",B18&gt;15,"2",B18&gt;=5,"3",B18&lt;5,"4")</f>
        <v>4</v>
      </c>
    </row>
    <row r="19" spans="1:4" x14ac:dyDescent="0.25">
      <c r="A19" s="26" t="s">
        <v>27</v>
      </c>
      <c r="B19" s="40">
        <v>1</v>
      </c>
      <c r="C19" s="2" t="str">
        <f>+_xlfn.IFS(B19&gt;25,"&gt;25",B19&gt;15,"15 to 25",B19&gt;=5,"5 to 15",B19&lt;5,"&lt;5")</f>
        <v>&lt;5</v>
      </c>
      <c r="D19" s="2" t="str">
        <f>+_xlfn.IFS(B19&gt;25,"1",B19&gt;15,"2",B19&gt;=5,"3",B19&lt;5,"4")</f>
        <v>4</v>
      </c>
    </row>
    <row r="20" spans="1:4" x14ac:dyDescent="0.25">
      <c r="A20" s="26" t="s">
        <v>29</v>
      </c>
      <c r="B20" s="2">
        <v>1</v>
      </c>
      <c r="C20" s="2" t="str">
        <f>+_xlfn.IFS(B20&gt;25,"&gt;25",B20&gt;15,"15 to 25",B20&gt;=5,"5 to 15",B20&lt;5,"&lt;5")</f>
        <v>&lt;5</v>
      </c>
      <c r="D20" s="2" t="str">
        <f>+_xlfn.IFS(B20&gt;25,"1",B20&gt;15,"2",B20&gt;=5,"3",B20&lt;5,"4")</f>
        <v>4</v>
      </c>
    </row>
    <row r="21" spans="1:4" x14ac:dyDescent="0.25">
      <c r="A21" s="26" t="s">
        <v>30</v>
      </c>
      <c r="B21" s="2">
        <v>1</v>
      </c>
      <c r="C21" s="2" t="str">
        <f>+_xlfn.IFS(B21&gt;25,"&gt;25",B21&gt;15,"15 to 25",B21&gt;=5,"5 to 15",B21&lt;5,"&lt;5")</f>
        <v>&lt;5</v>
      </c>
      <c r="D21" s="2" t="str">
        <f>+_xlfn.IFS(B21&gt;25,"1",B21&gt;15,"2",B21&gt;=5,"3",B21&lt;5,"4")</f>
        <v>4</v>
      </c>
    </row>
    <row r="22" spans="1:4" x14ac:dyDescent="0.25">
      <c r="A22" s="26" t="s">
        <v>31</v>
      </c>
      <c r="B22" s="2">
        <v>0</v>
      </c>
      <c r="C22" s="2" t="str">
        <f>+_xlfn.IFS(B22&gt;25,"&gt;25",B22&gt;15,"15 to 25",B22&gt;=5,"5 to 15",B22&lt;5,"&lt;5")</f>
        <v>&lt;5</v>
      </c>
      <c r="D22" s="2" t="str">
        <f>+_xlfn.IFS(B22&gt;25,"1",B22&gt;15,"2",B22&gt;=5,"3",B22&lt;5,"4")</f>
        <v>4</v>
      </c>
    </row>
    <row r="23" spans="1:4" x14ac:dyDescent="0.25">
      <c r="A23" s="26" t="s">
        <v>32</v>
      </c>
      <c r="B23" s="2">
        <v>0</v>
      </c>
      <c r="C23" s="2" t="str">
        <f>+_xlfn.IFS(B23&gt;25,"&gt;25",B23&gt;15,"15 to 25",B23&gt;=5,"5 to 15",B23&lt;5,"&lt;5")</f>
        <v>&lt;5</v>
      </c>
      <c r="D23" s="2" t="str">
        <f>+_xlfn.IFS(B23&gt;25,"1",B23&gt;15,"2",B23&gt;=5,"3",B23&lt;5,"4")</f>
        <v>4</v>
      </c>
    </row>
    <row r="24" spans="1:4" x14ac:dyDescent="0.25">
      <c r="A24" s="26" t="s">
        <v>75</v>
      </c>
      <c r="B24" s="2">
        <v>3</v>
      </c>
      <c r="C24" s="2" t="str">
        <f>+_xlfn.IFS(B24&gt;25,"&gt;25",B24&gt;15,"15 to 25",B24&gt;=5,"5 to 15",B24&lt;5,"&lt;5")</f>
        <v>&lt;5</v>
      </c>
      <c r="D24" s="2" t="str">
        <f>+_xlfn.IFS(B24&gt;25,"1",B24&gt;15,"2",B24&gt;=5,"3",B24&lt;5,"4")</f>
        <v>4</v>
      </c>
    </row>
    <row r="25" spans="1:4" x14ac:dyDescent="0.25">
      <c r="A25" s="26" t="s">
        <v>33</v>
      </c>
      <c r="B25" s="2">
        <v>2</v>
      </c>
      <c r="C25" s="2" t="str">
        <f>+_xlfn.IFS(B25&gt;25,"&gt;25",B25&gt;15,"15 to 25",B25&gt;=5,"5 to 15",B25&lt;5,"&lt;5")</f>
        <v>&lt;5</v>
      </c>
      <c r="D25" s="2" t="str">
        <f>+_xlfn.IFS(B25&gt;25,"1",B25&gt;15,"2",B25&gt;=5,"3",B25&lt;5,"4")</f>
        <v>4</v>
      </c>
    </row>
    <row r="26" spans="1:4" x14ac:dyDescent="0.25">
      <c r="A26" s="26" t="s">
        <v>34</v>
      </c>
      <c r="B26" s="2">
        <v>0</v>
      </c>
      <c r="C26" s="2" t="str">
        <f>+_xlfn.IFS(B26&gt;25,"&gt;25",B26&gt;15,"15 to 25",B26&gt;=5,"5 to 15",B26&lt;5,"&lt;5")</f>
        <v>&lt;5</v>
      </c>
      <c r="D26" s="2" t="str">
        <f>+_xlfn.IFS(B26&gt;25,"1",B26&gt;15,"2",B26&gt;=5,"3",B26&lt;5,"4")</f>
        <v>4</v>
      </c>
    </row>
    <row r="27" spans="1:4" x14ac:dyDescent="0.25">
      <c r="A27" s="26" t="s">
        <v>36</v>
      </c>
      <c r="B27" s="2">
        <v>3</v>
      </c>
      <c r="C27" s="2" t="str">
        <f>+_xlfn.IFS(B27&gt;25,"&gt;25",B27&gt;15,"15 to 25",B27&gt;=5,"5 to 15",B27&lt;5,"&lt;5")</f>
        <v>&lt;5</v>
      </c>
      <c r="D27" s="2" t="str">
        <f>+_xlfn.IFS(B27&gt;25,"1",B27&gt;15,"2",B27&gt;=5,"3",B27&lt;5,"4")</f>
        <v>4</v>
      </c>
    </row>
    <row r="28" spans="1:4" x14ac:dyDescent="0.25">
      <c r="A28" s="26" t="s">
        <v>39</v>
      </c>
      <c r="B28" s="2">
        <v>0</v>
      </c>
      <c r="C28" s="2" t="str">
        <f>+_xlfn.IFS(B28&gt;25,"&gt;25",B28&gt;15,"15 to 25",B28&gt;=5,"5 to 15",B28&lt;5,"&lt;5")</f>
        <v>&lt;5</v>
      </c>
      <c r="D28" s="2" t="str">
        <f>+_xlfn.IFS(B28&gt;25,"1",B28&gt;15,"2",B28&gt;=5,"3",B28&lt;5,"4")</f>
        <v>4</v>
      </c>
    </row>
    <row r="29" spans="1:4" x14ac:dyDescent="0.25">
      <c r="A29" s="26" t="s">
        <v>40</v>
      </c>
      <c r="B29" s="2">
        <v>1</v>
      </c>
      <c r="C29" s="2" t="str">
        <f>+_xlfn.IFS(B29&gt;25,"&gt;25",B29&gt;15,"15 to 25",B29&gt;=5,"5 to 15",B29&lt;5,"&lt;5")</f>
        <v>&lt;5</v>
      </c>
      <c r="D29" s="2" t="str">
        <f>+_xlfn.IFS(B29&gt;25,"1",B29&gt;15,"2",B29&gt;=5,"3",B29&lt;5,"4")</f>
        <v>4</v>
      </c>
    </row>
    <row r="30" spans="1:4" x14ac:dyDescent="0.25">
      <c r="A30" s="26" t="s">
        <v>76</v>
      </c>
      <c r="B30" s="2"/>
      <c r="C30" s="2" t="str">
        <f>+_xlfn.IFS(B30&gt;25,"&gt;25",B30&gt;15,"15 to 25",B30&gt;=5,"5 to 15",B30&lt;5,"&lt;5")</f>
        <v>&lt;5</v>
      </c>
      <c r="D30" s="2" t="str">
        <f>+_xlfn.IFS(B30&gt;25,"1",B30&gt;15,"2",B30&gt;=5,"3",B30&lt;5,"4")</f>
        <v>4</v>
      </c>
    </row>
    <row r="31" spans="1:4" x14ac:dyDescent="0.25">
      <c r="A31" s="26" t="s">
        <v>41</v>
      </c>
      <c r="B31" s="2">
        <v>1</v>
      </c>
      <c r="C31" s="2" t="str">
        <f>+_xlfn.IFS(B31&gt;25,"&gt;25",B31&gt;15,"15 to 25",B31&gt;=5,"5 to 15",B31&lt;5,"&lt;5")</f>
        <v>&lt;5</v>
      </c>
      <c r="D31" s="2" t="str">
        <f>+_xlfn.IFS(B31&gt;25,"1",B31&gt;15,"2",B31&gt;=5,"3",B31&lt;5,"4")</f>
        <v>4</v>
      </c>
    </row>
    <row r="32" spans="1:4" x14ac:dyDescent="0.25">
      <c r="A32" s="26" t="s">
        <v>42</v>
      </c>
      <c r="B32" s="2">
        <v>1</v>
      </c>
      <c r="C32" s="2" t="str">
        <f>+_xlfn.IFS(B32&gt;25,"&gt;25",B32&gt;15,"15 to 25",B32&gt;=5,"5 to 15",B32&lt;5,"&lt;5")</f>
        <v>&lt;5</v>
      </c>
      <c r="D32" s="2" t="str">
        <f>+_xlfn.IFS(B32&gt;25,"1",B32&gt;15,"2",B32&gt;=5,"3",B32&lt;5,"4")</f>
        <v>4</v>
      </c>
    </row>
    <row r="33" spans="1:4" x14ac:dyDescent="0.25">
      <c r="A33" s="26" t="s">
        <v>43</v>
      </c>
      <c r="B33" s="2">
        <v>3</v>
      </c>
      <c r="C33" s="2" t="str">
        <f>+_xlfn.IFS(B33&gt;25,"&gt;25",B33&gt;15,"15 to 25",B33&gt;=5,"5 to 15",B33&lt;5,"&lt;5")</f>
        <v>&lt;5</v>
      </c>
      <c r="D33" s="2" t="str">
        <f>+_xlfn.IFS(B33&gt;25,"1",B33&gt;15,"2",B33&gt;=5,"3",B33&lt;5,"4")</f>
        <v>4</v>
      </c>
    </row>
    <row r="34" spans="1:4" x14ac:dyDescent="0.25">
      <c r="A34" s="26" t="s">
        <v>46</v>
      </c>
      <c r="B34" s="2">
        <v>4</v>
      </c>
      <c r="C34" s="2" t="str">
        <f>+_xlfn.IFS(B34&gt;25,"&gt;25",B34&gt;15,"15 to 25",B34&gt;=5,"5 to 15",B34&lt;5,"&lt;5")</f>
        <v>&lt;5</v>
      </c>
      <c r="D34" s="2" t="str">
        <f>+_xlfn.IFS(B34&gt;25,"1",B34&gt;15,"2",B34&gt;=5,"3",B34&lt;5,"4")</f>
        <v>4</v>
      </c>
    </row>
    <row r="35" spans="1:4" x14ac:dyDescent="0.25">
      <c r="A35" s="26" t="s">
        <v>47</v>
      </c>
      <c r="B35" s="2">
        <v>3</v>
      </c>
      <c r="C35" s="2" t="str">
        <f>+_xlfn.IFS(B35&gt;25,"&gt;25",B35&gt;15,"15 to 25",B35&gt;=5,"5 to 15",B35&lt;5,"&lt;5")</f>
        <v>&lt;5</v>
      </c>
      <c r="D35" s="2" t="str">
        <f>+_xlfn.IFS(B35&gt;25,"1",B35&gt;15,"2",B35&gt;=5,"3",B35&lt;5,"4")</f>
        <v>4</v>
      </c>
    </row>
    <row r="36" spans="1:4" x14ac:dyDescent="0.25">
      <c r="A36" s="26" t="s">
        <v>48</v>
      </c>
      <c r="B36" s="2">
        <v>1</v>
      </c>
      <c r="C36" s="2" t="str">
        <f>+_xlfn.IFS(B36&gt;25,"&gt;25",B36&gt;15,"15 to 25",B36&gt;=5,"5 to 15",B36&lt;5,"&lt;5")</f>
        <v>&lt;5</v>
      </c>
      <c r="D36" s="2" t="str">
        <f>+_xlfn.IFS(B36&gt;25,"1",B36&gt;15,"2",B36&gt;=5,"3",B36&lt;5,"4")</f>
        <v>4</v>
      </c>
    </row>
    <row r="37" spans="1:4" x14ac:dyDescent="0.25">
      <c r="A37" s="26" t="s">
        <v>49</v>
      </c>
      <c r="B37" s="2">
        <v>1</v>
      </c>
      <c r="C37" s="2" t="str">
        <f>+_xlfn.IFS(B37&gt;25,"&gt;25",B37&gt;15,"15 to 25",B37&gt;=5,"5 to 15",B37&lt;5,"&lt;5")</f>
        <v>&lt;5</v>
      </c>
      <c r="D37" s="2" t="str">
        <f>+_xlfn.IFS(B37&gt;25,"1",B37&gt;15,"2",B37&gt;=5,"3",B37&lt;5,"4")</f>
        <v>4</v>
      </c>
    </row>
    <row r="38" spans="1:4" x14ac:dyDescent="0.25">
      <c r="A38" s="26" t="s">
        <v>50</v>
      </c>
      <c r="B38" s="2">
        <v>0</v>
      </c>
      <c r="C38" s="2" t="str">
        <f>+_xlfn.IFS(B38&gt;25,"&gt;25",B38&gt;15,"15 to 25",B38&gt;=5,"5 to 15",B38&lt;5,"&lt;5")</f>
        <v>&lt;5</v>
      </c>
      <c r="D38" s="2" t="str">
        <f>+_xlfn.IFS(B38&gt;25,"1",B38&gt;15,"2",B38&gt;=5,"3",B38&lt;5,"4")</f>
        <v>4</v>
      </c>
    </row>
    <row r="39" spans="1:4" x14ac:dyDescent="0.25">
      <c r="A39" s="26" t="s">
        <v>51</v>
      </c>
      <c r="B39" s="2">
        <v>0</v>
      </c>
      <c r="C39" s="2" t="str">
        <f>+_xlfn.IFS(B39&gt;25,"&gt;25",B39&gt;15,"15 to 25",B39&gt;=5,"5 to 15",B39&lt;5,"&lt;5")</f>
        <v>&lt;5</v>
      </c>
      <c r="D39" s="2" t="str">
        <f>+_xlfn.IFS(B39&gt;25,"1",B39&gt;15,"2",B39&gt;=5,"3",B39&lt;5,"4")</f>
        <v>4</v>
      </c>
    </row>
    <row r="40" spans="1:4" x14ac:dyDescent="0.25">
      <c r="A40" s="26" t="s">
        <v>52</v>
      </c>
      <c r="B40" s="2">
        <v>0</v>
      </c>
      <c r="C40" s="2" t="str">
        <f>+_xlfn.IFS(B40&gt;25,"&gt;25",B40&gt;15,"15 to 25",B40&gt;=5,"5 to 15",B40&lt;5,"&lt;5")</f>
        <v>&lt;5</v>
      </c>
      <c r="D40" s="2" t="str">
        <f>+_xlfn.IFS(B40&gt;25,"1",B40&gt;15,"2",B40&gt;=5,"3",B40&lt;5,"4")</f>
        <v>4</v>
      </c>
    </row>
    <row r="41" spans="1:4" x14ac:dyDescent="0.25">
      <c r="A41" s="26" t="s">
        <v>53</v>
      </c>
      <c r="B41" s="2">
        <v>0</v>
      </c>
      <c r="C41" s="2" t="str">
        <f>+_xlfn.IFS(B41&gt;25,"&gt;25",B41&gt;15,"15 to 25",B41&gt;=5,"5 to 15",B41&lt;5,"&lt;5")</f>
        <v>&lt;5</v>
      </c>
      <c r="D41" s="2" t="str">
        <f>+_xlfn.IFS(B41&gt;25,"1",B41&gt;15,"2",B41&gt;=5,"3",B41&lt;5,"4")</f>
        <v>4</v>
      </c>
    </row>
    <row r="42" spans="1:4" x14ac:dyDescent="0.25">
      <c r="A42" s="26" t="s">
        <v>56</v>
      </c>
      <c r="B42" s="2">
        <v>0</v>
      </c>
      <c r="C42" s="2" t="str">
        <f>+_xlfn.IFS(B42&gt;25,"&gt;25",B42&gt;15,"15 to 25",B42&gt;=5,"5 to 15",B42&lt;5,"&lt;5")</f>
        <v>&lt;5</v>
      </c>
      <c r="D42" s="2" t="str">
        <f>+_xlfn.IFS(B42&gt;25,"1",B42&gt;15,"2",B42&gt;=5,"3",B42&lt;5,"4")</f>
        <v>4</v>
      </c>
    </row>
    <row r="43" spans="1:4" x14ac:dyDescent="0.25">
      <c r="A43" s="26" t="s">
        <v>58</v>
      </c>
      <c r="B43" s="2">
        <v>1</v>
      </c>
      <c r="C43" s="2" t="str">
        <f>+_xlfn.IFS(B43&gt;25,"&gt;25",B43&gt;15,"15 to 25",B43&gt;=5,"5 to 15",B43&lt;5,"&lt;5")</f>
        <v>&lt;5</v>
      </c>
      <c r="D43" s="2" t="str">
        <f>+_xlfn.IFS(B43&gt;25,"1",B43&gt;15,"2",B43&gt;=5,"3",B43&lt;5,"4")</f>
        <v>4</v>
      </c>
    </row>
    <row r="44" spans="1:4" x14ac:dyDescent="0.25">
      <c r="A44" s="26" t="s">
        <v>61</v>
      </c>
      <c r="B44" s="2">
        <v>0</v>
      </c>
      <c r="C44" s="2" t="str">
        <f>+_xlfn.IFS(B44&gt;25,"&gt;25",B44&gt;15,"15 to 25",B44&gt;=5,"5 to 15",B44&lt;5,"&lt;5")</f>
        <v>&lt;5</v>
      </c>
      <c r="D44" s="2" t="str">
        <f>+_xlfn.IFS(B44&gt;25,"1",B44&gt;15,"2",B44&gt;=5,"3",B44&lt;5,"4")</f>
        <v>4</v>
      </c>
    </row>
    <row r="45" spans="1:4" x14ac:dyDescent="0.25">
      <c r="A45" s="26" t="s">
        <v>62</v>
      </c>
      <c r="B45" s="2">
        <v>2</v>
      </c>
      <c r="C45" s="2" t="str">
        <f>+_xlfn.IFS(B45&gt;25,"&gt;25",B45&gt;15,"15 to 25",B45&gt;=5,"5 to 15",B45&lt;5,"&lt;5")</f>
        <v>&lt;5</v>
      </c>
      <c r="D45" s="2" t="str">
        <f>+_xlfn.IFS(B45&gt;25,"1",B45&gt;15,"2",B45&gt;=5,"3",B45&lt;5,"4")</f>
        <v>4</v>
      </c>
    </row>
    <row r="46" spans="1:4" x14ac:dyDescent="0.25">
      <c r="A46" s="26" t="s">
        <v>63</v>
      </c>
      <c r="B46" s="2">
        <v>1</v>
      </c>
      <c r="C46" s="2" t="str">
        <f>+_xlfn.IFS(B46&gt;25,"&gt;25",B46&gt;15,"15 to 25",B46&gt;=5,"5 to 15",B46&lt;5,"&lt;5")</f>
        <v>&lt;5</v>
      </c>
      <c r="D46" s="2" t="str">
        <f>+_xlfn.IFS(B46&gt;25,"1",B46&gt;15,"2",B46&gt;=5,"3",B46&lt;5,"4")</f>
        <v>4</v>
      </c>
    </row>
    <row r="47" spans="1:4" x14ac:dyDescent="0.25">
      <c r="A47" s="26" t="s">
        <v>64</v>
      </c>
      <c r="B47" s="2">
        <v>0</v>
      </c>
      <c r="C47" s="2" t="str">
        <f>+_xlfn.IFS(B47&gt;25,"&gt;25",B47&gt;15,"15 to 25",B47&gt;=5,"5 to 15",B47&lt;5,"&lt;5")</f>
        <v>&lt;5</v>
      </c>
      <c r="D47" s="2" t="str">
        <f>+_xlfn.IFS(B47&gt;25,"1",B47&gt;15,"2",B47&gt;=5,"3",B47&lt;5,"4")</f>
        <v>4</v>
      </c>
    </row>
    <row r="48" spans="1:4" x14ac:dyDescent="0.25">
      <c r="A48" s="26" t="s">
        <v>65</v>
      </c>
      <c r="B48" s="2">
        <v>2</v>
      </c>
      <c r="C48" s="2" t="str">
        <f>+_xlfn.IFS(B48&gt;25,"&gt;25",B48&gt;15,"15 to 25",B48&gt;=5,"5 to 15",B48&lt;5,"&lt;5")</f>
        <v>&lt;5</v>
      </c>
      <c r="D48" s="2" t="str">
        <f>+_xlfn.IFS(B48&gt;25,"1",B48&gt;15,"2",B48&gt;=5,"3",B48&lt;5,"4")</f>
        <v>4</v>
      </c>
    </row>
    <row r="49" spans="1:4" x14ac:dyDescent="0.25">
      <c r="A49" s="26" t="s">
        <v>66</v>
      </c>
      <c r="B49" s="2">
        <v>4</v>
      </c>
      <c r="C49" s="2" t="str">
        <f>+_xlfn.IFS(B49&gt;25,"&gt;25",B49&gt;15,"15 to 25",B49&gt;=5,"5 to 15",B49&lt;5,"&lt;5")</f>
        <v>&lt;5</v>
      </c>
      <c r="D49" s="2" t="str">
        <f>+_xlfn.IFS(B49&gt;25,"1",B49&gt;15,"2",B49&gt;=5,"3",B49&lt;5,"4")</f>
        <v>4</v>
      </c>
    </row>
    <row r="50" spans="1:4" x14ac:dyDescent="0.25">
      <c r="A50" s="26" t="s">
        <v>68</v>
      </c>
      <c r="B50" s="2">
        <v>1</v>
      </c>
      <c r="C50" s="2" t="str">
        <f>+_xlfn.IFS(B50&gt;25,"&gt;25",B50&gt;15,"15 to 25",B50&gt;=5,"5 to 15",B50&lt;5,"&lt;5")</f>
        <v>&lt;5</v>
      </c>
      <c r="D50" s="2" t="str">
        <f>+_xlfn.IFS(B50&gt;25,"1",B50&gt;15,"2",B50&gt;=5,"3",B50&lt;5,"4")</f>
        <v>4</v>
      </c>
    </row>
    <row r="51" spans="1:4" x14ac:dyDescent="0.25">
      <c r="A51" s="26" t="s">
        <v>70</v>
      </c>
      <c r="B51" s="2">
        <v>0</v>
      </c>
      <c r="C51" s="2" t="str">
        <f>+_xlfn.IFS(B51&gt;25,"&gt;25",B51&gt;15,"15 to 25",B51&gt;=5,"5 to 15",B51&lt;5,"&lt;5")</f>
        <v>&lt;5</v>
      </c>
      <c r="D51" s="2" t="str">
        <f>+_xlfn.IFS(B51&gt;25,"1",B51&gt;15,"2",B51&gt;=5,"3",B51&lt;5,"4")</f>
        <v>4</v>
      </c>
    </row>
    <row r="52" spans="1:4" x14ac:dyDescent="0.25">
      <c r="A52" s="26" t="s">
        <v>72</v>
      </c>
      <c r="B52" s="2">
        <v>2</v>
      </c>
      <c r="C52" s="2" t="str">
        <f>+_xlfn.IFS(B52&gt;25,"&gt;25",B52&gt;15,"15 to 25",B52&gt;=5,"5 to 15",B52&lt;5,"&lt;5")</f>
        <v>&lt;5</v>
      </c>
      <c r="D52" s="2" t="str">
        <f>+_xlfn.IFS(B52&gt;25,"1",B52&gt;15,"2",B52&gt;=5,"3",B52&lt;5,"4")</f>
        <v>4</v>
      </c>
    </row>
  </sheetData>
  <autoFilter ref="A1:D1">
    <sortState ref="A2:D52">
      <sortCondition ref="D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Ethanol</vt:lpstr>
      <vt:lpstr>EthanolMap</vt:lpstr>
      <vt:lpstr>Biodiesel</vt:lpstr>
      <vt:lpstr>BiodieselMap</vt:lpstr>
      <vt:lpstr>WoodPellets</vt:lpstr>
      <vt:lpstr>WoodPelletsMap</vt:lpstr>
      <vt:lpstr>WTE</vt:lpstr>
      <vt:lpstr>WTEMap</vt:lpstr>
      <vt:lpstr>Biogas</vt:lpstr>
      <vt:lpstr>BiogasMap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Pascual, Janire</dc:creator>
  <cp:lastModifiedBy>Pascual, Janire</cp:lastModifiedBy>
  <dcterms:created xsi:type="dcterms:W3CDTF">2018-03-21T15:45:21Z</dcterms:created>
  <dcterms:modified xsi:type="dcterms:W3CDTF">2018-04-02T14:57:43Z</dcterms:modified>
</cp:coreProperties>
</file>