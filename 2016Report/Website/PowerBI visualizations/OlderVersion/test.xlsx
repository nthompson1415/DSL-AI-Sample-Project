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cualj17\Documents\"/>
    </mc:Choice>
  </mc:AlternateContent>
  <bookViews>
    <workbookView xWindow="0" yWindow="0" windowWidth="28800" windowHeight="11910"/>
  </bookViews>
  <sheets>
    <sheet name="Sheet1" sheetId="1" r:id="rId1"/>
    <sheet name="Sheet2" sheetId="2" r:id="rId2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2" l="1"/>
  <c r="D54" i="2"/>
  <c r="C54" i="2"/>
</calcChain>
</file>

<file path=xl/sharedStrings.xml><?xml version="1.0" encoding="utf-8"?>
<sst xmlns="http://schemas.openxmlformats.org/spreadsheetml/2006/main" count="118" uniqueCount="114">
  <si>
    <t>Year</t>
  </si>
  <si>
    <t>STATE</t>
  </si>
  <si>
    <t>AK</t>
  </si>
  <si>
    <t>AL</t>
  </si>
  <si>
    <t>AR</t>
  </si>
  <si>
    <t>AZ</t>
  </si>
  <si>
    <t>CA</t>
  </si>
  <si>
    <t>CO</t>
  </si>
  <si>
    <t>FL</t>
  </si>
  <si>
    <t>GA</t>
  </si>
  <si>
    <t>IA</t>
  </si>
  <si>
    <t>ID</t>
  </si>
  <si>
    <t>IN</t>
  </si>
  <si>
    <t>KY</t>
  </si>
  <si>
    <t>LA</t>
  </si>
  <si>
    <t>ME</t>
  </si>
  <si>
    <t>MI</t>
  </si>
  <si>
    <t>MN</t>
  </si>
  <si>
    <t>MO</t>
  </si>
  <si>
    <t>MS</t>
  </si>
  <si>
    <t>NC</t>
  </si>
  <si>
    <t>NE</t>
  </si>
  <si>
    <t>NH</t>
  </si>
  <si>
    <t>NM</t>
  </si>
  <si>
    <t>NY</t>
  </si>
  <si>
    <t>OH</t>
  </si>
  <si>
    <t>OR</t>
  </si>
  <si>
    <t>PA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</si>
  <si>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</si>
  <si>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</si>
  <si>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</si>
  <si>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</si>
  <si>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</si>
  <si>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</si>
  <si>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</si>
  <si>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</si>
  <si>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</si>
  <si>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</si>
  <si>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</si>
  <si>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Indiana</t>
  </si>
  <si>
    <t>Colorado</t>
  </si>
  <si>
    <t>Nevada</t>
  </si>
  <si>
    <t>Alabama</t>
  </si>
  <si>
    <t>Alaska</t>
  </si>
  <si>
    <t>Arizona</t>
  </si>
  <si>
    <t>Arkansas</t>
  </si>
  <si>
    <t>California</t>
  </si>
  <si>
    <t>Connecticut</t>
  </si>
  <si>
    <t>CT</t>
  </si>
  <si>
    <t>Delaware</t>
  </si>
  <si>
    <t>DE</t>
  </si>
  <si>
    <t>District of Columbia</t>
  </si>
  <si>
    <t>DC</t>
  </si>
  <si>
    <t>Floria</t>
  </si>
  <si>
    <t>Georgia</t>
  </si>
  <si>
    <t>Hawaii</t>
  </si>
  <si>
    <t>HI</t>
  </si>
  <si>
    <t>Idaho</t>
  </si>
  <si>
    <t>Illinois</t>
  </si>
  <si>
    <t>IL</t>
  </si>
  <si>
    <t>Iowa</t>
  </si>
  <si>
    <t>Kansas</t>
  </si>
  <si>
    <t>KS</t>
  </si>
  <si>
    <t>Kentucky</t>
  </si>
  <si>
    <t>Lousiana</t>
  </si>
  <si>
    <t>Maine</t>
  </si>
  <si>
    <t>Maryland</t>
  </si>
  <si>
    <t>MD</t>
  </si>
  <si>
    <t>Massachusetts</t>
  </si>
  <si>
    <t>MA</t>
  </si>
  <si>
    <t>Michigan</t>
  </si>
  <si>
    <t>Minnesota</t>
  </si>
  <si>
    <t>Mississippi</t>
  </si>
  <si>
    <t>Missouri</t>
  </si>
  <si>
    <t>Montana</t>
  </si>
  <si>
    <t>MT</t>
  </si>
  <si>
    <t>Nebraska</t>
  </si>
  <si>
    <t>NV</t>
  </si>
  <si>
    <t>New Hampshire</t>
  </si>
  <si>
    <t>New Jersey</t>
  </si>
  <si>
    <t>NJ</t>
  </si>
  <si>
    <t>New Mexico</t>
  </si>
  <si>
    <t>New York</t>
  </si>
  <si>
    <t>North Carolina</t>
  </si>
  <si>
    <t>North Dakota</t>
  </si>
  <si>
    <t>ND</t>
  </si>
  <si>
    <t>Ohio</t>
  </si>
  <si>
    <t>Oklahoma</t>
  </si>
  <si>
    <t>OK</t>
  </si>
  <si>
    <t>Oregon</t>
  </si>
  <si>
    <t>Pennsylvania</t>
  </si>
  <si>
    <t>Rhode Island</t>
  </si>
  <si>
    <t>RI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</si>
  <si>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</si>
  <si>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</si>
  <si>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</si>
  <si>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</si>
  <si>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</si>
  <si>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</si>
  <si>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</si>
  <si>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</si>
  <si>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</si>
  <si>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</si>
  <si>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</si>
  <si>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</t>
  </si>
  <si>
    <t>BTU produced in US (trillions)</t>
  </si>
  <si>
    <t>Ethanol</t>
  </si>
  <si>
    <t>Biodiesel</t>
  </si>
  <si>
    <t>Wood Pellets</t>
  </si>
  <si>
    <t>Production  (million metric tons)</t>
  </si>
  <si>
    <t xml:space="preserve"> (Thousand metric tons)</t>
  </si>
  <si>
    <t>Ethanol production</t>
  </si>
  <si>
    <t xml:space="preserve">2016 Wood Pellets fuel capacity </t>
  </si>
  <si>
    <t xml:space="preserve">2016 Biodiesel production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</si>
</sst>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7" formatCode="0.0"/>
    <numFmt numFmtId="168" formatCode="#,##0.000"/>
    <numFmt numFmtId="174" formatCode="0.000"/>
    <numFmt numFmtId="17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0" xfId="0" applyFont="1" applyFill="1" applyBorder="1" applyAlignment="1">
      <alignment horizontal="left" vertical="center"/>
    </xf>
    <xf numFmtId="0" fontId="0" fillId="2" borderId="2" xfId="0" applyFill="1" applyBorder="1" applyProtection="1"/>
    <xf numFmtId="0" fontId="3" fillId="2" borderId="2" xfId="0" applyFont="1" applyFill="1" applyBorder="1" applyAlignment="1" applyProtection="1">
      <alignment vertical="center" wrapText="1"/>
    </xf>
    <xf numFmtId="0" fontId="0" fillId="2" borderId="1" xfId="0" applyFill="1" applyBorder="1" applyProtection="1"/>
    <xf numFmtId="0" fontId="3" fillId="2" borderId="1" xfId="0" applyFont="1" applyFill="1" applyBorder="1" applyAlignment="1" applyProtection="1">
      <alignment vertical="center" wrapText="1"/>
    </xf>
    <xf numFmtId="0" fontId="0" fillId="2" borderId="0" xfId="0" applyFill="1" applyBorder="1" applyProtection="1"/>
    <xf numFmtId="2" fontId="0" fillId="0" borderId="0" xfId="0" applyNumberFormat="1"/>
    <xf numFmtId="167" fontId="0" fillId="0" borderId="0" xfId="0" applyNumberFormat="1"/>
    <xf numFmtId="1" fontId="0" fillId="0" borderId="0" xfId="0" applyNumberFormat="1"/>
    <xf numFmtId="2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center"/>
    </xf>
    <xf numFmtId="168" fontId="0" fillId="0" borderId="1" xfId="0" applyNumberFormat="1" applyBorder="1"/>
    <xf numFmtId="0" fontId="2" fillId="0" borderId="0" xfId="0" applyFont="1"/>
    <xf numFmtId="1" fontId="2" fillId="0" borderId="0" xfId="0" applyNumberFormat="1" applyFont="1"/>
    <xf numFmtId="0" fontId="1" fillId="0" borderId="4" xfId="0" applyFont="1" applyFill="1" applyBorder="1" applyAlignment="1">
      <alignment horizontal="center"/>
    </xf>
    <xf numFmtId="174" fontId="0" fillId="0" borderId="0" xfId="0" applyNumberFormat="1"/>
    <xf numFmtId="17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C27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C8" sqref="C8"/>
    </sheetView>
  </sheetViews>
  <sheetFormatPr defaultRowHeight="15" x14ac:dyDescent="0.25"/>
  <cols>
    <col min="1" max="1" width="5" bestFit="1" customWidth="1"/>
    <col min="2" max="2" width="10.7109375" customWidth="1"/>
    <col min="3" max="3" width="13.7109375" customWidth="1"/>
    <col min="4" max="4" width="10.42578125" customWidth="1"/>
    <col min="5" max="5" width="9.85546875" customWidth="1"/>
    <col min="7" max="7" width="13.28515625" customWidth="1"/>
  </cols>
  <sheetData>
    <row r="1" spans="1:12" x14ac:dyDescent="0.25">
      <c r="A1" s="3" t="s">
        <v>0</v>
      </c>
      <c r="B1" s="2" t="s">
        <v>106</v>
      </c>
      <c r="C1" s="2" t="s">
        <v>107</v>
      </c>
      <c r="D1" s="2" t="s">
        <v>108</v>
      </c>
      <c r="E1" s="2" t="s">
        <v>106</v>
      </c>
      <c r="F1" s="2" t="s">
        <v>107</v>
      </c>
      <c r="G1" s="2" t="s">
        <v>108</v>
      </c>
    </row>
    <row r="2" spans="1:12" x14ac:dyDescent="0.25">
      <c r="A2" s="1">
        <v>2010</v>
      </c>
      <c r="B2" s="12">
        <v>1.84</v>
      </c>
      <c r="C2" s="13">
        <v>2.8</v>
      </c>
      <c r="D2" s="13">
        <v>1981</v>
      </c>
      <c r="E2" s="15">
        <v>39.761020000000002</v>
      </c>
      <c r="F2" s="2">
        <v>1.1357073</v>
      </c>
      <c r="G2" s="2">
        <v>3</v>
      </c>
    </row>
    <row r="3" spans="1:12" x14ac:dyDescent="0.25">
      <c r="A3" s="1">
        <v>2011</v>
      </c>
      <c r="B3" s="12">
        <v>2.56</v>
      </c>
      <c r="C3" s="13">
        <v>3.53</v>
      </c>
      <c r="D3" s="13">
        <v>2010</v>
      </c>
      <c r="E3" s="15">
        <v>41.647710000000004</v>
      </c>
      <c r="F3" s="2">
        <v>3.2018336999999999</v>
      </c>
      <c r="G3" s="2">
        <v>4</v>
      </c>
    </row>
    <row r="4" spans="1:12" x14ac:dyDescent="0.25">
      <c r="A4" s="1">
        <v>2012</v>
      </c>
      <c r="B4" s="12">
        <v>2.5</v>
      </c>
      <c r="C4" s="13">
        <v>3.69</v>
      </c>
      <c r="D4" s="13">
        <v>2010</v>
      </c>
      <c r="E4" s="15">
        <v>39.521819999999998</v>
      </c>
      <c r="F4" s="2">
        <v>3.2813001000000002</v>
      </c>
      <c r="G4" s="2">
        <v>5.0999999999999996</v>
      </c>
    </row>
    <row r="5" spans="1:12" x14ac:dyDescent="0.25">
      <c r="A5" s="1">
        <v>2013</v>
      </c>
      <c r="B5" s="12">
        <v>2.5</v>
      </c>
      <c r="C5" s="13">
        <v>3.67</v>
      </c>
      <c r="D5" s="13">
        <v>2170</v>
      </c>
      <c r="E5" s="15">
        <v>39.746070000000003</v>
      </c>
      <c r="F5" s="2">
        <v>4.4997848999999999</v>
      </c>
      <c r="G5" s="2">
        <v>5.7</v>
      </c>
    </row>
    <row r="6" spans="1:12" x14ac:dyDescent="0.25">
      <c r="A6" s="1">
        <v>2014</v>
      </c>
      <c r="B6" s="12">
        <v>2.39</v>
      </c>
      <c r="C6" s="13">
        <v>3.6</v>
      </c>
      <c r="D6" s="13">
        <v>2230</v>
      </c>
      <c r="E6" s="15">
        <v>42.795870000000001</v>
      </c>
      <c r="F6" s="2">
        <v>4.2348968999999999</v>
      </c>
      <c r="G6" s="2">
        <v>6.9</v>
      </c>
    </row>
    <row r="7" spans="1:12" x14ac:dyDescent="0.25">
      <c r="A7" s="1">
        <v>2015</v>
      </c>
      <c r="B7" s="12">
        <v>1.82</v>
      </c>
      <c r="C7" s="13">
        <v>2.64</v>
      </c>
      <c r="D7" s="13">
        <v>2040</v>
      </c>
      <c r="E7" s="15">
        <v>43.953000000000003</v>
      </c>
      <c r="F7" s="2">
        <v>4.1819192999999997</v>
      </c>
      <c r="G7" s="2">
        <v>7.4</v>
      </c>
      <c r="I7" s="14" t="s">
        <v>105</v>
      </c>
      <c r="J7" s="14"/>
      <c r="K7" s="14"/>
      <c r="L7" t="s">
        <v>109</v>
      </c>
    </row>
    <row r="8" spans="1:12" x14ac:dyDescent="0.25">
      <c r="A8" s="18"/>
      <c r="E8" s="19"/>
      <c r="F8" s="20"/>
      <c r="G8" s="10"/>
    </row>
    <row r="9" spans="1:12" x14ac:dyDescent="0.25">
      <c r="B9" s="9"/>
    </row>
  </sheetData>
  <mergeCells count="1">
    <mergeCell ref="I7:K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opLeftCell="A28" workbookViewId="0">
      <selection activeCell="C54" sqref="C54:E54"/>
    </sheetView>
  </sheetViews>
  <sheetFormatPr defaultRowHeight="15" x14ac:dyDescent="0.25"/>
  <cols>
    <col min="1" max="1" width="18.7109375" bestFit="1" customWidth="1"/>
    <col min="2" max="2" width="6.28515625" bestFit="1" customWidth="1"/>
    <col min="3" max="3" width="15.140625" customWidth="1"/>
    <col min="5" max="5" width="9.140625" style="16"/>
  </cols>
  <sheetData>
    <row r="1" spans="1:8" x14ac:dyDescent="0.25">
      <c r="A1" t="s">
        <v>1</v>
      </c>
      <c r="B1" t="s">
        <v>1</v>
      </c>
      <c r="C1" t="s">
        <v>112</v>
      </c>
      <c r="D1" t="s">
        <v>113</v>
      </c>
      <c r="E1" s="16" t="s">
        <v>111</v>
      </c>
    </row>
    <row r="2" spans="1:8" x14ac:dyDescent="0.25">
      <c r="A2" s="4" t="s">
        <v>42</v>
      </c>
      <c r="B2" s="5" t="s">
        <v>3</v>
      </c>
      <c r="C2" s="11">
        <v>788.14700000000005</v>
      </c>
      <c r="D2" s="11">
        <v>66.222000000000008</v>
      </c>
      <c r="E2" s="17">
        <v>0</v>
      </c>
    </row>
    <row r="3" spans="1:8" x14ac:dyDescent="0.25">
      <c r="A3" s="6" t="s">
        <v>43</v>
      </c>
      <c r="B3" s="7" t="s">
        <v>2</v>
      </c>
      <c r="C3" s="11">
        <v>31.751000000000001</v>
      </c>
      <c r="D3" s="11">
        <v>0</v>
      </c>
      <c r="E3" s="17">
        <v>0</v>
      </c>
    </row>
    <row r="4" spans="1:8" x14ac:dyDescent="0.25">
      <c r="A4" s="6" t="s">
        <v>44</v>
      </c>
      <c r="B4" s="7" t="s">
        <v>5</v>
      </c>
      <c r="C4" s="11">
        <v>72.573999999999998</v>
      </c>
      <c r="D4" s="11">
        <v>6.6222000000000003</v>
      </c>
      <c r="E4" s="17">
        <v>149.5</v>
      </c>
      <c r="H4" t="s">
        <v>110</v>
      </c>
    </row>
    <row r="5" spans="1:8" x14ac:dyDescent="0.25">
      <c r="A5" s="6" t="s">
        <v>45</v>
      </c>
      <c r="B5" s="7" t="s">
        <v>4</v>
      </c>
      <c r="C5" s="11">
        <v>627.173</v>
      </c>
      <c r="D5" s="11">
        <v>248.33250000000001</v>
      </c>
      <c r="E5" s="17">
        <v>0</v>
      </c>
    </row>
    <row r="6" spans="1:8" x14ac:dyDescent="0.25">
      <c r="A6" s="6" t="s">
        <v>46</v>
      </c>
      <c r="B6" s="7" t="s">
        <v>6</v>
      </c>
      <c r="C6" s="11">
        <v>154.221</v>
      </c>
      <c r="D6" s="11">
        <v>264.88800000000003</v>
      </c>
      <c r="E6" s="17">
        <v>654.0625</v>
      </c>
    </row>
    <row r="7" spans="1:8" x14ac:dyDescent="0.25">
      <c r="A7" s="6" t="s">
        <v>40</v>
      </c>
      <c r="B7" s="7" t="s">
        <v>7</v>
      </c>
      <c r="C7" s="11">
        <v>206.83700000000002</v>
      </c>
      <c r="D7" s="11">
        <v>0</v>
      </c>
      <c r="E7" s="17">
        <v>379.73</v>
      </c>
    </row>
    <row r="8" spans="1:8" x14ac:dyDescent="0.25">
      <c r="A8" s="6" t="s">
        <v>47</v>
      </c>
      <c r="B8" s="7" t="s">
        <v>48</v>
      </c>
      <c r="C8" s="11">
        <v>0</v>
      </c>
      <c r="D8" s="11">
        <v>49.666499999999999</v>
      </c>
      <c r="E8" s="17">
        <v>0</v>
      </c>
    </row>
    <row r="9" spans="1:8" x14ac:dyDescent="0.25">
      <c r="A9" s="6" t="s">
        <v>49</v>
      </c>
      <c r="B9" s="7" t="s">
        <v>50</v>
      </c>
      <c r="C9" s="11">
        <v>0</v>
      </c>
      <c r="D9" s="11">
        <v>0</v>
      </c>
      <c r="E9" s="17">
        <v>0</v>
      </c>
    </row>
    <row r="10" spans="1:8" x14ac:dyDescent="0.25">
      <c r="A10" s="6" t="s">
        <v>51</v>
      </c>
      <c r="B10" s="7" t="s">
        <v>52</v>
      </c>
      <c r="C10" s="11">
        <v>0</v>
      </c>
      <c r="D10" s="11">
        <v>0</v>
      </c>
      <c r="E10" s="17">
        <v>0</v>
      </c>
    </row>
    <row r="11" spans="1:8" x14ac:dyDescent="0.25">
      <c r="A11" s="6" t="s">
        <v>53</v>
      </c>
      <c r="B11" s="7" t="s">
        <v>8</v>
      </c>
      <c r="C11" s="11">
        <v>686.28700000000003</v>
      </c>
      <c r="D11" s="11">
        <v>79.466399999999993</v>
      </c>
      <c r="E11" s="17">
        <v>0</v>
      </c>
    </row>
    <row r="12" spans="1:8" x14ac:dyDescent="0.25">
      <c r="A12" s="6" t="s">
        <v>54</v>
      </c>
      <c r="B12" s="7" t="s">
        <v>9</v>
      </c>
      <c r="C12" s="11">
        <v>1937.154</v>
      </c>
      <c r="D12" s="11">
        <v>66.222000000000008</v>
      </c>
      <c r="E12" s="17">
        <v>358.8</v>
      </c>
    </row>
    <row r="13" spans="1:8" x14ac:dyDescent="0.25">
      <c r="A13" s="6" t="s">
        <v>55</v>
      </c>
      <c r="B13" s="7" t="s">
        <v>56</v>
      </c>
      <c r="C13" s="11">
        <v>0</v>
      </c>
      <c r="D13" s="11">
        <v>19.866599999999998</v>
      </c>
      <c r="E13" s="17">
        <v>0</v>
      </c>
    </row>
    <row r="14" spans="1:8" x14ac:dyDescent="0.25">
      <c r="A14" s="6" t="s">
        <v>57</v>
      </c>
      <c r="B14" s="7" t="s">
        <v>11</v>
      </c>
      <c r="C14" s="11">
        <v>227.39999999999998</v>
      </c>
      <c r="D14" s="11">
        <v>0</v>
      </c>
      <c r="E14" s="17">
        <v>179.4</v>
      </c>
    </row>
    <row r="15" spans="1:8" x14ac:dyDescent="0.25">
      <c r="A15" s="6" t="s">
        <v>58</v>
      </c>
      <c r="B15" s="7" t="s">
        <v>59</v>
      </c>
      <c r="C15" s="11">
        <v>0</v>
      </c>
      <c r="D15" s="11">
        <v>566.19810000000007</v>
      </c>
      <c r="E15" s="17">
        <v>5223.53</v>
      </c>
    </row>
    <row r="16" spans="1:8" x14ac:dyDescent="0.25">
      <c r="A16" s="6" t="s">
        <v>39</v>
      </c>
      <c r="B16" s="7" t="s">
        <v>12</v>
      </c>
      <c r="C16" s="11">
        <v>84.366</v>
      </c>
      <c r="D16" s="11">
        <v>344.3544</v>
      </c>
      <c r="E16" s="17">
        <v>3507.27</v>
      </c>
    </row>
    <row r="17" spans="1:5" x14ac:dyDescent="0.25">
      <c r="A17" s="6" t="s">
        <v>60</v>
      </c>
      <c r="B17" s="7" t="s">
        <v>10</v>
      </c>
      <c r="C17" s="11">
        <v>27.215</v>
      </c>
      <c r="D17" s="11">
        <v>1228.4181000000001</v>
      </c>
      <c r="E17" s="17">
        <v>12226.11</v>
      </c>
    </row>
    <row r="18" spans="1:5" x14ac:dyDescent="0.25">
      <c r="A18" s="6" t="s">
        <v>61</v>
      </c>
      <c r="B18" s="7" t="s">
        <v>62</v>
      </c>
      <c r="C18" s="11">
        <v>0</v>
      </c>
      <c r="D18" s="11">
        <v>168.86609999999999</v>
      </c>
      <c r="E18" s="17">
        <v>1500.98</v>
      </c>
    </row>
    <row r="19" spans="1:5" x14ac:dyDescent="0.25">
      <c r="A19" s="6" t="s">
        <v>63</v>
      </c>
      <c r="B19" s="7" t="s">
        <v>13</v>
      </c>
      <c r="C19" s="11">
        <v>60.780999999999999</v>
      </c>
      <c r="D19" s="11">
        <v>162.2439</v>
      </c>
      <c r="E19" s="17">
        <v>107.64</v>
      </c>
    </row>
    <row r="20" spans="1:5" x14ac:dyDescent="0.25">
      <c r="A20" s="6" t="s">
        <v>64</v>
      </c>
      <c r="B20" s="7" t="s">
        <v>14</v>
      </c>
      <c r="C20" s="11">
        <v>724.35200000000009</v>
      </c>
      <c r="D20" s="11">
        <v>0</v>
      </c>
      <c r="E20" s="17">
        <v>0</v>
      </c>
    </row>
    <row r="21" spans="1:5" x14ac:dyDescent="0.25">
      <c r="A21" s="6" t="s">
        <v>65</v>
      </c>
      <c r="B21" s="7" t="s">
        <v>15</v>
      </c>
      <c r="C21" s="11">
        <v>212.00000000000003</v>
      </c>
      <c r="D21" s="11">
        <v>3.3111000000000002</v>
      </c>
      <c r="E21" s="17">
        <v>0</v>
      </c>
    </row>
    <row r="22" spans="1:5" x14ac:dyDescent="0.25">
      <c r="A22" s="6" t="s">
        <v>66</v>
      </c>
      <c r="B22" s="7" t="s">
        <v>67</v>
      </c>
      <c r="C22" s="11">
        <v>0</v>
      </c>
      <c r="D22" s="11">
        <v>0</v>
      </c>
      <c r="E22" s="17">
        <v>0</v>
      </c>
    </row>
    <row r="23" spans="1:5" x14ac:dyDescent="0.25">
      <c r="A23" s="6" t="s">
        <v>68</v>
      </c>
      <c r="B23" s="7" t="s">
        <v>69</v>
      </c>
      <c r="C23" s="11">
        <v>0</v>
      </c>
      <c r="D23" s="11">
        <v>3.3111000000000002</v>
      </c>
      <c r="E23" s="17">
        <v>0</v>
      </c>
    </row>
    <row r="24" spans="1:5" x14ac:dyDescent="0.25">
      <c r="A24" s="6" t="s">
        <v>70</v>
      </c>
      <c r="B24" s="7" t="s">
        <v>16</v>
      </c>
      <c r="C24" s="11">
        <v>231.392</v>
      </c>
      <c r="D24" s="11">
        <v>33.111000000000004</v>
      </c>
      <c r="E24" s="17">
        <v>1082.3800000000001</v>
      </c>
    </row>
    <row r="25" spans="1:5" x14ac:dyDescent="0.25">
      <c r="A25" s="6" t="s">
        <v>71</v>
      </c>
      <c r="B25" s="7" t="s">
        <v>17</v>
      </c>
      <c r="C25" s="11">
        <v>54.029000000000003</v>
      </c>
      <c r="D25" s="11">
        <v>274.82130000000001</v>
      </c>
      <c r="E25" s="17">
        <v>3513.25</v>
      </c>
    </row>
    <row r="26" spans="1:5" x14ac:dyDescent="0.25">
      <c r="A26" s="6" t="s">
        <v>72</v>
      </c>
      <c r="B26" s="7" t="s">
        <v>19</v>
      </c>
      <c r="C26" s="11">
        <v>887.72400000000005</v>
      </c>
      <c r="D26" s="11">
        <v>311.24340000000001</v>
      </c>
      <c r="E26" s="17">
        <v>161.46</v>
      </c>
    </row>
    <row r="27" spans="1:5" x14ac:dyDescent="0.25">
      <c r="A27" s="6" t="s">
        <v>73</v>
      </c>
      <c r="B27" s="7" t="s">
        <v>18</v>
      </c>
      <c r="C27" s="11">
        <v>146.05500000000001</v>
      </c>
      <c r="D27" s="11">
        <v>619.17570000000001</v>
      </c>
      <c r="E27" s="17">
        <v>765.44</v>
      </c>
    </row>
    <row r="28" spans="1:5" x14ac:dyDescent="0.25">
      <c r="A28" s="6" t="s">
        <v>74</v>
      </c>
      <c r="B28" s="7" t="s">
        <v>75</v>
      </c>
      <c r="C28" s="11">
        <v>0</v>
      </c>
      <c r="D28" s="11">
        <v>0</v>
      </c>
      <c r="E28" s="17">
        <v>0</v>
      </c>
    </row>
    <row r="29" spans="1:5" x14ac:dyDescent="0.25">
      <c r="A29" s="6" t="s">
        <v>76</v>
      </c>
      <c r="B29" s="7" t="s">
        <v>21</v>
      </c>
      <c r="C29" s="11">
        <v>20.409999999999997</v>
      </c>
      <c r="D29" s="11">
        <v>9.9332999999999991</v>
      </c>
      <c r="E29" s="17">
        <v>6485.31</v>
      </c>
    </row>
    <row r="30" spans="1:5" x14ac:dyDescent="0.25">
      <c r="A30" s="6" t="s">
        <v>41</v>
      </c>
      <c r="B30" s="7" t="s">
        <v>77</v>
      </c>
      <c r="C30" s="11">
        <v>0</v>
      </c>
      <c r="D30" s="11">
        <v>0</v>
      </c>
      <c r="E30" s="17">
        <v>0</v>
      </c>
    </row>
    <row r="31" spans="1:5" x14ac:dyDescent="0.25">
      <c r="A31" s="6" t="s">
        <v>78</v>
      </c>
      <c r="B31" s="7" t="s">
        <v>22</v>
      </c>
      <c r="C31" s="11">
        <v>77</v>
      </c>
      <c r="D31" s="11">
        <v>13.244400000000001</v>
      </c>
      <c r="E31" s="17">
        <v>0</v>
      </c>
    </row>
    <row r="32" spans="1:5" x14ac:dyDescent="0.25">
      <c r="A32" s="6" t="s">
        <v>79</v>
      </c>
      <c r="B32" s="7" t="s">
        <v>80</v>
      </c>
      <c r="C32" s="11">
        <v>0</v>
      </c>
      <c r="D32" s="11">
        <v>0</v>
      </c>
      <c r="E32" s="17">
        <v>0</v>
      </c>
    </row>
    <row r="33" spans="1:5" x14ac:dyDescent="0.25">
      <c r="A33" s="6" t="s">
        <v>81</v>
      </c>
      <c r="B33" s="7" t="s">
        <v>23</v>
      </c>
      <c r="C33" s="11">
        <v>47.173000000000002</v>
      </c>
      <c r="D33" s="11">
        <v>3.3111000000000002</v>
      </c>
      <c r="E33" s="17">
        <v>0</v>
      </c>
    </row>
    <row r="34" spans="1:5" x14ac:dyDescent="0.25">
      <c r="A34" s="6" t="s">
        <v>82</v>
      </c>
      <c r="B34" s="7" t="s">
        <v>24</v>
      </c>
      <c r="C34" s="11">
        <v>407.28</v>
      </c>
      <c r="D34" s="11">
        <v>0</v>
      </c>
      <c r="E34" s="17">
        <v>526.24</v>
      </c>
    </row>
    <row r="35" spans="1:5" x14ac:dyDescent="0.25">
      <c r="A35" s="6" t="s">
        <v>83</v>
      </c>
      <c r="B35" s="7" t="s">
        <v>20</v>
      </c>
      <c r="C35" s="11">
        <v>1497.7180000000001</v>
      </c>
      <c r="D35" s="11">
        <v>26.488800000000001</v>
      </c>
      <c r="E35" s="17">
        <v>0</v>
      </c>
    </row>
    <row r="36" spans="1:5" x14ac:dyDescent="0.25">
      <c r="A36" s="6" t="s">
        <v>84</v>
      </c>
      <c r="B36" s="7" t="s">
        <v>85</v>
      </c>
      <c r="C36" s="11">
        <v>0</v>
      </c>
      <c r="D36" s="11">
        <v>281.44350000000003</v>
      </c>
      <c r="E36" s="17">
        <v>1435.2</v>
      </c>
    </row>
    <row r="37" spans="1:5" x14ac:dyDescent="0.25">
      <c r="A37" s="6" t="s">
        <v>86</v>
      </c>
      <c r="B37" s="7" t="s">
        <v>25</v>
      </c>
      <c r="C37" s="11">
        <v>104.325</v>
      </c>
      <c r="D37" s="11">
        <v>235.0881</v>
      </c>
      <c r="E37" s="17">
        <v>1638.52</v>
      </c>
    </row>
    <row r="38" spans="1:5" x14ac:dyDescent="0.25">
      <c r="A38" s="6" t="s">
        <v>87</v>
      </c>
      <c r="B38" s="7" t="s">
        <v>88</v>
      </c>
      <c r="C38" s="11">
        <v>0</v>
      </c>
      <c r="D38" s="11">
        <v>125.82180000000001</v>
      </c>
      <c r="E38" s="17">
        <v>0</v>
      </c>
    </row>
    <row r="39" spans="1:5" x14ac:dyDescent="0.25">
      <c r="A39" s="6" t="s">
        <v>89</v>
      </c>
      <c r="B39" s="7" t="s">
        <v>26</v>
      </c>
      <c r="C39" s="11">
        <v>268.52300000000002</v>
      </c>
      <c r="D39" s="11">
        <v>56.288699999999999</v>
      </c>
      <c r="E39" s="17">
        <v>125.58</v>
      </c>
    </row>
    <row r="40" spans="1:5" x14ac:dyDescent="0.25">
      <c r="A40" s="6" t="s">
        <v>90</v>
      </c>
      <c r="B40" s="7" t="s">
        <v>27</v>
      </c>
      <c r="C40" s="11">
        <v>399.108</v>
      </c>
      <c r="D40" s="11">
        <v>297.99900000000002</v>
      </c>
      <c r="E40" s="17">
        <v>328.9</v>
      </c>
    </row>
    <row r="41" spans="1:5" x14ac:dyDescent="0.25">
      <c r="A41" s="6" t="s">
        <v>91</v>
      </c>
      <c r="B41" s="7" t="s">
        <v>92</v>
      </c>
      <c r="C41" s="11">
        <v>0</v>
      </c>
      <c r="D41" s="11">
        <v>6.6222000000000003</v>
      </c>
      <c r="E41" s="17">
        <v>0</v>
      </c>
    </row>
    <row r="42" spans="1:5" x14ac:dyDescent="0.25">
      <c r="A42" s="6" t="s">
        <v>93</v>
      </c>
      <c r="B42" s="7" t="s">
        <v>28</v>
      </c>
      <c r="C42" s="11">
        <v>462.66300000000001</v>
      </c>
      <c r="D42" s="11">
        <v>16.555500000000002</v>
      </c>
      <c r="E42" s="17">
        <v>0</v>
      </c>
    </row>
    <row r="43" spans="1:5" x14ac:dyDescent="0.25">
      <c r="A43" s="6" t="s">
        <v>94</v>
      </c>
      <c r="B43" s="7" t="s">
        <v>29</v>
      </c>
      <c r="C43" s="11">
        <v>116.616</v>
      </c>
      <c r="D43" s="11">
        <v>0</v>
      </c>
      <c r="E43" s="17">
        <v>3196.31</v>
      </c>
    </row>
    <row r="44" spans="1:5" x14ac:dyDescent="0.25">
      <c r="A44" s="6" t="s">
        <v>95</v>
      </c>
      <c r="B44" s="7" t="s">
        <v>30</v>
      </c>
      <c r="C44" s="11">
        <v>176.68499999999997</v>
      </c>
      <c r="D44" s="11">
        <v>148.99950000000001</v>
      </c>
      <c r="E44" s="17">
        <v>672.75</v>
      </c>
    </row>
    <row r="45" spans="1:5" x14ac:dyDescent="0.25">
      <c r="A45" s="6" t="s">
        <v>96</v>
      </c>
      <c r="B45" s="7" t="s">
        <v>31</v>
      </c>
      <c r="C45" s="11">
        <v>576.20299999999986</v>
      </c>
      <c r="D45" s="11">
        <v>1427.0841</v>
      </c>
      <c r="E45" s="17">
        <v>1166.0999999999999</v>
      </c>
    </row>
    <row r="46" spans="1:5" x14ac:dyDescent="0.25">
      <c r="A46" s="6" t="s">
        <v>97</v>
      </c>
      <c r="B46" s="7" t="s">
        <v>32</v>
      </c>
      <c r="C46" s="11">
        <v>77.108999999999995</v>
      </c>
      <c r="D46" s="11">
        <v>132.44400000000002</v>
      </c>
      <c r="E46" s="17">
        <v>0</v>
      </c>
    </row>
    <row r="47" spans="1:5" x14ac:dyDescent="0.25">
      <c r="A47" s="6" t="s">
        <v>98</v>
      </c>
      <c r="B47" s="7" t="s">
        <v>34</v>
      </c>
      <c r="C47" s="11">
        <v>69.489999999999995</v>
      </c>
      <c r="D47" s="11">
        <v>0</v>
      </c>
      <c r="E47" s="17">
        <v>0</v>
      </c>
    </row>
    <row r="48" spans="1:5" x14ac:dyDescent="0.25">
      <c r="A48" s="6" t="s">
        <v>99</v>
      </c>
      <c r="B48" s="7" t="s">
        <v>33</v>
      </c>
      <c r="C48" s="11">
        <v>1093.2380000000001</v>
      </c>
      <c r="D48" s="11">
        <v>29.799900000000001</v>
      </c>
      <c r="E48" s="17">
        <v>179.4</v>
      </c>
    </row>
    <row r="49" spans="1:5" x14ac:dyDescent="0.25">
      <c r="A49" s="6" t="s">
        <v>100</v>
      </c>
      <c r="B49" s="7" t="s">
        <v>35</v>
      </c>
      <c r="C49" s="11">
        <v>79.831000000000003</v>
      </c>
      <c r="D49" s="11">
        <v>354.28769999999997</v>
      </c>
      <c r="E49" s="17">
        <v>0</v>
      </c>
    </row>
    <row r="50" spans="1:5" x14ac:dyDescent="0.25">
      <c r="A50" s="6" t="s">
        <v>101</v>
      </c>
      <c r="B50" s="7" t="s">
        <v>37</v>
      </c>
      <c r="C50" s="11">
        <v>173.398</v>
      </c>
      <c r="D50" s="11">
        <v>0</v>
      </c>
      <c r="E50" s="17">
        <v>0</v>
      </c>
    </row>
    <row r="51" spans="1:5" x14ac:dyDescent="0.25">
      <c r="A51" s="6" t="s">
        <v>102</v>
      </c>
      <c r="B51" s="7" t="s">
        <v>36</v>
      </c>
      <c r="C51" s="11">
        <v>474.09399999999994</v>
      </c>
      <c r="D51" s="11">
        <v>89.399699999999996</v>
      </c>
      <c r="E51" s="17">
        <v>1734.2</v>
      </c>
    </row>
    <row r="52" spans="1:5" x14ac:dyDescent="0.25">
      <c r="A52" s="6" t="s">
        <v>103</v>
      </c>
      <c r="B52" s="7" t="s">
        <v>38</v>
      </c>
      <c r="C52" s="11">
        <v>4.5350000000000001</v>
      </c>
      <c r="D52" s="11">
        <v>0</v>
      </c>
      <c r="E52" s="17">
        <v>0</v>
      </c>
    </row>
    <row r="54" spans="1:5" x14ac:dyDescent="0.25">
      <c r="A54" s="8" t="s">
        <v>104</v>
      </c>
      <c r="C54">
        <f>+SUM(C2:C52)</f>
        <v>13284.856999999998</v>
      </c>
      <c r="D54">
        <f>+SUM(D2:D52)</f>
        <v>7771.1516999999994</v>
      </c>
      <c r="E54" s="16">
        <f>+SUM(E2:E52)</f>
        <v>47298.062499999985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Pascual, Janire</dc:creator>
  <cp:lastModifiedBy>Pascual, Janire</cp:lastModifiedBy>
  <dcterms:created xsi:type="dcterms:W3CDTF">2018-02-26T16:03:15Z</dcterms:created>
  <dcterms:modified xsi:type="dcterms:W3CDTF">2018-03-01T16:46:47Z</dcterms:modified>
</cp:coreProperties>
</file>