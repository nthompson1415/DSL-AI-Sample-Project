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xml" ContentType="application/vnd.openxmlformats-officedocument.drawing+xml"/>
  <Override PartName="/xl/comments2.xml" ContentType="application/vnd.openxmlformats-officedocument.spreadsheetml.comments+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5.xml" ContentType="application/vnd.openxmlformats-officedocument.drawing+xml"/>
  <Override PartName="/xl/comments3.xml" ContentType="application/vnd.openxmlformats-officedocument.spreadsheetml.comments+xml"/>
  <Override PartName="/xl/threadedComments/threadedComment1.xml" ContentType="application/vnd.ms-excel.threadedcomments+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6.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7.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chart39.xml" ContentType="application/vnd.openxmlformats-officedocument.drawingml.chart+xml"/>
  <Override PartName="/xl/charts/style38.xml" ContentType="application/vnd.ms-office.chartstyle+xml"/>
  <Override PartName="/xl/charts/colors38.xml" ContentType="application/vnd.ms-office.chartcolorstyle+xml"/>
  <Override PartName="/xl/charts/chart40.xml" ContentType="application/vnd.openxmlformats-officedocument.drawingml.chart+xml"/>
  <Override PartName="/xl/charts/style39.xml" ContentType="application/vnd.ms-office.chartstyle+xml"/>
  <Override PartName="/xl/charts/colors39.xml" ContentType="application/vnd.ms-office.chartcolorstyle+xml"/>
  <Override PartName="/xl/charts/chart41.xml" ContentType="application/vnd.openxmlformats-officedocument.drawingml.chart+xml"/>
  <Override PartName="/xl/charts/style40.xml" ContentType="application/vnd.ms-office.chartstyle+xml"/>
  <Override PartName="/xl/charts/colors40.xml" ContentType="application/vnd.ms-office.chartcolorstyle+xml"/>
  <Override PartName="/xl/charts/chart42.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8.xml" ContentType="application/vnd.openxmlformats-officedocument.drawing+xml"/>
  <Override PartName="/xl/charts/chart43.xml" ContentType="application/vnd.openxmlformats-officedocument.drawingml.chart+xml"/>
  <Override PartName="/xl/charts/style42.xml" ContentType="application/vnd.ms-office.chartstyle+xml"/>
  <Override PartName="/xl/charts/colors42.xml" ContentType="application/vnd.ms-office.chartcolorstyle+xml"/>
  <Override PartName="/xl/charts/chart44.xml" ContentType="application/vnd.openxmlformats-officedocument.drawingml.chart+xml"/>
  <Override PartName="/xl/charts/style43.xml" ContentType="application/vnd.ms-office.chartstyle+xml"/>
  <Override PartName="/xl/charts/colors43.xml" ContentType="application/vnd.ms-office.chartcolorstyle+xml"/>
  <Override PartName="/xl/charts/chart45.xml" ContentType="application/vnd.openxmlformats-officedocument.drawingml.chart+xml"/>
  <Override PartName="/xl/charts/style44.xml" ContentType="application/vnd.ms-office.chartstyle+xml"/>
  <Override PartName="/xl/charts/colors44.xml" ContentType="application/vnd.ms-office.chartcolorstyle+xml"/>
  <Override PartName="/xl/charts/chart46.xml" ContentType="application/vnd.openxmlformats-officedocument.drawingml.chart+xml"/>
  <Override PartName="/xl/charts/style45.xml" ContentType="application/vnd.ms-office.chartstyle+xml"/>
  <Override PartName="/xl/charts/colors45.xml" ContentType="application/vnd.ms-office.chartcolorstyle+xml"/>
  <Override PartName="/xl/charts/chart47.xml" ContentType="application/vnd.openxmlformats-officedocument.drawingml.chart+xml"/>
  <Override PartName="/xl/charts/style46.xml" ContentType="application/vnd.ms-office.chartstyle+xml"/>
  <Override PartName="/xl/charts/colors46.xml" ContentType="application/vnd.ms-office.chartcolorstyle+xml"/>
  <Override PartName="/xl/charts/chart48.xml" ContentType="application/vnd.openxmlformats-officedocument.drawingml.chart+xml"/>
  <Override PartName="/xl/charts/style47.xml" ContentType="application/vnd.ms-office.chartstyle+xml"/>
  <Override PartName="/xl/charts/colors47.xml" ContentType="application/vnd.ms-office.chartcolorstyle+xml"/>
  <Override PartName="/xl/charts/chart49.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9.xml" ContentType="application/vnd.openxmlformats-officedocument.drawing+xml"/>
  <Override PartName="/xl/charts/chart50.xml" ContentType="application/vnd.openxmlformats-officedocument.drawingml.chart+xml"/>
  <Override PartName="/xl/charts/style49.xml" ContentType="application/vnd.ms-office.chartstyle+xml"/>
  <Override PartName="/xl/charts/colors49.xml" ContentType="application/vnd.ms-office.chartcolorstyle+xml"/>
  <Override PartName="/xl/charts/chart51.xml" ContentType="application/vnd.openxmlformats-officedocument.drawingml.chart+xml"/>
  <Override PartName="/xl/charts/chart52.xml" ContentType="application/vnd.openxmlformats-officedocument.drawingml.chart+xml"/>
  <Override PartName="/xl/charts/style50.xml" ContentType="application/vnd.ms-office.chartstyle+xml"/>
  <Override PartName="/xl/charts/colors50.xml" ContentType="application/vnd.ms-office.chartcolorstyle+xml"/>
  <Override PartName="/xl/charts/chart53.xml" ContentType="application/vnd.openxmlformats-officedocument.drawingml.chart+xml"/>
  <Override PartName="/xl/charts/chart54.xml" ContentType="application/vnd.openxmlformats-officedocument.drawingml.chart+xml"/>
  <Override PartName="/xl/charts/style51.xml" ContentType="application/vnd.ms-office.chartstyle+xml"/>
  <Override PartName="/xl/charts/colors51.xml" ContentType="application/vnd.ms-office.chartcolorstyle+xml"/>
  <Override PartName="/xl/charts/chart55.xml" ContentType="application/vnd.openxmlformats-officedocument.drawingml.chart+xml"/>
  <Override PartName="/xl/charts/chart56.xml" ContentType="application/vnd.openxmlformats-officedocument.drawingml.chart+xml"/>
  <Override PartName="/xl/charts/style52.xml" ContentType="application/vnd.ms-office.chartstyle+xml"/>
  <Override PartName="/xl/charts/colors52.xml" ContentType="application/vnd.ms-office.chartcolorstyle+xml"/>
  <Override PartName="/xl/charts/chart57.xml" ContentType="application/vnd.openxmlformats-officedocument.drawingml.chart+xml"/>
  <Override PartName="/xl/charts/style53.xml" ContentType="application/vnd.ms-office.chartstyle+xml"/>
  <Override PartName="/xl/charts/colors53.xml" ContentType="application/vnd.ms-office.chartcolorstyle+xml"/>
  <Override PartName="/xl/charts/chart58.xml" ContentType="application/vnd.openxmlformats-officedocument.drawingml.chart+xml"/>
  <Override PartName="/xl/charts/style54.xml" ContentType="application/vnd.ms-office.chartstyle+xml"/>
  <Override PartName="/xl/charts/colors54.xml" ContentType="application/vnd.ms-office.chartcolorstyle+xml"/>
  <Override PartName="/xl/charts/chart59.xml" ContentType="application/vnd.openxmlformats-officedocument.drawingml.chart+xml"/>
  <Override PartName="/xl/charts/style55.xml" ContentType="application/vnd.ms-office.chartstyle+xml"/>
  <Override PartName="/xl/charts/colors55.xml" ContentType="application/vnd.ms-office.chartcolorstyle+xml"/>
  <Override PartName="/xl/charts/chart60.xml" ContentType="application/vnd.openxmlformats-officedocument.drawingml.chart+xml"/>
  <Override PartName="/xl/drawings/drawing10.xml" ContentType="application/vnd.openxmlformats-officedocument.drawing+xml"/>
  <Override PartName="/xl/charts/chart61.xml" ContentType="application/vnd.openxmlformats-officedocument.drawingml.chart+xml"/>
  <Override PartName="/xl/charts/style56.xml" ContentType="application/vnd.ms-office.chartstyle+xml"/>
  <Override PartName="/xl/charts/colors56.xml" ContentType="application/vnd.ms-office.chartcolorstyle+xml"/>
  <Override PartName="/xl/charts/chart62.xml" ContentType="application/vnd.openxmlformats-officedocument.drawingml.chart+xml"/>
  <Override PartName="/xl/charts/style57.xml" ContentType="application/vnd.ms-office.chartstyle+xml"/>
  <Override PartName="/xl/charts/colors57.xml" ContentType="application/vnd.ms-office.chartcolorstyle+xml"/>
  <Override PartName="/xl/charts/chart63.xml" ContentType="application/vnd.openxmlformats-officedocument.drawingml.chart+xml"/>
  <Override PartName="/xl/charts/style58.xml" ContentType="application/vnd.ms-office.chartstyle+xml"/>
  <Override PartName="/xl/charts/colors58.xml" ContentType="application/vnd.ms-office.chartcolorstyle+xml"/>
  <Override PartName="/xl/charts/chart64.xml" ContentType="application/vnd.openxmlformats-officedocument.drawingml.chart+xml"/>
  <Override PartName="/xl/charts/style59.xml" ContentType="application/vnd.ms-office.chartstyle+xml"/>
  <Override PartName="/xl/charts/colors59.xml" ContentType="application/vnd.ms-office.chartcolorstyle+xml"/>
  <Override PartName="/xl/drawings/drawing11.xml" ContentType="application/vnd.openxmlformats-officedocument.drawing+xml"/>
  <Override PartName="/xl/charts/chart65.xml" ContentType="application/vnd.openxmlformats-officedocument.drawingml.chart+xml"/>
  <Override PartName="/xl/charts/style60.xml" ContentType="application/vnd.ms-office.chartstyle+xml"/>
  <Override PartName="/xl/charts/colors60.xml" ContentType="application/vnd.ms-office.chartcolorstyle+xml"/>
  <Override PartName="/xl/charts/chart66.xml" ContentType="application/vnd.openxmlformats-officedocument.drawingml.chart+xml"/>
  <Override PartName="/xl/charts/style61.xml" ContentType="application/vnd.ms-office.chartstyle+xml"/>
  <Override PartName="/xl/charts/colors61.xml" ContentType="application/vnd.ms-office.chartcolorstyle+xml"/>
  <Override PartName="/xl/charts/chart67.xml" ContentType="application/vnd.openxmlformats-officedocument.drawingml.chart+xml"/>
  <Override PartName="/xl/charts/style62.xml" ContentType="application/vnd.ms-office.chartstyle+xml"/>
  <Override PartName="/xl/charts/colors62.xml" ContentType="application/vnd.ms-office.chartcolorstyle+xml"/>
  <Override PartName="/xl/charts/chart68.xml" ContentType="application/vnd.openxmlformats-officedocument.drawingml.chart+xml"/>
  <Override PartName="/xl/charts/style63.xml" ContentType="application/vnd.ms-office.chartstyle+xml"/>
  <Override PartName="/xl/charts/colors63.xml" ContentType="application/vnd.ms-office.chartcolorstyle+xml"/>
  <Override PartName="/xl/charts/chart69.xml" ContentType="application/vnd.openxmlformats-officedocument.drawingml.chart+xml"/>
  <Override PartName="/xl/charts/style64.xml" ContentType="application/vnd.ms-office.chartstyle+xml"/>
  <Override PartName="/xl/charts/colors64.xml" ContentType="application/vnd.ms-office.chartcolorstyle+xml"/>
  <Override PartName="/xl/theme/themeOverride1.xml" ContentType="application/vnd.openxmlformats-officedocument.themeOverride+xml"/>
  <Override PartName="/xl/charts/chart70.xml" ContentType="application/vnd.openxmlformats-officedocument.drawingml.chart+xml"/>
  <Override PartName="/xl/charts/style65.xml" ContentType="application/vnd.ms-office.chartstyle+xml"/>
  <Override PartName="/xl/charts/colors65.xml" ContentType="application/vnd.ms-office.chartcolorstyle+xml"/>
  <Override PartName="/xl/charts/chart71.xml" ContentType="application/vnd.openxmlformats-officedocument.drawingml.chart+xml"/>
  <Override PartName="/xl/charts/style66.xml" ContentType="application/vnd.ms-office.chartstyle+xml"/>
  <Override PartName="/xl/charts/colors66.xml" ContentType="application/vnd.ms-office.chartcolorstyle+xml"/>
  <Override PartName="/xl/charts/chart72.xml" ContentType="application/vnd.openxmlformats-officedocument.drawingml.chart+xml"/>
  <Override PartName="/xl/charts/style67.xml" ContentType="application/vnd.ms-office.chartstyle+xml"/>
  <Override PartName="/xl/charts/colors67.xml" ContentType="application/vnd.ms-office.chartcolorstyle+xml"/>
  <Override PartName="/xl/charts/chart73.xml" ContentType="application/vnd.openxmlformats-officedocument.drawingml.chart+xml"/>
  <Override PartName="/xl/charts/style68.xml" ContentType="application/vnd.ms-office.chartstyle+xml"/>
  <Override PartName="/xl/charts/colors68.xml" ContentType="application/vnd.ms-office.chartcolorstyle+xml"/>
  <Override PartName="/xl/drawings/drawing12.xml" ContentType="application/vnd.openxmlformats-officedocument.drawing+xml"/>
  <Override PartName="/xl/charts/chart74.xml" ContentType="application/vnd.openxmlformats-officedocument.drawingml.chart+xml"/>
  <Override PartName="/xl/charts/style69.xml" ContentType="application/vnd.ms-office.chartstyle+xml"/>
  <Override PartName="/xl/charts/colors69.xml" ContentType="application/vnd.ms-office.chartcolorstyle+xml"/>
  <Override PartName="/xl/charts/chart75.xml" ContentType="application/vnd.openxmlformats-officedocument.drawingml.chart+xml"/>
  <Override PartName="/xl/charts/style70.xml" ContentType="application/vnd.ms-office.chartstyle+xml"/>
  <Override PartName="/xl/charts/colors70.xml" ContentType="application/vnd.ms-office.chartcolorstyle+xml"/>
  <Override PartName="/xl/drawings/drawing13.xml" ContentType="application/vnd.openxmlformats-officedocument.drawing+xml"/>
  <Override PartName="/xl/charts/chart76.xml" ContentType="application/vnd.openxmlformats-officedocument.drawingml.chart+xml"/>
  <Override PartName="/xl/charts/style71.xml" ContentType="application/vnd.ms-office.chartstyle+xml"/>
  <Override PartName="/xl/charts/colors71.xml" ContentType="application/vnd.ms-office.chartcolorstyle+xml"/>
  <Override PartName="/xl/charts/chart77.xml" ContentType="application/vnd.openxmlformats-officedocument.drawingml.chart+xml"/>
  <Override PartName="/xl/charts/style72.xml" ContentType="application/vnd.ms-office.chartstyle+xml"/>
  <Override PartName="/xl/charts/colors72.xml" ContentType="application/vnd.ms-office.chartcolorstyle+xml"/>
  <Override PartName="/xl/charts/chart78.xml" ContentType="application/vnd.openxmlformats-officedocument.drawingml.chart+xml"/>
  <Override PartName="/xl/charts/style73.xml" ContentType="application/vnd.ms-office.chartstyle+xml"/>
  <Override PartName="/xl/charts/colors73.xml" ContentType="application/vnd.ms-office.chartcolorstyle+xml"/>
  <Override PartName="/xl/drawings/drawing14.xml" ContentType="application/vnd.openxmlformats-officedocument.drawing+xml"/>
  <Override PartName="/xl/charts/chart79.xml" ContentType="application/vnd.openxmlformats-officedocument.drawingml.chart+xml"/>
  <Override PartName="/xl/charts/style74.xml" ContentType="application/vnd.ms-office.chartstyle+xml"/>
  <Override PartName="/xl/charts/colors74.xml" ContentType="application/vnd.ms-office.chartcolorstyle+xml"/>
  <Override PartName="/xl/charts/chart80.xml" ContentType="application/vnd.openxmlformats-officedocument.drawingml.chart+xml"/>
  <Override PartName="/xl/charts/style75.xml" ContentType="application/vnd.ms-office.chartstyle+xml"/>
  <Override PartName="/xl/charts/colors75.xml" ContentType="application/vnd.ms-office.chartcolorstyle+xml"/>
  <Override PartName="/xl/charts/chart81.xml" ContentType="application/vnd.openxmlformats-officedocument.drawingml.chart+xml"/>
  <Override PartName="/xl/charts/style76.xml" ContentType="application/vnd.ms-office.chartstyle+xml"/>
  <Override PartName="/xl/charts/colors76.xml" ContentType="application/vnd.ms-office.chartcolorstyle+xml"/>
  <Override PartName="/xl/charts/chart82.xml" ContentType="application/vnd.openxmlformats-officedocument.drawingml.chart+xml"/>
  <Override PartName="/xl/charts/style77.xml" ContentType="application/vnd.ms-office.chartstyle+xml"/>
  <Override PartName="/xl/charts/colors77.xml" ContentType="application/vnd.ms-office.chartcolorstyle+xml"/>
  <Override PartName="/xl/charts/chart83.xml" ContentType="application/vnd.openxmlformats-officedocument.drawingml.chart+xml"/>
  <Override PartName="/xl/charts/style78.xml" ContentType="application/vnd.ms-office.chartstyle+xml"/>
  <Override PartName="/xl/charts/colors78.xml" ContentType="application/vnd.ms-office.chartcolorstyle+xml"/>
  <Override PartName="/xl/charts/chart84.xml" ContentType="application/vnd.openxmlformats-officedocument.drawingml.chart+xml"/>
  <Override PartName="/xl/charts/style79.xml" ContentType="application/vnd.ms-office.chartstyle+xml"/>
  <Override PartName="/xl/charts/colors79.xml" ContentType="application/vnd.ms-office.chartcolorstyle+xml"/>
  <Override PartName="/xl/charts/chart85.xml" ContentType="application/vnd.openxmlformats-officedocument.drawingml.chart+xml"/>
  <Override PartName="/xl/charts/style80.xml" ContentType="application/vnd.ms-office.chartstyle+xml"/>
  <Override PartName="/xl/charts/colors80.xml" ContentType="application/vnd.ms-office.chartcolorstyle+xml"/>
  <Override PartName="/xl/charts/chart86.xml" ContentType="application/vnd.openxmlformats-officedocument.drawingml.chart+xml"/>
  <Override PartName="/xl/charts/style81.xml" ContentType="application/vnd.ms-office.chartstyle+xml"/>
  <Override PartName="/xl/charts/colors81.xml" ContentType="application/vnd.ms-office.chartcolorstyle+xml"/>
  <Override PartName="/xl/charts/chart87.xml" ContentType="application/vnd.openxmlformats-officedocument.drawingml.chart+xml"/>
  <Override PartName="/xl/charts/style82.xml" ContentType="application/vnd.ms-office.chartstyle+xml"/>
  <Override PartName="/xl/charts/colors82.xml" ContentType="application/vnd.ms-office.chartcolorstyle+xml"/>
  <Override PartName="/xl/charts/chart88.xml" ContentType="application/vnd.openxmlformats-officedocument.drawingml.chart+xml"/>
  <Override PartName="/xl/charts/style83.xml" ContentType="application/vnd.ms-office.chartstyle+xml"/>
  <Override PartName="/xl/charts/colors83.xml" ContentType="application/vnd.ms-office.chartcolorstyle+xml"/>
  <Override PartName="/xl/charts/chart89.xml" ContentType="application/vnd.openxmlformats-officedocument.drawingml.chart+xml"/>
  <Override PartName="/xl/charts/style84.xml" ContentType="application/vnd.ms-office.chartstyle+xml"/>
  <Override PartName="/xl/charts/colors84.xml" ContentType="application/vnd.ms-office.chartcolorstyle+xml"/>
  <Override PartName="/xl/charts/chart90.xml" ContentType="application/vnd.openxmlformats-officedocument.drawingml.chart+xml"/>
  <Override PartName="/xl/charts/style85.xml" ContentType="application/vnd.ms-office.chartstyle+xml"/>
  <Override PartName="/xl/charts/colors85.xml" ContentType="application/vnd.ms-office.chartcolorstyle+xml"/>
  <Override PartName="/xl/charts/chart91.xml" ContentType="application/vnd.openxmlformats-officedocument.drawingml.chart+xml"/>
  <Override PartName="/xl/charts/style86.xml" ContentType="application/vnd.ms-office.chartstyle+xml"/>
  <Override PartName="/xl/charts/colors86.xml" ContentType="application/vnd.ms-office.chartcolorstyle+xml"/>
  <Override PartName="/xl/charts/chart92.xml" ContentType="application/vnd.openxmlformats-officedocument.drawingml.chart+xml"/>
  <Override PartName="/xl/charts/style87.xml" ContentType="application/vnd.ms-office.chartstyle+xml"/>
  <Override PartName="/xl/charts/colors87.xml" ContentType="application/vnd.ms-office.chartcolorstyle+xml"/>
  <Override PartName="/xl/charts/chart93.xml" ContentType="application/vnd.openxmlformats-officedocument.drawingml.chart+xml"/>
  <Override PartName="/xl/charts/style88.xml" ContentType="application/vnd.ms-office.chartstyle+xml"/>
  <Override PartName="/xl/charts/colors88.xml" ContentType="application/vnd.ms-office.chartcolorstyle+xml"/>
  <Override PartName="/xl/charts/chart94.xml" ContentType="application/vnd.openxmlformats-officedocument.drawingml.chart+xml"/>
  <Override PartName="/xl/charts/style89.xml" ContentType="application/vnd.ms-office.chartstyle+xml"/>
  <Override PartName="/xl/charts/colors89.xml" ContentType="application/vnd.ms-office.chartcolorstyle+xml"/>
  <Override PartName="/xl/charts/chart95.xml" ContentType="application/vnd.openxmlformats-officedocument.drawingml.chart+xml"/>
  <Override PartName="/xl/charts/style90.xml" ContentType="application/vnd.ms-office.chartstyle+xml"/>
  <Override PartName="/xl/charts/colors90.xml" ContentType="application/vnd.ms-office.chartcolorstyle+xml"/>
  <Override PartName="/xl/charts/chart96.xml" ContentType="application/vnd.openxmlformats-officedocument.drawingml.chart+xml"/>
  <Override PartName="/xl/charts/style91.xml" ContentType="application/vnd.ms-office.chartstyle+xml"/>
  <Override PartName="/xl/charts/colors91.xml" ContentType="application/vnd.ms-office.chartcolorstyle+xml"/>
  <Override PartName="/xl/charts/chart97.xml" ContentType="application/vnd.openxmlformats-officedocument.drawingml.chart+xml"/>
  <Override PartName="/xl/charts/style92.xml" ContentType="application/vnd.ms-office.chartstyle+xml"/>
  <Override PartName="/xl/charts/colors92.xml" ContentType="application/vnd.ms-office.chartcolorstyle+xml"/>
  <Override PartName="/xl/charts/chart98.xml" ContentType="application/vnd.openxmlformats-officedocument.drawingml.chart+xml"/>
  <Override PartName="/xl/charts/style93.xml" ContentType="application/vnd.ms-office.chartstyle+xml"/>
  <Override PartName="/xl/charts/colors93.xml" ContentType="application/vnd.ms-office.chartcolorstyle+xml"/>
  <Override PartName="/xl/charts/chart99.xml" ContentType="application/vnd.openxmlformats-officedocument.drawingml.chart+xml"/>
  <Override PartName="/xl/charts/style94.xml" ContentType="application/vnd.ms-office.chartstyle+xml"/>
  <Override PartName="/xl/charts/colors94.xml" ContentType="application/vnd.ms-office.chartcolorstyle+xml"/>
  <Override PartName="/xl/charts/chart100.xml" ContentType="application/vnd.openxmlformats-officedocument.drawingml.chart+xml"/>
  <Override PartName="/xl/charts/style95.xml" ContentType="application/vnd.ms-office.chartstyle+xml"/>
  <Override PartName="/xl/charts/colors95.xml" ContentType="application/vnd.ms-office.chartcolorstyle+xml"/>
  <Override PartName="/xl/charts/chart101.xml" ContentType="application/vnd.openxmlformats-officedocument.drawingml.chart+xml"/>
  <Override PartName="/xl/charts/style96.xml" ContentType="application/vnd.ms-office.chartstyle+xml"/>
  <Override PartName="/xl/charts/colors96.xml" ContentType="application/vnd.ms-office.chartcolorstyle+xml"/>
  <Override PartName="/xl/charts/chart102.xml" ContentType="application/vnd.openxmlformats-officedocument.drawingml.chart+xml"/>
  <Override PartName="/xl/charts/style97.xml" ContentType="application/vnd.ms-office.chartstyle+xml"/>
  <Override PartName="/xl/charts/colors97.xml" ContentType="application/vnd.ms-office.chartcolorstyle+xml"/>
  <Override PartName="/xl/charts/chart103.xml" ContentType="application/vnd.openxmlformats-officedocument.drawingml.chart+xml"/>
  <Override PartName="/xl/charts/style98.xml" ContentType="application/vnd.ms-office.chartstyle+xml"/>
  <Override PartName="/xl/charts/colors98.xml" ContentType="application/vnd.ms-office.chartcolorstyle+xml"/>
  <Override PartName="/xl/charts/chart104.xml" ContentType="application/vnd.openxmlformats-officedocument.drawingml.chart+xml"/>
  <Override PartName="/xl/charts/style99.xml" ContentType="application/vnd.ms-office.chartstyle+xml"/>
  <Override PartName="/xl/charts/colors99.xml" ContentType="application/vnd.ms-office.chartcolorstyle+xml"/>
  <Override PartName="/xl/charts/chart105.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06.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07.xml" ContentType="application/vnd.openxmlformats-officedocument.drawingml.chart+xml"/>
  <Override PartName="/xl/charts/style102.xml" ContentType="application/vnd.ms-office.chartstyle+xml"/>
  <Override PartName="/xl/charts/colors102.xml" ContentType="application/vnd.ms-office.chartcolorstyle+xml"/>
  <Override PartName="/xl/charts/chart108.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09.xml" ContentType="application/vnd.openxmlformats-officedocument.drawingml.chart+xml"/>
  <Override PartName="/xl/charts/style104.xml" ContentType="application/vnd.ms-office.chartstyle+xml"/>
  <Override PartName="/xl/charts/colors104.xml" ContentType="application/vnd.ms-office.chartcolorstyle+xml"/>
  <Override PartName="/xl/charts/chart110.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11.xml" ContentType="application/vnd.openxmlformats-officedocument.drawingml.chart+xml"/>
  <Override PartName="/xl/charts/style106.xml" ContentType="application/vnd.ms-office.chartstyle+xml"/>
  <Override PartName="/xl/charts/colors10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autoCompressPictures="0"/>
  <mc:AlternateContent xmlns:mc="http://schemas.openxmlformats.org/markup-compatibility/2006">
    <mc:Choice Requires="x15">
      <x15ac:absPath xmlns:x15ac="http://schemas.microsoft.com/office/spreadsheetml/2010/11/ac" url="https://sumailsyr-my.sharepoint.com/personal/jpascu02_syr_edu/Documents/Desktop/SyracuseU/Research/Bioindicators/2019Report/"/>
    </mc:Choice>
  </mc:AlternateContent>
  <xr:revisionPtr revIDLastSave="254" documentId="13_ncr:1_{061D3E49-8996-4452-BDE5-BDE6DCA82539}" xr6:coauthVersionLast="47" xr6:coauthVersionMax="47" xr10:uidLastSave="{78061178-846C-4EEE-B9B1-69437526244E}"/>
  <bookViews>
    <workbookView xWindow="28680" yWindow="1680" windowWidth="29040" windowHeight="15840" tabRatio="840" firstSheet="6" activeTab="16" xr2:uid="{00000000-000D-0000-FFFF-FFFF00000000}"/>
  </bookViews>
  <sheets>
    <sheet name="CONTENTS" sheetId="1" r:id="rId1"/>
    <sheet name="ETHANOL" sheetId="2" r:id="rId2"/>
    <sheet name="BIOBUTANOL" sheetId="39" r:id="rId3"/>
    <sheet name="BIODIESEL" sheetId="3" r:id="rId4"/>
    <sheet name="FATS" sheetId="40" r:id="rId5"/>
    <sheet name="RENEWABLE DIESEL" sheetId="41" r:id="rId6"/>
    <sheet name="RENEWABLE JET FUEL" sheetId="43" r:id="rId7"/>
    <sheet name="WOOD PELLETS" sheetId="8" r:id="rId8"/>
    <sheet name="BIOGAS" sheetId="25" r:id="rId9"/>
    <sheet name="WASTE TO ENERGY" sheetId="15" r:id="rId10"/>
    <sheet name="BIOPRODUCTS" sheetId="10" r:id="rId11"/>
    <sheet name="BIOPLASTICS" sheetId="13" r:id="rId12"/>
    <sheet name="BIOCHEMICALS" sheetId="11" r:id="rId13"/>
    <sheet name="ENZYMES" sheetId="12" r:id="rId14"/>
    <sheet name="FOREST PRODUCTS" sheetId="14" r:id="rId15"/>
    <sheet name="APPAREL AND TEXTILES" sheetId="21" r:id="rId16"/>
    <sheet name="FUNDING" sheetId="42" r:id="rId17"/>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19" i="2" l="1"/>
  <c r="M37" i="40"/>
  <c r="B32" i="3"/>
  <c r="C32" i="3"/>
  <c r="D32" i="3"/>
  <c r="E32" i="3"/>
  <c r="F32" i="3"/>
  <c r="G32" i="3"/>
  <c r="H32" i="3"/>
  <c r="I32" i="3"/>
  <c r="J32" i="3"/>
  <c r="K32" i="3"/>
  <c r="L32" i="3"/>
  <c r="M32" i="3"/>
  <c r="B33" i="3"/>
  <c r="C33" i="3"/>
  <c r="D33" i="3"/>
  <c r="E33" i="3"/>
  <c r="F33" i="3"/>
  <c r="G33" i="3"/>
  <c r="H33" i="3"/>
  <c r="I33" i="3"/>
  <c r="J33" i="3"/>
  <c r="K33" i="3"/>
  <c r="L33" i="3"/>
  <c r="M33" i="3"/>
  <c r="O47" i="10"/>
  <c r="N21" i="3" l="1"/>
  <c r="D61" i="13"/>
  <c r="M14" i="8"/>
  <c r="L14" i="8"/>
  <c r="O31" i="14"/>
  <c r="O27" i="14"/>
  <c r="O28" i="14"/>
  <c r="O29" i="14"/>
  <c r="O30" i="14"/>
  <c r="D46" i="13"/>
  <c r="B62" i="13"/>
  <c r="C62" i="13"/>
  <c r="D62" i="13"/>
  <c r="B63" i="13"/>
  <c r="C63" i="13"/>
  <c r="D63" i="13"/>
  <c r="B64" i="13"/>
  <c r="C64" i="13"/>
  <c r="D64" i="13"/>
  <c r="B65" i="13"/>
  <c r="C65" i="13"/>
  <c r="D65" i="13"/>
  <c r="B66" i="13"/>
  <c r="C66" i="13"/>
  <c r="D66" i="13"/>
  <c r="B67" i="13"/>
  <c r="C67" i="13"/>
  <c r="D67" i="13"/>
  <c r="B68" i="13"/>
  <c r="C68" i="13"/>
  <c r="D68" i="13"/>
  <c r="B69" i="13"/>
  <c r="C69" i="13"/>
  <c r="D69" i="13"/>
  <c r="B70" i="13"/>
  <c r="C70" i="13"/>
  <c r="D70" i="13"/>
  <c r="B71" i="13"/>
  <c r="C71" i="13"/>
  <c r="D71" i="13"/>
  <c r="B72" i="13"/>
  <c r="C72" i="13"/>
  <c r="D72" i="13"/>
  <c r="C61" i="13"/>
  <c r="B61" i="13"/>
  <c r="V85" i="42"/>
  <c r="U85" i="42"/>
  <c r="T85" i="42"/>
  <c r="V84" i="42"/>
  <c r="U84" i="42"/>
  <c r="T84" i="42"/>
  <c r="V83" i="42"/>
  <c r="U83" i="42"/>
  <c r="T83" i="42"/>
  <c r="V82" i="42"/>
  <c r="U82" i="42"/>
  <c r="T82" i="42"/>
  <c r="V81" i="42"/>
  <c r="U81" i="42"/>
  <c r="T81" i="42"/>
  <c r="V79" i="42"/>
  <c r="U79" i="42"/>
  <c r="T79" i="42"/>
  <c r="V78" i="42"/>
  <c r="U78" i="42"/>
  <c r="T78" i="42"/>
  <c r="V77" i="42"/>
  <c r="U77" i="42"/>
  <c r="T77" i="42"/>
  <c r="V76" i="42"/>
  <c r="U76" i="42"/>
  <c r="T76" i="42"/>
  <c r="V72" i="42"/>
  <c r="U72" i="42"/>
  <c r="T72" i="42"/>
  <c r="V71" i="42"/>
  <c r="U71" i="42"/>
  <c r="T71" i="42"/>
  <c r="V70" i="42"/>
  <c r="U70" i="42"/>
  <c r="T70" i="42"/>
  <c r="V69" i="42"/>
  <c r="U69" i="42"/>
  <c r="T69" i="42"/>
  <c r="V68" i="42"/>
  <c r="U68" i="42"/>
  <c r="T68" i="42"/>
  <c r="V66" i="42"/>
  <c r="U66" i="42"/>
  <c r="T66" i="42"/>
  <c r="V65" i="42"/>
  <c r="U65" i="42"/>
  <c r="T65" i="42"/>
  <c r="V64" i="42"/>
  <c r="U64" i="42"/>
  <c r="T64" i="42"/>
  <c r="V63" i="42"/>
  <c r="U63" i="42"/>
  <c r="T63" i="42"/>
  <c r="O44" i="42"/>
  <c r="O45" i="42"/>
  <c r="O46" i="42"/>
  <c r="V59" i="42"/>
  <c r="U59" i="42"/>
  <c r="T59" i="42"/>
  <c r="V58" i="42"/>
  <c r="U58" i="42"/>
  <c r="T58" i="42"/>
  <c r="V57" i="42"/>
  <c r="U57" i="42"/>
  <c r="T57" i="42"/>
  <c r="V56" i="42"/>
  <c r="U56" i="42"/>
  <c r="T56" i="42"/>
  <c r="V55" i="42"/>
  <c r="U55" i="42"/>
  <c r="T55" i="42"/>
  <c r="V53" i="42"/>
  <c r="U53" i="42"/>
  <c r="T53" i="42"/>
  <c r="V52" i="42"/>
  <c r="U52" i="42"/>
  <c r="T52" i="42"/>
  <c r="V51" i="42"/>
  <c r="U51" i="42"/>
  <c r="T51" i="42"/>
  <c r="V50" i="42"/>
  <c r="U50" i="42"/>
  <c r="T50" i="42"/>
  <c r="P36" i="42"/>
  <c r="P43" i="42"/>
  <c r="Q45" i="42"/>
  <c r="Q43" i="42"/>
  <c r="Q36" i="42"/>
  <c r="P44" i="42"/>
  <c r="P45" i="42"/>
  <c r="P46" i="42"/>
  <c r="O36" i="42"/>
  <c r="O43" i="42"/>
  <c r="D53" i="13"/>
  <c r="C46" i="13"/>
  <c r="C47" i="13"/>
  <c r="D47" i="13"/>
  <c r="C48" i="13"/>
  <c r="D48" i="13"/>
  <c r="C49" i="13"/>
  <c r="D49" i="13"/>
  <c r="C50" i="13"/>
  <c r="D50" i="13"/>
  <c r="C51" i="13"/>
  <c r="D51" i="13"/>
  <c r="C52" i="13"/>
  <c r="D52" i="13"/>
  <c r="C53" i="13"/>
  <c r="N37" i="40"/>
  <c r="N34" i="40" l="1"/>
  <c r="N31" i="14"/>
  <c r="N30" i="14"/>
  <c r="N29" i="14"/>
  <c r="M31" i="14"/>
  <c r="M30" i="14"/>
  <c r="M29" i="14"/>
  <c r="N28" i="14"/>
  <c r="N27" i="14"/>
  <c r="N26" i="13" l="1"/>
  <c r="M36" i="40" l="1"/>
  <c r="N36" i="40"/>
  <c r="L37" i="40"/>
  <c r="N22" i="40"/>
  <c r="K22" i="40"/>
  <c r="M22" i="40"/>
  <c r="M26" i="13"/>
  <c r="M16" i="13"/>
  <c r="N16" i="13"/>
  <c r="O16" i="13"/>
  <c r="N18" i="8"/>
  <c r="L18" i="8"/>
  <c r="M18" i="8"/>
  <c r="K18" i="8"/>
  <c r="N17" i="8"/>
  <c r="M17" i="8"/>
  <c r="L17" i="8"/>
  <c r="N16" i="8"/>
  <c r="M16" i="8"/>
  <c r="L16" i="8"/>
  <c r="L15" i="8"/>
  <c r="N15" i="8"/>
  <c r="M15" i="8"/>
  <c r="K14" i="8"/>
  <c r="M34" i="40"/>
  <c r="M35" i="40"/>
  <c r="N35" i="40"/>
  <c r="L36" i="40"/>
  <c r="L35" i="40"/>
  <c r="L34" i="40"/>
  <c r="N26" i="40"/>
  <c r="N25" i="40"/>
  <c r="M25" i="40"/>
  <c r="M26" i="40"/>
  <c r="L22" i="40"/>
  <c r="M20" i="3"/>
  <c r="L28" i="2"/>
  <c r="M28" i="2"/>
  <c r="N28" i="2"/>
  <c r="M22" i="3" l="1"/>
  <c r="L22" i="3"/>
  <c r="M21" i="3"/>
  <c r="L21" i="3"/>
  <c r="L20" i="3"/>
  <c r="M20" i="2" l="1"/>
  <c r="L20" i="2"/>
  <c r="M24" i="2" l="1"/>
  <c r="L24" i="2"/>
  <c r="M22" i="2"/>
  <c r="L22" i="2"/>
  <c r="M21" i="2"/>
  <c r="L21" i="2"/>
  <c r="M19" i="2"/>
  <c r="Q46" i="42" l="1"/>
  <c r="Q44" i="42"/>
  <c r="O37" i="42"/>
  <c r="P37" i="42"/>
  <c r="Q37" i="42"/>
  <c r="O38" i="42"/>
  <c r="P38" i="42"/>
  <c r="Q38" i="42"/>
  <c r="O39" i="42"/>
  <c r="P39" i="42"/>
  <c r="Q39" i="42"/>
  <c r="B53" i="13" l="1"/>
  <c r="B52" i="13"/>
  <c r="B51" i="13"/>
  <c r="B50" i="13"/>
  <c r="B49" i="13"/>
  <c r="B48" i="13"/>
  <c r="B47" i="13"/>
  <c r="B46" i="13"/>
  <c r="L31" i="14" l="1"/>
  <c r="K31" i="14"/>
  <c r="J31" i="14"/>
  <c r="I31" i="14"/>
  <c r="H31" i="14"/>
  <c r="G31" i="14"/>
  <c r="F31" i="14"/>
  <c r="E31" i="14"/>
  <c r="D31" i="14"/>
  <c r="C31" i="14"/>
  <c r="B31" i="14"/>
  <c r="L30" i="14"/>
  <c r="K30" i="14"/>
  <c r="J30" i="14"/>
  <c r="I30" i="14"/>
  <c r="H30" i="14"/>
  <c r="G30" i="14"/>
  <c r="F30" i="14"/>
  <c r="E30" i="14"/>
  <c r="D30" i="14"/>
  <c r="C30" i="14"/>
  <c r="B30" i="14"/>
  <c r="L29" i="14"/>
  <c r="K29" i="14"/>
  <c r="J29" i="14"/>
  <c r="I29" i="14"/>
  <c r="H29" i="14"/>
  <c r="G29" i="14"/>
  <c r="F29" i="14"/>
  <c r="E29" i="14"/>
  <c r="D29" i="14"/>
  <c r="C29" i="14"/>
  <c r="B29" i="14"/>
  <c r="M28" i="14"/>
  <c r="L28" i="14"/>
  <c r="K28" i="14"/>
  <c r="J28" i="14"/>
  <c r="I28" i="14"/>
  <c r="H28" i="14"/>
  <c r="G28" i="14"/>
  <c r="F28" i="14"/>
  <c r="E28" i="14"/>
  <c r="D28" i="14"/>
  <c r="C28" i="14"/>
  <c r="B28" i="14"/>
  <c r="M27" i="14"/>
  <c r="L27" i="14"/>
  <c r="K27" i="14"/>
  <c r="J27" i="14"/>
  <c r="I27" i="14"/>
  <c r="H27" i="14"/>
  <c r="G27" i="14"/>
  <c r="F27" i="14"/>
  <c r="E27" i="14"/>
  <c r="D27" i="14"/>
  <c r="C27" i="14"/>
  <c r="B27" i="14"/>
  <c r="L16" i="13"/>
  <c r="L26" i="13" s="1"/>
  <c r="K16" i="13"/>
  <c r="K26" i="13" s="1"/>
  <c r="J16" i="13"/>
  <c r="J26" i="13" s="1"/>
  <c r="I16" i="13"/>
  <c r="I26" i="13" s="1"/>
  <c r="H16" i="13"/>
  <c r="H26" i="13" s="1"/>
  <c r="G16" i="13"/>
  <c r="G26" i="13" s="1"/>
  <c r="F16" i="13"/>
  <c r="F26" i="13" s="1"/>
  <c r="E16" i="13"/>
  <c r="E26" i="13" s="1"/>
  <c r="D16" i="13"/>
  <c r="D26" i="13" s="1"/>
  <c r="C16" i="13"/>
  <c r="C26" i="13" s="1"/>
  <c r="B16" i="13"/>
  <c r="B26" i="13" s="1"/>
  <c r="J44" i="10"/>
  <c r="J43" i="10"/>
  <c r="J42" i="10"/>
  <c r="K17" i="8" l="1"/>
  <c r="K16" i="8"/>
  <c r="K15" i="8"/>
  <c r="L25" i="40" l="1"/>
  <c r="B22" i="40" l="1"/>
  <c r="C22" i="40"/>
  <c r="E15" i="40" l="1"/>
  <c r="F15" i="40"/>
  <c r="G15" i="40"/>
  <c r="H15" i="40"/>
  <c r="I15" i="40"/>
  <c r="J15" i="40"/>
  <c r="K15" i="40"/>
  <c r="E22" i="40"/>
  <c r="F22" i="40"/>
  <c r="G22" i="40"/>
  <c r="H22" i="40"/>
  <c r="I22" i="40"/>
  <c r="J22" i="40"/>
  <c r="D22" i="40"/>
  <c r="D15" i="40"/>
  <c r="D35" i="40" l="1"/>
  <c r="E35" i="40"/>
  <c r="F35" i="40"/>
  <c r="G35" i="40"/>
  <c r="H35" i="40"/>
  <c r="I35" i="40"/>
  <c r="J35" i="40"/>
  <c r="K35" i="40"/>
  <c r="D36" i="40"/>
  <c r="E36" i="40"/>
  <c r="F36" i="40"/>
  <c r="G36" i="40"/>
  <c r="H36" i="40"/>
  <c r="I36" i="40"/>
  <c r="J36" i="40"/>
  <c r="K36" i="40"/>
  <c r="D37" i="40"/>
  <c r="E37" i="40"/>
  <c r="F37" i="40"/>
  <c r="G37" i="40"/>
  <c r="H37" i="40"/>
  <c r="I37" i="40"/>
  <c r="J37" i="40"/>
  <c r="K37" i="40"/>
  <c r="E34" i="40"/>
  <c r="F34" i="40"/>
  <c r="G34" i="40"/>
  <c r="H34" i="40"/>
  <c r="I34" i="40"/>
  <c r="J34" i="40"/>
  <c r="K34" i="40"/>
  <c r="D34" i="40"/>
  <c r="D26" i="40"/>
  <c r="D25" i="40"/>
  <c r="E26" i="40"/>
  <c r="E25" i="40"/>
  <c r="E34" i="15" l="1"/>
  <c r="C12" i="15"/>
  <c r="D12" i="15"/>
  <c r="E12" i="15"/>
  <c r="F12" i="15"/>
  <c r="B13" i="15"/>
  <c r="B12" i="15" s="1"/>
  <c r="G13" i="15"/>
  <c r="G12" i="15" s="1"/>
  <c r="H13" i="15"/>
  <c r="H12" i="15" s="1"/>
  <c r="I13" i="15"/>
  <c r="I12" i="15" s="1"/>
  <c r="E14" i="8" l="1"/>
  <c r="F14" i="8"/>
  <c r="G14" i="8"/>
  <c r="H14" i="8"/>
  <c r="I14" i="8"/>
  <c r="J14" i="8"/>
  <c r="D14" i="8"/>
  <c r="J18" i="8" l="1"/>
  <c r="B18" i="8"/>
  <c r="C18" i="8" l="1"/>
  <c r="D18" i="8"/>
  <c r="E18" i="8"/>
  <c r="F18" i="8"/>
  <c r="G18" i="8"/>
  <c r="H18" i="8"/>
  <c r="I1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HakSoo Ha</author>
  </authors>
  <commentList>
    <comment ref="N27" authorId="0" shapeId="0" xr:uid="{E62B6692-1EC2-417B-8395-D912F1D5149A}">
      <text>
        <r>
          <rPr>
            <b/>
            <sz val="9"/>
            <color indexed="81"/>
            <rFont val="Tahoma"/>
            <family val="2"/>
          </rPr>
          <t>HakSoo Ha:</t>
        </r>
        <r>
          <rPr>
            <sz val="9"/>
            <color indexed="81"/>
            <rFont val="Tahoma"/>
            <family val="2"/>
          </rPr>
          <t xml:space="preserve">
Averge of 2021/22 (Q1,2,3) (Sep-Nov, Dec-Feb, Mar-May), no data for Jun-Aug.</t>
        </r>
      </text>
    </comment>
    <comment ref="N29" authorId="0" shapeId="0" xr:uid="{89B979D6-C44A-4867-B8F1-5D028B19400F}">
      <text>
        <r>
          <rPr>
            <b/>
            <sz val="9"/>
            <color indexed="81"/>
            <rFont val="Tahoma"/>
            <family val="2"/>
          </rPr>
          <t>HakSoo Ha:
Jan-Aug (Q1,2)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HakSoo Ha</author>
  </authors>
  <commentList>
    <comment ref="N16" authorId="0" shapeId="0" xr:uid="{3EAB078F-D422-4344-AF1F-B7341752DBC9}">
      <text>
        <r>
          <rPr>
            <sz val="9"/>
            <color indexed="81"/>
            <rFont val="Tahoma"/>
            <family val="2"/>
          </rPr>
          <t xml:space="preserve">
From 2021 data, consumption for biofuels, NOT just for only biodiesel any more. 
Biofuels include fuel ethanol, biodiesel, renewable diesel, renewable heating oil, renewable jet fuel, renewable naphtha, renewable gasoline, biobutanol, and "other" biofuels and biointermediates.
This is why 2021's numbers are much higher than the preivous years' ones.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tc={A163C1F4-AA9A-4E5B-B2F7-5649C2C1FF87}</author>
  </authors>
  <commentList>
    <comment ref="P6" authorId="0" shapeId="0" xr:uid="{A163C1F4-AA9A-4E5B-B2F7-5649C2C1FF87}">
      <text>
        <t>[Threaded comment]
Your version of Excel allows you to read this threaded comment; however, any edits to it will get removed if the file is opened in a newer version of Excel. Learn more: https://go.microsoft.com/fwlink/?linkid=870924
Comment:
    Exports=Imports-Net imports</t>
      </text>
    </comment>
  </commentList>
</comments>
</file>

<file path=xl/sharedStrings.xml><?xml version="1.0" encoding="utf-8"?>
<sst xmlns="http://schemas.openxmlformats.org/spreadsheetml/2006/main" count="1942" uniqueCount="603">
  <si>
    <t>Ethanol</t>
  </si>
  <si>
    <t>Biodiesel</t>
  </si>
  <si>
    <t>Wood Pellets</t>
  </si>
  <si>
    <t>BioProducts</t>
  </si>
  <si>
    <t>Biochemicals</t>
  </si>
  <si>
    <t>Enzymes</t>
  </si>
  <si>
    <t>Forest Products</t>
  </si>
  <si>
    <t>Apparel &amp; Textiles</t>
  </si>
  <si>
    <t>Policy</t>
  </si>
  <si>
    <t>PHYSICAL</t>
  </si>
  <si>
    <t>EIA</t>
  </si>
  <si>
    <t>EPA</t>
  </si>
  <si>
    <t>ECONOMICS</t>
  </si>
  <si>
    <t>RFA</t>
  </si>
  <si>
    <t>Total Jobs Created in the Wood Pellet Industry</t>
  </si>
  <si>
    <t>ETHANOL</t>
  </si>
  <si>
    <t>PRODUCTION</t>
  </si>
  <si>
    <t>USDA</t>
  </si>
  <si>
    <t>https://www.ers.usda.gov/data-products/us-bioenergy-statistics/</t>
  </si>
  <si>
    <t>http://ethanolproducer.com/plants/listplants/US/Existing/Sugar-Starch/</t>
  </si>
  <si>
    <t>BIODIESEL</t>
  </si>
  <si>
    <t>Biodiesel Magazine</t>
  </si>
  <si>
    <t>http://www.biodieselmagazine.com/plants/listplants/USA/proposed/</t>
  </si>
  <si>
    <t>http://www.biodieselmagazine.com/plants/listplants/USA/construction/</t>
  </si>
  <si>
    <t>http://www.biodieselmagazine.com/plants/listplants/USA/existing/</t>
  </si>
  <si>
    <t>WOOD PELLETS</t>
  </si>
  <si>
    <t>PRODUCTION + CONSUMPTION</t>
  </si>
  <si>
    <t>Hawkins Wright; REN21; FAO</t>
  </si>
  <si>
    <t>http://www.eia.gov/biofuels/biomass/</t>
  </si>
  <si>
    <t>https://www.eia.gov/electricity/data/eia860m/</t>
  </si>
  <si>
    <t>http://www.eia.gov/electricity/annual/html/epa_05_07_a.html</t>
  </si>
  <si>
    <t>https://www.epa.gov/agstar/livestock-anaerobic-digester-database</t>
  </si>
  <si>
    <t xml:space="preserve">PRODUCTION </t>
  </si>
  <si>
    <t>ECONOMICS IN THEORY</t>
  </si>
  <si>
    <t>In theory, if 11,000 biogas systems made it would generate:</t>
  </si>
  <si>
    <t>https://19january2017snapshot.epa.gov/sites/production/files/2015-12/documents/biogas-roadmap.pdf</t>
  </si>
  <si>
    <t>Short Term Construction Jobs</t>
  </si>
  <si>
    <t>Permanent Jobs</t>
  </si>
  <si>
    <t>Comments</t>
  </si>
  <si>
    <t>Calculation</t>
  </si>
  <si>
    <t>BIOPRODUCTS SUMMARY</t>
  </si>
  <si>
    <t>BIOSCIENCE</t>
  </si>
  <si>
    <t>ECONOMIC</t>
  </si>
  <si>
    <t>https://www.biopreferred.gov/BPResources/files/BiobasedProductsEconomicAnalysis2016.pdf</t>
  </si>
  <si>
    <t>https://www.biopreferred.gov/BPResources/files/EconomicReport_6_12_2015.pdf</t>
  </si>
  <si>
    <t>BIOREFINERIES</t>
  </si>
  <si>
    <t>Gallons of Raw Materials used to Manufacture Biobased Products (millions)</t>
  </si>
  <si>
    <t>USDA BIOPREFFERED PROGRAM</t>
  </si>
  <si>
    <t>BioPreferred Program's Estimated Total Number of Biobased Products in the US</t>
  </si>
  <si>
    <t xml:space="preserve">Cumulative Number of Designated Categories </t>
  </si>
  <si>
    <t>Cumulative Number of Certification-Only Categories</t>
  </si>
  <si>
    <t>Total Cumulative Number of Categories</t>
  </si>
  <si>
    <t>Number of Products in the Mandatory Federal Purchasing Initiative Catalog</t>
  </si>
  <si>
    <t>15,000+</t>
  </si>
  <si>
    <t>Lewis, Elizabeth (2/1/2017). Email Correspondence. Amec Foster Wheeler</t>
  </si>
  <si>
    <t>Number of Biobased Products in USDA BioPreferred Program Database</t>
  </si>
  <si>
    <t>20,000 +</t>
  </si>
  <si>
    <t>Total Number of Products in the Catalog (FP &amp;/or certified)</t>
  </si>
  <si>
    <t>* Enzymes</t>
  </si>
  <si>
    <t>* Biobased Chemicals</t>
  </si>
  <si>
    <t>* Forest Products</t>
  </si>
  <si>
    <t>* Textiles</t>
  </si>
  <si>
    <t>Number of Certified Products in Catalogue by Type</t>
  </si>
  <si>
    <t>Number of FP Products in Catalogue by Type</t>
  </si>
  <si>
    <t>ENVIRONMENTAL</t>
  </si>
  <si>
    <t>TECHNOLOGY</t>
  </si>
  <si>
    <t>Number of Public Biotechnology Companies</t>
  </si>
  <si>
    <t>Number of Private Biotechnology Companies</t>
  </si>
  <si>
    <t>Total Number of Biotechnology Companies</t>
  </si>
  <si>
    <t>Carlson, R. (March 2016). "Estimating the biotech sector's contribution to the US economy." Nature Biotechnology, Volume 34, Number 3.</t>
  </si>
  <si>
    <t xml:space="preserve"> </t>
  </si>
  <si>
    <t xml:space="preserve">     </t>
  </si>
  <si>
    <t xml:space="preserve">   </t>
  </si>
  <si>
    <t xml:space="preserve">  </t>
  </si>
  <si>
    <t xml:space="preserve">             </t>
  </si>
  <si>
    <t xml:space="preserve">       </t>
  </si>
  <si>
    <t>PLASTICS</t>
  </si>
  <si>
    <t>US/GLOBAL PLASTICS</t>
  </si>
  <si>
    <t>Bureau of Economic Analysis</t>
  </si>
  <si>
    <t>www.bea.gov/industry/xls/GDPbyInd_VA_NAICS_1997-2012.xlsx</t>
  </si>
  <si>
    <t>Value Added of Manufacturing US Plastic and Rubber Products as Percentage of GDP (%)</t>
  </si>
  <si>
    <t>Full and Part Time Employees (thousands)</t>
  </si>
  <si>
    <t>GLOBAL BIOPLASTIC</t>
  </si>
  <si>
    <t>Land Used for Bioplastics (million ha)</t>
  </si>
  <si>
    <t>Global Demand for Bioproducts </t>
  </si>
  <si>
    <t xml:space="preserve">GLOBAL BIO-BASED STRUCTURAL POLYMERS </t>
  </si>
  <si>
    <t>Total Production Capacity</t>
  </si>
  <si>
    <t>BIOCHEMICALS</t>
  </si>
  <si>
    <t>US CHEMICAL PRODUCTS</t>
  </si>
  <si>
    <t>Value Added of Manufacturing US Chemical Products as Percentage of GDP (%)</t>
  </si>
  <si>
    <t>American Chemistry Council</t>
  </si>
  <si>
    <t>GLOBAL CHEMICAL PRODUCTS</t>
  </si>
  <si>
    <t>US BIOCHEMICALS</t>
  </si>
  <si>
    <t>ENZYMES</t>
  </si>
  <si>
    <t>GLOBAL</t>
  </si>
  <si>
    <t>FOREST PRODUCTS</t>
  </si>
  <si>
    <t>US WOOD PRODUCTS (NAICS)</t>
  </si>
  <si>
    <t>Value Added of Manufacturing US Wood Products as Percentage of GDP (%)</t>
  </si>
  <si>
    <t>US PAPER PRODUCTS (NAICS)</t>
  </si>
  <si>
    <t>Value Added of Manufacturing US Paper Products as Percentage of GDP (%)</t>
  </si>
  <si>
    <t>APPAREL AND TEXTILES</t>
  </si>
  <si>
    <t>US TEXTILE MILLS AND TEXTILE PRODUCT MILLS (NAICS)</t>
  </si>
  <si>
    <t>Value Added of Manufacturing US Textile Mills and Textile Product Mills as a Percentage of GDP (%)</t>
  </si>
  <si>
    <t>US APPAREL AND LEATHER AND ALLIED PRODUCTS (NAICS)</t>
  </si>
  <si>
    <t>WASTE TO ENERGY</t>
  </si>
  <si>
    <t>BIOGAS</t>
  </si>
  <si>
    <t>Retrieved April 2018</t>
  </si>
  <si>
    <t>Source  Name</t>
  </si>
  <si>
    <t>Source  URL</t>
  </si>
  <si>
    <t>https://www.eia.gov/totalenergy/data/monthly/pdf/sec10_7.pdf</t>
  </si>
  <si>
    <t>https://www.eia.gov/totalenergy/data/monthly/pdf/sec10_8.pdf</t>
  </si>
  <si>
    <t>https://www.eia.gov/totalenergy/data/monthly/pdf/mer.pdf</t>
  </si>
  <si>
    <t>https://www.eia.gov/dnav/pet/hist/LeafHandler.ashx?n=PET&amp;s=MFEIMUS1&amp;f=A</t>
  </si>
  <si>
    <t>https://www.eia.gov/dnav/pet/hist/LeafHandler.ashx?n=pet&amp;s=m_epooxe_eex_nus-z00_mbbl&amp;f=a</t>
  </si>
  <si>
    <t>https://www.eia.gov/totalenergy/data/monthly/pdf/sec10_5.pdf</t>
  </si>
  <si>
    <t>Ethanol producer</t>
  </si>
  <si>
    <t>http://www.ethanolrfa.org/pocket-guide/</t>
  </si>
  <si>
    <t xml:space="preserve">EIA
RFA </t>
  </si>
  <si>
    <t xml:space="preserve">RFA </t>
  </si>
  <si>
    <t>Source Name</t>
  </si>
  <si>
    <t>Source URL</t>
  </si>
  <si>
    <t>Biogas</t>
  </si>
  <si>
    <t>TABLE OF CONTENTS</t>
  </si>
  <si>
    <t>Biobased products</t>
  </si>
  <si>
    <t>Bioplastics</t>
  </si>
  <si>
    <t>https://www.bea.gov/iTable/iTable.cfm?ReqID=51&amp;step=1#reqid=51&amp;step=2&amp;isuri=1</t>
  </si>
  <si>
    <t>Valued Added of Manufacturing US Apparel and Leather and Allied Products as a Percentage of GDP (%)</t>
  </si>
  <si>
    <t>https://www.americanchemistry.com/2017-Elements-of-the-Business-of-Chemistry.pdf</t>
  </si>
  <si>
    <t xml:space="preserve">Carlson, R. (March 2016). </t>
  </si>
  <si>
    <t>Average Soy Price (dollar per metric tons)</t>
  </si>
  <si>
    <t>https://www.ers.usda.gov/data-products/oil-crops-yearbook/oil-crops-yearbook/</t>
  </si>
  <si>
    <t>Number of Ethanol Plants installed in the United States</t>
  </si>
  <si>
    <t>Number of  Ethanol Plants Operational in the United States</t>
  </si>
  <si>
    <t>Number of Existing Plants that Were Put on Standby</t>
  </si>
  <si>
    <t>Number of States which have an Ethanol Production Facility </t>
  </si>
  <si>
    <t xml:space="preserve">Number of Existing Plants Under Construction </t>
  </si>
  <si>
    <t>Number of direct jobs working with ethanol production</t>
  </si>
  <si>
    <t>Number of  indirect and induced jobs working with ethanol production</t>
  </si>
  <si>
    <t xml:space="preserve">Total corn used for Fuel ethanol use (million metric tons) </t>
  </si>
  <si>
    <t>GDP influence (billion dollars)</t>
  </si>
  <si>
    <t>Household income from industry (billion dollars)</t>
  </si>
  <si>
    <t>Tax Revenue (billion dollars)</t>
  </si>
  <si>
    <t>Price for Ethanol Per gallon (dollar per gallon)</t>
  </si>
  <si>
    <t>Number of Biodiesel Plants in the United States</t>
  </si>
  <si>
    <t>Number of Proposed Biodiesel Plants</t>
  </si>
  <si>
    <t xml:space="preserve">Number of Biodiesel stations </t>
  </si>
  <si>
    <t>Number of Biodiesel Plants in the United States-Soy Oil</t>
  </si>
  <si>
    <t>Number of Biodiesel Plants in the United States-Distillers Corn Oil </t>
  </si>
  <si>
    <t>Number of Biodiesel Plants in the United States- Multi-feedstock</t>
  </si>
  <si>
    <t>Number of Biodiesel Plants in the United States- Used Cooking Oil </t>
  </si>
  <si>
    <t>Number of Biodiesel Plants in the United States- Used Canola Oil </t>
  </si>
  <si>
    <t>Number of Biodiesel Plants in the United States- Used Virgin Oil </t>
  </si>
  <si>
    <t>Number of Biodiesel Plants in the United States- Used Yellow Grease</t>
  </si>
  <si>
    <t>Number of Biodiesel Plants in the United States- Waste Vegetable Oil</t>
  </si>
  <si>
    <t>Number of Biodiesel Plants in the United States- Animal Fats</t>
  </si>
  <si>
    <t>Number of States which have an WP Production Facility </t>
  </si>
  <si>
    <t>Number of WP Plants in the United States</t>
  </si>
  <si>
    <t>Number of Proposed WP Plants</t>
  </si>
  <si>
    <t>Wood pellet production worldwide (million metric tons)</t>
  </si>
  <si>
    <t>Number of WTE Plants in the United States</t>
  </si>
  <si>
    <t>Number of States which have an WTE Fuel Switching Production Facility </t>
  </si>
  <si>
    <t>Number of anaerobic digestion (AD) Plants</t>
  </si>
  <si>
    <t>Number of States which have an AD Production Facility </t>
  </si>
  <si>
    <t>In theory, if  2,647 dairy operations were installed it would have a market potential of (billion dollars):</t>
  </si>
  <si>
    <t>U.S. Textile Mills and Textile Product Mills Value Added (billion dollars)</t>
  </si>
  <si>
    <t>Gross Output of US Textile Mills and Textile Product Mills (billion dollars)</t>
  </si>
  <si>
    <t>Compensation of Employees, Value Added of Textile Mills &amp; Textile Product Mills (billion dollars)</t>
  </si>
  <si>
    <t>Gross Operating Surplus of Textile Mills &amp; Textile Product Mills Products (billion dollars)</t>
  </si>
  <si>
    <t>Taxes of Production and Imports, Less Subsides of US Textile Mills &amp; Textile Product Mills (billion dollars)</t>
  </si>
  <si>
    <t>Apparel and Leather and Allied Products Value Added (billion dollars)</t>
  </si>
  <si>
    <t>Gross Output of US Apparel and Leather and Allied Products  (billion dollars)</t>
  </si>
  <si>
    <t>Compensation of Employees, Value Added of Apparel and Leather and Allied Products (billion dollars)</t>
  </si>
  <si>
    <t>Taxes of Production and Imports, Less Subsides of US Apparel and Leather and Allied Products (billion dollars)</t>
  </si>
  <si>
    <t>Gross Operating Surplus of Apparel and Leather and Allied Products Products (billion dollars)</t>
  </si>
  <si>
    <t>U.S. Wood Products Value Added (billion dollars)</t>
  </si>
  <si>
    <t>Gross Output of US Wood Products (billion dollars)</t>
  </si>
  <si>
    <t>Compensation of Employees, Value Added of Wood Products (billion dollars)</t>
  </si>
  <si>
    <t>Taxes of Production and Imports, Less Subsides of US Wood Products (billion dollars)</t>
  </si>
  <si>
    <t>Gross Operating Surplus of Wood Products (billion dollars)</t>
  </si>
  <si>
    <t>U.S. Paper Products Value Added (billion dollars)</t>
  </si>
  <si>
    <t>Compensation of Employees, Value Added of Paper Products (billion dollars)</t>
  </si>
  <si>
    <t>Taxes of Production and Imports, Less Subsides of US Paper Products (billion dollars)</t>
  </si>
  <si>
    <t>Gross Operating Surplus of Paper Products (billion dollars)</t>
  </si>
  <si>
    <t>Global Industrial Enzyme Market (billion dollars)
By market:</t>
  </si>
  <si>
    <t>* Food (billion dollars)</t>
  </si>
  <si>
    <t>* Feed (billion dollars)</t>
  </si>
  <si>
    <t>* Technical (billion dollars)</t>
  </si>
  <si>
    <t>* Detergent (billion dollars)</t>
  </si>
  <si>
    <t>Value Added of U.S. Chemical Products (billion dollars)</t>
  </si>
  <si>
    <t>Gross Output of US Chemical Products (billion dollars)</t>
  </si>
  <si>
    <t>Compensation of Employees, Value Added of Chemical Products (billion dollars)</t>
  </si>
  <si>
    <t>Taxes of Production and Imports, Less Subsides of US Chemical Products (billion dollars)</t>
  </si>
  <si>
    <t>Gross Operating Surplus of Chemical Products (billion dollars)</t>
  </si>
  <si>
    <t>Revenue of US Chemical Industry (billion dollars)</t>
  </si>
  <si>
    <t>Value of Chemical Shipments (billion dollars)</t>
  </si>
  <si>
    <t>Value of Chemical Imports into the US (billion dollars)</t>
  </si>
  <si>
    <t>Value of Chemical Exports from the US (billion dollars)</t>
  </si>
  <si>
    <t>Biochemical Revenues in the US (billion dollars)</t>
  </si>
  <si>
    <t>Global Cellulose Fibers (million metric tons)</t>
  </si>
  <si>
    <t>U.S. Plastic and Rubber Products Value Added (billion dollars)</t>
  </si>
  <si>
    <t>https://www.bea.gov/iTable/iTable.cfm?ReqID=51&amp;step=1#reqid=51&amp;step=51&amp;isuri=1&amp;5114=a&amp;5102=1</t>
  </si>
  <si>
    <t>https://www.bea.gov/iTable/iTable.cfm?ReqID=51&amp;step=1#reqid=51&amp;step=51&amp;isuri=1&amp;5114=a&amp;5102=5</t>
  </si>
  <si>
    <t>Gross Output of US Plastic and Rubber Products (billion dollars)</t>
  </si>
  <si>
    <t>Compensation of Employees, Value Added of Plastics and Rubber Products (billion dollars)</t>
  </si>
  <si>
    <t>Gross Operating Surplus of Plastics and Rubber Product Products (billion dollars)</t>
  </si>
  <si>
    <t>Plastics Europe</t>
  </si>
  <si>
    <t>https://www.plasticseurope.org/en/resources/market-data</t>
  </si>
  <si>
    <t>Global Plastic Production (million metric tons)</t>
  </si>
  <si>
    <t>Global production capacity of biodegradable bioplastics (million metric tons)</t>
  </si>
  <si>
    <t>Global production capacity of non-biodegradable bioplastics (million metric tons)</t>
  </si>
  <si>
    <t>Global production capacities of  biodegradable and non-biodegradable bioplastics (million metric tons)</t>
  </si>
  <si>
    <t>Percentage of Bioplastic in Total Global Plastic Consumption</t>
  </si>
  <si>
    <t>Institute for bioplastics and biocomposites</t>
  </si>
  <si>
    <r>
      <rPr>
        <sz val="11"/>
        <rFont val="Calibri"/>
        <family val="2"/>
        <scheme val="minor"/>
      </rPr>
      <t xml:space="preserve">[2012-2014] </t>
    </r>
    <r>
      <rPr>
        <u/>
        <sz val="11"/>
        <color theme="10"/>
        <rFont val="Calibri"/>
        <family val="2"/>
        <scheme val="minor"/>
      </rPr>
      <t xml:space="preserve">http://www.bio-based.eu/market_study/media/16-12-16-Bio-based-Building-Blocks-and-Polymers-short-version.pdf
</t>
    </r>
    <r>
      <rPr>
        <sz val="11"/>
        <rFont val="Calibri"/>
        <family val="2"/>
        <scheme val="minor"/>
      </rPr>
      <t xml:space="preserve">[2013] </t>
    </r>
    <r>
      <rPr>
        <u/>
        <sz val="11"/>
        <color theme="10"/>
        <rFont val="Calibri"/>
        <family val="2"/>
        <scheme val="minor"/>
      </rPr>
      <t>http://www.bio-based.eu/market_study/media/files/15-05-13_Bio-based_Polymers_and_Building_Blocks_in_the_World-nova_Booklet.pdf</t>
    </r>
  </si>
  <si>
    <t>BBC Research</t>
  </si>
  <si>
    <t>Biotechnology Industry Organization</t>
  </si>
  <si>
    <t>U.S. Academic Bioscience R&amp;D Expenditures (billion dollars)</t>
  </si>
  <si>
    <t>U.S. Bioscience Venture Capital Investments (billion dollars)</t>
  </si>
  <si>
    <t>Golden et al.</t>
  </si>
  <si>
    <t>USDA Golden et al.</t>
  </si>
  <si>
    <t>Direct Value Added to the U.S. Economy from Sales from the U.S. Bioproducts Industry (billion dollars)</t>
  </si>
  <si>
    <t>Indirect/Induced Value Added to the U.S. Economy from Sales from the U.S. Bioproducts Industry (billion dollars)</t>
  </si>
  <si>
    <t>Total Value Added to the U.S. Economy from Sales from the U.S. Bioproducts Industry (billion dollars)</t>
  </si>
  <si>
    <t>Number of Direct Jobs Contributed to the U.S. Economy by the U.S. Bioproducts Industry (millions)</t>
  </si>
  <si>
    <t>Number of Indirect or Induced Jobs Contributed to the U.S. Economy by the U.S. Bioproducts Industry (millions)</t>
  </si>
  <si>
    <t>Total Number of Jobs Contributed to the U.S. Economy by the U.S. Bioproducts Industry (millions)</t>
  </si>
  <si>
    <t>Amec Foster Wheeler</t>
  </si>
  <si>
    <t>Annual Budget of the Program (million dollars)</t>
  </si>
  <si>
    <t>Approximate Number of Certified Products each year (add footnote on bias of numbers)</t>
  </si>
  <si>
    <t>Number of Barrels of Petroleum Displacement due to Biochemical Feedstocks &amp; Biobased Product Alternatives </t>
  </si>
  <si>
    <t>GHG Emission Reductions from Biobased Products Industry (million metric tons of CO2 equivalent)</t>
  </si>
  <si>
    <t>https://www.statista.com/statistics/197930/number-of-united-states-biotech-companies-by-type/</t>
  </si>
  <si>
    <t>Carlson, R.</t>
  </si>
  <si>
    <t>https://www.nature.com/articles/nbt.3491.pdf</t>
  </si>
  <si>
    <t>Biotech Revenues in the US (billion dollars)</t>
  </si>
  <si>
    <t>Biotech Revenue Growth (billion dollars)</t>
  </si>
  <si>
    <t>Retrieved February 2017</t>
  </si>
  <si>
    <r>
      <t xml:space="preserve">Retrieved February 2017
</t>
    </r>
    <r>
      <rPr>
        <b/>
        <sz val="11"/>
        <rFont val="Calibri"/>
        <family val="2"/>
        <scheme val="minor"/>
      </rPr>
      <t>Footnote</t>
    </r>
    <r>
      <rPr>
        <sz val="11"/>
        <color theme="1"/>
        <rFont val="Calibri"/>
        <family val="2"/>
        <scheme val="minor"/>
      </rPr>
      <t>: And because many biobased products are distributed in multiple counties, it could be considered a rough estimate of a world-wide number</t>
    </r>
  </si>
  <si>
    <t>Retrieved March 2017</t>
  </si>
  <si>
    <t>Total Volume of Ethanol Consumed (billion gallons)</t>
  </si>
  <si>
    <t>Total Volume of Ethanol Imported into the US (billion gallons)</t>
  </si>
  <si>
    <t>Total Volume of Ethanol Exported From the US (billion gallons)</t>
  </si>
  <si>
    <t>Total Production of Biodiesel in US (billion gallons)</t>
  </si>
  <si>
    <t>Total Volume of Biodiesel Consumed for Transportation (billion gallons)</t>
  </si>
  <si>
    <t>Total Volume of Ethanol  Produced in US (billion gallons)</t>
  </si>
  <si>
    <t>AEE</t>
  </si>
  <si>
    <t>NAICS</t>
  </si>
  <si>
    <t>Retrieved May 2018</t>
  </si>
  <si>
    <t>Biomass Industry Directory</t>
  </si>
  <si>
    <t>Methane potential for biogas from landfills</t>
  </si>
  <si>
    <t>Methane potential for biogas from wastewater</t>
  </si>
  <si>
    <t xml:space="preserve">Methane potential for biogas from manure </t>
  </si>
  <si>
    <t xml:space="preserve">Methane potential for biogas from organic waste </t>
  </si>
  <si>
    <t>Number of direct jobs working with biodiesel production</t>
  </si>
  <si>
    <t>Biomass Industry Directory, published by BBI International</t>
  </si>
  <si>
    <t>Jobs Multiplier (for every 1,000 jobs, x more job are supported in the U.S.</t>
  </si>
  <si>
    <t>* Bioplastics</t>
  </si>
  <si>
    <t xml:space="preserve">Nova Institute for Ecology and Innovation </t>
  </si>
  <si>
    <t>Gross Output of US Paper Products (billion dollars)</t>
  </si>
  <si>
    <t xml:space="preserve">     Number Ethanol Plants in the United States-Cellulosic</t>
  </si>
  <si>
    <t xml:space="preserve">CORN FOR ETHANOL </t>
  </si>
  <si>
    <t>Total Volume of Ethanol Consumed: Transportation  (billion gallons)</t>
  </si>
  <si>
    <t>Total Volume of Ethanol Consumed: Industrial sector  (billion gallons)</t>
  </si>
  <si>
    <t xml:space="preserve">Number of States which have a Biodiesel Production Facility </t>
  </si>
  <si>
    <t>https://www.afdc.energy.gov/fuels/prices.html</t>
  </si>
  <si>
    <t>Price for Ethanol Per gallon (dollar per gge)</t>
  </si>
  <si>
    <t>Price for E85 Per gallon (dollar per gge)</t>
  </si>
  <si>
    <t>Price for gasoline Per gallon (dollar per gge)</t>
  </si>
  <si>
    <t>AFD</t>
  </si>
  <si>
    <t xml:space="preserve">Price Per Gallon of Diesel (dollar per gge) </t>
  </si>
  <si>
    <t xml:space="preserve">Price Per Gallon of Biodiesel (dollar per gallon) </t>
  </si>
  <si>
    <t>Price Per Gallon of B20 (dollar per gge)</t>
  </si>
  <si>
    <t>Price Per Gallon of B99/100 (dollar per gge)</t>
  </si>
  <si>
    <t>Energy Consumption from Wood in US (trillion BTUs)</t>
  </si>
  <si>
    <t xml:space="preserve">     Residential Sector</t>
  </si>
  <si>
    <t xml:space="preserve">     Commercial Sector</t>
  </si>
  <si>
    <t xml:space="preserve">     Industrial Sector</t>
  </si>
  <si>
    <t xml:space="preserve">     Electric Power Sector</t>
  </si>
  <si>
    <t>Electricity Net Generation from Wood (trillion BTUs)</t>
  </si>
  <si>
    <t>Wood pellets Production (million metric tons)</t>
  </si>
  <si>
    <t>Wood pellets Exports (million metric tons)</t>
  </si>
  <si>
    <t>FAOSTAT</t>
  </si>
  <si>
    <t>http://www.fao.org/faostat/en/#data/FO</t>
  </si>
  <si>
    <t>Wood pellets Consumption (million metric tons)</t>
  </si>
  <si>
    <t>Estimation</t>
  </si>
  <si>
    <t xml:space="preserve">     Recycled and composted</t>
  </si>
  <si>
    <t xml:space="preserve">     Combusted with Energy recovery</t>
  </si>
  <si>
    <t>Municipal solid waste generation in the United States (million  metric tons)</t>
  </si>
  <si>
    <t xml:space="preserve">     Landfilled</t>
  </si>
  <si>
    <t>Biogenic Municipal Solid Waste: Consumption for Electricity Generation (million metric tons)</t>
  </si>
  <si>
    <t xml:space="preserve">     Independent power producers</t>
  </si>
  <si>
    <t xml:space="preserve">     Commercial sector</t>
  </si>
  <si>
    <t xml:space="preserve">     Electric utilities</t>
  </si>
  <si>
    <t>Anaerobic digestion: Biogas generated (trillion BTU)</t>
  </si>
  <si>
    <t>https://www.eia.gov/electricity/annual/html/epa_05_06_c.html</t>
  </si>
  <si>
    <t>Anaerobic digestion: Total Methane Emission Reductions (million metric tons of CO2)</t>
  </si>
  <si>
    <t>Landfill gas: energy consumption (trillion BTU)</t>
  </si>
  <si>
    <t xml:space="preserve">     Used for Electricity</t>
  </si>
  <si>
    <t xml:space="preserve">     Used for Boiler/Furnace</t>
  </si>
  <si>
    <t xml:space="preserve">     Used for "Flare Full Time"</t>
  </si>
  <si>
    <t xml:space="preserve">     Used for Cogeneration</t>
  </si>
  <si>
    <t xml:space="preserve">Number of Existing AD Plants Under Construction </t>
  </si>
  <si>
    <t>Number of New AD Plants that Went on Line from livestock</t>
  </si>
  <si>
    <t>Number Of AD Plants that Shut Down</t>
  </si>
  <si>
    <t>Number of landfill Plants</t>
  </si>
  <si>
    <t>Number of States which have a landfill  Facility </t>
  </si>
  <si>
    <t>Landfill gas: Total Methane Emission Reductions (million metric tons of CO2)</t>
  </si>
  <si>
    <t>https://www.epa.gov/lmop/landfill-technical-data</t>
  </si>
  <si>
    <t>Heating from Wood in the US (trillion BTUs)</t>
  </si>
  <si>
    <t>Number of WTE Plants Proposed  in US</t>
  </si>
  <si>
    <t>Number of WTE Existing Plants that Were Put on Standby</t>
  </si>
  <si>
    <t>Number of WTE Existing Plants that Were Closed-Shut Down</t>
  </si>
  <si>
    <t>Number of WTE Fuel Switching Plants  in US</t>
  </si>
  <si>
    <t>Biogenic Municipal Solid Waste: Consumption for Energy Generation (million metric tons)</t>
  </si>
  <si>
    <t>Biogenic Municipal Solid Waste: Consumption for Heating Generation (million metric tons)</t>
  </si>
  <si>
    <t>Biogenic Municipal Solid Waste: Consumption for Electricity Generation (Trillion BTUs)</t>
  </si>
  <si>
    <t>Biogenic Municipal Solid Waste: Consumption for Heating Generation (Trillion BTUs)</t>
  </si>
  <si>
    <t>Biogenic Municipal Solid Waste: Consumption for Energy Generation (Trillion BTUs)</t>
  </si>
  <si>
    <t>Bioenergy</t>
  </si>
  <si>
    <t>Asia</t>
  </si>
  <si>
    <t>South America</t>
  </si>
  <si>
    <t>North America</t>
  </si>
  <si>
    <t>Europe</t>
  </si>
  <si>
    <t>Agriculture: total methane emissions (million metric tons of CO2)</t>
  </si>
  <si>
    <t>https://www3.epa.gov/climatechange/ghgemissions/inventoryexplorer/index.html#iallsectors/methane/inventsect/all</t>
  </si>
  <si>
    <t>Waste: total methane emissions (million metric tons of CO2)</t>
  </si>
  <si>
    <t xml:space="preserve">
USDA</t>
  </si>
  <si>
    <t>https://www.biopreferred.gov/BioPreferred/faces/pages/AboutBioPreferred.xhtml</t>
  </si>
  <si>
    <t>Golden et al.
USDA</t>
  </si>
  <si>
    <t>Wood residues ( mililon m3)</t>
  </si>
  <si>
    <t>Roundwood  (million m3)</t>
  </si>
  <si>
    <t>Wood pellets (million tonnes)</t>
  </si>
  <si>
    <t>Sawnwood (million m3)</t>
  </si>
  <si>
    <t>Wood-based panels (million m3)</t>
  </si>
  <si>
    <t>Wood pulp (million tonnes)</t>
  </si>
  <si>
    <t>Crude oil (dollar per barrel)</t>
  </si>
  <si>
    <t>Bioproducts</t>
  </si>
  <si>
    <t>Retrieved January 2020</t>
  </si>
  <si>
    <t>https://www.macrotrends.net/1369/crude-oil-price-history-chart</t>
  </si>
  <si>
    <t>Macrotrends</t>
  </si>
  <si>
    <t>http://www.eia.gov/electricity/annual/html/epa_05_07_b.html</t>
  </si>
  <si>
    <t>http://www.eia.gov/electricity/annual/html/epa_05_07_c.html</t>
  </si>
  <si>
    <t>http://www.eia.gov/electricity/annual/html/epa_05_07_d.html</t>
  </si>
  <si>
    <t>http://www.eia.gov/electricity/annual/html/epa_05_07_e.html</t>
  </si>
  <si>
    <t>http://www.eia.gov/electricity/annual/html/epa_05_07_f.html</t>
  </si>
  <si>
    <t>https://www.eia.gov/electricity/annual/html/epa_05_06_f.html</t>
  </si>
  <si>
    <t>Number of U.S. Bioscience-Related Patents (thousand)</t>
  </si>
  <si>
    <r>
      <rPr>
        <sz val="11"/>
        <rFont val="Calibri"/>
        <family val="2"/>
        <scheme val="minor"/>
      </rPr>
      <t xml:space="preserve">[2014] </t>
    </r>
    <r>
      <rPr>
        <u/>
        <sz val="11"/>
        <color theme="10"/>
        <rFont val="Calibri"/>
        <family val="2"/>
        <scheme val="minor"/>
      </rPr>
      <t xml:space="preserve">https://www.biopreferred.gov/BPResources/files/BiobasedProductsEconomicAnalysis2016.pdf
</t>
    </r>
    <r>
      <rPr>
        <sz val="11"/>
        <color theme="1"/>
        <rFont val="Calibri"/>
        <family val="2"/>
        <scheme val="minor"/>
      </rPr>
      <t>[2016]</t>
    </r>
    <r>
      <rPr>
        <u/>
        <sz val="11"/>
        <color theme="10"/>
        <rFont val="Calibri"/>
        <family val="2"/>
        <scheme val="minor"/>
      </rPr>
      <t xml:space="preserve"> https://bioproducts.ecu.edu/wp-content/pv-uploads/sites/73/2019/08/2018Bioreport.pdf</t>
    </r>
  </si>
  <si>
    <t>https://apps.bea.gov/iTable/iTable.cfm?reqid=19&amp;step=2&amp;isuri=1&amp;1921=survey</t>
  </si>
  <si>
    <t>https://apps.bea.gov/iTable/iTable.cfm?reqid=19&amp;step=2&amp;isuri=1&amp;1921=survey#</t>
  </si>
  <si>
    <t>Taxes on Production and Imports, Less Subsides of US Plastics and Rubber Products (billion dollars)</t>
  </si>
  <si>
    <t>https://docs.european-bioplastics.org/publications/EUBP_Facts_and_figures.pdf</t>
  </si>
  <si>
    <t>Wood fuel (million m3)</t>
  </si>
  <si>
    <t>Paper and paperboard (million tonnes)</t>
  </si>
  <si>
    <t>Forest products Imports  (billion dollars)</t>
  </si>
  <si>
    <t>Forst products Exports (billion dollars)</t>
  </si>
  <si>
    <t>Ethanol plant capacities  (billion gallons)</t>
  </si>
  <si>
    <t>Number Proposed Ethanol Plants in the United States</t>
  </si>
  <si>
    <t xml:space="preserve">     Number Ethanol Plants in the United States-Corn</t>
  </si>
  <si>
    <t xml:space="preserve">     Number Ethanol Plants in the United States-Sorghum</t>
  </si>
  <si>
    <t xml:space="preserve">     Number Ethanol Plants in the United States-Other (Tobacco, crop residue, waste stream)</t>
  </si>
  <si>
    <t xml:space="preserve">     Number Ethanol Plants in the United States-Starch</t>
  </si>
  <si>
    <t>https://data.bls.gov/cew/apps/data_views/data_views.htm#tab=Tables</t>
  </si>
  <si>
    <t>Wood pellets Imports (Thousand metric tons)</t>
  </si>
  <si>
    <t>http://energyrecoverycouncil.org/wp-content/uploads/2019/10/ERC-2018-directory.pdf</t>
  </si>
  <si>
    <t>Revenue from waste electricity generation in the U.S. (million dollars)</t>
  </si>
  <si>
    <t>https://www.epa.gov/facts-and-figures-about-materials-waste-and-recycling/advancing-sustainable-materials-management</t>
  </si>
  <si>
    <t>Jobs in WTE Facilities</t>
  </si>
  <si>
    <t>Total Economic output by WTE (million dollars)</t>
  </si>
  <si>
    <t>Total jobs (direct, indirect and induced) created by WTE</t>
  </si>
  <si>
    <t>ERC</t>
  </si>
  <si>
    <t>Landfill gas: energy consumption (billion cubic feet)</t>
  </si>
  <si>
    <t>Anaerobic digestion: Biogas generated (billion cubic feet)</t>
  </si>
  <si>
    <t>American biogas Council</t>
  </si>
  <si>
    <t>Retrieved March 2020</t>
  </si>
  <si>
    <t>Biogas potential from landfills (billion cubic feet)</t>
  </si>
  <si>
    <t>Biogas potential from wastewater (billion cubic feet)</t>
  </si>
  <si>
    <t>Biogas potential from animal manure (billion cubic feet)</t>
  </si>
  <si>
    <t>BIOBUTANOL</t>
  </si>
  <si>
    <t>Total Volume of Biobutanol entering the commercial market in the US (thousand gallons)</t>
  </si>
  <si>
    <t>AFDC</t>
  </si>
  <si>
    <t>IRENA</t>
  </si>
  <si>
    <t>https://www.irena.org/publicationsearch?keywords=jobs%20annual%20review</t>
  </si>
  <si>
    <t>Poultry Going to Biodiesel (Thousand metric tons)</t>
  </si>
  <si>
    <t>Tallow Going to Biodiesel (Thousand metric tons)</t>
  </si>
  <si>
    <t>White Grease Going to Biodiesel (Thousand metric tons)</t>
  </si>
  <si>
    <t>Yellow Grease to Biodiesel (Thousand metric tons)</t>
  </si>
  <si>
    <t>Other fats Going to Biodiesel (Thousand metric tons)</t>
  </si>
  <si>
    <t>Render Magazine</t>
  </si>
  <si>
    <t>Poultry Fat (Thousand metric tons)</t>
  </si>
  <si>
    <t>Tallow (Thousand metric tons)</t>
  </si>
  <si>
    <t>White Grease (Thousand metric tons)</t>
  </si>
  <si>
    <t>Yellow Grease (Thousand metric tons)</t>
  </si>
  <si>
    <t>Other fats (Thousand metric tons)</t>
  </si>
  <si>
    <t>ANIMAL FATS AND RECYCLED GREASES</t>
  </si>
  <si>
    <t>Production</t>
  </si>
  <si>
    <t>Consumption for Feed &amp; Food</t>
  </si>
  <si>
    <t>Consumtpion for Biofuels</t>
  </si>
  <si>
    <t>Exports</t>
  </si>
  <si>
    <t>Imports</t>
  </si>
  <si>
    <t>Price</t>
  </si>
  <si>
    <t>Poultry Fat (dollar per metric ton)</t>
  </si>
  <si>
    <t>Tallow (dollar per metric ton)</t>
  </si>
  <si>
    <t>White Grease (dollar per metric ton)</t>
  </si>
  <si>
    <t>Yellow Grease (dollar per metric ton)</t>
  </si>
  <si>
    <t>Percent into Biodiesel</t>
  </si>
  <si>
    <t>Poultry Fat (%)</t>
  </si>
  <si>
    <t>Tallow (%)</t>
  </si>
  <si>
    <t>White Grease (%)</t>
  </si>
  <si>
    <t>Yellow Grease (%)</t>
  </si>
  <si>
    <t>TOTAL (Thousand metric tons)</t>
  </si>
  <si>
    <t>RENEWABLE DIESEL</t>
  </si>
  <si>
    <t>Total Volume of Renewable diesel Imported into the US ( million gallons)</t>
  </si>
  <si>
    <t>Total Consumpion of Renewable diesel in the US (million gallons)</t>
  </si>
  <si>
    <t>Total Production of Renewable diesel in the US (million gallons)</t>
  </si>
  <si>
    <t>Total Volume of Renewable diesel Exported From the US (million gallons)</t>
  </si>
  <si>
    <t>Keyword</t>
  </si>
  <si>
    <t xml:space="preserve">Biodiesel </t>
  </si>
  <si>
    <t>Biobutanol</t>
  </si>
  <si>
    <t>Renewable diesel</t>
  </si>
  <si>
    <t>Wood pellets</t>
  </si>
  <si>
    <t>Waste to energy</t>
  </si>
  <si>
    <t>Recycled greases</t>
  </si>
  <si>
    <t>Animal Fats</t>
  </si>
  <si>
    <t>https://portal.nifa.usda.gov/enterprise-search/project_details</t>
  </si>
  <si>
    <t>Renewable Diesel</t>
  </si>
  <si>
    <t>Fats</t>
  </si>
  <si>
    <t>Waste to Energy</t>
  </si>
  <si>
    <t>Funding</t>
  </si>
  <si>
    <t>* Biofuel (billion dollars)</t>
  </si>
  <si>
    <t>* Other (billion dollars)</t>
  </si>
  <si>
    <t>Retrieved June 2020</t>
  </si>
  <si>
    <t>“Global Markets for Enzymes in Industrial Applications.” BCC Research (September 2018)</t>
  </si>
  <si>
    <t>Traditional biofuel</t>
  </si>
  <si>
    <t>bioproducts</t>
  </si>
  <si>
    <t>Emergent biofuel</t>
  </si>
  <si>
    <t>0-250K</t>
  </si>
  <si>
    <t>250K-500K</t>
  </si>
  <si>
    <t>500K-1M</t>
  </si>
  <si>
    <t>&gt;1M</t>
  </si>
  <si>
    <t>https://www.ers.usda.gov/data-products/us-bioenergy-statistics/#:~:text=Ethanol%2C%20made%20mostly%20from%20corn,all%20biofuel%20production%20in%202012.&amp;text=ERS%20analysts%20track%20U.S.%20ethanol,production%2C%20consumption%2C%20and%20trade.</t>
  </si>
  <si>
    <t>https://pubs.rendermagazine.com/2020-04/page_12.html</t>
  </si>
  <si>
    <t>W</t>
  </si>
  <si>
    <t>Retrieved December 2020
1  ton = 0.9072 metric tons</t>
  </si>
  <si>
    <t>https://www.eia.gov/energyexplained/biomass/landfill-gas-and-biogas.php</t>
  </si>
  <si>
    <t>Wood Pellets Exported From US (in million $)</t>
  </si>
  <si>
    <t>Wood Pellets Imported From US (in million $)</t>
  </si>
  <si>
    <t>Average Annual Densified Biomass Capacity (million metric tons)</t>
  </si>
  <si>
    <t>https://www.epa.gov/fuels-registration-reporting-and-compliance-help/rins-generated-transactions</t>
  </si>
  <si>
    <t>RENEWABLE JET FUEL</t>
  </si>
  <si>
    <t>Total production of renewable jet fuel (thousand gallons)</t>
  </si>
  <si>
    <t>https://www.eia.gov/dnav/pet/pet_move_impcus_a2_nus_EPOORDO_im0_mbbl_a.htm</t>
  </si>
  <si>
    <t>https://www.eia.gov/dnav/pet/pet_move_neti_a_EP00_IMN_mbblpd_m.htm</t>
  </si>
  <si>
    <t>Retrieved April 2021</t>
  </si>
  <si>
    <t>* Packaging (flexible &amp;rigid) (%)</t>
  </si>
  <si>
    <t>* Textiles (%)</t>
  </si>
  <si>
    <t>* Consumer Goods (%)</t>
  </si>
  <si>
    <t>*Agriculture &amp; Horticulture (%)</t>
  </si>
  <si>
    <t>* Automotive &amp; Transport (%)</t>
  </si>
  <si>
    <t>* Building &amp; Construction (%)</t>
  </si>
  <si>
    <t>* Electronics (%)</t>
  </si>
  <si>
    <t>* Others (%)</t>
  </si>
  <si>
    <t>Land Used For Bioplastics/Total Amount of Arable Land (%)</t>
  </si>
  <si>
    <t>Polyproprylene (PP) (%)</t>
  </si>
  <si>
    <t>Polyamides (PA) (%)</t>
  </si>
  <si>
    <t>Poly (butylene adipate-co-terephthalate) (PBAT) (%)</t>
  </si>
  <si>
    <t>Polybutylene Succinate (PBS) (%)</t>
  </si>
  <si>
    <t>Polyethylene (PE) (%)</t>
  </si>
  <si>
    <t>Polyethylene Terephthalate (PET) (%)</t>
  </si>
  <si>
    <t>Polyhydroxyalkanoates (PHA) (%)</t>
  </si>
  <si>
    <t>Polylactic Acid (PLA) (%)</t>
  </si>
  <si>
    <t>Polytrimethylene Terephthalate (PTT) (%)</t>
  </si>
  <si>
    <t>Starch Blends (%)</t>
  </si>
  <si>
    <t>Other (%)</t>
  </si>
  <si>
    <t>Wood fuel (million tonnes)</t>
  </si>
  <si>
    <t>Wood residues ( mililon tonnes)</t>
  </si>
  <si>
    <t>Roundwood  (million tonnes)</t>
  </si>
  <si>
    <t>Sawnwood (million tonnes)</t>
  </si>
  <si>
    <t>Wood-based panels (million tonnes)</t>
  </si>
  <si>
    <t>FUNDING</t>
  </si>
  <si>
    <t>https://www.bio.org/sites/default/files/2020-06/BIO2020-report.pdf</t>
  </si>
  <si>
    <t>Packaging</t>
  </si>
  <si>
    <t>Textiles</t>
  </si>
  <si>
    <t>Consumer Goods</t>
  </si>
  <si>
    <t>Agriculture &amp; Horticulture</t>
  </si>
  <si>
    <t>Automotive &amp; Transport</t>
  </si>
  <si>
    <t>Building &amp; Construction</t>
  </si>
  <si>
    <t>Electronics</t>
  </si>
  <si>
    <t>Others</t>
  </si>
  <si>
    <t>Starch Blends</t>
  </si>
  <si>
    <t>Polylactic Acid (PLA)</t>
  </si>
  <si>
    <t>Poly (butylene adipate-co-terephthalate) (PBAT)</t>
  </si>
  <si>
    <t>Polyethylene (PE)</t>
  </si>
  <si>
    <t>Polyamides (PA)</t>
  </si>
  <si>
    <t>Polyethylene Terephthalate (PET)</t>
  </si>
  <si>
    <t>Polytrimethylene Terephthalate (PTT)</t>
  </si>
  <si>
    <t>Polybutylene Succinate (PBS)</t>
  </si>
  <si>
    <t>Other</t>
  </si>
  <si>
    <t>Polyhydroxyalkanoates (PHA)</t>
  </si>
  <si>
    <t>Polyproprylene (PP)</t>
  </si>
  <si>
    <t>NIFA</t>
  </si>
  <si>
    <t>NSF</t>
  </si>
  <si>
    <t>https://www.nsf.gov/awardsearch/advancedSearch.jsp</t>
  </si>
  <si>
    <t>Total Volume of Biodiesel Imported into the US ( million gallons)</t>
  </si>
  <si>
    <t>Total Volume of Biodiesel Exported From the US (million gallons)</t>
  </si>
  <si>
    <t>United States</t>
  </si>
  <si>
    <t>China</t>
  </si>
  <si>
    <t>Renewable
Power</t>
  </si>
  <si>
    <t>Renewable of
Transport</t>
  </si>
  <si>
    <t>Baby and Kids</t>
  </si>
  <si>
    <t>Construction</t>
  </si>
  <si>
    <t>Custodial Services</t>
  </si>
  <si>
    <t>Films and Packaging</t>
  </si>
  <si>
    <t>Food Services/Cafeteria</t>
  </si>
  <si>
    <t>Grounds Maintenance</t>
  </si>
  <si>
    <t>Household Supplies</t>
  </si>
  <si>
    <t>Intermediates</t>
  </si>
  <si>
    <t>Miscellaneous</t>
  </si>
  <si>
    <t>Office Supplies</t>
  </si>
  <si>
    <t>Operations and Maintenance</t>
  </si>
  <si>
    <t>Personal Care and Toiletries</t>
  </si>
  <si>
    <t>Safety Equipment</t>
  </si>
  <si>
    <t>Vehicles and Equipment Maintenance</t>
  </si>
  <si>
    <t>https://www.eia.gov/totalenergy/data/monthly/pdf/sec10_6.pdf</t>
  </si>
  <si>
    <t>Retrieved August 2022</t>
  </si>
  <si>
    <t>Retrieved July 2022</t>
  </si>
  <si>
    <t>Retrieved July 2022
1 gallon of ethanol = 77566 BTUs</t>
  </si>
  <si>
    <t>Retrieved July 2022
1 barrel of ethanol = 42 gallons</t>
  </si>
  <si>
    <t>Retrieved July 2022
1 bushel of corn=0.025 metric tons</t>
  </si>
  <si>
    <t>Retrieved July 2022
1.5 gallons ethanol =  1 gallon gasoline</t>
  </si>
  <si>
    <t>Retrieved August 2022
1 gallon of biodiesel = 127,595 BTUs</t>
  </si>
  <si>
    <t>Retrieved August 2022
1 barrel of biodiesel = 42 gallons</t>
  </si>
  <si>
    <t>Retrieved August 2022
1 bushel of soy=0.027 metric tons</t>
  </si>
  <si>
    <t>Retrieved August 2022                      1 liter = 0.264172 gallons</t>
  </si>
  <si>
    <t>Airline off-take agreement (thousand gallons)</t>
  </si>
  <si>
    <t>Carbon neutral SAF (thousand gallons)</t>
  </si>
  <si>
    <t>Carbon negative SAF (thousand gallons)</t>
  </si>
  <si>
    <r>
      <rPr>
        <sz val="11"/>
        <color theme="1"/>
        <rFont val="Calibri"/>
        <family val="2"/>
        <scheme val="minor"/>
      </rPr>
      <t xml:space="preserve">[2011-2012] </t>
    </r>
    <r>
      <rPr>
        <u/>
        <sz val="11"/>
        <color theme="10"/>
        <rFont val="Calibri"/>
        <family val="2"/>
        <scheme val="minor"/>
      </rPr>
      <t xml:space="preserve">http://www.eia.gov/petroleum/ethanolcapacity/ 
</t>
    </r>
    <r>
      <rPr>
        <sz val="11"/>
        <color theme="1"/>
        <rFont val="Calibri"/>
        <family val="2"/>
        <scheme val="minor"/>
      </rPr>
      <t xml:space="preserve">[2013-2021] </t>
    </r>
    <r>
      <rPr>
        <u/>
        <sz val="11"/>
        <color theme="10"/>
        <rFont val="Calibri"/>
        <family val="2"/>
        <scheme val="minor"/>
      </rPr>
      <t>http://www.ethanolrfa.org/pocket-guide/</t>
    </r>
  </si>
  <si>
    <r>
      <rPr>
        <sz val="11"/>
        <color theme="10"/>
        <rFont val="Calibri"/>
        <family val="2"/>
        <scheme val="minor"/>
      </rPr>
      <t xml:space="preserve">[2010-2021] </t>
    </r>
    <r>
      <rPr>
        <u/>
        <sz val="11"/>
        <color theme="10"/>
        <rFont val="Calibri"/>
        <family val="2"/>
        <scheme val="minor"/>
      </rPr>
      <t xml:space="preserve">https://www.eia.gov/petroleum/ethanolcapacity/index.php
</t>
    </r>
    <r>
      <rPr>
        <sz val="11"/>
        <color theme="10"/>
        <rFont val="Calibri"/>
        <family val="2"/>
        <scheme val="minor"/>
      </rPr>
      <t>[2022] https://www.eia.gov/biofuels/update/</t>
    </r>
  </si>
  <si>
    <t>EIA
EIA</t>
  </si>
  <si>
    <t>[2011-2020] https://www.eia.gov/biofuels/biodiesel/production/archive/ 
[2021-2022] https://www.eia.gov/biofuels/biodiesel/capacity/</t>
  </si>
  <si>
    <r>
      <t xml:space="preserve">[2011-2020] https://www.eia.gov/biofuels/biodiesel/production/archive/
</t>
    </r>
    <r>
      <rPr>
        <sz val="11"/>
        <color theme="10"/>
        <rFont val="Calibri"/>
        <family val="2"/>
        <scheme val="minor"/>
      </rPr>
      <t>[2021-2022] https://www.eia.gov/biofuels/biodiesel/capacity/</t>
    </r>
  </si>
  <si>
    <t>[2010-2011] http://task32.ieabioenergy.com/wp-content/uploads/2017/03/03-Fiona_Matthews.pdf
[2012-2020] http://www.fao.org/faostat/en/#data/FO</t>
  </si>
  <si>
    <t>ICAO</t>
  </si>
  <si>
    <t>https://info.aee.net/hubfs/AEN%202021%20Market%20Report/AEN%202021%20Market%20Report.pdf</t>
  </si>
  <si>
    <r>
      <rPr>
        <sz val="11"/>
        <color theme="10"/>
        <rFont val="Calibri"/>
        <family val="2"/>
        <scheme val="minor"/>
      </rPr>
      <t xml:space="preserve">[2014] </t>
    </r>
    <r>
      <rPr>
        <u/>
        <sz val="11"/>
        <color theme="10"/>
        <rFont val="Calibri"/>
        <family val="2"/>
        <scheme val="minor"/>
      </rPr>
      <t xml:space="preserve">https://19january2017snapshot.epa.gov/sites/production/files/2015-12/documents/biogas-roadmap.pdf 
</t>
    </r>
    <r>
      <rPr>
        <sz val="11"/>
        <color theme="10"/>
        <rFont val="Calibri"/>
        <family val="2"/>
        <scheme val="minor"/>
      </rPr>
      <t xml:space="preserve">[2020] </t>
    </r>
    <r>
      <rPr>
        <u/>
        <sz val="11"/>
        <color theme="10"/>
        <rFont val="Calibri"/>
        <family val="2"/>
        <scheme val="minor"/>
      </rPr>
      <t>https://americanbiogascouncil.org/resources/state-profiles/</t>
    </r>
  </si>
  <si>
    <t>[2014] https://19january2017snapshot.epa.gov/sites/production/files/2015-12/documents/biogas-roadmap.pdf 
[2020] https://americanbiogascouncil.org/resources/state-profiles/</t>
  </si>
  <si>
    <t>EPA
American biogas Council</t>
  </si>
  <si>
    <t>Retrieved August 2022
1 metric ton = 2,204.622 pounds</t>
  </si>
  <si>
    <t>https://www.icao.int/environmental-protection/GFAAF/Pages/Offtake-Agreements.aspx#InplviewHashef347ce3-9fcc-4b72-be6a-207e60680777=ShowInGrid%3DTrue</t>
  </si>
  <si>
    <t>Retrieved August 2022
1 kwh= 3412.14 BTUs</t>
  </si>
  <si>
    <t>Retrieved August 2022
1 kwh = 3412 BTUs</t>
  </si>
  <si>
    <t>[2018-2020]  https://www.eia.gov/biofuels/biodiesel/production/archive/2020/2020_09/table3.pdf   
[2021] https://www.eia.gov/biofuels/update/table2.pdf</t>
  </si>
  <si>
    <r>
      <rPr>
        <sz val="11"/>
        <rFont val="Calibri"/>
        <family val="2"/>
        <scheme val="minor"/>
      </rPr>
      <t xml:space="preserve">[2013] </t>
    </r>
    <r>
      <rPr>
        <u/>
        <sz val="11"/>
        <color theme="10"/>
        <rFont val="Calibri"/>
        <family val="2"/>
        <scheme val="minor"/>
      </rPr>
      <t xml:space="preserve">https://www.biopreferred.gov/BPResources/files/EconomicReport_6_12_2015.pdf
</t>
    </r>
    <r>
      <rPr>
        <sz val="11"/>
        <rFont val="Calibri"/>
        <family val="2"/>
        <scheme val="minor"/>
      </rPr>
      <t xml:space="preserve">[2014] </t>
    </r>
    <r>
      <rPr>
        <u/>
        <sz val="11"/>
        <color theme="10"/>
        <rFont val="Calibri"/>
        <family val="2"/>
        <scheme val="minor"/>
      </rPr>
      <t xml:space="preserve">https://www.biopreferred.gov/BPResources/files/BiobasedProductsEconomicAnalysis2016.pdf
</t>
    </r>
    <r>
      <rPr>
        <sz val="11"/>
        <color theme="1"/>
        <rFont val="Calibri"/>
        <family val="2"/>
        <scheme val="minor"/>
      </rPr>
      <t>[2016]</t>
    </r>
    <r>
      <rPr>
        <u/>
        <sz val="11"/>
        <color theme="10"/>
        <rFont val="Calibri"/>
        <family val="2"/>
        <scheme val="minor"/>
      </rPr>
      <t xml:space="preserve"> https://bioproducts.ecu.edu/wp-content/pv-uploads/sites/73/2019/08/2018Bioreport.pdf
</t>
    </r>
    <r>
      <rPr>
        <sz val="11"/>
        <rFont val="Calibri"/>
        <family val="2"/>
        <scheme val="minor"/>
      </rPr>
      <t xml:space="preserve">[2017] </t>
    </r>
    <r>
      <rPr>
        <u/>
        <sz val="11"/>
        <color theme="10"/>
        <rFont val="Calibri"/>
        <family val="2"/>
        <scheme val="minor"/>
      </rPr>
      <t>https://www.rd.usda.gov/sites/default/files/usda_rd_economic_impact_analysis_us_biobased_products_industry.pdf</t>
    </r>
  </si>
  <si>
    <t>Retrieved February 2017
Retrieved August 2018
Retrieved January 2020 
Retrieved August 2022</t>
  </si>
  <si>
    <t>16,000+</t>
  </si>
  <si>
    <r>
      <rPr>
        <sz val="11"/>
        <rFont val="Calibri"/>
        <family val="2"/>
        <scheme val="minor"/>
      </rPr>
      <t>[2014]</t>
    </r>
    <r>
      <rPr>
        <u/>
        <sz val="11"/>
        <color theme="10"/>
        <rFont val="Calibri"/>
        <family val="2"/>
        <scheme val="minor"/>
      </rPr>
      <t xml:space="preserve"> https://www.biopreferred.gov/BPResources/files/BiobasedProductsEconomicAnalysis2016.pdf
</t>
    </r>
    <r>
      <rPr>
        <sz val="11"/>
        <rFont val="Calibri"/>
        <family val="2"/>
        <scheme val="minor"/>
      </rPr>
      <t>[2015] https://www.biopreferred.gov/BioPreferred/faces/pages/AboutBioPreferred.xhtml</t>
    </r>
    <r>
      <rPr>
        <u/>
        <sz val="11"/>
        <color theme="10"/>
        <rFont val="Calibri"/>
        <family val="2"/>
        <scheme val="minor"/>
      </rPr>
      <t xml:space="preserve">
</t>
    </r>
    <r>
      <rPr>
        <sz val="11"/>
        <rFont val="Calibri"/>
        <family val="2"/>
        <scheme val="minor"/>
      </rPr>
      <t>[2019]</t>
    </r>
    <r>
      <rPr>
        <u/>
        <sz val="11"/>
        <rFont val="Calibri"/>
        <family val="2"/>
        <scheme val="minor"/>
      </rPr>
      <t xml:space="preserve"> </t>
    </r>
    <r>
      <rPr>
        <sz val="11"/>
        <rFont val="Calibri"/>
        <family val="2"/>
        <scheme val="minor"/>
      </rPr>
      <t xml:space="preserve">https://www.rd.usda.gov/sites/default/files/usda_rd_economic_impact_analysis_us_biobased_products_industry.pdf
[2021] https://www.usda.gov/media/press-releases/2021/07/29/usda-releases-economic-impact-analysis-us-biobased-products  </t>
    </r>
  </si>
  <si>
    <r>
      <rPr>
        <sz val="11"/>
        <color theme="10"/>
        <rFont val="Calibri"/>
        <family val="2"/>
        <scheme val="minor"/>
      </rPr>
      <t xml:space="preserve">[2010-2019] </t>
    </r>
    <r>
      <rPr>
        <u/>
        <sz val="11"/>
        <color theme="10"/>
        <rFont val="Calibri"/>
        <family val="2"/>
        <scheme val="minor"/>
      </rPr>
      <t xml:space="preserve">https://www.epa.gov/lmop/landfill-technical-data
</t>
    </r>
    <r>
      <rPr>
        <sz val="11"/>
        <color theme="10"/>
        <rFont val="Calibri"/>
        <family val="2"/>
        <scheme val="minor"/>
      </rPr>
      <t xml:space="preserve">[2020-2021] </t>
    </r>
    <r>
      <rPr>
        <u/>
        <sz val="11"/>
        <color theme="10"/>
        <rFont val="Calibri"/>
        <family val="2"/>
        <scheme val="minor"/>
      </rPr>
      <t xml:space="preserve">https://www.epa.gov/lmop/landfill-gas-energy-project-data </t>
    </r>
  </si>
  <si>
    <r>
      <rPr>
        <sz val="11"/>
        <color theme="10"/>
        <rFont val="Calibri"/>
        <family val="2"/>
        <scheme val="minor"/>
      </rPr>
      <t xml:space="preserve">[2018] </t>
    </r>
    <r>
      <rPr>
        <u/>
        <sz val="11"/>
        <color theme="10"/>
        <rFont val="Calibri"/>
        <family val="2"/>
        <scheme val="minor"/>
      </rPr>
      <t xml:space="preserve">https://americanbiogascouncil.org/biogas-market-snapshot/
</t>
    </r>
    <r>
      <rPr>
        <sz val="11"/>
        <color theme="10"/>
        <rFont val="Calibri"/>
        <family val="2"/>
        <scheme val="minor"/>
      </rPr>
      <t xml:space="preserve">[2020] </t>
    </r>
    <r>
      <rPr>
        <u/>
        <sz val="11"/>
        <color theme="10"/>
        <rFont val="Calibri"/>
        <family val="2"/>
        <scheme val="minor"/>
      </rPr>
      <t>https://americanbiogascouncil.org/resources/state-profiles/</t>
    </r>
  </si>
  <si>
    <t xml:space="preserve">https://www.biopreferred.gov/BioPreferred/faces/pages/AboutBioPreferred.xhtml
https://www.biopreferred.gov/BioPreferred/faces/pages/FAQs.xhtml
[2021] https://www.biopreferred.gov/BioPreferred/faces/pages/ProductCategories.xhtml </t>
  </si>
  <si>
    <r>
      <rPr>
        <sz val="11"/>
        <color theme="10"/>
        <rFont val="Calibri"/>
        <family val="2"/>
        <scheme val="minor"/>
      </rPr>
      <t>[2014]</t>
    </r>
    <r>
      <rPr>
        <u/>
        <sz val="11"/>
        <color theme="10"/>
        <rFont val="Calibri"/>
        <family val="2"/>
        <scheme val="minor"/>
      </rPr>
      <t xml:space="preserve"> https://www.biopreferred.gov/BPResources/files/BiobasedProductsEconomicAnalysis2016.pdf
</t>
    </r>
    <r>
      <rPr>
        <sz val="11"/>
        <color theme="10"/>
        <rFont val="Calibri"/>
        <family val="2"/>
        <scheme val="minor"/>
      </rPr>
      <t xml:space="preserve">[2022] </t>
    </r>
    <r>
      <rPr>
        <u/>
        <sz val="11"/>
        <color theme="10"/>
        <rFont val="Calibri"/>
        <family val="2"/>
        <scheme val="minor"/>
      </rPr>
      <t>https://www.agri-pulse.com/articles/17770-budget-procurement-transparency-are-points-of-concern-for-biopreferred-program</t>
    </r>
  </si>
  <si>
    <t>Retrieved September 2022</t>
  </si>
  <si>
    <t>* Coatings &amp; Adhesives (%)</t>
  </si>
  <si>
    <r>
      <rPr>
        <sz val="11"/>
        <rFont val="Calibri"/>
        <family val="2"/>
        <scheme val="minor"/>
      </rPr>
      <t xml:space="preserve">[2017] </t>
    </r>
    <r>
      <rPr>
        <u/>
        <sz val="11"/>
        <color theme="10"/>
        <rFont val="Calibri"/>
        <family val="2"/>
        <scheme val="minor"/>
      </rPr>
      <t xml:space="preserve">http://docs.european-bioplastics.org/publications/EUBP_Facts_and_figures.pdf
</t>
    </r>
    <r>
      <rPr>
        <sz val="11"/>
        <rFont val="Calibri"/>
        <family val="2"/>
        <scheme val="minor"/>
      </rPr>
      <t xml:space="preserve">[2018] https://www.european-bioplastics.org/wp-content/uploads/2016/02/Report_Bioplastics-Market-Data_2018.pdf   
[2019] https://docs.european-bioplastics.org/publications/market_data/2019/Report_Bioplastics_Market_Data_2019.pdf  
[2020] https://docs.european-bioplastics.org/conference/Report_Bioplastics_Market_Data_2020_short_version.pdf
[2021] https://docs.european-bioplastics.org/publications/market_data/Report_Bioplastics_Market_Data_2021_short_version.pdf </t>
    </r>
  </si>
  <si>
    <t xml:space="preserve">European Plastics
</t>
  </si>
  <si>
    <r>
      <rPr>
        <sz val="11"/>
        <rFont val="Calibri"/>
        <family val="2"/>
        <scheme val="minor"/>
      </rPr>
      <t>[2008-2009]</t>
    </r>
    <r>
      <rPr>
        <sz val="11"/>
        <color theme="10"/>
        <rFont val="Calibri"/>
        <family val="2"/>
        <scheme val="minor"/>
      </rPr>
      <t xml:space="preserve"> </t>
    </r>
    <r>
      <rPr>
        <u/>
        <sz val="11"/>
        <color theme="10"/>
        <rFont val="Calibri"/>
        <family val="2"/>
        <scheme val="minor"/>
      </rPr>
      <t xml:space="preserve">http://www.sustainableplant.com/2011/05/bioplastic-production-to-exceed-one-million-tonnes-in-2011/
</t>
    </r>
    <r>
      <rPr>
        <sz val="11"/>
        <rFont val="Calibri"/>
        <family val="2"/>
        <scheme val="minor"/>
      </rPr>
      <t>[2010-2011]</t>
    </r>
    <r>
      <rPr>
        <u/>
        <sz val="11"/>
        <color theme="10"/>
        <rFont val="Calibri"/>
        <family val="2"/>
        <scheme val="minor"/>
      </rPr>
      <t xml:space="preserve"> http://biomassmagazine.com/articles/9845/bioplastic-market-expected-to-increase-significantly-through-2017
</t>
    </r>
    <r>
      <rPr>
        <sz val="11"/>
        <rFont val="Calibri"/>
        <family val="2"/>
        <scheme val="minor"/>
      </rPr>
      <t>[2012-2018]</t>
    </r>
    <r>
      <rPr>
        <u/>
        <sz val="11"/>
        <color theme="10"/>
        <rFont val="Calibri"/>
        <family val="2"/>
        <scheme val="minor"/>
      </rPr>
      <t xml:space="preserve"> http://www.bio-based.eu/market_study/media/files/15-05-13_Bio-based_Polymers_and_Building_Blocks_in_the_World-nova_Booklet.pdf
</t>
    </r>
    <r>
      <rPr>
        <sz val="11"/>
        <rFont val="Calibri"/>
        <family val="2"/>
        <scheme val="minor"/>
      </rPr>
      <t xml:space="preserve">[2019] https://www.european-bioplastics.org/wp-content/uploads/2019/11/Report_Bioplastics-Market-Data_2019_short_version.pdf 
[2020] https://docs.european-bioplastics.org/conference/Report_Bioplastics_Market_Data_2020_short_version.pdf
[2021] https://docs.european-bioplastics.org/publications/EUBP_Facts_and_figures.pdf </t>
    </r>
  </si>
  <si>
    <t>European Plastics
Institute for bioplastics and biocomposites
Nova Institute for Ecology and Innovation 
European Plastics
European Plastics
European Plastics</t>
  </si>
  <si>
    <t>[2020] https://docs.european-bioplastics.org/conference/Report_Bioplastics_Market_Data_2020_short_version.pdf 
[2021] https://docs.european-bioplastics.org/publications/EUBP_Facts_and_figures.pdf</t>
  </si>
  <si>
    <t xml:space="preserve">USDA BioPreferred product certifications </t>
  </si>
  <si>
    <t>https://www.americanchemistry.com/chemistry-in-america/data-industry-statistics/resources/2022-guide-to-the-business-of-chemistry</t>
  </si>
  <si>
    <r>
      <rPr>
        <sz val="11"/>
        <color theme="10"/>
        <rFont val="Calibri"/>
        <family val="2"/>
        <scheme val="minor"/>
      </rPr>
      <t>[2013-2014]</t>
    </r>
    <r>
      <rPr>
        <u/>
        <sz val="11"/>
        <color theme="10"/>
        <rFont val="Calibri"/>
        <family val="2"/>
        <scheme val="minor"/>
      </rPr>
      <t xml:space="preserve"> http://www.ethanolrfa.org/pocket-guide/
</t>
    </r>
    <r>
      <rPr>
        <sz val="11"/>
        <color theme="10"/>
        <rFont val="Calibri"/>
        <family val="2"/>
        <scheme val="minor"/>
      </rPr>
      <t>[2019-2021]</t>
    </r>
    <r>
      <rPr>
        <u/>
        <sz val="11"/>
        <color theme="10"/>
        <rFont val="Calibri"/>
        <family val="2"/>
        <scheme val="minor"/>
      </rPr>
      <t xml:space="preserve"> https://ethanolrfa.org/library/reports-studies-and-white-papers/ethanol-and-the-economy</t>
    </r>
  </si>
  <si>
    <t>Global Synthetic Fibers (million metric tons)</t>
  </si>
  <si>
    <t xml:space="preserve">[2008-2019 &amp; 2021] https://www.bccresearch.com/market-research/biotechnology/global-markets-for-enzymes-in-industrial-applications.html
[2020] https://www.grandviewresearch.com/industry-analysis/industrial-enzymes-market </t>
  </si>
  <si>
    <t>Retrieved February 2017 
Retrieved August 2022</t>
  </si>
  <si>
    <t>Retrieved February 2017
Retrieved August 2022</t>
  </si>
  <si>
    <t>Retrieved April 2018 
Retrieved February 2017
Retrieved August 2022</t>
  </si>
  <si>
    <t>Amount awarded 2019 NIFA</t>
  </si>
  <si>
    <t>Amount awarded 2019 NSF</t>
  </si>
  <si>
    <t>&lt;50K</t>
  </si>
  <si>
    <t>50K-100K</t>
  </si>
  <si>
    <t>100K-500K</t>
  </si>
  <si>
    <t>Amount awarded 2020 NIFA</t>
  </si>
  <si>
    <t>Amount awarded 2020 NSF</t>
  </si>
  <si>
    <t>Amount awarded 2021 NIFA</t>
  </si>
  <si>
    <t>Amount awarded 2021 NSF</t>
  </si>
  <si>
    <t xml:space="preserve">[2010-2019] https://www.eia.gov/biofuels/biodiesel/production/archive/
[2020-2021] https://www.eia.gov/totalenergy/data/monthly/pdf/mer.pdf </t>
  </si>
  <si>
    <t>Statista 
Industrievereinigung Chemiefaser</t>
  </si>
  <si>
    <t>Statista</t>
  </si>
  <si>
    <t xml:space="preserve">[2010-2020] https://www.statista.com/statistics/271651/global-production-of-the-chemical-fiber-industry/ 
[2021] https://www.ivc-ev.de/sites/default/files/informationsmaterial-dateien/IVC%20Jahresbrosch%C3%BCre%202022.pdf </t>
  </si>
  <si>
    <t>Cellulose films (CF)</t>
  </si>
  <si>
    <t>Cellulose films (CF) (%)</t>
  </si>
  <si>
    <t xml:space="preserve">https://www.iea.org/data-and-statistics/charts/global-investments-in-alternative-feedstock-and-plastic-recycling-start-ups-2015-2019 </t>
  </si>
  <si>
    <t xml:space="preserve">https://www.iea.org/data-and-statistics/charts/power-generation-investment-by-region-in-2019-compared-with-annual-investment-needs-in-the-sustainable-development-scenario-2025-2030  </t>
  </si>
  <si>
    <t>https://rendermagazine.com/past-issues/</t>
  </si>
  <si>
    <t>[2018-2019] https://www.biopreferred.gov/BioPreferred/faces/pages/AboutBioPreferred.xhtml  
[2022] https://www.biopreferred.gov/BioPreferred/faces/catalog/Catalog.xhtml</t>
  </si>
  <si>
    <t>Retrieved November 2022
1  ton = 0.9072 metric tons</t>
  </si>
  <si>
    <t>Retrieved November 2022</t>
  </si>
  <si>
    <t>Ethanol producer
RFA</t>
  </si>
  <si>
    <r>
      <rPr>
        <sz val="11"/>
        <color theme="10"/>
        <rFont val="Calibri"/>
        <family val="2"/>
        <scheme val="minor"/>
      </rPr>
      <t xml:space="preserve">[2018-2019, 2022] </t>
    </r>
    <r>
      <rPr>
        <u/>
        <sz val="11"/>
        <color theme="10"/>
        <rFont val="Calibri"/>
        <family val="2"/>
        <scheme val="minor"/>
      </rPr>
      <t xml:space="preserve">http://ethanolproducer.com/plants/listplants/US/Existing/Cellulosic
</t>
    </r>
    <r>
      <rPr>
        <sz val="11"/>
        <color theme="10"/>
        <rFont val="Calibri"/>
        <family val="2"/>
        <scheme val="minor"/>
      </rPr>
      <t xml:space="preserve">[2020-2021] </t>
    </r>
    <r>
      <rPr>
        <u/>
        <sz val="11"/>
        <color theme="10"/>
        <rFont val="Calibri"/>
        <family val="2"/>
        <scheme val="minor"/>
      </rPr>
      <t>http://www.ethanolrfa.org/pocket-guide/</t>
    </r>
  </si>
  <si>
    <r>
      <rPr>
        <sz val="11"/>
        <color theme="10"/>
        <rFont val="Calibri"/>
        <family val="2"/>
        <scheme val="minor"/>
      </rPr>
      <t xml:space="preserve">[2016-2019, 2022] </t>
    </r>
    <r>
      <rPr>
        <u/>
        <sz val="11"/>
        <color theme="10"/>
        <rFont val="Calibri"/>
        <family val="2"/>
        <scheme val="minor"/>
      </rPr>
      <t xml:space="preserve">http://ethanolproducer.com/plants/listplants/US/Existing/Sugar-Starch/
</t>
    </r>
    <r>
      <rPr>
        <sz val="11"/>
        <color theme="10"/>
        <rFont val="Calibri"/>
        <family val="2"/>
        <scheme val="minor"/>
      </rPr>
      <t xml:space="preserve">[2020-2021] </t>
    </r>
    <r>
      <rPr>
        <u/>
        <sz val="11"/>
        <color theme="10"/>
        <rFont val="Calibri"/>
        <family val="2"/>
        <scheme val="minor"/>
      </rPr>
      <t>http://www.ethanolrfa.org/pocket-guide/</t>
    </r>
  </si>
  <si>
    <r>
      <rPr>
        <sz val="11"/>
        <color theme="10"/>
        <rFont val="Calibri"/>
        <family val="2"/>
        <scheme val="minor"/>
      </rPr>
      <t>[2016-2019, 2022]</t>
    </r>
    <r>
      <rPr>
        <u/>
        <sz val="11"/>
        <color theme="10"/>
        <rFont val="Calibri"/>
        <family val="2"/>
        <scheme val="minor"/>
      </rPr>
      <t xml:space="preserve"> http://ethanolproducer.com/plants/listplants/US/Existing/Cellulosic
</t>
    </r>
    <r>
      <rPr>
        <sz val="11"/>
        <color theme="10"/>
        <rFont val="Calibri"/>
        <family val="2"/>
        <scheme val="minor"/>
      </rPr>
      <t>[2020-2021]</t>
    </r>
    <r>
      <rPr>
        <u/>
        <sz val="11"/>
        <color theme="10"/>
        <rFont val="Calibri"/>
        <family val="2"/>
        <scheme val="minor"/>
      </rPr>
      <t xml:space="preserve"> http://www.ethanolrfa.org/pocket-guide/</t>
    </r>
  </si>
  <si>
    <t>Retrieved January 2023</t>
  </si>
  <si>
    <t xml:space="preserve">https://www.epa.gov/lmop/landfill-gas-energy-project-data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</si>
</sst>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
    <numFmt numFmtId="165" formatCode="#,##0.0"/>
    <numFmt numFmtId="166" formatCode="_(* #,##0_);_(* \(#,##0\);_(* &quot;-&quot;??_);_(@_)"/>
    <numFmt numFmtId="167" formatCode="0.0%"/>
    <numFmt numFmtId="168" formatCode="0.000000000000000"/>
    <numFmt numFmtId="169" formatCode="&quot;$&quot;#,##0.00"/>
    <numFmt numFmtId="170" formatCode="0.000"/>
    <numFmt numFmtId="171" formatCode="#,##0.000"/>
  </numFmts>
  <fonts count="55" x14ac:knownFonts="1">
    <font>
      <sz val="11"/>
      <color theme="1"/>
      <name val="Calibri"/>
      <family val="2"/>
      <scheme val="minor"/>
    </font>
    <font>
      <b/>
      <sz val="11"/>
      <color theme="1"/>
      <name val="Calibri"/>
      <family val="2"/>
      <scheme val="minor"/>
    </font>
    <font>
      <b/>
      <sz val="14"/>
      <color theme="0"/>
      <name val="Calibri"/>
      <family val="2"/>
      <scheme val="minor"/>
    </font>
    <font>
      <u/>
      <sz val="11"/>
      <color theme="10"/>
      <name val="Calibri"/>
      <family val="2"/>
      <scheme val="minor"/>
    </font>
    <font>
      <sz val="11"/>
      <color rgb="FF000000"/>
      <name val="Calibri"/>
      <family val="2"/>
      <scheme val="minor"/>
    </font>
    <font>
      <u/>
      <sz val="11"/>
      <color theme="11"/>
      <name val="Calibri"/>
      <family val="2"/>
      <scheme val="minor"/>
    </font>
    <font>
      <sz val="11"/>
      <color rgb="FFFF0000"/>
      <name val="Calibri"/>
      <family val="2"/>
      <scheme val="minor"/>
    </font>
    <font>
      <sz val="11"/>
      <name val="Calibri"/>
      <family val="2"/>
      <scheme val="minor"/>
    </font>
    <font>
      <sz val="11"/>
      <name val="Calibri"/>
      <family val="2"/>
      <scheme val="minor"/>
    </font>
    <font>
      <sz val="11"/>
      <color theme="1"/>
      <name val="Calibri"/>
      <family val="2"/>
      <scheme val="minor"/>
    </font>
    <font>
      <sz val="12"/>
      <name val="Arial"/>
      <family val="2"/>
    </font>
    <font>
      <sz val="10"/>
      <name val="Arial"/>
      <family val="2"/>
    </font>
    <font>
      <b/>
      <sz val="11"/>
      <name val="Calibri"/>
      <family val="2"/>
      <scheme val="minor"/>
    </font>
    <font>
      <sz val="12"/>
      <color theme="1"/>
      <name val="Arial"/>
      <family val="2"/>
    </font>
    <font>
      <b/>
      <sz val="16"/>
      <color theme="1"/>
      <name val="Arial"/>
      <family val="2"/>
    </font>
    <font>
      <b/>
      <sz val="14"/>
      <color theme="0"/>
      <name val="Arial"/>
      <family val="2"/>
    </font>
    <font>
      <u/>
      <sz val="12"/>
      <color theme="10"/>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b/>
      <sz val="11"/>
      <color indexed="63"/>
      <name val="Calibri"/>
      <family val="2"/>
    </font>
    <font>
      <b/>
      <sz val="18"/>
      <color indexed="62"/>
      <name val="Cambria"/>
      <family val="2"/>
    </font>
    <font>
      <b/>
      <sz val="11"/>
      <color indexed="8"/>
      <name val="Calibri"/>
      <family val="2"/>
    </font>
    <font>
      <sz val="11"/>
      <color theme="10"/>
      <name val="Calibri"/>
      <family val="2"/>
      <scheme val="minor"/>
    </font>
    <font>
      <sz val="11"/>
      <color theme="0"/>
      <name val="Calibri"/>
      <family val="2"/>
      <scheme val="minor"/>
    </font>
    <font>
      <sz val="9"/>
      <color theme="1"/>
      <name val="Times New Roman"/>
      <family val="1"/>
    </font>
    <font>
      <sz val="10"/>
      <name val="Arial"/>
      <family val="2"/>
    </font>
    <font>
      <u/>
      <sz val="10"/>
      <color indexed="12"/>
      <name val="Arial"/>
      <family val="2"/>
    </font>
    <font>
      <sz val="7"/>
      <color rgb="FF333333"/>
      <name val="Arial"/>
      <family val="2"/>
    </font>
    <font>
      <sz val="8"/>
      <name val="Calibri"/>
      <family val="2"/>
      <scheme val="minor"/>
    </font>
    <font>
      <sz val="8"/>
      <color rgb="FF333333"/>
      <name val="Arial"/>
      <family val="2"/>
    </font>
    <font>
      <sz val="9"/>
      <color rgb="FF333333"/>
      <name val="Arial"/>
      <family val="2"/>
    </font>
    <font>
      <sz val="7"/>
      <color rgb="FF000000"/>
      <name val="Trebuchet MS"/>
      <family val="2"/>
    </font>
    <font>
      <b/>
      <sz val="12"/>
      <color theme="1"/>
      <name val="Arial"/>
      <family val="2"/>
    </font>
    <font>
      <b/>
      <sz val="12"/>
      <color theme="0"/>
      <name val="Arial"/>
      <family val="2"/>
    </font>
    <font>
      <b/>
      <sz val="14"/>
      <color theme="1"/>
      <name val="Calibri"/>
      <family val="2"/>
      <scheme val="minor"/>
    </font>
    <font>
      <sz val="11"/>
      <name val="Calibri"/>
      <family val="2"/>
      <charset val="1"/>
    </font>
    <font>
      <b/>
      <sz val="9"/>
      <color indexed="81"/>
      <name val="Tahoma"/>
      <family val="2"/>
    </font>
    <font>
      <sz val="9"/>
      <color indexed="81"/>
      <name val="Tahoma"/>
      <family val="2"/>
    </font>
    <font>
      <sz val="9"/>
      <color rgb="FF000000"/>
      <name val="Arial"/>
      <family val="2"/>
    </font>
    <font>
      <sz val="9.9"/>
      <color rgb="FF202020"/>
      <name val="Tahoma"/>
      <family val="2"/>
    </font>
    <font>
      <sz val="11"/>
      <color indexed="8"/>
      <name val="Calibri"/>
      <family val="2"/>
      <scheme val="minor"/>
    </font>
    <font>
      <u/>
      <sz val="11"/>
      <name val="Calibri"/>
      <family val="2"/>
      <scheme val="minor"/>
    </font>
    <font>
      <sz val="11"/>
      <color theme="1"/>
      <name val="Calibri"/>
      <family val="2"/>
    </font>
    <font>
      <b/>
      <u/>
      <sz val="11"/>
      <color rgb="FFFF0000"/>
      <name val="Calibri"/>
      <family val="2"/>
      <scheme val="minor"/>
    </font>
  </fonts>
  <fills count="30">
    <fill>
      <patternFill patternType="none"/>
    </fill>
    <fill>
      <patternFill patternType="gray125"/>
    </fill>
    <fill>
      <patternFill patternType="solid">
        <fgColor theme="0" tint="-0.499984740745262"/>
        <bgColor indexed="64"/>
      </patternFill>
    </fill>
    <fill>
      <patternFill patternType="solid">
        <fgColor rgb="FFFFC000"/>
        <bgColor indexed="64"/>
      </patternFill>
    </fill>
    <fill>
      <patternFill patternType="solid">
        <fgColor rgb="FFFFFFFF"/>
        <bgColor indexed="64"/>
      </patternFill>
    </fill>
    <fill>
      <patternFill patternType="solid">
        <fgColor rgb="FF7F7F7F"/>
        <bgColor indexed="64"/>
      </patternFill>
    </fill>
    <fill>
      <patternFill patternType="solid">
        <fgColor theme="0" tint="-0.34998626667073579"/>
        <bgColor indexed="64"/>
      </patternFill>
    </fill>
    <fill>
      <patternFill patternType="solid">
        <fgColor rgb="FFC00000"/>
        <bgColor indexed="64"/>
      </patternFill>
    </fill>
    <fill>
      <patternFill patternType="solid">
        <fgColor rgb="FF08306C"/>
        <bgColor indexed="64"/>
      </patternFill>
    </fill>
    <fill>
      <patternFill patternType="solid">
        <fgColor rgb="FF99340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theme="0"/>
        <bgColor indexed="64"/>
      </patternFill>
    </fill>
    <fill>
      <patternFill patternType="solid">
        <fgColor rgb="FF7F7F7F"/>
        <bgColor rgb="FF808080"/>
      </patternFill>
    </fill>
    <fill>
      <patternFill patternType="solid">
        <fgColor theme="1" tint="0.499984740745262"/>
        <bgColor indexed="64"/>
      </patternFill>
    </fill>
    <fill>
      <patternFill patternType="solid">
        <fgColor theme="2" tint="-0.499984740745262"/>
        <bgColor indexed="64"/>
      </patternFill>
    </fill>
  </fills>
  <borders count="5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s>
  <cellStyleXfs count="66">
    <xf numFmtId="0" fontId="0" fillId="0" borderId="0"/>
    <xf numFmtId="0" fontId="3"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0" fillId="0" borderId="0"/>
    <xf numFmtId="0" fontId="10" fillId="0" borderId="0"/>
    <xf numFmtId="0" fontId="10" fillId="0" borderId="0"/>
    <xf numFmtId="0" fontId="11" fillId="0" borderId="0"/>
    <xf numFmtId="0" fontId="11" fillId="0" borderId="0"/>
    <xf numFmtId="43" fontId="11" fillId="0" borderId="0" applyFont="0" applyFill="0" applyBorder="0" applyAlignment="0" applyProtection="0"/>
    <xf numFmtId="9" fontId="9" fillId="0" borderId="0" applyFont="0" applyFill="0" applyBorder="0" applyAlignment="0" applyProtection="0"/>
    <xf numFmtId="0" fontId="10" fillId="0" borderId="0"/>
    <xf numFmtId="0" fontId="10" fillId="0" borderId="0"/>
    <xf numFmtId="0" fontId="11" fillId="0" borderId="0"/>
    <xf numFmtId="0" fontId="9" fillId="0" borderId="0"/>
    <xf numFmtId="9" fontId="9" fillId="0" borderId="0" applyFont="0" applyFill="0" applyBorder="0" applyAlignment="0" applyProtection="0"/>
    <xf numFmtId="0" fontId="11" fillId="0" borderId="0"/>
    <xf numFmtId="43" fontId="9" fillId="0" borderId="0" applyFont="0" applyFill="0" applyBorder="0" applyAlignment="0" applyProtection="0"/>
    <xf numFmtId="0" fontId="11" fillId="0" borderId="0"/>
    <xf numFmtId="0" fontId="9" fillId="0" borderId="0"/>
    <xf numFmtId="0" fontId="17"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2" borderId="0" applyNumberFormat="0" applyBorder="0" applyAlignment="0" applyProtection="0"/>
    <xf numFmtId="0" fontId="17" fillId="14" borderId="0" applyNumberFormat="0" applyBorder="0" applyAlignment="0" applyProtection="0"/>
    <xf numFmtId="0" fontId="17" fillId="11"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4" borderId="0" applyNumberFormat="0" applyBorder="0" applyAlignment="0" applyProtection="0"/>
    <xf numFmtId="0" fontId="17" fillId="12" borderId="0" applyNumberFormat="0" applyBorder="0" applyAlignment="0" applyProtection="0"/>
    <xf numFmtId="0" fontId="18" fillId="14"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6" borderId="0" applyNumberFormat="0" applyBorder="0" applyAlignment="0" applyProtection="0"/>
    <xf numFmtId="0" fontId="18" fillId="14" borderId="0" applyNumberFormat="0" applyBorder="0" applyAlignment="0" applyProtection="0"/>
    <xf numFmtId="0" fontId="18" fillId="11" borderId="0" applyNumberFormat="0" applyBorder="0" applyAlignment="0" applyProtection="0"/>
    <xf numFmtId="0" fontId="18" fillId="19"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9" fillId="23" borderId="0" applyNumberFormat="0" applyBorder="0" applyAlignment="0" applyProtection="0"/>
    <xf numFmtId="0" fontId="20" fillId="24" borderId="17" applyNumberFormat="0" applyAlignment="0" applyProtection="0"/>
    <xf numFmtId="0" fontId="21" fillId="25" borderId="18" applyNumberFormat="0" applyAlignment="0" applyProtection="0"/>
    <xf numFmtId="0" fontId="22" fillId="0" borderId="0" applyNumberFormat="0" applyFill="0" applyBorder="0" applyAlignment="0" applyProtection="0"/>
    <xf numFmtId="0" fontId="23" fillId="14" borderId="0" applyNumberFormat="0" applyBorder="0" applyAlignment="0" applyProtection="0"/>
    <xf numFmtId="0" fontId="24" fillId="0" borderId="19" applyNumberFormat="0" applyFill="0" applyAlignment="0" applyProtection="0"/>
    <xf numFmtId="0" fontId="25" fillId="0" borderId="20" applyNumberFormat="0" applyFill="0" applyAlignment="0" applyProtection="0"/>
    <xf numFmtId="0" fontId="26" fillId="0" borderId="21" applyNumberFormat="0" applyFill="0" applyAlignment="0" applyProtection="0"/>
    <xf numFmtId="0" fontId="26" fillId="0" borderId="0" applyNumberFormat="0" applyFill="0" applyBorder="0" applyAlignment="0" applyProtection="0"/>
    <xf numFmtId="0" fontId="27" fillId="15" borderId="17" applyNumberFormat="0" applyAlignment="0" applyProtection="0"/>
    <xf numFmtId="0" fontId="28" fillId="0" borderId="22" applyNumberFormat="0" applyFill="0" applyAlignment="0" applyProtection="0"/>
    <xf numFmtId="0" fontId="29" fillId="15" borderId="0" applyNumberFormat="0" applyBorder="0" applyAlignment="0" applyProtection="0"/>
    <xf numFmtId="0" fontId="11" fillId="12" borderId="23" applyNumberFormat="0" applyFont="0" applyAlignment="0" applyProtection="0"/>
    <xf numFmtId="0" fontId="30" fillId="24" borderId="24" applyNumberFormat="0" applyAlignment="0" applyProtection="0"/>
    <xf numFmtId="0" fontId="31" fillId="0" borderId="0" applyNumberFormat="0" applyFill="0" applyBorder="0" applyAlignment="0" applyProtection="0"/>
    <xf numFmtId="0" fontId="32" fillId="0" borderId="25" applyNumberFormat="0" applyFill="0" applyAlignment="0" applyProtection="0"/>
    <xf numFmtId="0" fontId="28" fillId="0" borderId="0" applyNumberFormat="0" applyFill="0" applyBorder="0" applyAlignment="0" applyProtection="0"/>
    <xf numFmtId="9" fontId="9" fillId="0" borderId="0" applyFont="0" applyFill="0" applyBorder="0" applyAlignment="0" applyProtection="0"/>
    <xf numFmtId="0" fontId="36" fillId="0" borderId="0"/>
    <xf numFmtId="0" fontId="37" fillId="0" borderId="0" applyNumberFormat="0" applyFill="0" applyBorder="0" applyAlignment="0" applyProtection="0">
      <alignment vertical="top"/>
      <protection locked="0"/>
    </xf>
    <xf numFmtId="43" fontId="11" fillId="0" borderId="0" applyFont="0" applyFill="0" applyBorder="0" applyAlignment="0" applyProtection="0"/>
    <xf numFmtId="43" fontId="9" fillId="0" borderId="0" applyFont="0" applyFill="0" applyBorder="0" applyAlignment="0" applyProtection="0"/>
  </cellStyleXfs>
  <cellXfs count="392">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1" fillId="0" borderId="6" xfId="0" applyFont="1" applyBorder="1" applyAlignment="1">
      <alignment horizontal="center" vertical="center"/>
    </xf>
    <xf numFmtId="0" fontId="0" fillId="0" borderId="1" xfId="0" applyBorder="1" applyAlignment="1">
      <alignment horizontal="left" vertical="center"/>
    </xf>
    <xf numFmtId="0" fontId="0" fillId="0" borderId="0" xfId="0" applyAlignment="1">
      <alignment horizontal="left" vertical="center"/>
    </xf>
    <xf numFmtId="0" fontId="3" fillId="0" borderId="1" xfId="1" applyBorder="1" applyAlignment="1">
      <alignment horizontal="left" vertical="center" wrapText="1"/>
    </xf>
    <xf numFmtId="0" fontId="0" fillId="3" borderId="13" xfId="0" applyFill="1" applyBorder="1" applyAlignment="1">
      <alignment horizontal="left" vertical="center"/>
    </xf>
    <xf numFmtId="0" fontId="0" fillId="3" borderId="0" xfId="0" applyFill="1" applyAlignment="1">
      <alignment horizontal="left" vertical="center"/>
    </xf>
    <xf numFmtId="0" fontId="0" fillId="3" borderId="0" xfId="0" applyFill="1" applyAlignment="1">
      <alignment horizontal="left" vertical="center" wrapText="1"/>
    </xf>
    <xf numFmtId="0" fontId="0" fillId="3" borderId="8" xfId="0" applyFill="1" applyBorder="1" applyAlignment="1">
      <alignment horizontal="left" vertical="center" wrapText="1"/>
    </xf>
    <xf numFmtId="0" fontId="0" fillId="3" borderId="4" xfId="0" applyFill="1" applyBorder="1" applyAlignment="1">
      <alignment horizontal="left" vertical="center"/>
    </xf>
    <xf numFmtId="0" fontId="0" fillId="3" borderId="12" xfId="0" applyFill="1" applyBorder="1" applyAlignment="1">
      <alignment horizontal="left" vertical="center"/>
    </xf>
    <xf numFmtId="0" fontId="0" fillId="3" borderId="12" xfId="0" applyFill="1" applyBorder="1" applyAlignment="1">
      <alignment horizontal="left" vertical="center" wrapText="1"/>
    </xf>
    <xf numFmtId="0" fontId="0" fillId="3" borderId="5" xfId="0" applyFill="1" applyBorder="1" applyAlignment="1">
      <alignment horizontal="left" vertical="center" wrapText="1"/>
    </xf>
    <xf numFmtId="0" fontId="0" fillId="0" borderId="3" xfId="0" applyBorder="1" applyAlignment="1">
      <alignment horizontal="left" vertical="center"/>
    </xf>
    <xf numFmtId="0" fontId="0" fillId="0" borderId="2" xfId="0" applyBorder="1" applyAlignment="1">
      <alignment horizontal="left" vertical="center" wrapText="1"/>
    </xf>
    <xf numFmtId="0" fontId="3" fillId="0" borderId="0" xfId="1" applyAlignment="1">
      <alignment horizontal="left" vertical="center"/>
    </xf>
    <xf numFmtId="0" fontId="3" fillId="0" borderId="1" xfId="1" applyFill="1" applyBorder="1" applyAlignment="1">
      <alignment horizontal="left" vertical="center" wrapText="1"/>
    </xf>
    <xf numFmtId="0" fontId="0" fillId="0" borderId="0" xfId="0" quotePrefix="1" applyAlignment="1">
      <alignment horizontal="left" vertical="center"/>
    </xf>
    <xf numFmtId="0" fontId="0" fillId="3" borderId="8" xfId="0" applyFill="1" applyBorder="1" applyAlignment="1">
      <alignment horizontal="left" vertical="center"/>
    </xf>
    <xf numFmtId="0" fontId="8" fillId="0" borderId="1" xfId="0" applyFont="1" applyBorder="1" applyAlignment="1">
      <alignment horizontal="left" vertical="center"/>
    </xf>
    <xf numFmtId="0" fontId="3" fillId="0" borderId="0" xfId="1"/>
    <xf numFmtId="0" fontId="0" fillId="0" borderId="14" xfId="0" applyBorder="1" applyAlignment="1">
      <alignment horizontal="left" vertical="center"/>
    </xf>
    <xf numFmtId="0" fontId="0" fillId="0" borderId="14" xfId="0" applyBorder="1"/>
    <xf numFmtId="0" fontId="3" fillId="0" borderId="14" xfId="1" applyFill="1" applyBorder="1"/>
    <xf numFmtId="0" fontId="1" fillId="0" borderId="14" xfId="0" applyFont="1" applyBorder="1" applyAlignment="1">
      <alignment horizontal="center" vertical="center"/>
    </xf>
    <xf numFmtId="0" fontId="1" fillId="0" borderId="14" xfId="0" applyFont="1" applyBorder="1" applyAlignment="1">
      <alignment horizontal="center" vertical="center" wrapText="1"/>
    </xf>
    <xf numFmtId="1" fontId="0" fillId="0" borderId="0" xfId="0" applyNumberFormat="1" applyAlignment="1">
      <alignment horizontal="left" vertical="center"/>
    </xf>
    <xf numFmtId="0" fontId="0" fillId="0" borderId="14" xfId="0" applyBorder="1" applyAlignment="1">
      <alignment horizontal="left" vertical="center" wrapText="1"/>
    </xf>
    <xf numFmtId="0" fontId="3" fillId="0" borderId="14" xfId="1" applyBorder="1" applyAlignment="1">
      <alignment horizontal="left" vertical="center" wrapText="1"/>
    </xf>
    <xf numFmtId="0" fontId="0" fillId="0" borderId="14" xfId="0" applyBorder="1" applyAlignment="1">
      <alignment horizontal="center" vertical="center"/>
    </xf>
    <xf numFmtId="0" fontId="0" fillId="0" borderId="16" xfId="0" applyBorder="1" applyAlignment="1">
      <alignment horizontal="left" vertical="center" wrapText="1"/>
    </xf>
    <xf numFmtId="0" fontId="0" fillId="0" borderId="16" xfId="0" applyBorder="1" applyAlignment="1">
      <alignment horizontal="left" vertical="center"/>
    </xf>
    <xf numFmtId="0" fontId="3" fillId="0" borderId="5" xfId="1" applyFill="1" applyBorder="1"/>
    <xf numFmtId="0" fontId="13" fillId="6" borderId="0" xfId="0" applyFont="1" applyFill="1" applyAlignment="1">
      <alignment horizontal="left"/>
    </xf>
    <xf numFmtId="0" fontId="13" fillId="0" borderId="0" xfId="0" applyFont="1" applyAlignment="1">
      <alignment horizontal="left"/>
    </xf>
    <xf numFmtId="0" fontId="14" fillId="0" borderId="0" xfId="0" applyFont="1" applyAlignment="1">
      <alignment horizontal="left"/>
    </xf>
    <xf numFmtId="0" fontId="10" fillId="0" borderId="0" xfId="0" applyFont="1" applyAlignment="1">
      <alignment horizontal="left"/>
    </xf>
    <xf numFmtId="0" fontId="15" fillId="8" borderId="0" xfId="0" applyFont="1" applyFill="1" applyAlignment="1">
      <alignment horizontal="left"/>
    </xf>
    <xf numFmtId="0" fontId="15" fillId="9" borderId="0" xfId="0" applyFont="1" applyFill="1" applyAlignment="1">
      <alignment horizontal="left"/>
    </xf>
    <xf numFmtId="0" fontId="15" fillId="7" borderId="0" xfId="0" applyFont="1" applyFill="1" applyAlignment="1">
      <alignment horizontal="left"/>
    </xf>
    <xf numFmtId="0" fontId="16" fillId="0" borderId="0" xfId="1" applyFont="1" applyFill="1" applyAlignment="1">
      <alignment horizontal="left"/>
    </xf>
    <xf numFmtId="0" fontId="3" fillId="0" borderId="16" xfId="1" applyBorder="1" applyAlignment="1">
      <alignment horizontal="left" vertical="center" wrapText="1"/>
    </xf>
    <xf numFmtId="0" fontId="0" fillId="3" borderId="15" xfId="0" applyFill="1" applyBorder="1" applyAlignment="1">
      <alignment horizontal="left" vertical="center" wrapText="1"/>
    </xf>
    <xf numFmtId="0" fontId="8" fillId="0" borderId="16" xfId="0" applyFont="1" applyBorder="1" applyAlignment="1">
      <alignment horizontal="left" vertical="center"/>
    </xf>
    <xf numFmtId="0" fontId="3" fillId="0" borderId="16" xfId="1" applyFill="1" applyBorder="1"/>
    <xf numFmtId="1" fontId="0" fillId="0" borderId="14" xfId="0" applyNumberFormat="1" applyBorder="1" applyAlignment="1">
      <alignment horizontal="center" vertical="center"/>
    </xf>
    <xf numFmtId="0" fontId="0" fillId="5" borderId="16" xfId="0" applyFill="1" applyBorder="1" applyAlignment="1">
      <alignment horizontal="center" vertical="center"/>
    </xf>
    <xf numFmtId="0" fontId="0" fillId="3" borderId="15" xfId="0" applyFill="1" applyBorder="1" applyAlignment="1">
      <alignment horizontal="center" vertical="center"/>
    </xf>
    <xf numFmtId="0" fontId="0" fillId="2" borderId="14" xfId="0" applyFill="1" applyBorder="1" applyAlignment="1">
      <alignment horizontal="center" vertical="center"/>
    </xf>
    <xf numFmtId="0" fontId="0" fillId="5" borderId="14" xfId="0" applyFill="1" applyBorder="1" applyAlignment="1">
      <alignment horizontal="center" vertical="center"/>
    </xf>
    <xf numFmtId="3" fontId="0" fillId="0" borderId="14" xfId="0" applyNumberFormat="1" applyBorder="1" applyAlignment="1">
      <alignment horizontal="center" vertical="center"/>
    </xf>
    <xf numFmtId="0" fontId="0" fillId="3" borderId="12" xfId="0" applyFill="1" applyBorder="1" applyAlignment="1">
      <alignment horizontal="center" vertical="center"/>
    </xf>
    <xf numFmtId="3" fontId="0" fillId="0" borderId="0" xfId="0" applyNumberFormat="1" applyAlignment="1">
      <alignment horizontal="center" vertical="center"/>
    </xf>
    <xf numFmtId="0" fontId="0" fillId="5" borderId="1" xfId="0" applyFill="1" applyBorder="1" applyAlignment="1">
      <alignment horizontal="center" vertical="center"/>
    </xf>
    <xf numFmtId="0" fontId="0" fillId="0" borderId="4" xfId="0" applyBorder="1" applyAlignment="1">
      <alignment horizontal="center" vertical="center"/>
    </xf>
    <xf numFmtId="0" fontId="0" fillId="2" borderId="1" xfId="0" applyFill="1" applyBorder="1" applyAlignment="1">
      <alignment horizontal="center" vertical="center"/>
    </xf>
    <xf numFmtId="0" fontId="0" fillId="2" borderId="16" xfId="0" applyFill="1" applyBorder="1" applyAlignment="1">
      <alignment horizontal="center" vertical="center"/>
    </xf>
    <xf numFmtId="0" fontId="0" fillId="0" borderId="16" xfId="0" applyBorder="1" applyAlignment="1">
      <alignment horizontal="center" vertical="center"/>
    </xf>
    <xf numFmtId="1" fontId="0" fillId="0" borderId="1" xfId="0" applyNumberFormat="1" applyBorder="1" applyAlignment="1">
      <alignment horizontal="center" vertical="center"/>
    </xf>
    <xf numFmtId="3" fontId="0" fillId="5" borderId="1" xfId="0" applyNumberFormat="1" applyFill="1" applyBorder="1" applyAlignment="1">
      <alignment horizontal="center" vertical="center"/>
    </xf>
    <xf numFmtId="3" fontId="0" fillId="5" borderId="16" xfId="0" applyNumberFormat="1" applyFill="1" applyBorder="1" applyAlignment="1">
      <alignment horizontal="center" vertical="center"/>
    </xf>
    <xf numFmtId="164" fontId="11" fillId="0" borderId="14" xfId="13" applyNumberFormat="1" applyBorder="1" applyAlignment="1">
      <alignment horizontal="center" vertical="center"/>
    </xf>
    <xf numFmtId="0" fontId="1" fillId="5" borderId="1" xfId="0" applyFont="1" applyFill="1" applyBorder="1" applyAlignment="1">
      <alignment horizontal="center" vertical="center"/>
    </xf>
    <xf numFmtId="0" fontId="8" fillId="0" borderId="1" xfId="0" applyFont="1" applyBorder="1" applyAlignment="1">
      <alignment horizontal="center" vertical="center"/>
    </xf>
    <xf numFmtId="1" fontId="8" fillId="0" borderId="14" xfId="0" applyNumberFormat="1" applyFont="1" applyBorder="1" applyAlignment="1">
      <alignment horizontal="center" vertical="center"/>
    </xf>
    <xf numFmtId="0" fontId="0" fillId="4" borderId="1" xfId="0" applyFill="1" applyBorder="1" applyAlignment="1">
      <alignment horizontal="center" vertical="center"/>
    </xf>
    <xf numFmtId="0" fontId="0" fillId="3" borderId="0" xfId="0" applyFill="1" applyAlignment="1">
      <alignment horizontal="center" vertical="center"/>
    </xf>
    <xf numFmtId="164" fontId="0" fillId="0" borderId="1" xfId="0" applyNumberFormat="1" applyBorder="1" applyAlignment="1">
      <alignment horizontal="center" vertical="center"/>
    </xf>
    <xf numFmtId="166" fontId="1" fillId="5" borderId="1" xfId="0" applyNumberFormat="1" applyFont="1" applyFill="1" applyBorder="1" applyAlignment="1">
      <alignment horizontal="center" vertical="center"/>
    </xf>
    <xf numFmtId="166" fontId="0" fillId="5" borderId="1" xfId="0" applyNumberFormat="1" applyFill="1" applyBorder="1" applyAlignment="1">
      <alignment horizontal="center" vertical="center"/>
    </xf>
    <xf numFmtId="166" fontId="0" fillId="5" borderId="14" xfId="0" applyNumberFormat="1" applyFill="1" applyBorder="1" applyAlignment="1">
      <alignment horizontal="center" vertical="center"/>
    </xf>
    <xf numFmtId="2" fontId="0" fillId="0" borderId="1" xfId="0" applyNumberFormat="1" applyBorder="1" applyAlignment="1">
      <alignment horizontal="center" vertical="center"/>
    </xf>
    <xf numFmtId="1" fontId="0" fillId="2" borderId="14" xfId="0" applyNumberFormat="1" applyFill="1" applyBorder="1" applyAlignment="1">
      <alignment horizontal="center" vertical="center"/>
    </xf>
    <xf numFmtId="0" fontId="0" fillId="0" borderId="5" xfId="0" applyBorder="1" applyAlignment="1">
      <alignment horizontal="left" vertical="center" wrapText="1"/>
    </xf>
    <xf numFmtId="164" fontId="0" fillId="0" borderId="14" xfId="0" applyNumberFormat="1" applyBorder="1" applyAlignment="1">
      <alignment horizontal="center" vertical="center"/>
    </xf>
    <xf numFmtId="0" fontId="0" fillId="3" borderId="9" xfId="0" applyFill="1" applyBorder="1" applyAlignment="1">
      <alignment horizontal="left" vertical="center" wrapText="1"/>
    </xf>
    <xf numFmtId="3" fontId="0" fillId="0" borderId="16" xfId="0" applyNumberFormat="1" applyBorder="1" applyAlignment="1">
      <alignment horizontal="center" vertical="center"/>
    </xf>
    <xf numFmtId="4" fontId="0" fillId="5" borderId="16" xfId="0" applyNumberFormat="1" applyFill="1" applyBorder="1" applyAlignment="1">
      <alignment horizontal="center" vertical="center"/>
    </xf>
    <xf numFmtId="0" fontId="0" fillId="5" borderId="2" xfId="0" applyFill="1" applyBorder="1" applyAlignment="1">
      <alignment horizontal="center" vertical="center"/>
    </xf>
    <xf numFmtId="164" fontId="0" fillId="0" borderId="4" xfId="0" applyNumberFormat="1" applyBorder="1" applyAlignment="1">
      <alignment horizontal="center" vertical="center"/>
    </xf>
    <xf numFmtId="0" fontId="6" fillId="3" borderId="4" xfId="0" applyFont="1" applyFill="1" applyBorder="1" applyAlignment="1">
      <alignment horizontal="left" vertical="center"/>
    </xf>
    <xf numFmtId="0" fontId="6" fillId="3" borderId="13" xfId="0" applyFont="1" applyFill="1" applyBorder="1" applyAlignment="1">
      <alignment horizontal="left" vertical="center"/>
    </xf>
    <xf numFmtId="0" fontId="12" fillId="0" borderId="6" xfId="0" applyFont="1" applyBorder="1" applyAlignment="1">
      <alignment horizontal="center" vertical="center"/>
    </xf>
    <xf numFmtId="1" fontId="0" fillId="0" borderId="0" xfId="0" applyNumberFormat="1" applyAlignment="1">
      <alignment horizontal="center" vertical="center"/>
    </xf>
    <xf numFmtId="0" fontId="0" fillId="0" borderId="26" xfId="0" applyBorder="1" applyAlignment="1">
      <alignment horizontal="left" vertical="center"/>
    </xf>
    <xf numFmtId="164" fontId="0" fillId="0" borderId="26" xfId="0" applyNumberFormat="1" applyBorder="1" applyAlignment="1">
      <alignment horizontal="center" vertical="center"/>
    </xf>
    <xf numFmtId="1" fontId="0" fillId="0" borderId="26" xfId="0" applyNumberFormat="1" applyBorder="1" applyAlignment="1">
      <alignment horizontal="center" vertical="center"/>
    </xf>
    <xf numFmtId="0" fontId="0" fillId="0" borderId="26" xfId="0" applyBorder="1" applyAlignment="1">
      <alignment horizontal="left" vertical="center" wrapText="1"/>
    </xf>
    <xf numFmtId="0" fontId="3" fillId="0" borderId="26" xfId="1" applyBorder="1" applyAlignment="1">
      <alignment horizontal="left" vertical="center" wrapText="1"/>
    </xf>
    <xf numFmtId="0" fontId="0" fillId="0" borderId="26" xfId="0" applyBorder="1" applyAlignment="1">
      <alignment horizontal="center" vertical="center"/>
    </xf>
    <xf numFmtId="0" fontId="0" fillId="5" borderId="26" xfId="0" applyFill="1" applyBorder="1" applyAlignment="1">
      <alignment horizontal="center" vertical="center"/>
    </xf>
    <xf numFmtId="0" fontId="4" fillId="0" borderId="26" xfId="1" applyFont="1" applyBorder="1" applyAlignment="1">
      <alignment horizontal="left" vertical="center" wrapText="1"/>
    </xf>
    <xf numFmtId="0" fontId="3" fillId="0" borderId="14" xfId="1" applyBorder="1"/>
    <xf numFmtId="0" fontId="3" fillId="0" borderId="5" xfId="1" applyBorder="1" applyAlignment="1">
      <alignment horizontal="left" vertical="center" wrapText="1"/>
    </xf>
    <xf numFmtId="164" fontId="0" fillId="0" borderId="5" xfId="0" applyNumberFormat="1" applyBorder="1" applyAlignment="1">
      <alignment horizontal="center" vertical="center"/>
    </xf>
    <xf numFmtId="2" fontId="0" fillId="0" borderId="14" xfId="0" applyNumberFormat="1" applyBorder="1" applyAlignment="1">
      <alignment horizontal="center" vertical="center"/>
    </xf>
    <xf numFmtId="0" fontId="0" fillId="0" borderId="11" xfId="0" applyBorder="1" applyAlignment="1">
      <alignment horizontal="left"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wrapText="1"/>
    </xf>
    <xf numFmtId="0" fontId="0" fillId="3" borderId="26" xfId="0" applyFill="1" applyBorder="1" applyAlignment="1">
      <alignment horizontal="left" vertical="center" wrapText="1"/>
    </xf>
    <xf numFmtId="0" fontId="1" fillId="0" borderId="26" xfId="0" applyFont="1" applyBorder="1" applyAlignment="1">
      <alignment horizontal="center" vertical="center"/>
    </xf>
    <xf numFmtId="0" fontId="1" fillId="5" borderId="26" xfId="0" applyFont="1" applyFill="1" applyBorder="1" applyAlignment="1">
      <alignment horizontal="center" vertical="center"/>
    </xf>
    <xf numFmtId="0" fontId="1" fillId="5" borderId="4" xfId="0" applyFont="1" applyFill="1" applyBorder="1" applyAlignment="1">
      <alignment horizontal="center" vertical="center"/>
    </xf>
    <xf numFmtId="0" fontId="1" fillId="2" borderId="4" xfId="0" applyFont="1" applyFill="1" applyBorder="1" applyAlignment="1">
      <alignment horizontal="center" vertical="center"/>
    </xf>
    <xf numFmtId="0" fontId="0" fillId="2" borderId="4" xfId="0" applyFill="1" applyBorder="1" applyAlignment="1">
      <alignment horizontal="center" vertical="center"/>
    </xf>
    <xf numFmtId="1" fontId="0" fillId="3" borderId="0" xfId="0" applyNumberFormat="1" applyFill="1" applyAlignment="1">
      <alignment horizontal="center" vertical="center"/>
    </xf>
    <xf numFmtId="0" fontId="0" fillId="0" borderId="26" xfId="0" applyBorder="1"/>
    <xf numFmtId="0" fontId="0" fillId="0" borderId="4" xfId="0" applyBorder="1" applyAlignment="1">
      <alignment horizontal="left"/>
    </xf>
    <xf numFmtId="0" fontId="0" fillId="0" borderId="4" xfId="0" applyBorder="1"/>
    <xf numFmtId="0" fontId="3" fillId="0" borderId="26" xfId="1" applyBorder="1"/>
    <xf numFmtId="3" fontId="8" fillId="0" borderId="1" xfId="0" applyNumberFormat="1" applyFont="1" applyBorder="1" applyAlignment="1">
      <alignment horizontal="center" vertical="center"/>
    </xf>
    <xf numFmtId="0" fontId="7" fillId="0" borderId="1" xfId="0" applyFont="1" applyBorder="1" applyAlignment="1">
      <alignment horizontal="left" vertical="center"/>
    </xf>
    <xf numFmtId="0" fontId="34" fillId="0" borderId="0" xfId="0" applyFont="1" applyAlignment="1">
      <alignment horizontal="left" vertical="center"/>
    </xf>
    <xf numFmtId="0" fontId="8" fillId="0" borderId="26" xfId="0" applyFont="1" applyBorder="1" applyAlignment="1">
      <alignment horizontal="left" vertical="center" wrapText="1"/>
    </xf>
    <xf numFmtId="0" fontId="7" fillId="0" borderId="26" xfId="0" applyFont="1" applyBorder="1" applyAlignment="1">
      <alignment horizontal="left" vertical="center"/>
    </xf>
    <xf numFmtId="3" fontId="0" fillId="0" borderId="26" xfId="0" applyNumberFormat="1" applyBorder="1" applyAlignment="1">
      <alignment horizontal="center" vertical="center"/>
    </xf>
    <xf numFmtId="0" fontId="1" fillId="0" borderId="26" xfId="0" applyFont="1" applyBorder="1" applyAlignment="1">
      <alignment horizontal="center" vertical="center" wrapText="1"/>
    </xf>
    <xf numFmtId="0" fontId="0" fillId="2" borderId="26" xfId="0" applyFill="1" applyBorder="1" applyAlignment="1">
      <alignment horizontal="center" vertical="center"/>
    </xf>
    <xf numFmtId="2" fontId="0" fillId="0" borderId="0" xfId="0" applyNumberFormat="1" applyAlignment="1">
      <alignment horizontal="left" vertical="center"/>
    </xf>
    <xf numFmtId="0" fontId="35" fillId="0" borderId="0" xfId="0" applyFont="1" applyAlignment="1">
      <alignment horizontal="right" vertical="center" wrapText="1"/>
    </xf>
    <xf numFmtId="0" fontId="8" fillId="0" borderId="26" xfId="0" applyFont="1" applyBorder="1" applyAlignment="1">
      <alignment horizontal="center" vertical="center"/>
    </xf>
    <xf numFmtId="0" fontId="0" fillId="0" borderId="6" xfId="0" applyBorder="1" applyAlignment="1">
      <alignment horizontal="left" vertical="center"/>
    </xf>
    <xf numFmtId="1" fontId="8" fillId="0" borderId="1" xfId="0" applyNumberFormat="1" applyFont="1" applyBorder="1" applyAlignment="1">
      <alignment horizontal="center" vertical="center"/>
    </xf>
    <xf numFmtId="164" fontId="0" fillId="0" borderId="26" xfId="0" applyNumberFormat="1" applyBorder="1" applyAlignment="1">
      <alignment horizontal="center"/>
    </xf>
    <xf numFmtId="0" fontId="0" fillId="5" borderId="15" xfId="0" applyFill="1" applyBorder="1" applyAlignment="1">
      <alignment horizontal="center" vertical="center"/>
    </xf>
    <xf numFmtId="0" fontId="3" fillId="0" borderId="6" xfId="1" applyBorder="1" applyAlignment="1">
      <alignment horizontal="left" vertical="center" wrapText="1"/>
    </xf>
    <xf numFmtId="0" fontId="0" fillId="0" borderId="6" xfId="0" applyBorder="1" applyAlignment="1">
      <alignment horizontal="left" vertical="center" wrapText="1"/>
    </xf>
    <xf numFmtId="164" fontId="0" fillId="0" borderId="6" xfId="0" applyNumberFormat="1" applyBorder="1" applyAlignment="1">
      <alignment horizontal="center" vertical="center"/>
    </xf>
    <xf numFmtId="0" fontId="1" fillId="2" borderId="6" xfId="0" applyFont="1" applyFill="1" applyBorder="1" applyAlignment="1">
      <alignment horizontal="center" vertical="center"/>
    </xf>
    <xf numFmtId="0" fontId="3" fillId="0" borderId="26" xfId="1" applyFill="1" applyBorder="1" applyAlignment="1">
      <alignment horizontal="left" vertical="center" wrapText="1"/>
    </xf>
    <xf numFmtId="1" fontId="0" fillId="0" borderId="4" xfId="0" applyNumberFormat="1" applyBorder="1" applyAlignment="1">
      <alignment horizontal="center" vertical="center"/>
    </xf>
    <xf numFmtId="0" fontId="3" fillId="0" borderId="26" xfId="1" applyBorder="1" applyAlignment="1">
      <alignment horizontal="left" vertical="center"/>
    </xf>
    <xf numFmtId="1" fontId="0" fillId="2" borderId="1" xfId="0" applyNumberFormat="1" applyFill="1" applyBorder="1" applyAlignment="1">
      <alignment horizontal="center" vertical="center"/>
    </xf>
    <xf numFmtId="1" fontId="8" fillId="2" borderId="1" xfId="0" applyNumberFormat="1" applyFont="1" applyFill="1" applyBorder="1" applyAlignment="1">
      <alignment horizontal="center" vertical="center"/>
    </xf>
    <xf numFmtId="0" fontId="0" fillId="26" borderId="14" xfId="0" applyFill="1" applyBorder="1" applyAlignment="1">
      <alignment horizontal="center" vertical="center"/>
    </xf>
    <xf numFmtId="4" fontId="0" fillId="0" borderId="0" xfId="0" applyNumberFormat="1" applyAlignment="1">
      <alignment horizontal="center" vertical="center"/>
    </xf>
    <xf numFmtId="4" fontId="0" fillId="0" borderId="26" xfId="0" applyNumberFormat="1" applyBorder="1" applyAlignment="1">
      <alignment horizontal="center" vertical="center"/>
    </xf>
    <xf numFmtId="0" fontId="3" fillId="0" borderId="26" xfId="1" applyFill="1" applyBorder="1" applyAlignment="1">
      <alignment horizontal="left" vertical="center"/>
    </xf>
    <xf numFmtId="167" fontId="1" fillId="5" borderId="4" xfId="61" applyNumberFormat="1" applyFont="1" applyFill="1" applyBorder="1" applyAlignment="1">
      <alignment horizontal="center" vertical="center"/>
    </xf>
    <xf numFmtId="0" fontId="36" fillId="0" borderId="0" xfId="62"/>
    <xf numFmtId="2" fontId="0" fillId="0" borderId="15" xfId="0" applyNumberFormat="1" applyBorder="1" applyAlignment="1">
      <alignment horizontal="center" vertical="center"/>
    </xf>
    <xf numFmtId="0" fontId="0" fillId="0" borderId="15" xfId="0" applyBorder="1" applyAlignment="1">
      <alignment horizontal="left" vertical="center"/>
    </xf>
    <xf numFmtId="0" fontId="3" fillId="0" borderId="15" xfId="1" applyBorder="1" applyAlignment="1">
      <alignment horizontal="left" vertical="center" wrapText="1"/>
    </xf>
    <xf numFmtId="0" fontId="12" fillId="0" borderId="4" xfId="0" applyFont="1" applyBorder="1" applyAlignment="1">
      <alignment horizontal="left" vertical="center"/>
    </xf>
    <xf numFmtId="0" fontId="7" fillId="0" borderId="16" xfId="0" applyFont="1" applyBorder="1" applyAlignment="1">
      <alignment horizontal="left" vertical="center"/>
    </xf>
    <xf numFmtId="3" fontId="0" fillId="5" borderId="26" xfId="0" applyNumberFormat="1" applyFill="1" applyBorder="1" applyAlignment="1">
      <alignment horizontal="center" vertical="center"/>
    </xf>
    <xf numFmtId="2" fontId="0" fillId="0" borderId="26" xfId="0" applyNumberFormat="1" applyBorder="1" applyAlignment="1">
      <alignment horizontal="center" vertical="center"/>
    </xf>
    <xf numFmtId="0" fontId="12" fillId="0" borderId="26" xfId="0" applyFont="1" applyBorder="1" applyAlignment="1">
      <alignment horizontal="left" vertical="center"/>
    </xf>
    <xf numFmtId="1" fontId="9" fillId="0" borderId="26" xfId="14" applyNumberFormat="1" applyBorder="1" applyAlignment="1">
      <alignment horizontal="center" vertical="center"/>
    </xf>
    <xf numFmtId="0" fontId="3" fillId="0" borderId="0" xfId="1" applyAlignment="1">
      <alignment vertical="center"/>
    </xf>
    <xf numFmtId="0" fontId="0" fillId="0" borderId="14" xfId="0" applyBorder="1" applyAlignment="1">
      <alignment vertical="center"/>
    </xf>
    <xf numFmtId="0" fontId="3" fillId="0" borderId="5" xfId="1" applyFill="1" applyBorder="1" applyAlignment="1">
      <alignment vertical="center"/>
    </xf>
    <xf numFmtId="164" fontId="11" fillId="0" borderId="26" xfId="13" applyNumberFormat="1" applyBorder="1" applyAlignment="1">
      <alignment horizontal="center" vertical="center"/>
    </xf>
    <xf numFmtId="164" fontId="0" fillId="0" borderId="6" xfId="0" applyNumberFormat="1" applyBorder="1" applyAlignment="1">
      <alignment horizontal="center"/>
    </xf>
    <xf numFmtId="1" fontId="8" fillId="0" borderId="26" xfId="0" applyNumberFormat="1" applyFont="1" applyBorder="1" applyAlignment="1">
      <alignment horizontal="center" vertical="center"/>
    </xf>
    <xf numFmtId="0" fontId="3" fillId="0" borderId="14" xfId="1" applyBorder="1" applyAlignment="1">
      <alignment wrapText="1"/>
    </xf>
    <xf numFmtId="1" fontId="0" fillId="2" borderId="26" xfId="0" applyNumberFormat="1" applyFill="1" applyBorder="1" applyAlignment="1">
      <alignment horizontal="center" vertical="center"/>
    </xf>
    <xf numFmtId="164" fontId="0" fillId="3" borderId="12" xfId="0" applyNumberFormat="1" applyFill="1" applyBorder="1" applyAlignment="1">
      <alignment horizontal="center" vertical="center"/>
    </xf>
    <xf numFmtId="168" fontId="0" fillId="3" borderId="12" xfId="0" applyNumberFormat="1" applyFill="1" applyBorder="1" applyAlignment="1">
      <alignment horizontal="left" vertical="center"/>
    </xf>
    <xf numFmtId="16" fontId="0" fillId="0" borderId="0" xfId="0" applyNumberFormat="1" applyAlignment="1">
      <alignment horizontal="left" vertical="center"/>
    </xf>
    <xf numFmtId="1" fontId="0" fillId="0" borderId="26" xfId="0" applyNumberFormat="1" applyBorder="1" applyAlignment="1">
      <alignment horizontal="center"/>
    </xf>
    <xf numFmtId="0" fontId="7" fillId="0" borderId="1" xfId="0" applyFont="1" applyBorder="1" applyAlignment="1">
      <alignment horizontal="left" vertical="center" wrapText="1"/>
    </xf>
    <xf numFmtId="0" fontId="38" fillId="0" borderId="0" xfId="0" applyFont="1"/>
    <xf numFmtId="3" fontId="0" fillId="2" borderId="26" xfId="0" applyNumberFormat="1" applyFill="1" applyBorder="1" applyAlignment="1">
      <alignment horizontal="center" vertical="center"/>
    </xf>
    <xf numFmtId="1" fontId="9" fillId="2" borderId="26" xfId="14" applyNumberFormat="1" applyFill="1" applyBorder="1" applyAlignment="1">
      <alignment horizontal="center" vertical="center"/>
    </xf>
    <xf numFmtId="1" fontId="7" fillId="0" borderId="26" xfId="14" applyNumberFormat="1" applyFont="1" applyBorder="1" applyAlignment="1">
      <alignment horizontal="center" vertical="center"/>
    </xf>
    <xf numFmtId="0" fontId="12" fillId="0" borderId="10" xfId="0" applyFont="1" applyBorder="1" applyAlignment="1">
      <alignment horizontal="left" vertical="center"/>
    </xf>
    <xf numFmtId="0" fontId="0" fillId="0" borderId="26" xfId="0" applyBorder="1" applyAlignment="1">
      <alignment horizontal="center"/>
    </xf>
    <xf numFmtId="164" fontId="9" fillId="2" borderId="26" xfId="14" applyNumberFormat="1" applyFill="1" applyBorder="1" applyAlignment="1">
      <alignment horizontal="center" vertical="center"/>
    </xf>
    <xf numFmtId="0" fontId="7" fillId="0" borderId="27" xfId="0" applyFont="1" applyBorder="1" applyAlignment="1">
      <alignment horizontal="left" vertical="center"/>
    </xf>
    <xf numFmtId="0" fontId="0" fillId="0" borderId="28" xfId="0" applyBorder="1" applyAlignment="1">
      <alignment horizontal="left" vertical="center"/>
    </xf>
    <xf numFmtId="0" fontId="3" fillId="0" borderId="28" xfId="1" applyFill="1" applyBorder="1" applyAlignment="1">
      <alignment horizontal="left" vertical="center" wrapText="1"/>
    </xf>
    <xf numFmtId="0" fontId="0" fillId="0" borderId="29" xfId="0" applyBorder="1" applyAlignment="1">
      <alignment horizontal="left" vertical="center" wrapText="1"/>
    </xf>
    <xf numFmtId="1" fontId="9" fillId="2" borderId="6" xfId="14" applyNumberFormat="1" applyFill="1" applyBorder="1" applyAlignment="1">
      <alignment horizontal="center" vertical="center"/>
    </xf>
    <xf numFmtId="1" fontId="9" fillId="0" borderId="6" xfId="14" applyNumberFormat="1" applyBorder="1" applyAlignment="1">
      <alignment horizontal="center" vertical="center"/>
    </xf>
    <xf numFmtId="1" fontId="0" fillId="0" borderId="15" xfId="0" applyNumberFormat="1" applyBorder="1" applyAlignment="1">
      <alignment horizontal="center" vertical="center"/>
    </xf>
    <xf numFmtId="1" fontId="0" fillId="0" borderId="0" xfId="0" applyNumberFormat="1"/>
    <xf numFmtId="1" fontId="0" fillId="3" borderId="15" xfId="0" applyNumberFormat="1" applyFill="1" applyBorder="1" applyAlignment="1">
      <alignment horizontal="center" vertical="center"/>
    </xf>
    <xf numFmtId="0" fontId="40" fillId="0" borderId="0" xfId="0" applyFont="1"/>
    <xf numFmtId="0" fontId="41" fillId="0" borderId="0" xfId="0" applyFont="1"/>
    <xf numFmtId="0" fontId="42" fillId="0" borderId="0" xfId="0" applyFont="1"/>
    <xf numFmtId="1" fontId="7" fillId="0" borderId="1" xfId="0" applyNumberFormat="1" applyFont="1" applyBorder="1" applyAlignment="1">
      <alignment horizontal="center" vertical="center"/>
    </xf>
    <xf numFmtId="0" fontId="0" fillId="6" borderId="16" xfId="0" applyFill="1" applyBorder="1" applyAlignment="1">
      <alignment horizontal="center" vertical="center"/>
    </xf>
    <xf numFmtId="2" fontId="0" fillId="3" borderId="0" xfId="0" applyNumberFormat="1" applyFill="1" applyAlignment="1">
      <alignment horizontal="center" vertical="center"/>
    </xf>
    <xf numFmtId="0" fontId="13" fillId="0" borderId="0" xfId="0" applyFont="1"/>
    <xf numFmtId="0" fontId="13" fillId="6" borderId="0" xfId="0" applyFont="1" applyFill="1"/>
    <xf numFmtId="0" fontId="43" fillId="6" borderId="0" xfId="0" applyFont="1" applyFill="1"/>
    <xf numFmtId="164" fontId="13" fillId="0" borderId="0" xfId="0" applyNumberFormat="1" applyFont="1"/>
    <xf numFmtId="2" fontId="13" fillId="0" borderId="0" xfId="0" applyNumberFormat="1" applyFont="1"/>
    <xf numFmtId="0" fontId="43" fillId="0" borderId="0" xfId="0" applyFont="1"/>
    <xf numFmtId="0" fontId="44" fillId="8" borderId="0" xfId="0" applyFont="1" applyFill="1"/>
    <xf numFmtId="164" fontId="44" fillId="8" borderId="0" xfId="0" applyNumberFormat="1" applyFont="1" applyFill="1"/>
    <xf numFmtId="2" fontId="44" fillId="8" borderId="0" xfId="0" applyNumberFormat="1" applyFont="1" applyFill="1"/>
    <xf numFmtId="0" fontId="44" fillId="9" borderId="0" xfId="0" applyFont="1" applyFill="1"/>
    <xf numFmtId="164" fontId="44" fillId="9" borderId="0" xfId="0" applyNumberFormat="1" applyFont="1" applyFill="1"/>
    <xf numFmtId="2" fontId="44" fillId="9" borderId="0" xfId="0" applyNumberFormat="1" applyFont="1" applyFill="1"/>
    <xf numFmtId="0" fontId="13" fillId="0" borderId="0" xfId="0" applyFont="1" applyAlignment="1">
      <alignment horizontal="center"/>
    </xf>
    <xf numFmtId="0" fontId="13" fillId="0" borderId="0" xfId="0" applyFont="1" applyAlignment="1">
      <alignment vertical="center"/>
    </xf>
    <xf numFmtId="0" fontId="44" fillId="7" borderId="0" xfId="0" applyFont="1" applyFill="1"/>
    <xf numFmtId="164" fontId="44" fillId="7" borderId="0" xfId="0" applyNumberFormat="1" applyFont="1" applyFill="1"/>
    <xf numFmtId="2" fontId="44" fillId="7" borderId="0" xfId="0" applyNumberFormat="1" applyFont="1" applyFill="1"/>
    <xf numFmtId="0" fontId="1" fillId="0" borderId="16" xfId="0" applyFont="1" applyBorder="1" applyAlignment="1">
      <alignment horizontal="center" vertical="center" wrapText="1"/>
    </xf>
    <xf numFmtId="0" fontId="4" fillId="0" borderId="26" xfId="0" applyFont="1" applyBorder="1" applyAlignment="1">
      <alignment vertical="center" wrapText="1"/>
    </xf>
    <xf numFmtId="2" fontId="0" fillId="3" borderId="15" xfId="0" applyNumberFormat="1" applyFill="1" applyBorder="1" applyAlignment="1">
      <alignment horizontal="center" vertical="center"/>
    </xf>
    <xf numFmtId="164" fontId="0" fillId="3" borderId="15" xfId="0" applyNumberFormat="1" applyFill="1" applyBorder="1" applyAlignment="1">
      <alignment horizontal="center" vertical="center"/>
    </xf>
    <xf numFmtId="0" fontId="1" fillId="0" borderId="2" xfId="0" applyFont="1" applyBorder="1" applyAlignment="1">
      <alignment horizontal="center" vertical="center"/>
    </xf>
    <xf numFmtId="1" fontId="7" fillId="0" borderId="16" xfId="14" applyNumberFormat="1" applyFont="1" applyBorder="1" applyAlignment="1">
      <alignment horizontal="center" vertical="center"/>
    </xf>
    <xf numFmtId="1" fontId="7" fillId="0" borderId="26" xfId="0" applyNumberFormat="1" applyFont="1" applyBorder="1" applyAlignment="1">
      <alignment horizontal="center" vertical="center"/>
    </xf>
    <xf numFmtId="1" fontId="46" fillId="0" borderId="26" xfId="0" applyNumberFormat="1" applyFont="1" applyBorder="1" applyAlignment="1">
      <alignment horizontal="center" vertical="center"/>
    </xf>
    <xf numFmtId="0" fontId="46" fillId="0" borderId="26" xfId="0" applyFont="1" applyBorder="1" applyAlignment="1">
      <alignment horizontal="center" vertical="center"/>
    </xf>
    <xf numFmtId="0" fontId="46" fillId="0" borderId="26" xfId="0" applyFont="1" applyBorder="1" applyAlignment="1">
      <alignment horizontal="left" vertical="center"/>
    </xf>
    <xf numFmtId="0" fontId="0" fillId="27" borderId="26" xfId="0" applyFill="1" applyBorder="1" applyAlignment="1">
      <alignment horizontal="center" vertical="center"/>
    </xf>
    <xf numFmtId="164" fontId="46" fillId="0" borderId="26" xfId="0" applyNumberFormat="1" applyFont="1" applyBorder="1" applyAlignment="1">
      <alignment horizontal="center" vertical="center"/>
    </xf>
    <xf numFmtId="0" fontId="3" fillId="0" borderId="5" xfId="1" applyBorder="1"/>
    <xf numFmtId="1" fontId="0" fillId="0" borderId="26" xfId="0" applyNumberFormat="1" applyBorder="1" applyAlignment="1">
      <alignment horizontal="left" vertical="center"/>
    </xf>
    <xf numFmtId="0" fontId="9" fillId="0" borderId="26" xfId="61" applyNumberFormat="1" applyFill="1" applyBorder="1" applyAlignment="1">
      <alignment horizontal="center" vertical="center"/>
    </xf>
    <xf numFmtId="1" fontId="0" fillId="0" borderId="15" xfId="0" applyNumberFormat="1" applyBorder="1" applyAlignment="1">
      <alignment horizontal="left" vertical="center"/>
    </xf>
    <xf numFmtId="1" fontId="0" fillId="0" borderId="26" xfId="0" applyNumberFormat="1" applyBorder="1"/>
    <xf numFmtId="0" fontId="1" fillId="2" borderId="26" xfId="0" applyFont="1" applyFill="1" applyBorder="1" applyAlignment="1">
      <alignment horizontal="center" vertical="center"/>
    </xf>
    <xf numFmtId="0" fontId="0" fillId="4" borderId="26" xfId="0" applyFill="1" applyBorder="1" applyAlignment="1">
      <alignment horizontal="center" vertical="center"/>
    </xf>
    <xf numFmtId="0" fontId="7" fillId="0" borderId="0" xfId="0" applyFont="1" applyAlignment="1">
      <alignment horizontal="left" vertical="center"/>
    </xf>
    <xf numFmtId="165" fontId="0" fillId="0" borderId="26" xfId="0" applyNumberFormat="1" applyBorder="1" applyAlignment="1">
      <alignment horizontal="center" vertical="center"/>
    </xf>
    <xf numFmtId="0" fontId="7" fillId="0" borderId="7" xfId="0" applyFont="1" applyBorder="1" applyAlignment="1">
      <alignment horizontal="left" vertical="center"/>
    </xf>
    <xf numFmtId="0" fontId="7" fillId="0" borderId="26" xfId="0" applyFont="1" applyBorder="1" applyAlignment="1">
      <alignment horizontal="left" vertical="center" wrapText="1"/>
    </xf>
    <xf numFmtId="4" fontId="7" fillId="5" borderId="26" xfId="0" applyNumberFormat="1" applyFont="1" applyFill="1" applyBorder="1" applyAlignment="1">
      <alignment horizontal="center" vertical="center"/>
    </xf>
    <xf numFmtId="0" fontId="7" fillId="5" borderId="26" xfId="0" applyFont="1" applyFill="1" applyBorder="1" applyAlignment="1">
      <alignment horizontal="center" vertical="center"/>
    </xf>
    <xf numFmtId="3" fontId="7" fillId="0" borderId="26" xfId="0" applyNumberFormat="1" applyFont="1" applyBorder="1" applyAlignment="1">
      <alignment horizontal="center" vertical="center"/>
    </xf>
    <xf numFmtId="4" fontId="0" fillId="26" borderId="26" xfId="0" applyNumberFormat="1" applyFill="1" applyBorder="1" applyAlignment="1">
      <alignment horizontal="center" vertical="center"/>
    </xf>
    <xf numFmtId="4" fontId="0" fillId="2" borderId="16" xfId="0" applyNumberFormat="1" applyFill="1" applyBorder="1" applyAlignment="1">
      <alignment horizontal="center" vertical="center"/>
    </xf>
    <xf numFmtId="0" fontId="0" fillId="0" borderId="11" xfId="0" applyBorder="1" applyAlignment="1">
      <alignment horizontal="center" vertical="center"/>
    </xf>
    <xf numFmtId="4" fontId="7" fillId="0" borderId="26" xfId="0" applyNumberFormat="1" applyFont="1" applyBorder="1" applyAlignment="1">
      <alignment horizontal="center" vertical="center"/>
    </xf>
    <xf numFmtId="1" fontId="0" fillId="4" borderId="26" xfId="0" applyNumberFormat="1" applyFill="1" applyBorder="1" applyAlignment="1">
      <alignment horizontal="center" vertical="center"/>
    </xf>
    <xf numFmtId="0" fontId="12" fillId="0" borderId="16" xfId="0" applyFont="1" applyBorder="1" applyAlignment="1">
      <alignment horizontal="center" vertical="center"/>
    </xf>
    <xf numFmtId="0" fontId="1" fillId="0" borderId="16" xfId="0" applyFont="1" applyBorder="1" applyAlignment="1">
      <alignment horizontal="center" vertical="center"/>
    </xf>
    <xf numFmtId="0" fontId="12" fillId="0" borderId="26" xfId="0" applyFont="1" applyBorder="1" applyAlignment="1">
      <alignment horizontal="center" vertical="center"/>
    </xf>
    <xf numFmtId="0" fontId="0" fillId="0" borderId="4" xfId="0" applyBorder="1" applyAlignment="1">
      <alignment horizontal="left" vertical="center"/>
    </xf>
    <xf numFmtId="0" fontId="3" fillId="0" borderId="26" xfId="1" applyBorder="1" applyAlignment="1">
      <alignment vertical="center" wrapText="1"/>
    </xf>
    <xf numFmtId="0" fontId="0" fillId="5" borderId="4" xfId="0" applyFill="1" applyBorder="1" applyAlignment="1">
      <alignment horizontal="center" vertical="center"/>
    </xf>
    <xf numFmtId="4" fontId="0" fillId="5" borderId="26" xfId="0" applyNumberFormat="1" applyFill="1" applyBorder="1" applyAlignment="1">
      <alignment horizontal="center" vertical="center"/>
    </xf>
    <xf numFmtId="164" fontId="0" fillId="0" borderId="0" xfId="0" applyNumberFormat="1" applyAlignment="1">
      <alignment horizontal="center" vertical="center"/>
    </xf>
    <xf numFmtId="0" fontId="7" fillId="3" borderId="4" xfId="0" applyFont="1" applyFill="1" applyBorder="1" applyAlignment="1">
      <alignment horizontal="left" vertical="center"/>
    </xf>
    <xf numFmtId="0" fontId="0" fillId="0" borderId="0" xfId="0" applyAlignment="1">
      <alignment horizontal="left" vertical="center" wrapText="1"/>
    </xf>
    <xf numFmtId="0" fontId="3" fillId="0" borderId="0" xfId="1" applyBorder="1" applyAlignment="1">
      <alignment horizontal="left" vertical="center" wrapText="1"/>
    </xf>
    <xf numFmtId="165" fontId="0" fillId="0" borderId="16" xfId="0" applyNumberFormat="1" applyBorder="1" applyAlignment="1">
      <alignment horizontal="center" vertical="center"/>
    </xf>
    <xf numFmtId="3" fontId="0" fillId="0" borderId="0" xfId="0" applyNumberFormat="1"/>
    <xf numFmtId="164" fontId="0" fillId="0" borderId="0" xfId="0" applyNumberFormat="1" applyAlignment="1">
      <alignment horizontal="left" vertical="center"/>
    </xf>
    <xf numFmtId="3" fontId="0" fillId="0" borderId="26" xfId="0" applyNumberFormat="1" applyBorder="1"/>
    <xf numFmtId="1" fontId="7" fillId="0" borderId="29" xfId="0" applyNumberFormat="1" applyFont="1" applyBorder="1" applyAlignment="1">
      <alignment horizontal="center" vertical="center"/>
    </xf>
    <xf numFmtId="3" fontId="49" fillId="0" borderId="0" xfId="0" applyNumberFormat="1" applyFont="1" applyAlignment="1">
      <alignment horizontal="right" wrapText="1"/>
    </xf>
    <xf numFmtId="170" fontId="0" fillId="0" borderId="0" xfId="0" applyNumberFormat="1"/>
    <xf numFmtId="0" fontId="0" fillId="2" borderId="26" xfId="0" applyFill="1" applyBorder="1" applyAlignment="1">
      <alignment horizontal="left" vertical="center"/>
    </xf>
    <xf numFmtId="1" fontId="7" fillId="2" borderId="26" xfId="0" applyNumberFormat="1" applyFont="1" applyFill="1" applyBorder="1" applyAlignment="1">
      <alignment horizontal="center" vertical="center"/>
    </xf>
    <xf numFmtId="1" fontId="9" fillId="0" borderId="2" xfId="14" applyNumberFormat="1" applyBorder="1" applyAlignment="1">
      <alignment horizontal="center" vertical="center"/>
    </xf>
    <xf numFmtId="0" fontId="0" fillId="28" borderId="26" xfId="0" applyFill="1" applyBorder="1" applyAlignment="1">
      <alignment horizontal="left" vertical="center"/>
    </xf>
    <xf numFmtId="1" fontId="7" fillId="28" borderId="26" xfId="14" applyNumberFormat="1" applyFont="1" applyFill="1" applyBorder="1" applyAlignment="1">
      <alignment horizontal="center" vertical="center"/>
    </xf>
    <xf numFmtId="0" fontId="9" fillId="28" borderId="26" xfId="61" applyNumberFormat="1" applyFill="1" applyBorder="1" applyAlignment="1">
      <alignment horizontal="center" vertical="center"/>
    </xf>
    <xf numFmtId="0" fontId="3" fillId="0" borderId="0" xfId="1" applyAlignment="1">
      <alignment horizontal="left" vertical="top" wrapText="1"/>
    </xf>
    <xf numFmtId="0" fontId="0" fillId="0" borderId="27" xfId="0" applyBorder="1" applyAlignment="1">
      <alignment horizontal="center" vertical="center"/>
    </xf>
    <xf numFmtId="1" fontId="0" fillId="0" borderId="6" xfId="0" applyNumberFormat="1" applyBorder="1" applyAlignment="1">
      <alignment horizontal="center"/>
    </xf>
    <xf numFmtId="1" fontId="0" fillId="0" borderId="6" xfId="0" applyNumberFormat="1" applyBorder="1" applyAlignment="1">
      <alignment horizontal="center" vertical="center"/>
    </xf>
    <xf numFmtId="1" fontId="0" fillId="28" borderId="6" xfId="0" applyNumberFormat="1" applyFill="1" applyBorder="1" applyAlignment="1">
      <alignment horizontal="center" vertical="center"/>
    </xf>
    <xf numFmtId="0" fontId="1" fillId="0" borderId="10" xfId="0" applyFont="1" applyBorder="1" applyAlignment="1">
      <alignment horizontal="center" vertical="center"/>
    </xf>
    <xf numFmtId="0" fontId="0" fillId="0" borderId="26" xfId="65" applyNumberFormat="1" applyFont="1" applyBorder="1" applyAlignment="1">
      <alignment horizontal="center" vertical="center"/>
    </xf>
    <xf numFmtId="0" fontId="50" fillId="4" borderId="26" xfId="65" applyNumberFormat="1" applyFont="1" applyFill="1" applyBorder="1" applyAlignment="1">
      <alignment horizontal="center" vertical="center" wrapText="1"/>
    </xf>
    <xf numFmtId="0" fontId="0" fillId="29" borderId="26" xfId="0" applyFill="1" applyBorder="1" applyAlignment="1">
      <alignment horizontal="center" vertical="center"/>
    </xf>
    <xf numFmtId="0" fontId="3" fillId="0" borderId="26" xfId="1" applyBorder="1" applyAlignment="1" applyProtection="1"/>
    <xf numFmtId="166" fontId="0" fillId="0" borderId="26" xfId="0" applyNumberFormat="1" applyBorder="1" applyAlignment="1">
      <alignment horizontal="center" vertical="center"/>
    </xf>
    <xf numFmtId="166" fontId="0" fillId="0" borderId="26" xfId="65" applyNumberFormat="1" applyFont="1" applyBorder="1" applyAlignment="1">
      <alignment horizontal="center" vertical="center"/>
    </xf>
    <xf numFmtId="0" fontId="0" fillId="0" borderId="26" xfId="0" applyBorder="1" applyAlignment="1">
      <alignment vertical="center"/>
    </xf>
    <xf numFmtId="166" fontId="0" fillId="29" borderId="26" xfId="0" applyNumberFormat="1" applyFill="1" applyBorder="1" applyAlignment="1">
      <alignment horizontal="center" vertical="center"/>
    </xf>
    <xf numFmtId="1" fontId="0" fillId="29" borderId="26" xfId="0" applyNumberFormat="1" applyFill="1" applyBorder="1" applyAlignment="1">
      <alignment horizontal="center" vertical="center"/>
    </xf>
    <xf numFmtId="166" fontId="0" fillId="0" borderId="26" xfId="65" applyNumberFormat="1" applyFont="1" applyFill="1" applyBorder="1" applyAlignment="1">
      <alignment horizontal="center" vertical="center"/>
    </xf>
    <xf numFmtId="0" fontId="3" fillId="0" borderId="0" xfId="1" applyAlignment="1">
      <alignment wrapText="1"/>
    </xf>
    <xf numFmtId="3" fontId="0" fillId="29" borderId="26" xfId="0" applyNumberFormat="1" applyFill="1" applyBorder="1" applyAlignment="1">
      <alignment horizontal="center" vertical="center"/>
    </xf>
    <xf numFmtId="0" fontId="0" fillId="29" borderId="0" xfId="0" applyFill="1" applyAlignment="1">
      <alignment horizontal="left" vertical="center"/>
    </xf>
    <xf numFmtId="0" fontId="7" fillId="0" borderId="26" xfId="0" applyFont="1" applyBorder="1" applyAlignment="1">
      <alignment horizontal="center" vertical="center"/>
    </xf>
    <xf numFmtId="0" fontId="7" fillId="2" borderId="26" xfId="0" applyFont="1" applyFill="1" applyBorder="1" applyAlignment="1">
      <alignment horizontal="center" vertical="center"/>
    </xf>
    <xf numFmtId="0" fontId="7" fillId="0" borderId="29" xfId="0" applyFont="1" applyBorder="1" applyAlignment="1">
      <alignment horizontal="center" vertical="center"/>
    </xf>
    <xf numFmtId="1" fontId="7" fillId="0" borderId="15" xfId="0" applyNumberFormat="1" applyFont="1" applyBorder="1" applyAlignment="1">
      <alignment horizontal="center" vertical="center"/>
    </xf>
    <xf numFmtId="164" fontId="7" fillId="3" borderId="15" xfId="0" applyNumberFormat="1" applyFont="1" applyFill="1" applyBorder="1" applyAlignment="1">
      <alignment horizontal="center" vertical="center"/>
    </xf>
    <xf numFmtId="3" fontId="7" fillId="0" borderId="26" xfId="0" applyNumberFormat="1" applyFont="1" applyBorder="1" applyAlignment="1">
      <alignment horizontal="center"/>
    </xf>
    <xf numFmtId="167" fontId="1" fillId="0" borderId="4" xfId="61" applyNumberFormat="1" applyFont="1" applyFill="1" applyBorder="1" applyAlignment="1">
      <alignment horizontal="center" vertical="center"/>
    </xf>
    <xf numFmtId="4" fontId="0" fillId="0" borderId="11" xfId="0" applyNumberFormat="1" applyBorder="1" applyAlignment="1">
      <alignment horizontal="center" vertical="center"/>
    </xf>
    <xf numFmtId="3" fontId="7" fillId="2" borderId="26" xfId="0" applyNumberFormat="1" applyFont="1" applyFill="1" applyBorder="1" applyAlignment="1">
      <alignment horizontal="center" vertical="center"/>
    </xf>
    <xf numFmtId="171" fontId="0" fillId="0" borderId="0" xfId="0" applyNumberFormat="1" applyAlignment="1">
      <alignment horizontal="center" vertical="center"/>
    </xf>
    <xf numFmtId="3" fontId="0" fillId="5" borderId="31" xfId="0" applyNumberFormat="1" applyFill="1" applyBorder="1" applyAlignment="1">
      <alignment horizontal="center" vertical="center"/>
    </xf>
    <xf numFmtId="0" fontId="0" fillId="5" borderId="31" xfId="0" applyFill="1" applyBorder="1" applyAlignment="1">
      <alignment horizontal="center" vertical="center"/>
    </xf>
    <xf numFmtId="0" fontId="0" fillId="0" borderId="31" xfId="0" applyBorder="1" applyAlignment="1">
      <alignment horizontal="center" vertical="center"/>
    </xf>
    <xf numFmtId="0" fontId="3" fillId="0" borderId="31" xfId="1" applyBorder="1" applyAlignment="1">
      <alignment horizontal="left" vertical="center" wrapText="1"/>
    </xf>
    <xf numFmtId="1" fontId="8" fillId="29" borderId="26" xfId="0" applyNumberFormat="1" applyFont="1" applyFill="1" applyBorder="1" applyAlignment="1">
      <alignment horizontal="center" vertical="center"/>
    </xf>
    <xf numFmtId="2" fontId="0" fillId="0" borderId="0" xfId="0" applyNumberFormat="1" applyAlignment="1">
      <alignment horizontal="center" vertical="center"/>
    </xf>
    <xf numFmtId="0" fontId="1" fillId="0" borderId="29" xfId="0" applyFont="1" applyBorder="1" applyAlignment="1">
      <alignment horizontal="center" vertical="center"/>
    </xf>
    <xf numFmtId="3" fontId="0" fillId="0" borderId="26" xfId="0" applyNumberFormat="1" applyBorder="1" applyAlignment="1">
      <alignment horizontal="center"/>
    </xf>
    <xf numFmtId="0" fontId="0" fillId="0" borderId="0" xfId="0" applyAlignment="1">
      <alignment horizontal="center"/>
    </xf>
    <xf numFmtId="0" fontId="3" fillId="0" borderId="5" xfId="1" applyFill="1" applyBorder="1" applyAlignment="1">
      <alignment wrapText="1"/>
    </xf>
    <xf numFmtId="170" fontId="0" fillId="0" borderId="26" xfId="0" applyNumberFormat="1" applyBorder="1" applyAlignment="1">
      <alignment horizontal="center" vertical="center"/>
    </xf>
    <xf numFmtId="9" fontId="0" fillId="0" borderId="26" xfId="61" applyFont="1" applyBorder="1" applyAlignment="1">
      <alignment horizontal="center" vertical="center"/>
    </xf>
    <xf numFmtId="0" fontId="7" fillId="0" borderId="27" xfId="0" applyFont="1" applyBorder="1" applyAlignment="1">
      <alignment horizontal="center" vertical="center"/>
    </xf>
    <xf numFmtId="0" fontId="0" fillId="0" borderId="14" xfId="0" applyBorder="1" applyAlignment="1">
      <alignment wrapText="1"/>
    </xf>
    <xf numFmtId="0" fontId="0" fillId="0" borderId="15" xfId="0" applyBorder="1" applyAlignment="1">
      <alignment horizontal="left" vertical="top" wrapText="1"/>
    </xf>
    <xf numFmtId="3" fontId="7" fillId="0" borderId="14" xfId="0" applyNumberFormat="1" applyFont="1" applyBorder="1" applyAlignment="1">
      <alignment horizontal="center" vertical="center"/>
    </xf>
    <xf numFmtId="0" fontId="3" fillId="0" borderId="14" xfId="1" applyFill="1" applyBorder="1" applyAlignment="1">
      <alignment wrapText="1"/>
    </xf>
    <xf numFmtId="0" fontId="0" fillId="0" borderId="3" xfId="0" applyBorder="1" applyAlignment="1">
      <alignment horizontal="left" vertical="center" wrapText="1"/>
    </xf>
    <xf numFmtId="0" fontId="3" fillId="0" borderId="16" xfId="1" applyFill="1" applyBorder="1" applyAlignment="1">
      <alignment horizontal="left" vertical="center" wrapText="1"/>
    </xf>
    <xf numFmtId="0" fontId="3" fillId="0" borderId="15" xfId="1" applyFill="1" applyBorder="1" applyAlignment="1">
      <alignment horizontal="left" vertical="center" wrapText="1"/>
    </xf>
    <xf numFmtId="0" fontId="3" fillId="0" borderId="26" xfId="1" applyFill="1" applyBorder="1"/>
    <xf numFmtId="1" fontId="4" fillId="0" borderId="26" xfId="0" applyNumberFormat="1" applyFont="1" applyBorder="1" applyAlignment="1">
      <alignment horizontal="center"/>
    </xf>
    <xf numFmtId="0" fontId="8" fillId="0" borderId="14" xfId="0" applyFont="1" applyBorder="1" applyAlignment="1">
      <alignment horizontal="left" vertical="center"/>
    </xf>
    <xf numFmtId="0" fontId="8" fillId="0" borderId="14" xfId="0" applyFont="1" applyBorder="1" applyAlignment="1">
      <alignment horizontal="center" vertical="center"/>
    </xf>
    <xf numFmtId="0" fontId="7" fillId="0" borderId="26" xfId="0" applyFont="1" applyBorder="1"/>
    <xf numFmtId="0" fontId="3" fillId="0" borderId="26" xfId="1" applyFill="1" applyBorder="1" applyAlignment="1">
      <alignment wrapText="1"/>
    </xf>
    <xf numFmtId="0" fontId="3" fillId="0" borderId="0" xfId="1" applyFill="1" applyAlignment="1">
      <alignment horizontal="left" vertical="center"/>
    </xf>
    <xf numFmtId="166" fontId="0" fillId="0" borderId="26" xfId="0" applyNumberFormat="1" applyBorder="1" applyAlignment="1">
      <alignment horizontal="right" vertical="center"/>
    </xf>
    <xf numFmtId="3" fontId="51" fillId="0" borderId="26" xfId="0" applyNumberFormat="1" applyFont="1" applyBorder="1" applyAlignment="1">
      <alignment horizontal="center" wrapText="1"/>
    </xf>
    <xf numFmtId="165" fontId="51" fillId="0" borderId="26" xfId="0" applyNumberFormat="1" applyFont="1" applyBorder="1" applyAlignment="1">
      <alignment horizontal="center" wrapText="1"/>
    </xf>
    <xf numFmtId="0" fontId="1" fillId="0" borderId="26" xfId="0" applyFont="1" applyBorder="1" applyAlignment="1">
      <alignment horizontal="left" vertical="center"/>
    </xf>
    <xf numFmtId="0" fontId="7" fillId="0" borderId="16" xfId="0" applyFont="1" applyBorder="1" applyAlignment="1">
      <alignment horizontal="left" vertical="center" wrapText="1"/>
    </xf>
    <xf numFmtId="0" fontId="0" fillId="0" borderId="26" xfId="0" applyBorder="1" applyAlignment="1">
      <alignment horizontal="left" vertical="center" indent="3"/>
    </xf>
    <xf numFmtId="0" fontId="7" fillId="0" borderId="31" xfId="0" applyFont="1" applyBorder="1" applyAlignment="1">
      <alignment horizontal="left" vertical="center"/>
    </xf>
    <xf numFmtId="0" fontId="0" fillId="0" borderId="26" xfId="0" applyBorder="1" applyAlignment="1">
      <alignment horizontal="center" vertical="center" wrapText="1"/>
    </xf>
    <xf numFmtId="1" fontId="0" fillId="0" borderId="16" xfId="0" applyNumberFormat="1" applyBorder="1" applyAlignment="1">
      <alignment horizontal="center" vertical="center"/>
    </xf>
    <xf numFmtId="0" fontId="7" fillId="0" borderId="6" xfId="0" applyFont="1" applyBorder="1" applyAlignment="1">
      <alignment horizontal="left" vertical="center"/>
    </xf>
    <xf numFmtId="0" fontId="3" fillId="0" borderId="0" xfId="1" applyFill="1"/>
    <xf numFmtId="165" fontId="0" fillId="0" borderId="26" xfId="0" applyNumberFormat="1" applyBorder="1" applyAlignment="1">
      <alignment horizontal="center" vertical="center" wrapText="1"/>
    </xf>
    <xf numFmtId="3" fontId="0" fillId="0" borderId="6" xfId="0" applyNumberFormat="1" applyBorder="1" applyAlignment="1">
      <alignment horizontal="center" vertical="center"/>
    </xf>
    <xf numFmtId="3" fontId="53" fillId="0" borderId="32" xfId="0" applyNumberFormat="1" applyFont="1" applyBorder="1" applyAlignment="1">
      <alignment horizontal="center" vertical="center"/>
    </xf>
    <xf numFmtId="3" fontId="53" fillId="0" borderId="33" xfId="0" applyNumberFormat="1" applyFont="1" applyBorder="1" applyAlignment="1">
      <alignment horizontal="center" vertical="center"/>
    </xf>
    <xf numFmtId="0" fontId="1" fillId="0" borderId="0" xfId="0" applyFont="1"/>
    <xf numFmtId="0" fontId="1" fillId="0" borderId="26" xfId="0" applyFont="1" applyBorder="1" applyAlignment="1">
      <alignment wrapText="1"/>
    </xf>
    <xf numFmtId="0" fontId="0" fillId="0" borderId="26" xfId="0" applyBorder="1" applyAlignment="1">
      <alignment wrapText="1"/>
    </xf>
    <xf numFmtId="0" fontId="3" fillId="0" borderId="26" xfId="1" applyFill="1" applyBorder="1" applyAlignment="1"/>
    <xf numFmtId="0" fontId="0" fillId="0" borderId="0" xfId="0" applyAlignment="1">
      <alignment wrapText="1"/>
    </xf>
    <xf numFmtId="0" fontId="45" fillId="0" borderId="0" xfId="0" applyFont="1"/>
    <xf numFmtId="1" fontId="0" fillId="0" borderId="0" xfId="61" applyNumberFormat="1" applyFont="1" applyFill="1"/>
    <xf numFmtId="9" fontId="0" fillId="0" borderId="0" xfId="61" applyFont="1" applyFill="1"/>
    <xf numFmtId="0" fontId="0" fillId="0" borderId="35" xfId="0" applyBorder="1" applyAlignment="1">
      <alignment wrapText="1"/>
    </xf>
    <xf numFmtId="0" fontId="1" fillId="0" borderId="36" xfId="0" applyFont="1" applyBorder="1" applyAlignment="1">
      <alignment wrapText="1"/>
    </xf>
    <xf numFmtId="0" fontId="1" fillId="0" borderId="36" xfId="0" applyFont="1" applyBorder="1" applyAlignment="1">
      <alignment horizontal="center" vertical="center" wrapText="1"/>
    </xf>
    <xf numFmtId="0" fontId="1" fillId="0" borderId="51" xfId="0" applyFont="1" applyBorder="1" applyAlignment="1">
      <alignment horizontal="center" vertical="center" wrapText="1"/>
    </xf>
    <xf numFmtId="0" fontId="0" fillId="0" borderId="35" xfId="0" applyBorder="1" applyAlignment="1">
      <alignment horizontal="right" wrapText="1"/>
    </xf>
    <xf numFmtId="0" fontId="0" fillId="0" borderId="36" xfId="0" applyBorder="1" applyAlignment="1">
      <alignment wrapText="1"/>
    </xf>
    <xf numFmtId="0" fontId="0" fillId="0" borderId="37" xfId="0" applyBorder="1" applyAlignment="1">
      <alignment wrapText="1"/>
    </xf>
    <xf numFmtId="0" fontId="54" fillId="0" borderId="0" xfId="0" applyFont="1" applyAlignment="1">
      <alignment wrapText="1"/>
    </xf>
    <xf numFmtId="0" fontId="1" fillId="0" borderId="38" xfId="0" applyFont="1" applyBorder="1"/>
    <xf numFmtId="0" fontId="0" fillId="0" borderId="27" xfId="0" applyBorder="1"/>
    <xf numFmtId="0" fontId="0" fillId="0" borderId="38" xfId="0" applyBorder="1" applyAlignment="1">
      <alignment horizontal="right"/>
    </xf>
    <xf numFmtId="0" fontId="0" fillId="0" borderId="39" xfId="0" applyBorder="1"/>
    <xf numFmtId="0" fontId="0" fillId="0" borderId="45" xfId="0" applyBorder="1"/>
    <xf numFmtId="0" fontId="0" fillId="0" borderId="46" xfId="0" applyBorder="1"/>
    <xf numFmtId="0" fontId="0" fillId="0" borderId="46" xfId="0" applyBorder="1" applyAlignment="1">
      <alignment wrapText="1"/>
    </xf>
    <xf numFmtId="0" fontId="0" fillId="0" borderId="47" xfId="0" applyBorder="1" applyAlignment="1">
      <alignment wrapText="1"/>
    </xf>
    <xf numFmtId="0" fontId="0" fillId="0" borderId="38" xfId="0" applyBorder="1"/>
    <xf numFmtId="0" fontId="0" fillId="0" borderId="29" xfId="0" applyBorder="1" applyAlignment="1">
      <alignment wrapText="1"/>
    </xf>
    <xf numFmtId="0" fontId="0" fillId="0" borderId="27" xfId="0" applyBorder="1" applyAlignment="1">
      <alignment horizontal="left" vertical="center" wrapText="1"/>
    </xf>
    <xf numFmtId="0" fontId="0" fillId="0" borderId="49" xfId="0" applyBorder="1"/>
    <xf numFmtId="0" fontId="0" fillId="0" borderId="48" xfId="0" applyBorder="1" applyAlignment="1">
      <alignment wrapText="1"/>
    </xf>
    <xf numFmtId="0" fontId="0" fillId="0" borderId="40" xfId="0" applyBorder="1"/>
    <xf numFmtId="0" fontId="0" fillId="0" borderId="41" xfId="0" applyBorder="1"/>
    <xf numFmtId="0" fontId="0" fillId="0" borderId="41" xfId="0" applyBorder="1" applyAlignment="1">
      <alignment wrapText="1"/>
    </xf>
    <xf numFmtId="0" fontId="0" fillId="0" borderId="52" xfId="0" applyBorder="1" applyAlignment="1">
      <alignment horizontal="left" vertical="center" wrapText="1"/>
    </xf>
    <xf numFmtId="0" fontId="0" fillId="0" borderId="40" xfId="0" applyBorder="1" applyAlignment="1">
      <alignment horizontal="right"/>
    </xf>
    <xf numFmtId="0" fontId="0" fillId="0" borderId="42" xfId="0" applyBorder="1"/>
    <xf numFmtId="0" fontId="0" fillId="0" borderId="0" xfId="0" applyAlignment="1">
      <alignment horizontal="right"/>
    </xf>
    <xf numFmtId="0" fontId="0" fillId="0" borderId="49" xfId="0" applyBorder="1" applyAlignment="1">
      <alignment wrapText="1"/>
    </xf>
    <xf numFmtId="0" fontId="0" fillId="0" borderId="30" xfId="0" applyBorder="1"/>
    <xf numFmtId="0" fontId="0" fillId="0" borderId="50" xfId="0" applyBorder="1"/>
    <xf numFmtId="0" fontId="54" fillId="0" borderId="0" xfId="0" applyFont="1"/>
    <xf numFmtId="0" fontId="0" fillId="0" borderId="45" xfId="0" applyBorder="1" applyAlignment="1">
      <alignment wrapText="1"/>
    </xf>
    <xf numFmtId="0" fontId="0" fillId="0" borderId="6" xfId="0" applyBorder="1"/>
    <xf numFmtId="0" fontId="0" fillId="0" borderId="47" xfId="0" applyBorder="1"/>
    <xf numFmtId="0" fontId="0" fillId="0" borderId="43" xfId="0" applyBorder="1"/>
    <xf numFmtId="0" fontId="0" fillId="0" borderId="48" xfId="0" applyBorder="1"/>
    <xf numFmtId="0" fontId="0" fillId="0" borderId="34" xfId="0" applyBorder="1"/>
    <xf numFmtId="0" fontId="0" fillId="0" borderId="44" xfId="0" applyBorder="1" applyAlignment="1">
      <alignment wrapText="1"/>
    </xf>
    <xf numFmtId="169" fontId="0" fillId="0" borderId="0" xfId="0" applyNumberFormat="1"/>
    <xf numFmtId="4" fontId="7" fillId="0" borderId="26" xfId="0" applyNumberFormat="1" applyFont="1" applyBorder="1" applyAlignment="1">
      <alignment horizontal="center"/>
    </xf>
    <xf numFmtId="0" fontId="2" fillId="8" borderId="0" xfId="0" applyFont="1" applyFill="1" applyAlignment="1">
      <alignment horizontal="center" vertical="center"/>
    </xf>
    <xf numFmtId="0" fontId="2" fillId="8" borderId="2" xfId="0" applyFont="1" applyFill="1" applyBorder="1" applyAlignment="1">
      <alignment horizontal="center" vertical="center"/>
    </xf>
    <xf numFmtId="0" fontId="2" fillId="9" borderId="0" xfId="0" applyFont="1" applyFill="1" applyAlignment="1">
      <alignment horizontal="center" vertical="center"/>
    </xf>
    <xf numFmtId="0" fontId="2" fillId="9" borderId="2" xfId="0" applyFont="1" applyFill="1" applyBorder="1" applyAlignment="1">
      <alignment horizontal="center" vertical="center"/>
    </xf>
    <xf numFmtId="0" fontId="0" fillId="0" borderId="45" xfId="0" applyBorder="1" applyAlignment="1">
      <alignment horizontal="center" wrapText="1"/>
    </xf>
    <xf numFmtId="0" fontId="0" fillId="0" borderId="48" xfId="0" applyBorder="1" applyAlignment="1">
      <alignment horizontal="center" wrapText="1"/>
    </xf>
    <xf numFmtId="0" fontId="0" fillId="0" borderId="34" xfId="0" applyBorder="1" applyAlignment="1">
      <alignment horizontal="center" wrapText="1"/>
    </xf>
    <xf numFmtId="0" fontId="2" fillId="7" borderId="0" xfId="0" applyFont="1" applyFill="1" applyAlignment="1">
      <alignment horizontal="center" vertical="center"/>
    </xf>
    <xf numFmtId="0" fontId="2" fillId="7" borderId="2" xfId="0" applyFont="1" applyFill="1" applyBorder="1" applyAlignment="1">
      <alignment horizontal="center" vertical="center"/>
    </xf>
  </cellXfs>
  <cellStyles count="66">
    <cellStyle name="20% - Accent1 2" xfId="20" xr:uid="{00000000-0005-0000-0000-000000000000}"/>
    <cellStyle name="20% - Accent2 2" xfId="21" xr:uid="{00000000-0005-0000-0000-000001000000}"/>
    <cellStyle name="20% - Accent3 2" xfId="22" xr:uid="{00000000-0005-0000-0000-000002000000}"/>
    <cellStyle name="20% - Accent4 2" xfId="23" xr:uid="{00000000-0005-0000-0000-000003000000}"/>
    <cellStyle name="20% - Accent5 2" xfId="24" xr:uid="{00000000-0005-0000-0000-000004000000}"/>
    <cellStyle name="20% - Accent6 2" xfId="25" xr:uid="{00000000-0005-0000-0000-000005000000}"/>
    <cellStyle name="40% - Accent1 2" xfId="26" xr:uid="{00000000-0005-0000-0000-000006000000}"/>
    <cellStyle name="40% - Accent2 2" xfId="27" xr:uid="{00000000-0005-0000-0000-000007000000}"/>
    <cellStyle name="40% - Accent3 2" xfId="28" xr:uid="{00000000-0005-0000-0000-000008000000}"/>
    <cellStyle name="40% - Accent4 2" xfId="29" xr:uid="{00000000-0005-0000-0000-000009000000}"/>
    <cellStyle name="40% - Accent5 2" xfId="30" xr:uid="{00000000-0005-0000-0000-00000A000000}"/>
    <cellStyle name="40% - Accent6 2" xfId="31" xr:uid="{00000000-0005-0000-0000-00000B000000}"/>
    <cellStyle name="60% - Accent1 2" xfId="32" xr:uid="{00000000-0005-0000-0000-00000C000000}"/>
    <cellStyle name="60% - Accent2 2" xfId="33" xr:uid="{00000000-0005-0000-0000-00000D000000}"/>
    <cellStyle name="60% - Accent3 2" xfId="34" xr:uid="{00000000-0005-0000-0000-00000E000000}"/>
    <cellStyle name="60% - Accent4 2" xfId="35" xr:uid="{00000000-0005-0000-0000-00000F000000}"/>
    <cellStyle name="60% - Accent5 2" xfId="36" xr:uid="{00000000-0005-0000-0000-000010000000}"/>
    <cellStyle name="60% - Accent6 2" xfId="37" xr:uid="{00000000-0005-0000-0000-000011000000}"/>
    <cellStyle name="Accent1 2" xfId="38" xr:uid="{00000000-0005-0000-0000-000012000000}"/>
    <cellStyle name="Accent2 2" xfId="39" xr:uid="{00000000-0005-0000-0000-000013000000}"/>
    <cellStyle name="Accent3 2" xfId="40" xr:uid="{00000000-0005-0000-0000-000014000000}"/>
    <cellStyle name="Accent4 2" xfId="41" xr:uid="{00000000-0005-0000-0000-000015000000}"/>
    <cellStyle name="Accent5 2" xfId="42" xr:uid="{00000000-0005-0000-0000-000016000000}"/>
    <cellStyle name="Accent6 2" xfId="43" xr:uid="{00000000-0005-0000-0000-000017000000}"/>
    <cellStyle name="Bad 2" xfId="44" xr:uid="{00000000-0005-0000-0000-000018000000}"/>
    <cellStyle name="Calculation 2" xfId="45" xr:uid="{00000000-0005-0000-0000-000019000000}"/>
    <cellStyle name="Check Cell 2" xfId="46" xr:uid="{00000000-0005-0000-0000-00001A000000}"/>
    <cellStyle name="Comma" xfId="65" builtinId="3"/>
    <cellStyle name="Comma 2" xfId="64" xr:uid="{B45325EC-5D19-4735-804E-0B1EAD04EDCB}"/>
    <cellStyle name="Comma 3" xfId="9" xr:uid="{00000000-0005-0000-0000-00001B000000}"/>
    <cellStyle name="Comma 3 2" xfId="17" xr:uid="{00000000-0005-0000-0000-00001C000000}"/>
    <cellStyle name="Explanatory Text 2" xfId="47" xr:uid="{00000000-0005-0000-0000-00001D000000}"/>
    <cellStyle name="Followed Hyperlink" xfId="3" builtinId="9" hidden="1"/>
    <cellStyle name="Followed Hyperlink" xfId="2" builtinId="9" hidden="1"/>
    <cellStyle name="Good 2" xfId="48" xr:uid="{00000000-0005-0000-0000-000020000000}"/>
    <cellStyle name="Heading 1 2" xfId="49" xr:uid="{00000000-0005-0000-0000-000021000000}"/>
    <cellStyle name="Heading 2 2" xfId="50" xr:uid="{00000000-0005-0000-0000-000022000000}"/>
    <cellStyle name="Heading 3 2" xfId="51" xr:uid="{00000000-0005-0000-0000-000023000000}"/>
    <cellStyle name="Heading 4 2" xfId="52" xr:uid="{00000000-0005-0000-0000-000024000000}"/>
    <cellStyle name="Hyperlink" xfId="1" builtinId="8"/>
    <cellStyle name="Hyperlink 2" xfId="63" xr:uid="{00000000-0005-0000-0000-00006C000000}"/>
    <cellStyle name="Input 2" xfId="53" xr:uid="{00000000-0005-0000-0000-000026000000}"/>
    <cellStyle name="Linked Cell 2" xfId="54" xr:uid="{00000000-0005-0000-0000-000027000000}"/>
    <cellStyle name="Neutral 2" xfId="55" xr:uid="{00000000-0005-0000-0000-000028000000}"/>
    <cellStyle name="Normal" xfId="0" builtinId="0"/>
    <cellStyle name="Normal 2" xfId="16" xr:uid="{00000000-0005-0000-0000-00002A000000}"/>
    <cellStyle name="Normal 2 2" xfId="18" xr:uid="{00000000-0005-0000-0000-00002B000000}"/>
    <cellStyle name="Normal 2 26 2" xfId="8" xr:uid="{00000000-0005-0000-0000-00002C000000}"/>
    <cellStyle name="Normal 2 3" xfId="13" xr:uid="{00000000-0005-0000-0000-00002D000000}"/>
    <cellStyle name="Normal 3" xfId="4" xr:uid="{00000000-0005-0000-0000-00002E000000}"/>
    <cellStyle name="Normal 3 2" xfId="11" xr:uid="{00000000-0005-0000-0000-00002F000000}"/>
    <cellStyle name="Normal 3 3" xfId="19" xr:uid="{00000000-0005-0000-0000-000030000000}"/>
    <cellStyle name="Normal 32" xfId="6" xr:uid="{00000000-0005-0000-0000-000031000000}"/>
    <cellStyle name="Normal 4" xfId="14" xr:uid="{00000000-0005-0000-0000-000032000000}"/>
    <cellStyle name="Normal 5" xfId="62" xr:uid="{00000000-0005-0000-0000-00006D000000}"/>
    <cellStyle name="Normal 7" xfId="5" xr:uid="{00000000-0005-0000-0000-000033000000}"/>
    <cellStyle name="Normal 8 23" xfId="7" xr:uid="{00000000-0005-0000-0000-000034000000}"/>
    <cellStyle name="Normal 9" xfId="12" xr:uid="{00000000-0005-0000-0000-000035000000}"/>
    <cellStyle name="Note 2" xfId="56" xr:uid="{00000000-0005-0000-0000-000036000000}"/>
    <cellStyle name="Output 2" xfId="57" xr:uid="{00000000-0005-0000-0000-000037000000}"/>
    <cellStyle name="Percent" xfId="61" builtinId="5"/>
    <cellStyle name="Percent 10 2" xfId="10" xr:uid="{00000000-0005-0000-0000-000039000000}"/>
    <cellStyle name="Percent 3" xfId="15" xr:uid="{00000000-0005-0000-0000-00003A000000}"/>
    <cellStyle name="Title 2" xfId="58" xr:uid="{00000000-0005-0000-0000-00003B000000}"/>
    <cellStyle name="Total 2" xfId="59" xr:uid="{00000000-0005-0000-0000-00003C000000}"/>
    <cellStyle name="Warning Text 2" xfId="60" xr:uid="{00000000-0005-0000-0000-00003D000000}"/>
  </cellStyles>
  <dxfs count="0"/>
  <tableStyles count="0" defaultTableStyle="TableStyleMedium2" defaultPivotStyle="PivotStyleLight16"/>
  <colors>
    <mruColors>
      <color rgb="FFBFBFBF"/>
      <color rgb="FFFB8072"/>
      <color rgb="FF80B1D3"/>
      <color rgb="FFFDB462"/>
      <color rgb="FFA6CEE3"/>
      <color rgb="FF8DD3FF"/>
      <color rgb="FFB3DE69"/>
      <color rgb="FFBEBADA"/>
      <color rgb="FFFFFFB3"/>
      <color rgb="FF8DD3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9.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0.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2.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4.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5.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6.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7.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8.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9.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0.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2.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4.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6.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7.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8.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9.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61.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62.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63.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64.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5.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6.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7.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8.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9.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4.xml"/><Relationship Id="rId1" Type="http://schemas.microsoft.com/office/2011/relationships/chartStyle" Target="style64.xml"/></Relationships>
</file>

<file path=xl/charts/_rels/chart70.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71.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72.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73.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74.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5.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6.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7.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8.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9.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80.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81.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82.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83.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84.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5.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6.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7.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8.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9.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90.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91.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92.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93.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94.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5.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6.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7.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8.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9.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100.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101.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102.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103.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104.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5.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6.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7.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8.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9.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10.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11.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773465816772905E-2"/>
          <c:y val="3.8194444444444448E-2"/>
          <c:w val="0.89340113735783022"/>
          <c:h val="0.87947315179352581"/>
        </c:manualLayout>
      </c:layout>
      <c:barChart>
        <c:barDir val="col"/>
        <c:grouping val="clustered"/>
        <c:varyColors val="0"/>
        <c:ser>
          <c:idx val="1"/>
          <c:order val="0"/>
          <c:tx>
            <c:v>Gross domestic product influence</c:v>
          </c:tx>
          <c:spPr>
            <a:solidFill>
              <a:srgbClr val="A6CEE3"/>
            </a:solidFill>
            <a:ln>
              <a:solidFill>
                <a:sysClr val="windowText" lastClr="000000"/>
              </a:solidFill>
            </a:ln>
            <a:effectLst/>
          </c:spPr>
          <c:invertIfNegative val="0"/>
          <c:cat>
            <c:numRef>
              <c:f>ETHANOL!$B$26:$M$26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ETHANOL!$B$33:$M$33</c:f>
              <c:numCache>
                <c:formatCode>0</c:formatCode>
                <c:ptCount val="12"/>
                <c:pt idx="0" formatCode="General">
                  <c:v>54</c:v>
                </c:pt>
                <c:pt idx="1">
                  <c:v>42.4</c:v>
                </c:pt>
                <c:pt idx="2">
                  <c:v>40.6</c:v>
                </c:pt>
                <c:pt idx="3" formatCode="General">
                  <c:v>44</c:v>
                </c:pt>
                <c:pt idx="4" formatCode="General">
                  <c:v>53</c:v>
                </c:pt>
                <c:pt idx="5" formatCode="General">
                  <c:v>44</c:v>
                </c:pt>
                <c:pt idx="6" formatCode="General">
                  <c:v>42</c:v>
                </c:pt>
                <c:pt idx="7" formatCode="General">
                  <c:v>45</c:v>
                </c:pt>
                <c:pt idx="8" formatCode="General">
                  <c:v>46</c:v>
                </c:pt>
                <c:pt idx="9" formatCode="General">
                  <c:v>43</c:v>
                </c:pt>
                <c:pt idx="10" formatCode="General">
                  <c:v>34.700000000000003</c:v>
                </c:pt>
                <c:pt idx="11" formatCode="General">
                  <c:v>52.1</c:v>
                </c:pt>
              </c:numCache>
            </c:numRef>
          </c:val>
          <c:extLst>
            <c:ext xmlns:c16="http://schemas.microsoft.com/office/drawing/2014/chart" uri="{C3380CC4-5D6E-409C-BE32-E72D297353CC}">
              <c16:uniqueId val="{00000000-12A4-4636-9BCD-6ECC6E4F6437}"/>
            </c:ext>
          </c:extLst>
        </c:ser>
        <c:ser>
          <c:idx val="2"/>
          <c:order val="1"/>
          <c:tx>
            <c:v>Household income from industry</c:v>
          </c:tx>
          <c:spPr>
            <a:solidFill>
              <a:srgbClr val="FDBF6F"/>
            </a:solidFill>
            <a:ln>
              <a:solidFill>
                <a:sysClr val="windowText" lastClr="000000"/>
              </a:solidFill>
            </a:ln>
            <a:effectLst/>
          </c:spPr>
          <c:invertIfNegative val="0"/>
          <c:cat>
            <c:numRef>
              <c:f>ETHANOL!$B$26:$M$26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ETHANOL!$B$34:$M$34</c:f>
              <c:numCache>
                <c:formatCode>0</c:formatCode>
                <c:ptCount val="12"/>
                <c:pt idx="0" formatCode="General">
                  <c:v>36</c:v>
                </c:pt>
                <c:pt idx="1">
                  <c:v>29.9</c:v>
                </c:pt>
                <c:pt idx="2">
                  <c:v>29.9</c:v>
                </c:pt>
                <c:pt idx="3" formatCode="General">
                  <c:v>31</c:v>
                </c:pt>
                <c:pt idx="4" formatCode="General">
                  <c:v>27</c:v>
                </c:pt>
                <c:pt idx="5" formatCode="General">
                  <c:v>24</c:v>
                </c:pt>
                <c:pt idx="6" formatCode="General">
                  <c:v>23</c:v>
                </c:pt>
                <c:pt idx="7" formatCode="General">
                  <c:v>24</c:v>
                </c:pt>
                <c:pt idx="8" formatCode="General">
                  <c:v>25</c:v>
                </c:pt>
                <c:pt idx="9" formatCode="General">
                  <c:v>23.3</c:v>
                </c:pt>
                <c:pt idx="10" formatCode="General">
                  <c:v>18.600000000000001</c:v>
                </c:pt>
                <c:pt idx="11" formatCode="General">
                  <c:v>28.7</c:v>
                </c:pt>
              </c:numCache>
            </c:numRef>
          </c:val>
          <c:extLst>
            <c:ext xmlns:c16="http://schemas.microsoft.com/office/drawing/2014/chart" uri="{C3380CC4-5D6E-409C-BE32-E72D297353CC}">
              <c16:uniqueId val="{00000001-12A4-4636-9BCD-6ECC6E4F6437}"/>
            </c:ext>
          </c:extLst>
        </c:ser>
        <c:ser>
          <c:idx val="0"/>
          <c:order val="2"/>
          <c:tx>
            <c:v>Tax revenue</c:v>
          </c:tx>
          <c:spPr>
            <a:solidFill>
              <a:schemeClr val="bg1">
                <a:lumMod val="85000"/>
              </a:schemeClr>
            </a:solidFill>
            <a:ln>
              <a:solidFill>
                <a:sysClr val="windowText" lastClr="000000"/>
              </a:solidFill>
            </a:ln>
            <a:effectLst/>
          </c:spPr>
          <c:invertIfNegative val="0"/>
          <c:cat>
            <c:numRef>
              <c:f>ETHANOL!$B$26:$M$26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ETHANOL!$B$35:$M$35</c:f>
              <c:numCache>
                <c:formatCode>General</c:formatCode>
                <c:ptCount val="12"/>
                <c:pt idx="2" formatCode="0.0">
                  <c:v>8.5</c:v>
                </c:pt>
                <c:pt idx="3">
                  <c:v>8.3000000000000007</c:v>
                </c:pt>
                <c:pt idx="4">
                  <c:v>10.3</c:v>
                </c:pt>
                <c:pt idx="5">
                  <c:v>8.6999999999999993</c:v>
                </c:pt>
                <c:pt idx="6">
                  <c:v>8.5</c:v>
                </c:pt>
                <c:pt idx="7">
                  <c:v>10.7</c:v>
                </c:pt>
                <c:pt idx="8">
                  <c:v>8.8000000000000007</c:v>
                </c:pt>
                <c:pt idx="9">
                  <c:v>7.9</c:v>
                </c:pt>
                <c:pt idx="10">
                  <c:v>6.3</c:v>
                </c:pt>
                <c:pt idx="11">
                  <c:v>10.4</c:v>
                </c:pt>
              </c:numCache>
            </c:numRef>
          </c:val>
          <c:extLst>
            <c:ext xmlns:c16="http://schemas.microsoft.com/office/drawing/2014/chart" uri="{C3380CC4-5D6E-409C-BE32-E72D297353CC}">
              <c16:uniqueId val="{00000002-12A4-4636-9BCD-6ECC6E4F6437}"/>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Billion dollars</a:t>
                </a:r>
              </a:p>
            </c:rich>
          </c:tx>
          <c:layout>
            <c:manualLayout>
              <c:xMode val="edge"/>
              <c:yMode val="edge"/>
              <c:x val="3.968253968253968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0.10487064190249282"/>
          <c:y val="5.5555448160942426E-2"/>
          <c:w val="0.83958786840165622"/>
          <c:h val="5.9844175325817615E-2"/>
        </c:manualLayout>
      </c:layout>
      <c:overlay val="1"/>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04418197725283E-2"/>
          <c:y val="3.8579213453513429E-2"/>
          <c:w val="0.82786198600174976"/>
          <c:h val="0.87825897008136433"/>
        </c:manualLayout>
      </c:layout>
      <c:barChart>
        <c:barDir val="col"/>
        <c:grouping val="clustered"/>
        <c:varyColors val="0"/>
        <c:ser>
          <c:idx val="1"/>
          <c:order val="0"/>
          <c:tx>
            <c:v>Ethanol</c:v>
          </c:tx>
          <c:spPr>
            <a:solidFill>
              <a:srgbClr val="A6CEE3"/>
            </a:solidFill>
            <a:ln>
              <a:solidFill>
                <a:sysClr val="windowText" lastClr="000000"/>
              </a:solidFill>
            </a:ln>
            <a:effectLst/>
          </c:spPr>
          <c:invertIfNegative val="0"/>
          <c:cat>
            <c:numRef>
              <c:f>ETHANOL!$B$16:$M$16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ETHANOL!$B$28:$M$28</c:f>
              <c:numCache>
                <c:formatCode>0.0</c:formatCode>
                <c:ptCount val="12"/>
                <c:pt idx="0">
                  <c:v>2.7600000000000002</c:v>
                </c:pt>
                <c:pt idx="1">
                  <c:v>3.84</c:v>
                </c:pt>
                <c:pt idx="2">
                  <c:v>3.75</c:v>
                </c:pt>
                <c:pt idx="3">
                  <c:v>3.75</c:v>
                </c:pt>
                <c:pt idx="4">
                  <c:v>3.585</c:v>
                </c:pt>
                <c:pt idx="5">
                  <c:v>2.73</c:v>
                </c:pt>
                <c:pt idx="6">
                  <c:v>2.3250000000000002</c:v>
                </c:pt>
                <c:pt idx="7">
                  <c:v>2.4000000000000004</c:v>
                </c:pt>
                <c:pt idx="8">
                  <c:v>1.8599999999999999</c:v>
                </c:pt>
                <c:pt idx="9">
                  <c:v>1.98</c:v>
                </c:pt>
                <c:pt idx="10">
                  <c:v>1.5449999999999999</c:v>
                </c:pt>
                <c:pt idx="11">
                  <c:v>2.5499999999999998</c:v>
                </c:pt>
              </c:numCache>
            </c:numRef>
          </c:val>
          <c:extLst>
            <c:ext xmlns:c16="http://schemas.microsoft.com/office/drawing/2014/chart" uri="{C3380CC4-5D6E-409C-BE32-E72D297353CC}">
              <c16:uniqueId val="{00000000-5853-4469-B116-2F4377D09D29}"/>
            </c:ext>
          </c:extLst>
        </c:ser>
        <c:ser>
          <c:idx val="0"/>
          <c:order val="1"/>
          <c:tx>
            <c:v>E85</c:v>
          </c:tx>
          <c:spPr>
            <a:solidFill>
              <a:srgbClr val="FDBF6F"/>
            </a:solidFill>
            <a:ln>
              <a:solidFill>
                <a:sysClr val="windowText" lastClr="000000"/>
              </a:solidFill>
            </a:ln>
            <a:effectLst/>
          </c:spPr>
          <c:invertIfNegative val="0"/>
          <c:cat>
            <c:numRef>
              <c:f>ETHANOL!$B$16:$M$16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ETHANOL!$B$29:$M$29</c:f>
              <c:numCache>
                <c:formatCode>0.0</c:formatCode>
                <c:ptCount val="12"/>
                <c:pt idx="0">
                  <c:v>3.37</c:v>
                </c:pt>
                <c:pt idx="1">
                  <c:v>4.38</c:v>
                </c:pt>
                <c:pt idx="2">
                  <c:v>4.7074999999999996</c:v>
                </c:pt>
                <c:pt idx="3">
                  <c:v>4.5025000000000004</c:v>
                </c:pt>
                <c:pt idx="4">
                  <c:v>4.4349999999999996</c:v>
                </c:pt>
                <c:pt idx="5">
                  <c:v>2.95</c:v>
                </c:pt>
                <c:pt idx="6">
                  <c:v>2.4550000000000001</c:v>
                </c:pt>
                <c:pt idx="7">
                  <c:v>2.6750000000000003</c:v>
                </c:pt>
                <c:pt idx="8">
                  <c:v>2.9250000000000003</c:v>
                </c:pt>
                <c:pt idx="9">
                  <c:v>2.9049999999999998</c:v>
                </c:pt>
                <c:pt idx="10">
                  <c:v>2.59</c:v>
                </c:pt>
                <c:pt idx="11">
                  <c:v>3.1799999999999997</c:v>
                </c:pt>
              </c:numCache>
            </c:numRef>
          </c:val>
          <c:extLst>
            <c:ext xmlns:c16="http://schemas.microsoft.com/office/drawing/2014/chart" uri="{C3380CC4-5D6E-409C-BE32-E72D297353CC}">
              <c16:uniqueId val="{00000008-7FC1-41A9-8323-2C227982CB09}"/>
            </c:ext>
          </c:extLst>
        </c:ser>
        <c:ser>
          <c:idx val="2"/>
          <c:order val="2"/>
          <c:tx>
            <c:v>E10</c:v>
          </c:tx>
          <c:spPr>
            <a:solidFill>
              <a:schemeClr val="bg1">
                <a:lumMod val="85000"/>
              </a:schemeClr>
            </a:solidFill>
            <a:ln>
              <a:solidFill>
                <a:sysClr val="windowText" lastClr="000000"/>
              </a:solidFill>
            </a:ln>
            <a:effectLst/>
          </c:spPr>
          <c:invertIfNegative val="0"/>
          <c:cat>
            <c:numRef>
              <c:f>ETHANOL!$B$16:$M$16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ETHANOL!$B$30:$M$30</c:f>
              <c:numCache>
                <c:formatCode>0.0</c:formatCode>
                <c:ptCount val="12"/>
                <c:pt idx="0">
                  <c:v>2.7449999999999997</c:v>
                </c:pt>
                <c:pt idx="1">
                  <c:v>3.4775</c:v>
                </c:pt>
                <c:pt idx="2">
                  <c:v>3.65</c:v>
                </c:pt>
                <c:pt idx="3">
                  <c:v>3.4950000000000001</c:v>
                </c:pt>
                <c:pt idx="4">
                  <c:v>3.5075000000000003</c:v>
                </c:pt>
                <c:pt idx="5">
                  <c:v>2.4724999999999997</c:v>
                </c:pt>
                <c:pt idx="6">
                  <c:v>2.13</c:v>
                </c:pt>
                <c:pt idx="7">
                  <c:v>2.3624999999999998</c:v>
                </c:pt>
                <c:pt idx="8">
                  <c:v>2.74</c:v>
                </c:pt>
                <c:pt idx="9">
                  <c:v>2.6175000000000002</c:v>
                </c:pt>
                <c:pt idx="10">
                  <c:v>2.2250000000000001</c:v>
                </c:pt>
                <c:pt idx="11">
                  <c:v>2.87</c:v>
                </c:pt>
              </c:numCache>
            </c:numRef>
          </c:val>
          <c:extLst>
            <c:ext xmlns:c16="http://schemas.microsoft.com/office/drawing/2014/chart" uri="{C3380CC4-5D6E-409C-BE32-E72D297353CC}">
              <c16:uniqueId val="{00000009-7FC1-41A9-8323-2C227982CB09}"/>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4"/>
          <c:order val="3"/>
          <c:tx>
            <c:v>Crude oil</c:v>
          </c:tx>
          <c:spPr>
            <a:ln w="28575" cap="rnd">
              <a:solidFill>
                <a:srgbClr val="FB9A99"/>
              </a:solidFill>
              <a:round/>
            </a:ln>
            <a:effectLst/>
          </c:spPr>
          <c:marker>
            <c:symbol val="none"/>
          </c:marker>
          <c:cat>
            <c:numRef>
              <c:f>ETHANOL!$B$16:$K$16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ETHANOL!$B$36:$M$36</c:f>
              <c:numCache>
                <c:formatCode>0.0</c:formatCode>
                <c:ptCount val="12"/>
                <c:pt idx="0">
                  <c:v>79.48</c:v>
                </c:pt>
                <c:pt idx="1">
                  <c:v>94.88</c:v>
                </c:pt>
                <c:pt idx="2">
                  <c:v>94.05</c:v>
                </c:pt>
                <c:pt idx="3">
                  <c:v>97.98</c:v>
                </c:pt>
                <c:pt idx="4">
                  <c:v>93.17</c:v>
                </c:pt>
                <c:pt idx="5">
                  <c:v>48.66</c:v>
                </c:pt>
                <c:pt idx="6">
                  <c:v>43.29</c:v>
                </c:pt>
                <c:pt idx="7">
                  <c:v>50.8</c:v>
                </c:pt>
                <c:pt idx="8">
                  <c:v>65.23</c:v>
                </c:pt>
                <c:pt idx="9">
                  <c:v>56.99</c:v>
                </c:pt>
                <c:pt idx="10">
                  <c:v>39.68</c:v>
                </c:pt>
                <c:pt idx="11">
                  <c:v>68.17</c:v>
                </c:pt>
              </c:numCache>
            </c:numRef>
          </c:val>
          <c:smooth val="0"/>
          <c:extLst>
            <c:ext xmlns:c16="http://schemas.microsoft.com/office/drawing/2014/chart" uri="{C3380CC4-5D6E-409C-BE32-E72D297353CC}">
              <c16:uniqueId val="{00000000-553B-421D-8C94-28669F7E207C}"/>
            </c:ext>
          </c:extLst>
        </c:ser>
        <c:dLbls>
          <c:showLegendKey val="0"/>
          <c:showVal val="0"/>
          <c:showCatName val="0"/>
          <c:showSerName val="0"/>
          <c:showPercent val="0"/>
          <c:showBubbleSize val="0"/>
        </c:dLbls>
        <c:marker val="1"/>
        <c:smooth val="0"/>
        <c:axId val="831673728"/>
        <c:axId val="831665528"/>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max val="5.5"/>
          <c:min val="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 per gasoline gallon equivalent</a:t>
                </a:r>
              </a:p>
            </c:rich>
          </c:tx>
          <c:layout>
            <c:manualLayout>
              <c:xMode val="edge"/>
              <c:yMode val="edge"/>
              <c:x val="1.3863375525917243E-2"/>
              <c:y val="0.1860258190764683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valAx>
        <c:axId val="83166552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solidFill>
                      <a:schemeClr val="tx1"/>
                    </a:solidFill>
                  </a:rPr>
                  <a:t>Dollars</a:t>
                </a:r>
                <a:r>
                  <a:rPr lang="en-US" baseline="0">
                    <a:solidFill>
                      <a:schemeClr val="tx1"/>
                    </a:solidFill>
                  </a:rPr>
                  <a:t> per barrel</a:t>
                </a: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831673728"/>
        <c:crosses val="max"/>
        <c:crossBetween val="between"/>
      </c:valAx>
      <c:catAx>
        <c:axId val="831673728"/>
        <c:scaling>
          <c:orientation val="minMax"/>
        </c:scaling>
        <c:delete val="1"/>
        <c:axPos val="b"/>
        <c:numFmt formatCode="General" sourceLinked="1"/>
        <c:majorTickMark val="out"/>
        <c:minorTickMark val="none"/>
        <c:tickLblPos val="nextTo"/>
        <c:crossAx val="831665528"/>
        <c:crosses val="autoZero"/>
        <c:auto val="1"/>
        <c:lblAlgn val="ctr"/>
        <c:lblOffset val="100"/>
        <c:noMultiLvlLbl val="0"/>
      </c:catAx>
      <c:spPr>
        <a:noFill/>
        <a:ln>
          <a:solidFill>
            <a:schemeClr val="tx1"/>
          </a:solidFill>
        </a:ln>
        <a:effectLst/>
      </c:spPr>
    </c:plotArea>
    <c:legend>
      <c:legendPos val="t"/>
      <c:layout>
        <c:manualLayout>
          <c:xMode val="edge"/>
          <c:yMode val="edge"/>
          <c:x val="0.11656979720311478"/>
          <c:y val="5.962242079179348E-2"/>
          <c:w val="0.49556678011662947"/>
          <c:h val="5.9844175325817615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573444412484808E-2"/>
          <c:y val="1.4553393976080376E-2"/>
          <c:w val="0.83570771460993321"/>
          <c:h val="0.98544660602391965"/>
        </c:manualLayout>
      </c:layout>
      <c:pieChart>
        <c:varyColors val="1"/>
        <c:ser>
          <c:idx val="0"/>
          <c:order val="0"/>
          <c:tx>
            <c:v>Ethanol plants</c:v>
          </c:tx>
          <c:spPr>
            <a:solidFill>
              <a:srgbClr val="FB9A99"/>
            </a:solidFill>
            <a:ln w="9525">
              <a:solidFill>
                <a:sysClr val="windowText" lastClr="000000"/>
              </a:solidFill>
            </a:ln>
          </c:spPr>
          <c:dPt>
            <c:idx val="0"/>
            <c:bubble3D val="0"/>
            <c:spPr>
              <a:solidFill>
                <a:srgbClr val="FB9A99"/>
              </a:solidFill>
              <a:ln w="9525">
                <a:solidFill>
                  <a:sysClr val="windowText" lastClr="000000"/>
                </a:solidFill>
              </a:ln>
              <a:effectLst/>
            </c:spPr>
            <c:extLst>
              <c:ext xmlns:c16="http://schemas.microsoft.com/office/drawing/2014/chart" uri="{C3380CC4-5D6E-409C-BE32-E72D297353CC}">
                <c16:uniqueId val="{00000001-3B65-407F-A0EC-3B21C2594931}"/>
              </c:ext>
            </c:extLst>
          </c:dPt>
          <c:dPt>
            <c:idx val="1"/>
            <c:bubble3D val="0"/>
            <c:spPr>
              <a:solidFill>
                <a:srgbClr val="CAB2D6"/>
              </a:solidFill>
              <a:ln w="9525">
                <a:solidFill>
                  <a:sysClr val="windowText" lastClr="000000"/>
                </a:solidFill>
              </a:ln>
              <a:effectLst/>
            </c:spPr>
            <c:extLst>
              <c:ext xmlns:c16="http://schemas.microsoft.com/office/drawing/2014/chart" uri="{C3380CC4-5D6E-409C-BE32-E72D297353CC}">
                <c16:uniqueId val="{00000003-3B65-407F-A0EC-3B21C2594931}"/>
              </c:ext>
            </c:extLst>
          </c:dPt>
          <c:val>
            <c:numRef>
              <c:f>(ETHANOL!$K$19,ETHANOL!$K$20)</c:f>
              <c:numCache>
                <c:formatCode>0.00</c:formatCode>
                <c:ptCount val="2"/>
                <c:pt idx="0" formatCode="0">
                  <c:v>14.98079055256169</c:v>
                </c:pt>
                <c:pt idx="1">
                  <c:v>0.24495268545496737</c:v>
                </c:pt>
              </c:numCache>
            </c:numRef>
          </c:val>
          <c:extLst>
            <c:ext xmlns:c16="http://schemas.microsoft.com/office/drawing/2014/chart" uri="{C3380CC4-5D6E-409C-BE32-E72D297353CC}">
              <c16:uniqueId val="{00000004-3B65-407F-A0EC-3B21C259493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0"/>
          <c:spPr>
            <a:solidFill>
              <a:srgbClr val="A6CEE3"/>
            </a:solidFill>
            <a:ln>
              <a:solidFill>
                <a:sysClr val="windowText" lastClr="000000"/>
              </a:solidFill>
            </a:ln>
            <a:effectLst/>
          </c:spPr>
          <c:invertIfNegative val="0"/>
          <c:cat>
            <c:numRef>
              <c:f>ETHANOL!$B$16:$M$16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ETHANOL!$B$22:$M$22</c:f>
              <c:numCache>
                <c:formatCode>0.00</c:formatCode>
                <c:ptCount val="12"/>
                <c:pt idx="0">
                  <c:v>0.39849599999999996</c:v>
                </c:pt>
                <c:pt idx="1">
                  <c:v>1.1951939999999999</c:v>
                </c:pt>
                <c:pt idx="2">
                  <c:v>0.74155199999999999</c:v>
                </c:pt>
                <c:pt idx="3">
                  <c:v>0.618954</c:v>
                </c:pt>
                <c:pt idx="4">
                  <c:v>0.84625800000000007</c:v>
                </c:pt>
                <c:pt idx="5">
                  <c:v>0.83206199999999997</c:v>
                </c:pt>
                <c:pt idx="6">
                  <c:v>1.170288</c:v>
                </c:pt>
                <c:pt idx="7">
                  <c:v>1.389864</c:v>
                </c:pt>
                <c:pt idx="8">
                  <c:v>1.709568</c:v>
                </c:pt>
                <c:pt idx="9">
                  <c:v>1.4666400000000002</c:v>
                </c:pt>
                <c:pt idx="10">
                  <c:v>1.317204</c:v>
                </c:pt>
                <c:pt idx="11">
                  <c:v>1.2517259999999999</c:v>
                </c:pt>
              </c:numCache>
            </c:numRef>
          </c:val>
          <c:extLst>
            <c:ext xmlns:c16="http://schemas.microsoft.com/office/drawing/2014/chart" uri="{C3380CC4-5D6E-409C-BE32-E72D297353CC}">
              <c16:uniqueId val="{00000000-EE04-433B-A6FF-6CBBA462ACBF}"/>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Imports</c:v>
          </c:tx>
          <c:spPr>
            <a:solidFill>
              <a:srgbClr val="A6CEE3"/>
            </a:solidFill>
            <a:ln>
              <a:solidFill>
                <a:sysClr val="windowText" lastClr="000000"/>
              </a:solidFill>
            </a:ln>
            <a:effectLst/>
          </c:spPr>
          <c:invertIfNegative val="0"/>
          <c:cat>
            <c:numRef>
              <c:f>ETHANOL!$B$16:$M$16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ETHANOL!$B$21:$M$21</c:f>
              <c:numCache>
                <c:formatCode>0.00</c:formatCode>
                <c:ptCount val="12"/>
                <c:pt idx="0">
                  <c:v>1.5665999999999999E-2</c:v>
                </c:pt>
                <c:pt idx="1">
                  <c:v>0.17186400000000002</c:v>
                </c:pt>
                <c:pt idx="2">
                  <c:v>0.49413000000000001</c:v>
                </c:pt>
                <c:pt idx="3">
                  <c:v>0.37699199999999999</c:v>
                </c:pt>
                <c:pt idx="4">
                  <c:v>7.4676000000000006E-2</c:v>
                </c:pt>
                <c:pt idx="5">
                  <c:v>9.1518000000000002E-2</c:v>
                </c:pt>
                <c:pt idx="6">
                  <c:v>3.6204E-2</c:v>
                </c:pt>
                <c:pt idx="7">
                  <c:v>7.6607999999999996E-2</c:v>
                </c:pt>
                <c:pt idx="8">
                  <c:v>5.4348E-2</c:v>
                </c:pt>
                <c:pt idx="9">
                  <c:v>0.195048</c:v>
                </c:pt>
                <c:pt idx="10">
                  <c:v>0.15414</c:v>
                </c:pt>
                <c:pt idx="11">
                  <c:v>6.0774000000000002E-2</c:v>
                </c:pt>
              </c:numCache>
            </c:numRef>
          </c:val>
          <c:extLst>
            <c:ext xmlns:c16="http://schemas.microsoft.com/office/drawing/2014/chart" uri="{C3380CC4-5D6E-409C-BE32-E72D297353CC}">
              <c16:uniqueId val="{00000000-9ED7-4657-A369-1995707797A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tx>
            <c:v>Indirect jobs</c:v>
          </c:tx>
          <c:spPr>
            <a:solidFill>
              <a:srgbClr val="A6CEE3"/>
            </a:solidFill>
            <a:ln>
              <a:solidFill>
                <a:sysClr val="windowText" lastClr="000000"/>
              </a:solidFill>
            </a:ln>
            <a:effectLst/>
          </c:spPr>
          <c:invertIfNegative val="0"/>
          <c:cat>
            <c:numRef>
              <c:f>ETHANOL!$B$16:$M$16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ETHANOL!$B$32:$M$32</c:f>
              <c:numCache>
                <c:formatCode>General</c:formatCode>
                <c:ptCount val="12"/>
                <c:pt idx="0">
                  <c:v>329600</c:v>
                </c:pt>
                <c:pt idx="1">
                  <c:v>311400</c:v>
                </c:pt>
                <c:pt idx="2">
                  <c:v>295000</c:v>
                </c:pt>
                <c:pt idx="3">
                  <c:v>300277</c:v>
                </c:pt>
                <c:pt idx="4">
                  <c:v>295265</c:v>
                </c:pt>
                <c:pt idx="5">
                  <c:v>271440</c:v>
                </c:pt>
                <c:pt idx="6">
                  <c:v>264756</c:v>
                </c:pt>
                <c:pt idx="7">
                  <c:v>285587</c:v>
                </c:pt>
                <c:pt idx="8">
                  <c:v>294516</c:v>
                </c:pt>
                <c:pt idx="9" formatCode="#,##0">
                  <c:v>277389</c:v>
                </c:pt>
                <c:pt idx="10" formatCode="#,##0">
                  <c:v>242600</c:v>
                </c:pt>
                <c:pt idx="11" formatCode="#,##0">
                  <c:v>334220</c:v>
                </c:pt>
              </c:numCache>
            </c:numRef>
          </c:val>
          <c:extLst>
            <c:ext xmlns:c16="http://schemas.microsoft.com/office/drawing/2014/chart" uri="{C3380CC4-5D6E-409C-BE32-E72D297353CC}">
              <c16:uniqueId val="{00000000-C644-429C-A767-C48A11CC4B02}"/>
            </c:ext>
          </c:extLst>
        </c:ser>
        <c:ser>
          <c:idx val="0"/>
          <c:order val="1"/>
          <c:tx>
            <c:v>Direct jobs</c:v>
          </c:tx>
          <c:spPr>
            <a:solidFill>
              <a:srgbClr val="FDBF6F"/>
            </a:solidFill>
            <a:ln>
              <a:solidFill>
                <a:sysClr val="windowText" lastClr="000000"/>
              </a:solidFill>
            </a:ln>
            <a:effectLst/>
          </c:spPr>
          <c:invertIfNegative val="0"/>
          <c:cat>
            <c:numRef>
              <c:f>ETHANOL!$B$16:$M$16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ETHANOL!$B$31:$M$31</c:f>
              <c:numCache>
                <c:formatCode>General</c:formatCode>
                <c:ptCount val="12"/>
                <c:pt idx="0">
                  <c:v>70400</c:v>
                </c:pt>
                <c:pt idx="1">
                  <c:v>90200</c:v>
                </c:pt>
                <c:pt idx="2">
                  <c:v>70000</c:v>
                </c:pt>
                <c:pt idx="3">
                  <c:v>86504</c:v>
                </c:pt>
                <c:pt idx="4">
                  <c:v>83949</c:v>
                </c:pt>
                <c:pt idx="5">
                  <c:v>85967</c:v>
                </c:pt>
                <c:pt idx="6">
                  <c:v>74420</c:v>
                </c:pt>
                <c:pt idx="7">
                  <c:v>71906</c:v>
                </c:pt>
                <c:pt idx="8">
                  <c:v>71637</c:v>
                </c:pt>
                <c:pt idx="9" formatCode="#,##0">
                  <c:v>68542</c:v>
                </c:pt>
                <c:pt idx="10" formatCode="#,##0">
                  <c:v>62180</c:v>
                </c:pt>
                <c:pt idx="11" formatCode="#,##0">
                  <c:v>73193</c:v>
                </c:pt>
              </c:numCache>
            </c:numRef>
          </c:val>
          <c:extLst>
            <c:ext xmlns:c16="http://schemas.microsoft.com/office/drawing/2014/chart" uri="{C3380CC4-5D6E-409C-BE32-E72D297353CC}">
              <c16:uniqueId val="{00000001-C644-429C-A767-C48A11CC4B02}"/>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jobs</a:t>
                </a:r>
                <a:r>
                  <a:rPr lang="en-US" sz="1000" baseline="0">
                    <a:solidFill>
                      <a:sysClr val="windowText" lastClr="000000"/>
                    </a:solidFill>
                  </a:rPr>
                  <a:t> </a:t>
                </a:r>
                <a:endParaRPr lang="en-US" sz="1000">
                  <a:solidFill>
                    <a:sysClr val="windowText" lastClr="000000"/>
                  </a:solidFill>
                </a:endParaRPr>
              </a:p>
            </c:rich>
          </c:tx>
          <c:layout>
            <c:manualLayout>
              <c:xMode val="edge"/>
              <c:yMode val="edge"/>
              <c:x val="1.5872933633710156E-2"/>
              <c:y val="0.336835471667475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0.15354888808608377"/>
          <c:y val="4.5593615899606782E-2"/>
          <c:w val="0.29415781729861434"/>
          <c:h val="5.9844175325817615E-2"/>
        </c:manualLayout>
      </c:layout>
      <c:overlay val="1"/>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A6CEE3"/>
            </a:solidFill>
            <a:ln>
              <a:solidFill>
                <a:schemeClr val="tx1"/>
              </a:solidFill>
            </a:ln>
            <a:effectLst/>
          </c:spPr>
          <c:invertIfNegative val="0"/>
          <c:cat>
            <c:numRef>
              <c:f>ETHANOL!$B$16:$M$16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ETHANOL!$B$4:$M$4</c:f>
              <c:numCache>
                <c:formatCode>General</c:formatCode>
                <c:ptCount val="12"/>
                <c:pt idx="0">
                  <c:v>204</c:v>
                </c:pt>
                <c:pt idx="1">
                  <c:v>209</c:v>
                </c:pt>
                <c:pt idx="2">
                  <c:v>211</c:v>
                </c:pt>
                <c:pt idx="3">
                  <c:v>210</c:v>
                </c:pt>
                <c:pt idx="4">
                  <c:v>213</c:v>
                </c:pt>
                <c:pt idx="5">
                  <c:v>214</c:v>
                </c:pt>
                <c:pt idx="6">
                  <c:v>213</c:v>
                </c:pt>
                <c:pt idx="7">
                  <c:v>209</c:v>
                </c:pt>
                <c:pt idx="8">
                  <c:v>210</c:v>
                </c:pt>
                <c:pt idx="9">
                  <c:v>205</c:v>
                </c:pt>
                <c:pt idx="10">
                  <c:v>208</c:v>
                </c:pt>
                <c:pt idx="11">
                  <c:v>208</c:v>
                </c:pt>
              </c:numCache>
            </c:numRef>
          </c:val>
          <c:extLst>
            <c:ext xmlns:c16="http://schemas.microsoft.com/office/drawing/2014/chart" uri="{C3380CC4-5D6E-409C-BE32-E72D297353CC}">
              <c16:uniqueId val="{00000000-628F-4ED4-AF2D-7B4A739B01E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plants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3938466025080193E-2"/>
          <c:y val="2.2704141149023038E-2"/>
          <c:w val="0.95291338582677143"/>
          <c:h val="0.95291338582677143"/>
        </c:manualLayout>
      </c:layout>
      <c:pieChart>
        <c:varyColors val="1"/>
        <c:ser>
          <c:idx val="0"/>
          <c:order val="0"/>
          <c:tx>
            <c:v>Ethanol plants</c:v>
          </c:tx>
          <c:spPr>
            <a:ln w="9525">
              <a:solidFill>
                <a:sysClr val="windowText" lastClr="000000"/>
              </a:solidFill>
            </a:ln>
          </c:spPr>
          <c:dPt>
            <c:idx val="0"/>
            <c:bubble3D val="0"/>
            <c:spPr>
              <a:solidFill>
                <a:srgbClr val="FB9A99"/>
              </a:solidFill>
              <a:ln w="9525">
                <a:solidFill>
                  <a:sysClr val="windowText" lastClr="000000"/>
                </a:solidFill>
              </a:ln>
              <a:effectLst/>
            </c:spPr>
            <c:extLst>
              <c:ext xmlns:c16="http://schemas.microsoft.com/office/drawing/2014/chart" uri="{C3380CC4-5D6E-409C-BE32-E72D297353CC}">
                <c16:uniqueId val="{00000001-17A1-40AA-AFC9-BB7D8876551E}"/>
              </c:ext>
            </c:extLst>
          </c:dPt>
          <c:dPt>
            <c:idx val="1"/>
            <c:bubble3D val="0"/>
            <c:spPr>
              <a:solidFill>
                <a:srgbClr val="CAB2D6"/>
              </a:solidFill>
              <a:ln w="9525">
                <a:solidFill>
                  <a:sysClr val="windowText" lastClr="000000"/>
                </a:solidFill>
              </a:ln>
              <a:effectLst/>
            </c:spPr>
            <c:extLst>
              <c:ext xmlns:c16="http://schemas.microsoft.com/office/drawing/2014/chart" uri="{C3380CC4-5D6E-409C-BE32-E72D297353CC}">
                <c16:uniqueId val="{00000003-17A1-40AA-AFC9-BB7D8876551E}"/>
              </c:ext>
            </c:extLst>
          </c:dPt>
          <c:dPt>
            <c:idx val="2"/>
            <c:bubble3D val="0"/>
            <c:spPr>
              <a:solidFill>
                <a:srgbClr val="FFFF99"/>
              </a:solidFill>
              <a:ln w="9525">
                <a:solidFill>
                  <a:sysClr val="windowText" lastClr="000000"/>
                </a:solidFill>
              </a:ln>
              <a:effectLst/>
            </c:spPr>
            <c:extLst>
              <c:ext xmlns:c16="http://schemas.microsoft.com/office/drawing/2014/chart" uri="{C3380CC4-5D6E-409C-BE32-E72D297353CC}">
                <c16:uniqueId val="{00000004-937C-4BEB-8146-7E65D370DB38}"/>
              </c:ext>
            </c:extLst>
          </c:dPt>
          <c:val>
            <c:numRef>
              <c:f>(ETHANOL!$K$7,ETHANOL!$K$8,ETHANOL!$K$9)</c:f>
              <c:numCache>
                <c:formatCode>General</c:formatCode>
                <c:ptCount val="3"/>
                <c:pt idx="0">
                  <c:v>197</c:v>
                </c:pt>
                <c:pt idx="1">
                  <c:v>14</c:v>
                </c:pt>
                <c:pt idx="2">
                  <c:v>4</c:v>
                </c:pt>
              </c:numCache>
            </c:numRef>
          </c:val>
          <c:extLst>
            <c:ext xmlns:c16="http://schemas.microsoft.com/office/drawing/2014/chart" uri="{C3380CC4-5D6E-409C-BE32-E72D297353CC}">
              <c16:uniqueId val="{00000004-17A1-40AA-AFC9-BB7D8876551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73648617930356"/>
          <c:y val="3.8194444444444448E-2"/>
          <c:w val="0.86529525454556533"/>
          <c:h val="0.87947315179352581"/>
        </c:manualLayout>
      </c:layout>
      <c:lineChart>
        <c:grouping val="standard"/>
        <c:varyColors val="0"/>
        <c:ser>
          <c:idx val="1"/>
          <c:order val="0"/>
          <c:tx>
            <c:v>Total ethanol production in the U.S.</c:v>
          </c:tx>
          <c:spPr>
            <a:ln w="28575" cap="rnd">
              <a:solidFill>
                <a:srgbClr val="A6CEE3"/>
              </a:solidFill>
              <a:round/>
            </a:ln>
            <a:effectLst/>
          </c:spPr>
          <c:marker>
            <c:symbol val="circle"/>
            <c:size val="4"/>
            <c:spPr>
              <a:solidFill>
                <a:srgbClr val="A6CEE3"/>
              </a:solidFill>
              <a:ln w="28575">
                <a:solidFill>
                  <a:srgbClr val="A6CEE3"/>
                </a:solidFill>
              </a:ln>
              <a:effectLst/>
            </c:spPr>
          </c:marker>
          <c:cat>
            <c:numRef>
              <c:f>ETHANOL!$B$16:$M$16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ETHANOL!$B$17:$M$17</c:f>
              <c:numCache>
                <c:formatCode>#,##0</c:formatCode>
                <c:ptCount val="12"/>
                <c:pt idx="0">
                  <c:v>13.298</c:v>
                </c:pt>
                <c:pt idx="1">
                  <c:v>13.929</c:v>
                </c:pt>
                <c:pt idx="2">
                  <c:v>13.218</c:v>
                </c:pt>
                <c:pt idx="3">
                  <c:v>13.292999999999999</c:v>
                </c:pt>
                <c:pt idx="4">
                  <c:v>14.313000000000001</c:v>
                </c:pt>
                <c:pt idx="5">
                  <c:v>14.807</c:v>
                </c:pt>
                <c:pt idx="6">
                  <c:v>15.413</c:v>
                </c:pt>
                <c:pt idx="7">
                  <c:v>15.936</c:v>
                </c:pt>
                <c:pt idx="8">
                  <c:v>16.091000000000001</c:v>
                </c:pt>
                <c:pt idx="9">
                  <c:v>15.778</c:v>
                </c:pt>
                <c:pt idx="10">
                  <c:v>13.941000000000001</c:v>
                </c:pt>
                <c:pt idx="11">
                  <c:v>15.015000000000001</c:v>
                </c:pt>
              </c:numCache>
            </c:numRef>
          </c:val>
          <c:smooth val="0"/>
          <c:extLst>
            <c:ext xmlns:c16="http://schemas.microsoft.com/office/drawing/2014/chart" uri="{C3380CC4-5D6E-409C-BE32-E72D297353CC}">
              <c16:uniqueId val="{00000000-058F-4863-B99A-548895C23466}"/>
            </c:ext>
          </c:extLst>
        </c:ser>
        <c:ser>
          <c:idx val="2"/>
          <c:order val="1"/>
          <c:tx>
            <c:v>Total ethanol consumption in the U.S.</c:v>
          </c:tx>
          <c:spPr>
            <a:ln w="28575" cap="rnd">
              <a:solidFill>
                <a:srgbClr val="B2DF8A"/>
              </a:solidFill>
              <a:round/>
            </a:ln>
            <a:effectLst/>
          </c:spPr>
          <c:marker>
            <c:symbol val="circle"/>
            <c:size val="5"/>
            <c:spPr>
              <a:solidFill>
                <a:srgbClr val="B2DF8A"/>
              </a:solidFill>
              <a:ln w="9525">
                <a:solidFill>
                  <a:srgbClr val="B2DF8A"/>
                </a:solidFill>
              </a:ln>
              <a:effectLst/>
            </c:spPr>
          </c:marker>
          <c:cat>
            <c:numRef>
              <c:f>ETHANOL!$B$16:$M$16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ETHANOL!$B$18:$M$18</c:f>
              <c:numCache>
                <c:formatCode>#,##0</c:formatCode>
                <c:ptCount val="12"/>
                <c:pt idx="0">
                  <c:v>12.858000000000001</c:v>
                </c:pt>
                <c:pt idx="1">
                  <c:v>12.893000000000001</c:v>
                </c:pt>
                <c:pt idx="2">
                  <c:v>12.882</c:v>
                </c:pt>
                <c:pt idx="3">
                  <c:v>13.215999999999999</c:v>
                </c:pt>
                <c:pt idx="4">
                  <c:v>13.444000000000001</c:v>
                </c:pt>
                <c:pt idx="5">
                  <c:v>13.946999999999999</c:v>
                </c:pt>
                <c:pt idx="6">
                  <c:v>14.356</c:v>
                </c:pt>
                <c:pt idx="7">
                  <c:v>15.484999999999999</c:v>
                </c:pt>
                <c:pt idx="8">
                  <c:v>14.42</c:v>
                </c:pt>
                <c:pt idx="9">
                  <c:v>14.552</c:v>
                </c:pt>
                <c:pt idx="10" formatCode="#,##0.00">
                  <c:v>12.680999999999999</c:v>
                </c:pt>
                <c:pt idx="11">
                  <c:v>13.936999999999999</c:v>
                </c:pt>
              </c:numCache>
            </c:numRef>
          </c:val>
          <c:smooth val="0"/>
          <c:extLst>
            <c:ext xmlns:c16="http://schemas.microsoft.com/office/drawing/2014/chart" uri="{C3380CC4-5D6E-409C-BE32-E72D297353CC}">
              <c16:uniqueId val="{00000001-058F-4863-B99A-548895C23466}"/>
            </c:ext>
          </c:extLst>
        </c:ser>
        <c:dLbls>
          <c:showLegendKey val="0"/>
          <c:showVal val="0"/>
          <c:showCatName val="0"/>
          <c:showSerName val="0"/>
          <c:showPercent val="0"/>
          <c:showBubbleSize val="0"/>
        </c:dLbls>
        <c:marker val="1"/>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max val="16.5"/>
          <c:min val="11.5"/>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Billion gallons</a:t>
                </a:r>
              </a:p>
            </c:rich>
          </c:tx>
          <c:layout>
            <c:manualLayout>
              <c:xMode val="edge"/>
              <c:yMode val="edge"/>
              <c:x val="4.3024146327286352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midCat"/>
      </c:valAx>
      <c:spPr>
        <a:noFill/>
        <a:ln>
          <a:solidFill>
            <a:schemeClr val="tx1"/>
          </a:solidFill>
        </a:ln>
        <a:effectLst/>
      </c:spPr>
    </c:plotArea>
    <c:legend>
      <c:legendPos val="t"/>
      <c:layout>
        <c:manualLayout>
          <c:xMode val="edge"/>
          <c:yMode val="edge"/>
          <c:x val="0.10405246219222598"/>
          <c:y val="6.25E-2"/>
          <c:w val="0.42604486939132608"/>
          <c:h val="9.2662741731082729E-2"/>
        </c:manualLayout>
      </c:layout>
      <c:overlay val="1"/>
      <c:spPr>
        <a:noFill/>
        <a:ln w="9525">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901793525809274E-2"/>
          <c:y val="3.2407407407407406E-2"/>
          <c:w val="0.9375594196558763"/>
          <c:h val="0.9375594196558763"/>
        </c:manualLayout>
      </c:layout>
      <c:pieChart>
        <c:varyColors val="1"/>
        <c:ser>
          <c:idx val="0"/>
          <c:order val="0"/>
          <c:tx>
            <c:v>Ethanol plants</c:v>
          </c:tx>
          <c:spPr>
            <a:ln w="9525">
              <a:solidFill>
                <a:sysClr val="windowText" lastClr="000000"/>
              </a:solidFill>
            </a:ln>
          </c:spPr>
          <c:dPt>
            <c:idx val="0"/>
            <c:bubble3D val="0"/>
            <c:spPr>
              <a:solidFill>
                <a:srgbClr val="FB9A99"/>
              </a:solidFill>
              <a:ln w="9525">
                <a:solidFill>
                  <a:sysClr val="windowText" lastClr="000000"/>
                </a:solidFill>
              </a:ln>
              <a:effectLst/>
            </c:spPr>
            <c:extLst>
              <c:ext xmlns:c16="http://schemas.microsoft.com/office/drawing/2014/chart" uri="{C3380CC4-5D6E-409C-BE32-E72D297353CC}">
                <c16:uniqueId val="{00000001-948B-4D1A-8623-E4A69ACDAF82}"/>
              </c:ext>
            </c:extLst>
          </c:dPt>
          <c:dPt>
            <c:idx val="1"/>
            <c:bubble3D val="0"/>
            <c:spPr>
              <a:solidFill>
                <a:srgbClr val="CAB2D6"/>
              </a:solidFill>
              <a:ln w="9525">
                <a:solidFill>
                  <a:sysClr val="windowText" lastClr="000000"/>
                </a:solidFill>
              </a:ln>
              <a:effectLst/>
            </c:spPr>
            <c:extLst>
              <c:ext xmlns:c16="http://schemas.microsoft.com/office/drawing/2014/chart" uri="{C3380CC4-5D6E-409C-BE32-E72D297353CC}">
                <c16:uniqueId val="{00000003-948B-4D1A-8623-E4A69ACDAF82}"/>
              </c:ext>
            </c:extLst>
          </c:dPt>
          <c:val>
            <c:numRef>
              <c:f>(ETHANOL!$K$5,ETHANOL!$K$6)</c:f>
              <c:numCache>
                <c:formatCode>General</c:formatCode>
                <c:ptCount val="2"/>
                <c:pt idx="0">
                  <c:v>199</c:v>
                </c:pt>
                <c:pt idx="1">
                  <c:v>6</c:v>
                </c:pt>
              </c:numCache>
            </c:numRef>
          </c:val>
          <c:extLst>
            <c:ext xmlns:c16="http://schemas.microsoft.com/office/drawing/2014/chart" uri="{C3380CC4-5D6E-409C-BE32-E72D297353CC}">
              <c16:uniqueId val="{00000004-948B-4D1A-8623-E4A69ACDAF8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122940787499309"/>
          <c:y val="3.8194444444444448E-2"/>
          <c:w val="0.87720006319148713"/>
          <c:h val="0.87947315179352581"/>
        </c:manualLayout>
      </c:layout>
      <c:lineChart>
        <c:grouping val="standard"/>
        <c:varyColors val="0"/>
        <c:ser>
          <c:idx val="1"/>
          <c:order val="0"/>
          <c:tx>
            <c:v>Exports of ethanol</c:v>
          </c:tx>
          <c:spPr>
            <a:ln w="28575" cap="rnd">
              <a:solidFill>
                <a:srgbClr val="A6CEE3"/>
              </a:solidFill>
              <a:round/>
            </a:ln>
            <a:effectLst/>
          </c:spPr>
          <c:marker>
            <c:symbol val="circle"/>
            <c:size val="5"/>
            <c:spPr>
              <a:solidFill>
                <a:srgbClr val="A6CEE3"/>
              </a:solidFill>
              <a:ln w="28575">
                <a:solidFill>
                  <a:srgbClr val="A6CEE3"/>
                </a:solidFill>
              </a:ln>
              <a:effectLst/>
            </c:spPr>
          </c:marker>
          <c:cat>
            <c:numRef>
              <c:f>ETHANOL!$B$16:$M$16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ETHANOL!$B$22:$M$22</c:f>
              <c:numCache>
                <c:formatCode>0.00</c:formatCode>
                <c:ptCount val="12"/>
                <c:pt idx="0">
                  <c:v>0.39849599999999996</c:v>
                </c:pt>
                <c:pt idx="1">
                  <c:v>1.1951939999999999</c:v>
                </c:pt>
                <c:pt idx="2">
                  <c:v>0.74155199999999999</c:v>
                </c:pt>
                <c:pt idx="3">
                  <c:v>0.618954</c:v>
                </c:pt>
                <c:pt idx="4">
                  <c:v>0.84625800000000007</c:v>
                </c:pt>
                <c:pt idx="5">
                  <c:v>0.83206199999999997</c:v>
                </c:pt>
                <c:pt idx="6">
                  <c:v>1.170288</c:v>
                </c:pt>
                <c:pt idx="7">
                  <c:v>1.389864</c:v>
                </c:pt>
                <c:pt idx="8">
                  <c:v>1.709568</c:v>
                </c:pt>
                <c:pt idx="9">
                  <c:v>1.4666400000000002</c:v>
                </c:pt>
                <c:pt idx="10">
                  <c:v>1.317204</c:v>
                </c:pt>
                <c:pt idx="11">
                  <c:v>1.2517259999999999</c:v>
                </c:pt>
              </c:numCache>
            </c:numRef>
          </c:val>
          <c:smooth val="0"/>
          <c:extLst>
            <c:ext xmlns:c16="http://schemas.microsoft.com/office/drawing/2014/chart" uri="{C3380CC4-5D6E-409C-BE32-E72D297353CC}">
              <c16:uniqueId val="{00000000-77CB-4EC8-84D2-8C90153C04FC}"/>
            </c:ext>
          </c:extLst>
        </c:ser>
        <c:ser>
          <c:idx val="2"/>
          <c:order val="1"/>
          <c:tx>
            <c:v>Imports of ethanol</c:v>
          </c:tx>
          <c:spPr>
            <a:ln w="28575" cap="rnd">
              <a:solidFill>
                <a:srgbClr val="B3DE69"/>
              </a:solidFill>
              <a:round/>
            </a:ln>
            <a:effectLst/>
          </c:spPr>
          <c:marker>
            <c:symbol val="circle"/>
            <c:size val="5"/>
            <c:spPr>
              <a:solidFill>
                <a:srgbClr val="B2DF8A"/>
              </a:solidFill>
              <a:ln w="9525">
                <a:solidFill>
                  <a:srgbClr val="B3DE69"/>
                </a:solidFill>
              </a:ln>
              <a:effectLst/>
            </c:spPr>
          </c:marker>
          <c:cat>
            <c:numRef>
              <c:f>ETHANOL!$B$16:$M$16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ETHANOL!$B$21:$M$21</c:f>
              <c:numCache>
                <c:formatCode>0.00</c:formatCode>
                <c:ptCount val="12"/>
                <c:pt idx="0">
                  <c:v>1.5665999999999999E-2</c:v>
                </c:pt>
                <c:pt idx="1">
                  <c:v>0.17186400000000002</c:v>
                </c:pt>
                <c:pt idx="2">
                  <c:v>0.49413000000000001</c:v>
                </c:pt>
                <c:pt idx="3">
                  <c:v>0.37699199999999999</c:v>
                </c:pt>
                <c:pt idx="4">
                  <c:v>7.4676000000000006E-2</c:v>
                </c:pt>
                <c:pt idx="5">
                  <c:v>9.1518000000000002E-2</c:v>
                </c:pt>
                <c:pt idx="6">
                  <c:v>3.6204E-2</c:v>
                </c:pt>
                <c:pt idx="7">
                  <c:v>7.6607999999999996E-2</c:v>
                </c:pt>
                <c:pt idx="8">
                  <c:v>5.4348E-2</c:v>
                </c:pt>
                <c:pt idx="9">
                  <c:v>0.195048</c:v>
                </c:pt>
                <c:pt idx="10">
                  <c:v>0.15414</c:v>
                </c:pt>
                <c:pt idx="11">
                  <c:v>6.0774000000000002E-2</c:v>
                </c:pt>
              </c:numCache>
            </c:numRef>
          </c:val>
          <c:smooth val="0"/>
          <c:extLst>
            <c:ext xmlns:c16="http://schemas.microsoft.com/office/drawing/2014/chart" uri="{C3380CC4-5D6E-409C-BE32-E72D297353CC}">
              <c16:uniqueId val="{00000001-77CB-4EC8-84D2-8C90153C04FC}"/>
            </c:ext>
          </c:extLst>
        </c:ser>
        <c:dLbls>
          <c:showLegendKey val="0"/>
          <c:showVal val="0"/>
          <c:showCatName val="0"/>
          <c:showSerName val="0"/>
          <c:showPercent val="0"/>
          <c:showBubbleSize val="0"/>
        </c:dLbls>
        <c:marker val="1"/>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Billion gallons</a:t>
                </a:r>
              </a:p>
            </c:rich>
          </c:tx>
          <c:layout>
            <c:manualLayout>
              <c:xMode val="edge"/>
              <c:yMode val="edge"/>
              <c:x val="4.3024146327286352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midCat"/>
      </c:valAx>
      <c:spPr>
        <a:noFill/>
        <a:ln>
          <a:solidFill>
            <a:schemeClr val="tx1"/>
          </a:solidFill>
        </a:ln>
        <a:effectLst/>
      </c:spPr>
    </c:plotArea>
    <c:legend>
      <c:legendPos val="t"/>
      <c:layout>
        <c:manualLayout>
          <c:xMode val="edge"/>
          <c:yMode val="edge"/>
          <c:x val="0.10405246219222598"/>
          <c:y val="6.25E-2"/>
          <c:w val="0.46175915510561177"/>
          <c:h val="7.1829341644794403E-2"/>
        </c:manualLayout>
      </c:layout>
      <c:overlay val="1"/>
      <c:spPr>
        <a:noFill/>
        <a:ln w="9525">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04418197725283E-2"/>
          <c:y val="3.8579213453513429E-2"/>
          <c:w val="0.89333817647794023"/>
          <c:h val="0.87825897008136433"/>
        </c:manualLayout>
      </c:layout>
      <c:barChart>
        <c:barDir val="col"/>
        <c:grouping val="clustered"/>
        <c:varyColors val="0"/>
        <c:ser>
          <c:idx val="1"/>
          <c:order val="0"/>
          <c:tx>
            <c:v>Ethanol</c:v>
          </c:tx>
          <c:spPr>
            <a:solidFill>
              <a:srgbClr val="A6CEE3"/>
            </a:solidFill>
            <a:ln>
              <a:solidFill>
                <a:sysClr val="windowText" lastClr="000000"/>
              </a:solidFill>
            </a:ln>
            <a:effectLst/>
          </c:spPr>
          <c:invertIfNegative val="0"/>
          <c:cat>
            <c:numRef>
              <c:f>ETHANOL!$B$16:$M$16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ETHANOL!$B$28:$M$28</c:f>
              <c:numCache>
                <c:formatCode>0.0</c:formatCode>
                <c:ptCount val="12"/>
                <c:pt idx="0">
                  <c:v>2.7600000000000002</c:v>
                </c:pt>
                <c:pt idx="1">
                  <c:v>3.84</c:v>
                </c:pt>
                <c:pt idx="2">
                  <c:v>3.75</c:v>
                </c:pt>
                <c:pt idx="3">
                  <c:v>3.75</c:v>
                </c:pt>
                <c:pt idx="4">
                  <c:v>3.585</c:v>
                </c:pt>
                <c:pt idx="5">
                  <c:v>2.73</c:v>
                </c:pt>
                <c:pt idx="6">
                  <c:v>2.3250000000000002</c:v>
                </c:pt>
                <c:pt idx="7">
                  <c:v>2.4000000000000004</c:v>
                </c:pt>
                <c:pt idx="8">
                  <c:v>1.8599999999999999</c:v>
                </c:pt>
                <c:pt idx="9">
                  <c:v>1.98</c:v>
                </c:pt>
                <c:pt idx="10">
                  <c:v>1.5449999999999999</c:v>
                </c:pt>
                <c:pt idx="11">
                  <c:v>2.5499999999999998</c:v>
                </c:pt>
              </c:numCache>
            </c:numRef>
          </c:val>
          <c:extLst>
            <c:ext xmlns:c16="http://schemas.microsoft.com/office/drawing/2014/chart" uri="{C3380CC4-5D6E-409C-BE32-E72D297353CC}">
              <c16:uniqueId val="{00000000-B7A5-477E-98C0-6F8205D43C2B}"/>
            </c:ext>
          </c:extLst>
        </c:ser>
        <c:ser>
          <c:idx val="0"/>
          <c:order val="1"/>
          <c:tx>
            <c:v>E85</c:v>
          </c:tx>
          <c:spPr>
            <a:solidFill>
              <a:srgbClr val="FDBF6F"/>
            </a:solidFill>
            <a:ln>
              <a:solidFill>
                <a:sysClr val="windowText" lastClr="000000"/>
              </a:solidFill>
            </a:ln>
            <a:effectLst/>
          </c:spPr>
          <c:invertIfNegative val="0"/>
          <c:cat>
            <c:numRef>
              <c:f>ETHANOL!$B$16:$M$16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ETHANOL!$B$29:$M$29</c:f>
              <c:numCache>
                <c:formatCode>0.0</c:formatCode>
                <c:ptCount val="12"/>
                <c:pt idx="0">
                  <c:v>3.37</c:v>
                </c:pt>
                <c:pt idx="1">
                  <c:v>4.38</c:v>
                </c:pt>
                <c:pt idx="2">
                  <c:v>4.7074999999999996</c:v>
                </c:pt>
                <c:pt idx="3">
                  <c:v>4.5025000000000004</c:v>
                </c:pt>
                <c:pt idx="4">
                  <c:v>4.4349999999999996</c:v>
                </c:pt>
                <c:pt idx="5">
                  <c:v>2.95</c:v>
                </c:pt>
                <c:pt idx="6">
                  <c:v>2.4550000000000001</c:v>
                </c:pt>
                <c:pt idx="7">
                  <c:v>2.6750000000000003</c:v>
                </c:pt>
                <c:pt idx="8">
                  <c:v>2.9250000000000003</c:v>
                </c:pt>
                <c:pt idx="9">
                  <c:v>2.9049999999999998</c:v>
                </c:pt>
                <c:pt idx="10">
                  <c:v>2.59</c:v>
                </c:pt>
                <c:pt idx="11">
                  <c:v>3.1799999999999997</c:v>
                </c:pt>
              </c:numCache>
            </c:numRef>
          </c:val>
          <c:extLst>
            <c:ext xmlns:c16="http://schemas.microsoft.com/office/drawing/2014/chart" uri="{C3380CC4-5D6E-409C-BE32-E72D297353CC}">
              <c16:uniqueId val="{00000001-B7A5-477E-98C0-6F8205D43C2B}"/>
            </c:ext>
          </c:extLst>
        </c:ser>
        <c:ser>
          <c:idx val="2"/>
          <c:order val="2"/>
          <c:tx>
            <c:v>E10</c:v>
          </c:tx>
          <c:spPr>
            <a:solidFill>
              <a:schemeClr val="bg1">
                <a:lumMod val="85000"/>
              </a:schemeClr>
            </a:solidFill>
            <a:ln>
              <a:solidFill>
                <a:sysClr val="windowText" lastClr="000000"/>
              </a:solidFill>
            </a:ln>
            <a:effectLst/>
          </c:spPr>
          <c:invertIfNegative val="0"/>
          <c:cat>
            <c:numRef>
              <c:f>ETHANOL!$B$16:$M$16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ETHANOL!$B$30:$M$30</c:f>
              <c:numCache>
                <c:formatCode>0.0</c:formatCode>
                <c:ptCount val="12"/>
                <c:pt idx="0">
                  <c:v>2.7449999999999997</c:v>
                </c:pt>
                <c:pt idx="1">
                  <c:v>3.4775</c:v>
                </c:pt>
                <c:pt idx="2">
                  <c:v>3.65</c:v>
                </c:pt>
                <c:pt idx="3">
                  <c:v>3.4950000000000001</c:v>
                </c:pt>
                <c:pt idx="4">
                  <c:v>3.5075000000000003</c:v>
                </c:pt>
                <c:pt idx="5">
                  <c:v>2.4724999999999997</c:v>
                </c:pt>
                <c:pt idx="6">
                  <c:v>2.13</c:v>
                </c:pt>
                <c:pt idx="7">
                  <c:v>2.3624999999999998</c:v>
                </c:pt>
                <c:pt idx="8">
                  <c:v>2.74</c:v>
                </c:pt>
                <c:pt idx="9">
                  <c:v>2.6175000000000002</c:v>
                </c:pt>
                <c:pt idx="10">
                  <c:v>2.2250000000000001</c:v>
                </c:pt>
                <c:pt idx="11">
                  <c:v>2.87</c:v>
                </c:pt>
              </c:numCache>
            </c:numRef>
          </c:val>
          <c:extLst>
            <c:ext xmlns:c16="http://schemas.microsoft.com/office/drawing/2014/chart" uri="{C3380CC4-5D6E-409C-BE32-E72D297353CC}">
              <c16:uniqueId val="{00000002-B7A5-477E-98C0-6F8205D43C2B}"/>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max val="5.5"/>
          <c:min val="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 per gasoline gallon equivalent</a:t>
                </a:r>
              </a:p>
            </c:rich>
          </c:tx>
          <c:layout>
            <c:manualLayout>
              <c:xMode val="edge"/>
              <c:yMode val="edge"/>
              <c:x val="1.3863375525917243E-2"/>
              <c:y val="0.1860258190764683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0.11656979720311478"/>
          <c:y val="5.962242079179348E-2"/>
          <c:w val="0.29715410573678291"/>
          <c:h val="5.9844175325817615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0"/>
          <c:spPr>
            <a:solidFill>
              <a:srgbClr val="A6CEE3"/>
            </a:solidFill>
            <a:ln>
              <a:solidFill>
                <a:sysClr val="windowText" lastClr="000000"/>
              </a:solidFill>
            </a:ln>
            <a:effectLst/>
          </c:spPr>
          <c:invertIfNegative val="0"/>
          <c:cat>
            <c:numRef>
              <c:f>BIOBUTANOL!$E$3:$M$3</c:f>
              <c:numCache>
                <c:formatCode>General</c:formatCode>
                <c:ptCount val="9"/>
                <c:pt idx="0">
                  <c:v>2013</c:v>
                </c:pt>
                <c:pt idx="1">
                  <c:v>2014</c:v>
                </c:pt>
                <c:pt idx="2">
                  <c:v>2015</c:v>
                </c:pt>
                <c:pt idx="3">
                  <c:v>2016</c:v>
                </c:pt>
                <c:pt idx="4">
                  <c:v>2017</c:v>
                </c:pt>
                <c:pt idx="5">
                  <c:v>2018</c:v>
                </c:pt>
                <c:pt idx="6">
                  <c:v>2019</c:v>
                </c:pt>
                <c:pt idx="7">
                  <c:v>2020</c:v>
                </c:pt>
                <c:pt idx="8">
                  <c:v>2021</c:v>
                </c:pt>
              </c:numCache>
            </c:numRef>
          </c:cat>
          <c:val>
            <c:numRef>
              <c:f>BIOBUTANOL!$E$4:$M$4</c:f>
              <c:numCache>
                <c:formatCode>#,##0</c:formatCode>
                <c:ptCount val="9"/>
                <c:pt idx="0">
                  <c:v>12</c:v>
                </c:pt>
                <c:pt idx="1">
                  <c:v>0</c:v>
                </c:pt>
                <c:pt idx="2">
                  <c:v>0</c:v>
                </c:pt>
                <c:pt idx="3">
                  <c:v>125</c:v>
                </c:pt>
                <c:pt idx="4">
                  <c:v>0</c:v>
                </c:pt>
                <c:pt idx="5">
                  <c:v>0</c:v>
                </c:pt>
                <c:pt idx="6">
                  <c:v>0</c:v>
                </c:pt>
                <c:pt idx="7" formatCode="#,##0.00">
                  <c:v>0.44</c:v>
                </c:pt>
                <c:pt idx="8">
                  <c:v>0</c:v>
                </c:pt>
              </c:numCache>
            </c:numRef>
          </c:val>
          <c:extLst>
            <c:ext xmlns:c16="http://schemas.microsoft.com/office/drawing/2014/chart" uri="{C3380CC4-5D6E-409C-BE32-E72D297353CC}">
              <c16:uniqueId val="{00000000-3287-4AE6-89BA-6BC9A25FBC81}"/>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Thousand gallons</a:t>
                </a:r>
              </a:p>
            </c:rich>
          </c:tx>
          <c:layout>
            <c:manualLayout>
              <c:xMode val="edge"/>
              <c:yMode val="edge"/>
              <c:x val="1.8074891974393572E-2"/>
              <c:y val="0.317658768699915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A6CEE3"/>
            </a:solidFill>
            <a:ln>
              <a:solidFill>
                <a:sysClr val="windowText" lastClr="000000"/>
              </a:solidFill>
            </a:ln>
            <a:effectLst/>
          </c:spPr>
          <c:invertIfNegative val="0"/>
          <c:cat>
            <c:numRef>
              <c:f>BIODIESEL!$F$25:$M$25</c:f>
              <c:numCache>
                <c:formatCode>General</c:formatCode>
                <c:ptCount val="8"/>
                <c:pt idx="0">
                  <c:v>2014</c:v>
                </c:pt>
                <c:pt idx="1">
                  <c:v>2015</c:v>
                </c:pt>
                <c:pt idx="2">
                  <c:v>2016</c:v>
                </c:pt>
                <c:pt idx="3">
                  <c:v>2017</c:v>
                </c:pt>
                <c:pt idx="4">
                  <c:v>2018</c:v>
                </c:pt>
                <c:pt idx="5">
                  <c:v>2019</c:v>
                </c:pt>
                <c:pt idx="6">
                  <c:v>2020</c:v>
                </c:pt>
                <c:pt idx="7">
                  <c:v>2021</c:v>
                </c:pt>
              </c:numCache>
            </c:numRef>
          </c:cat>
          <c:val>
            <c:numRef>
              <c:f>BIODIESEL!$F$31:$M$31</c:f>
              <c:numCache>
                <c:formatCode>General</c:formatCode>
                <c:ptCount val="8"/>
                <c:pt idx="0">
                  <c:v>49500</c:v>
                </c:pt>
                <c:pt idx="1">
                  <c:v>49500</c:v>
                </c:pt>
                <c:pt idx="2">
                  <c:v>61100</c:v>
                </c:pt>
                <c:pt idx="3">
                  <c:v>62200</c:v>
                </c:pt>
                <c:pt idx="4">
                  <c:v>72300</c:v>
                </c:pt>
                <c:pt idx="5">
                  <c:v>67300</c:v>
                </c:pt>
                <c:pt idx="6">
                  <c:v>70860</c:v>
                </c:pt>
                <c:pt idx="7">
                  <c:v>63900</c:v>
                </c:pt>
              </c:numCache>
            </c:numRef>
          </c:val>
          <c:extLst>
            <c:ext xmlns:c16="http://schemas.microsoft.com/office/drawing/2014/chart" uri="{C3380CC4-5D6E-409C-BE32-E72D297353CC}">
              <c16:uniqueId val="{00000000-C41D-4DA5-9839-63FD4F8F26C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min val="200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a:t>
                </a:r>
                <a:r>
                  <a:rPr lang="en-US" sz="1000" baseline="0">
                    <a:solidFill>
                      <a:sysClr val="windowText" lastClr="000000"/>
                    </a:solidFill>
                  </a:rPr>
                  <a:t> direct jobs</a:t>
                </a:r>
                <a:endParaRPr lang="en-US" sz="1000">
                  <a:solidFill>
                    <a:sysClr val="windowText" lastClr="000000"/>
                  </a:solidFill>
                </a:endParaRPr>
              </a:p>
            </c:rich>
          </c:tx>
          <c:layout>
            <c:manualLayout>
              <c:xMode val="edge"/>
              <c:yMode val="edge"/>
              <c:x val="1.5873000985438521E-2"/>
              <c:y val="0.273705849652635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majorUnit val="10000"/>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A6CEE3"/>
            </a:solidFill>
            <a:ln>
              <a:solidFill>
                <a:sysClr val="windowText" lastClr="000000"/>
              </a:solidFill>
            </a:ln>
            <a:effectLst/>
          </c:spPr>
          <c:invertIfNegative val="0"/>
          <c:cat>
            <c:numRef>
              <c:f>BIODIESEL!$C$3:$M$3</c:f>
              <c:numCache>
                <c:formatCode>General</c:formatCode>
                <c:ptCount val="11"/>
                <c:pt idx="0">
                  <c:v>2011</c:v>
                </c:pt>
                <c:pt idx="1">
                  <c:v>2012</c:v>
                </c:pt>
                <c:pt idx="2">
                  <c:v>2013</c:v>
                </c:pt>
                <c:pt idx="3">
                  <c:v>2014</c:v>
                </c:pt>
                <c:pt idx="4">
                  <c:v>2015</c:v>
                </c:pt>
                <c:pt idx="5">
                  <c:v>2016</c:v>
                </c:pt>
                <c:pt idx="6">
                  <c:v>2017</c:v>
                </c:pt>
                <c:pt idx="7">
                  <c:v>2018</c:v>
                </c:pt>
                <c:pt idx="8">
                  <c:v>2019</c:v>
                </c:pt>
                <c:pt idx="9">
                  <c:v>2020</c:v>
                </c:pt>
                <c:pt idx="10">
                  <c:v>2021</c:v>
                </c:pt>
              </c:numCache>
            </c:numRef>
          </c:cat>
          <c:val>
            <c:numRef>
              <c:f>BIODIESEL!$C$4:$M$4</c:f>
              <c:numCache>
                <c:formatCode>General</c:formatCode>
                <c:ptCount val="11"/>
                <c:pt idx="0">
                  <c:v>103</c:v>
                </c:pt>
                <c:pt idx="1">
                  <c:v>112</c:v>
                </c:pt>
                <c:pt idx="2">
                  <c:v>115</c:v>
                </c:pt>
                <c:pt idx="3">
                  <c:v>98</c:v>
                </c:pt>
                <c:pt idx="4">
                  <c:v>94</c:v>
                </c:pt>
                <c:pt idx="5">
                  <c:v>96</c:v>
                </c:pt>
                <c:pt idx="6">
                  <c:v>95</c:v>
                </c:pt>
                <c:pt idx="7">
                  <c:v>100</c:v>
                </c:pt>
                <c:pt idx="8">
                  <c:v>91</c:v>
                </c:pt>
                <c:pt idx="9">
                  <c:v>85</c:v>
                </c:pt>
                <c:pt idx="10">
                  <c:v>75</c:v>
                </c:pt>
              </c:numCache>
            </c:numRef>
          </c:val>
          <c:extLst>
            <c:ext xmlns:c16="http://schemas.microsoft.com/office/drawing/2014/chart" uri="{C3380CC4-5D6E-409C-BE32-E72D297353CC}">
              <c16:uniqueId val="{00000000-4958-48C5-B9F4-FB8ACE09E23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plants</a:t>
                </a:r>
              </a:p>
            </c:rich>
          </c:tx>
          <c:layout>
            <c:manualLayout>
              <c:xMode val="edge"/>
              <c:yMode val="edge"/>
              <c:x val="1.5873000985438521E-2"/>
              <c:y val="0.354371477782708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888611524642627E-2"/>
          <c:y val="2.9751745705936632E-2"/>
          <c:w val="0.91439946767217473"/>
          <c:h val="0.96530653181613479"/>
        </c:manualLayout>
      </c:layout>
      <c:pieChart>
        <c:varyColors val="1"/>
        <c:ser>
          <c:idx val="0"/>
          <c:order val="0"/>
          <c:spPr>
            <a:ln w="9525">
              <a:solidFill>
                <a:sysClr val="windowText" lastClr="000000"/>
              </a:solidFill>
            </a:ln>
          </c:spPr>
          <c:dPt>
            <c:idx val="0"/>
            <c:bubble3D val="0"/>
            <c:spPr>
              <a:solidFill>
                <a:srgbClr val="4DAF4A"/>
              </a:solidFill>
              <a:ln w="9525">
                <a:solidFill>
                  <a:sysClr val="windowText" lastClr="000000"/>
                </a:solidFill>
              </a:ln>
              <a:effectLst/>
            </c:spPr>
            <c:extLst>
              <c:ext xmlns:c16="http://schemas.microsoft.com/office/drawing/2014/chart" uri="{C3380CC4-5D6E-409C-BE32-E72D297353CC}">
                <c16:uniqueId val="{00000001-150D-47D0-88AA-F6F64C9A70D4}"/>
              </c:ext>
            </c:extLst>
          </c:dPt>
          <c:dPt>
            <c:idx val="1"/>
            <c:bubble3D val="0"/>
            <c:spPr>
              <a:solidFill>
                <a:srgbClr val="984EA3"/>
              </a:solidFill>
              <a:ln w="9525">
                <a:solidFill>
                  <a:sysClr val="windowText" lastClr="000000"/>
                </a:solidFill>
              </a:ln>
              <a:effectLst/>
            </c:spPr>
            <c:extLst>
              <c:ext xmlns:c16="http://schemas.microsoft.com/office/drawing/2014/chart" uri="{C3380CC4-5D6E-409C-BE32-E72D297353CC}">
                <c16:uniqueId val="{00000002-150D-47D0-88AA-F6F64C9A70D4}"/>
              </c:ext>
            </c:extLst>
          </c:dPt>
          <c:dPt>
            <c:idx val="2"/>
            <c:bubble3D val="0"/>
            <c:spPr>
              <a:solidFill>
                <a:srgbClr val="FF7F00"/>
              </a:solidFill>
              <a:ln w="9525">
                <a:solidFill>
                  <a:sysClr val="windowText" lastClr="000000"/>
                </a:solidFill>
              </a:ln>
              <a:effectLst/>
            </c:spPr>
            <c:extLst>
              <c:ext xmlns:c16="http://schemas.microsoft.com/office/drawing/2014/chart" uri="{C3380CC4-5D6E-409C-BE32-E72D297353CC}">
                <c16:uniqueId val="{00000003-150D-47D0-88AA-F6F64C9A70D4}"/>
              </c:ext>
            </c:extLst>
          </c:dPt>
          <c:dPt>
            <c:idx val="3"/>
            <c:bubble3D val="0"/>
            <c:spPr>
              <a:solidFill>
                <a:srgbClr val="FFFF33"/>
              </a:solidFill>
              <a:ln w="9525">
                <a:solidFill>
                  <a:sysClr val="windowText" lastClr="000000"/>
                </a:solidFill>
              </a:ln>
              <a:effectLst/>
            </c:spPr>
            <c:extLst>
              <c:ext xmlns:c16="http://schemas.microsoft.com/office/drawing/2014/chart" uri="{C3380CC4-5D6E-409C-BE32-E72D297353CC}">
                <c16:uniqueId val="{00000004-150D-47D0-88AA-F6F64C9A70D4}"/>
              </c:ext>
            </c:extLst>
          </c:dPt>
          <c:dPt>
            <c:idx val="4"/>
            <c:bubble3D val="0"/>
            <c:spPr>
              <a:solidFill>
                <a:srgbClr val="A65628"/>
              </a:solidFill>
              <a:ln w="9525">
                <a:solidFill>
                  <a:sysClr val="windowText" lastClr="000000"/>
                </a:solidFill>
              </a:ln>
              <a:effectLst/>
            </c:spPr>
            <c:extLst>
              <c:ext xmlns:c16="http://schemas.microsoft.com/office/drawing/2014/chart" uri="{C3380CC4-5D6E-409C-BE32-E72D297353CC}">
                <c16:uniqueId val="{00000005-150D-47D0-88AA-F6F64C9A70D4}"/>
              </c:ext>
            </c:extLst>
          </c:dPt>
          <c:dPt>
            <c:idx val="5"/>
            <c:bubble3D val="0"/>
            <c:spPr>
              <a:solidFill>
                <a:srgbClr val="9ECAE1"/>
              </a:solidFill>
              <a:ln w="9525">
                <a:solidFill>
                  <a:sysClr val="windowText" lastClr="000000"/>
                </a:solidFill>
              </a:ln>
              <a:effectLst/>
            </c:spPr>
            <c:extLst>
              <c:ext xmlns:c16="http://schemas.microsoft.com/office/drawing/2014/chart" uri="{C3380CC4-5D6E-409C-BE32-E72D297353CC}">
                <c16:uniqueId val="{00000006-150D-47D0-88AA-F6F64C9A70D4}"/>
              </c:ext>
            </c:extLst>
          </c:dPt>
          <c:dPt>
            <c:idx val="6"/>
            <c:bubble3D val="0"/>
            <c:spPr>
              <a:solidFill>
                <a:srgbClr val="F781BF"/>
              </a:solidFill>
              <a:ln w="9525">
                <a:solidFill>
                  <a:sysClr val="windowText" lastClr="000000"/>
                </a:solidFill>
              </a:ln>
              <a:effectLst/>
            </c:spPr>
            <c:extLst>
              <c:ext xmlns:c16="http://schemas.microsoft.com/office/drawing/2014/chart" uri="{C3380CC4-5D6E-409C-BE32-E72D297353CC}">
                <c16:uniqueId val="{00000007-150D-47D0-88AA-F6F64C9A70D4}"/>
              </c:ext>
            </c:extLst>
          </c:dPt>
          <c:dPt>
            <c:idx val="7"/>
            <c:bubble3D val="0"/>
            <c:spPr>
              <a:solidFill>
                <a:srgbClr val="999999"/>
              </a:solidFill>
              <a:ln w="9525">
                <a:solidFill>
                  <a:sysClr val="windowText" lastClr="000000"/>
                </a:solidFill>
              </a:ln>
              <a:effectLst/>
            </c:spPr>
            <c:extLst>
              <c:ext xmlns:c16="http://schemas.microsoft.com/office/drawing/2014/chart" uri="{C3380CC4-5D6E-409C-BE32-E72D297353CC}">
                <c16:uniqueId val="{00000008-150D-47D0-88AA-F6F64C9A70D4}"/>
              </c:ext>
            </c:extLst>
          </c:dPt>
          <c:dPt>
            <c:idx val="8"/>
            <c:bubble3D val="0"/>
            <c:spPr>
              <a:solidFill>
                <a:srgbClr val="E41A1C"/>
              </a:solidFill>
              <a:ln w="9525">
                <a:solidFill>
                  <a:sysClr val="windowText" lastClr="000000"/>
                </a:solidFill>
              </a:ln>
              <a:effectLst/>
            </c:spPr>
            <c:extLst>
              <c:ext xmlns:c16="http://schemas.microsoft.com/office/drawing/2014/chart" uri="{C3380CC4-5D6E-409C-BE32-E72D297353CC}">
                <c16:uniqueId val="{00000009-150D-47D0-88AA-F6F64C9A70D4}"/>
              </c:ext>
            </c:extLst>
          </c:dPt>
          <c:val>
            <c:numRef>
              <c:f>BIODIESEL!$I$5:$I$13</c:f>
              <c:numCache>
                <c:formatCode>General</c:formatCode>
                <c:ptCount val="9"/>
                <c:pt idx="0">
                  <c:v>19</c:v>
                </c:pt>
                <c:pt idx="1">
                  <c:v>7</c:v>
                </c:pt>
                <c:pt idx="2">
                  <c:v>45</c:v>
                </c:pt>
                <c:pt idx="3">
                  <c:v>13</c:v>
                </c:pt>
                <c:pt idx="4">
                  <c:v>3</c:v>
                </c:pt>
                <c:pt idx="5">
                  <c:v>0</c:v>
                </c:pt>
                <c:pt idx="6">
                  <c:v>7</c:v>
                </c:pt>
                <c:pt idx="7">
                  <c:v>12</c:v>
                </c:pt>
                <c:pt idx="8">
                  <c:v>6</c:v>
                </c:pt>
              </c:numCache>
            </c:numRef>
          </c:val>
          <c:extLst>
            <c:ext xmlns:c16="http://schemas.microsoft.com/office/drawing/2014/chart" uri="{C3380CC4-5D6E-409C-BE32-E72D297353CC}">
              <c16:uniqueId val="{00000000-150D-47D0-88AA-F6F64C9A70D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A6CEE3"/>
            </a:solidFill>
            <a:ln>
              <a:solidFill>
                <a:sysClr val="windowText" lastClr="000000"/>
              </a:solidFill>
            </a:ln>
            <a:effectLst/>
          </c:spPr>
          <c:invertIfNegative val="0"/>
          <c:cat>
            <c:numRef>
              <c:f>ETHANOL!$B$16:$M$16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BIODIESEL!$B$23:$M$23</c:f>
              <c:numCache>
                <c:formatCode>General</c:formatCode>
                <c:ptCount val="12"/>
                <c:pt idx="0">
                  <c:v>644</c:v>
                </c:pt>
                <c:pt idx="1">
                  <c:v>627</c:v>
                </c:pt>
                <c:pt idx="2">
                  <c:v>675</c:v>
                </c:pt>
                <c:pt idx="3">
                  <c:v>757</c:v>
                </c:pt>
                <c:pt idx="4">
                  <c:v>783</c:v>
                </c:pt>
                <c:pt idx="5">
                  <c:v>721</c:v>
                </c:pt>
                <c:pt idx="6">
                  <c:v>697</c:v>
                </c:pt>
                <c:pt idx="7">
                  <c:v>702</c:v>
                </c:pt>
                <c:pt idx="8">
                  <c:v>681</c:v>
                </c:pt>
                <c:pt idx="9">
                  <c:v>613</c:v>
                </c:pt>
                <c:pt idx="10">
                  <c:v>712</c:v>
                </c:pt>
                <c:pt idx="11">
                  <c:v>730</c:v>
                </c:pt>
              </c:numCache>
            </c:numRef>
          </c:val>
          <c:extLst>
            <c:ext xmlns:c16="http://schemas.microsoft.com/office/drawing/2014/chart" uri="{C3380CC4-5D6E-409C-BE32-E72D297353CC}">
              <c16:uniqueId val="{00000000-093F-4118-BEF2-B7F6FCB6039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a:t>
                </a:r>
                <a:r>
                  <a:rPr lang="en-US" sz="1000" baseline="0">
                    <a:solidFill>
                      <a:sysClr val="windowText" lastClr="000000"/>
                    </a:solidFill>
                  </a:rPr>
                  <a:t> biodiesel stations</a:t>
                </a:r>
                <a:endParaRPr lang="en-US" sz="1000">
                  <a:solidFill>
                    <a:sysClr val="windowText" lastClr="000000"/>
                  </a:solidFill>
                </a:endParaRPr>
              </a:p>
            </c:rich>
          </c:tx>
          <c:layout>
            <c:manualLayout>
              <c:xMode val="edge"/>
              <c:yMode val="edge"/>
              <c:x val="1.5873000985438521E-2"/>
              <c:y val="0.273705849652635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31907136947561"/>
          <c:y val="3.0118021463519166E-2"/>
          <c:w val="0.7950705906177562"/>
          <c:h val="0.89206602043952687"/>
        </c:manualLayout>
      </c:layout>
      <c:barChart>
        <c:barDir val="col"/>
        <c:grouping val="clustered"/>
        <c:varyColors val="0"/>
        <c:ser>
          <c:idx val="1"/>
          <c:order val="0"/>
          <c:tx>
            <c:v>B99/100</c:v>
          </c:tx>
          <c:spPr>
            <a:solidFill>
              <a:srgbClr val="A6CEE3"/>
            </a:solidFill>
            <a:ln>
              <a:solidFill>
                <a:sysClr val="windowText" lastClr="000000"/>
              </a:solidFill>
            </a:ln>
            <a:effectLst/>
          </c:spPr>
          <c:invertIfNegative val="0"/>
          <c:cat>
            <c:numRef>
              <c:f>BIODIESEL!$B$18:$M$18</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BIODIESEL!$B$27:$M$27</c:f>
              <c:numCache>
                <c:formatCode>0.0</c:formatCode>
                <c:ptCount val="12"/>
                <c:pt idx="0">
                  <c:v>3.6274999999999999</c:v>
                </c:pt>
                <c:pt idx="1">
                  <c:v>3.4175</c:v>
                </c:pt>
                <c:pt idx="2">
                  <c:v>4.2275</c:v>
                </c:pt>
                <c:pt idx="3">
                  <c:v>4.2125000000000004</c:v>
                </c:pt>
                <c:pt idx="4">
                  <c:v>4.18</c:v>
                </c:pt>
                <c:pt idx="5">
                  <c:v>3.6150000000000002</c:v>
                </c:pt>
                <c:pt idx="6">
                  <c:v>3</c:v>
                </c:pt>
                <c:pt idx="7">
                  <c:v>3.12</c:v>
                </c:pt>
                <c:pt idx="8">
                  <c:v>3.4625000000000004</c:v>
                </c:pt>
                <c:pt idx="9">
                  <c:v>3.5350000000000001</c:v>
                </c:pt>
                <c:pt idx="10">
                  <c:v>3.3574999999999999</c:v>
                </c:pt>
                <c:pt idx="11">
                  <c:v>3.4725000000000001</c:v>
                </c:pt>
              </c:numCache>
            </c:numRef>
          </c:val>
          <c:extLst>
            <c:ext xmlns:c16="http://schemas.microsoft.com/office/drawing/2014/chart" uri="{C3380CC4-5D6E-409C-BE32-E72D297353CC}">
              <c16:uniqueId val="{00000000-80F0-4355-92D1-3A0C48C4AE20}"/>
            </c:ext>
          </c:extLst>
        </c:ser>
        <c:ser>
          <c:idx val="0"/>
          <c:order val="1"/>
          <c:tx>
            <c:v>B20</c:v>
          </c:tx>
          <c:spPr>
            <a:solidFill>
              <a:srgbClr val="FDBF6F"/>
            </a:solidFill>
            <a:ln>
              <a:solidFill>
                <a:sysClr val="windowText" lastClr="000000"/>
              </a:solidFill>
            </a:ln>
            <a:effectLst/>
          </c:spPr>
          <c:invertIfNegative val="0"/>
          <c:cat>
            <c:numRef>
              <c:f>BIODIESEL!$B$18:$M$18</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BIODIESEL!$B$28:$M$28</c:f>
              <c:numCache>
                <c:formatCode>0.0</c:formatCode>
                <c:ptCount val="12"/>
                <c:pt idx="0">
                  <c:v>2.8</c:v>
                </c:pt>
                <c:pt idx="1">
                  <c:v>3.5300000000000002</c:v>
                </c:pt>
                <c:pt idx="2">
                  <c:v>3.6875</c:v>
                </c:pt>
                <c:pt idx="3">
                  <c:v>3.6675</c:v>
                </c:pt>
                <c:pt idx="4">
                  <c:v>3.5975000000000001</c:v>
                </c:pt>
                <c:pt idx="5">
                  <c:v>2.6349999999999998</c:v>
                </c:pt>
                <c:pt idx="6">
                  <c:v>2.1674999999999995</c:v>
                </c:pt>
                <c:pt idx="7">
                  <c:v>2.3025000000000002</c:v>
                </c:pt>
                <c:pt idx="8">
                  <c:v>2.6675</c:v>
                </c:pt>
                <c:pt idx="9">
                  <c:v>2.5674999999999999</c:v>
                </c:pt>
                <c:pt idx="10">
                  <c:v>2.2250000000000001</c:v>
                </c:pt>
                <c:pt idx="11">
                  <c:v>2.6025</c:v>
                </c:pt>
              </c:numCache>
            </c:numRef>
          </c:val>
          <c:extLst>
            <c:ext xmlns:c16="http://schemas.microsoft.com/office/drawing/2014/chart" uri="{C3380CC4-5D6E-409C-BE32-E72D297353CC}">
              <c16:uniqueId val="{00000001-80F0-4355-92D1-3A0C48C4AE20}"/>
            </c:ext>
          </c:extLst>
        </c:ser>
        <c:ser>
          <c:idx val="2"/>
          <c:order val="2"/>
          <c:tx>
            <c:v>Diesel</c:v>
          </c:tx>
          <c:spPr>
            <a:solidFill>
              <a:schemeClr val="bg1">
                <a:lumMod val="85000"/>
              </a:schemeClr>
            </a:solidFill>
            <a:ln>
              <a:solidFill>
                <a:sysClr val="windowText" lastClr="000000"/>
              </a:solidFill>
            </a:ln>
            <a:effectLst/>
          </c:spPr>
          <c:invertIfNegative val="0"/>
          <c:cat>
            <c:numRef>
              <c:f>BIODIESEL!$B$18:$M$18</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BIODIESEL!$B$29:$M$29</c:f>
              <c:numCache>
                <c:formatCode>0.0</c:formatCode>
                <c:ptCount val="12"/>
                <c:pt idx="0">
                  <c:v>2.67</c:v>
                </c:pt>
                <c:pt idx="1">
                  <c:v>3.4175</c:v>
                </c:pt>
                <c:pt idx="2">
                  <c:v>3.5525000000000002</c:v>
                </c:pt>
                <c:pt idx="3">
                  <c:v>3.5349999999999997</c:v>
                </c:pt>
                <c:pt idx="4">
                  <c:v>3.4850000000000003</c:v>
                </c:pt>
                <c:pt idx="5">
                  <c:v>2.5549999999999997</c:v>
                </c:pt>
                <c:pt idx="6">
                  <c:v>2.0724999999999998</c:v>
                </c:pt>
                <c:pt idx="7">
                  <c:v>2.3075000000000001</c:v>
                </c:pt>
                <c:pt idx="8">
                  <c:v>2.8025000000000002</c:v>
                </c:pt>
                <c:pt idx="9">
                  <c:v>2.7124999999999999</c:v>
                </c:pt>
                <c:pt idx="10">
                  <c:v>2.3425000000000002</c:v>
                </c:pt>
                <c:pt idx="11">
                  <c:v>2.78</c:v>
                </c:pt>
              </c:numCache>
            </c:numRef>
          </c:val>
          <c:extLst>
            <c:ext xmlns:c16="http://schemas.microsoft.com/office/drawing/2014/chart" uri="{C3380CC4-5D6E-409C-BE32-E72D297353CC}">
              <c16:uniqueId val="{00000002-80F0-4355-92D1-3A0C48C4AE20}"/>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3"/>
          <c:order val="3"/>
          <c:tx>
            <c:v>Soy</c:v>
          </c:tx>
          <c:spPr>
            <a:ln w="28575" cap="rnd">
              <a:solidFill>
                <a:srgbClr val="B2DF8A"/>
              </a:solidFill>
              <a:round/>
            </a:ln>
            <a:effectLst/>
          </c:spPr>
          <c:marker>
            <c:symbol val="none"/>
          </c:marker>
          <c:cat>
            <c:numRef>
              <c:f>BIODIESEL!$B$18:$M$18</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BIODIESEL!$B$30:$M$30</c:f>
              <c:numCache>
                <c:formatCode>0</c:formatCode>
                <c:ptCount val="12"/>
                <c:pt idx="0">
                  <c:v>418.51851851851853</c:v>
                </c:pt>
                <c:pt idx="1">
                  <c:v>462.96296296296299</c:v>
                </c:pt>
                <c:pt idx="2">
                  <c:v>533.33333333333337</c:v>
                </c:pt>
                <c:pt idx="3">
                  <c:v>481.48148148148147</c:v>
                </c:pt>
                <c:pt idx="4">
                  <c:v>374.07407407407408</c:v>
                </c:pt>
                <c:pt idx="5">
                  <c:v>331.48148148148147</c:v>
                </c:pt>
                <c:pt idx="6">
                  <c:v>350.74074074074076</c:v>
                </c:pt>
                <c:pt idx="7">
                  <c:v>345.55555555555554</c:v>
                </c:pt>
                <c:pt idx="8">
                  <c:v>314.07407407407408</c:v>
                </c:pt>
                <c:pt idx="9">
                  <c:v>317.40740740740745</c:v>
                </c:pt>
                <c:pt idx="10">
                  <c:v>400.00000000000006</c:v>
                </c:pt>
                <c:pt idx="11">
                  <c:v>490.74074074074076</c:v>
                </c:pt>
              </c:numCache>
            </c:numRef>
          </c:val>
          <c:smooth val="0"/>
          <c:extLst>
            <c:ext xmlns:c16="http://schemas.microsoft.com/office/drawing/2014/chart" uri="{C3380CC4-5D6E-409C-BE32-E72D297353CC}">
              <c16:uniqueId val="{00000003-80F0-4355-92D1-3A0C48C4AE20}"/>
            </c:ext>
          </c:extLst>
        </c:ser>
        <c:dLbls>
          <c:showLegendKey val="0"/>
          <c:showVal val="0"/>
          <c:showCatName val="0"/>
          <c:showSerName val="0"/>
          <c:showPercent val="0"/>
          <c:showBubbleSize val="0"/>
        </c:dLbls>
        <c:marker val="1"/>
        <c:smooth val="0"/>
        <c:axId val="1026692360"/>
        <c:axId val="1026691704"/>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max val="5"/>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 per gasoline</a:t>
                </a:r>
                <a:r>
                  <a:rPr lang="en-US" sz="1000" baseline="0">
                    <a:solidFill>
                      <a:sysClr val="windowText" lastClr="000000"/>
                    </a:solidFill>
                  </a:rPr>
                  <a:t> </a:t>
                </a:r>
                <a:r>
                  <a:rPr lang="en-US" sz="1000">
                    <a:solidFill>
                      <a:sysClr val="windowText" lastClr="000000"/>
                    </a:solidFill>
                  </a:rPr>
                  <a:t>gallon equivalent</a:t>
                </a:r>
              </a:p>
            </c:rich>
          </c:tx>
          <c:layout>
            <c:manualLayout>
              <c:xMode val="edge"/>
              <c:yMode val="edge"/>
              <c:x val="1.5873048042090752E-2"/>
              <c:y val="0.171997014184281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valAx>
        <c:axId val="1026691704"/>
        <c:scaling>
          <c:orientation val="minMax"/>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rPr>
                  <a:t>Dollar per metirc 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1026692360"/>
        <c:crosses val="max"/>
        <c:crossBetween val="between"/>
      </c:valAx>
      <c:catAx>
        <c:axId val="1026692360"/>
        <c:scaling>
          <c:orientation val="minMax"/>
        </c:scaling>
        <c:delete val="1"/>
        <c:axPos val="b"/>
        <c:numFmt formatCode="General" sourceLinked="1"/>
        <c:majorTickMark val="out"/>
        <c:minorTickMark val="none"/>
        <c:tickLblPos val="nextTo"/>
        <c:crossAx val="1026691704"/>
        <c:crosses val="autoZero"/>
        <c:auto val="1"/>
        <c:lblAlgn val="ctr"/>
        <c:lblOffset val="100"/>
        <c:noMultiLvlLbl val="0"/>
      </c:catAx>
      <c:spPr>
        <a:noFill/>
        <a:ln>
          <a:solidFill>
            <a:schemeClr val="tx1"/>
          </a:solidFill>
        </a:ln>
        <a:effectLst/>
      </c:spPr>
    </c:plotArea>
    <c:legend>
      <c:legendPos val="t"/>
      <c:layout>
        <c:manualLayout>
          <c:xMode val="edge"/>
          <c:yMode val="edge"/>
          <c:x val="0.11830880514935634"/>
          <c:y val="4.2086340769903759E-2"/>
          <c:w val="0.46578723493149371"/>
          <c:h val="5.9844175325817615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122940787499309"/>
          <c:y val="3.8194444444444448E-2"/>
          <c:w val="0.87720006319148713"/>
          <c:h val="0.87947315179352581"/>
        </c:manualLayout>
      </c:layout>
      <c:lineChart>
        <c:grouping val="standard"/>
        <c:varyColors val="0"/>
        <c:ser>
          <c:idx val="1"/>
          <c:order val="0"/>
          <c:tx>
            <c:v>Total biodiesel production in the U.S.</c:v>
          </c:tx>
          <c:spPr>
            <a:ln w="28575" cap="rnd">
              <a:solidFill>
                <a:srgbClr val="A6CEE3"/>
              </a:solidFill>
              <a:round/>
            </a:ln>
            <a:effectLst/>
          </c:spPr>
          <c:marker>
            <c:symbol val="circle"/>
            <c:size val="5"/>
            <c:spPr>
              <a:solidFill>
                <a:srgbClr val="A6CEE3"/>
              </a:solidFill>
              <a:ln w="28575">
                <a:solidFill>
                  <a:srgbClr val="A6CEE3"/>
                </a:solidFill>
              </a:ln>
              <a:effectLst/>
            </c:spPr>
          </c:marker>
          <c:cat>
            <c:numRef>
              <c:f>BIODIESEL!$B$18:$M$18</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BIODIESEL!$B$19:$M$19</c:f>
              <c:numCache>
                <c:formatCode>0.0</c:formatCode>
                <c:ptCount val="12"/>
                <c:pt idx="0">
                  <c:v>0.34350000000000003</c:v>
                </c:pt>
                <c:pt idx="1">
                  <c:v>0.96750000000000003</c:v>
                </c:pt>
                <c:pt idx="2">
                  <c:v>0.96960000000000002</c:v>
                </c:pt>
                <c:pt idx="3">
                  <c:v>1.3580000000000001</c:v>
                </c:pt>
                <c:pt idx="4">
                  <c:v>1.268</c:v>
                </c:pt>
                <c:pt idx="5">
                  <c:v>1.266</c:v>
                </c:pt>
                <c:pt idx="6">
                  <c:v>1.569</c:v>
                </c:pt>
                <c:pt idx="7">
                  <c:v>1.5960000000000001</c:v>
                </c:pt>
                <c:pt idx="8">
                  <c:v>1.857</c:v>
                </c:pt>
                <c:pt idx="9">
                  <c:v>1.7250000000000001</c:v>
                </c:pt>
                <c:pt idx="10">
                  <c:v>1.8149999999999999</c:v>
                </c:pt>
                <c:pt idx="11">
                  <c:v>1.7090000000000001</c:v>
                </c:pt>
              </c:numCache>
            </c:numRef>
          </c:val>
          <c:smooth val="0"/>
          <c:extLst>
            <c:ext xmlns:c16="http://schemas.microsoft.com/office/drawing/2014/chart" uri="{C3380CC4-5D6E-409C-BE32-E72D297353CC}">
              <c16:uniqueId val="{00000000-26E7-4F90-9EB9-41EBB1257CDB}"/>
            </c:ext>
          </c:extLst>
        </c:ser>
        <c:ser>
          <c:idx val="2"/>
          <c:order val="1"/>
          <c:tx>
            <c:v>Total biodiesel consumption in the U.S.</c:v>
          </c:tx>
          <c:spPr>
            <a:ln w="28575" cap="rnd">
              <a:solidFill>
                <a:srgbClr val="B2DF8A"/>
              </a:solidFill>
              <a:round/>
            </a:ln>
            <a:effectLst/>
          </c:spPr>
          <c:marker>
            <c:symbol val="circle"/>
            <c:size val="5"/>
            <c:spPr>
              <a:solidFill>
                <a:srgbClr val="B2DF8A"/>
              </a:solidFill>
              <a:ln w="9525">
                <a:solidFill>
                  <a:srgbClr val="B2DF8A"/>
                </a:solidFill>
              </a:ln>
              <a:effectLst/>
            </c:spPr>
          </c:marker>
          <c:cat>
            <c:numRef>
              <c:f>BIODIESEL!$B$18:$M$18</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BIODIESEL!$B$20:$M$20</c:f>
              <c:numCache>
                <c:formatCode>0.0</c:formatCode>
                <c:ptCount val="12"/>
                <c:pt idx="0">
                  <c:v>0.25863034148161967</c:v>
                </c:pt>
                <c:pt idx="1">
                  <c:v>0.88561298749766748</c:v>
                </c:pt>
                <c:pt idx="2">
                  <c:v>0.90128755364806867</c:v>
                </c:pt>
                <c:pt idx="3">
                  <c:v>1.4263855196865085</c:v>
                </c:pt>
                <c:pt idx="4">
                  <c:v>1.4185508836553156</c:v>
                </c:pt>
                <c:pt idx="5">
                  <c:v>1.496923860652847</c:v>
                </c:pt>
                <c:pt idx="6">
                  <c:v>2.0847211881343313</c:v>
                </c:pt>
                <c:pt idx="7">
                  <c:v>1.9828363180375406</c:v>
                </c:pt>
                <c:pt idx="8">
                  <c:v>1.9044633410400094</c:v>
                </c:pt>
                <c:pt idx="9">
                  <c:v>1.8104157686429718</c:v>
                </c:pt>
                <c:pt idx="10">
                  <c:v>1.8731141502409969</c:v>
                </c:pt>
                <c:pt idx="11">
                  <c:v>1.6458325169481565</c:v>
                </c:pt>
              </c:numCache>
            </c:numRef>
          </c:val>
          <c:smooth val="0"/>
          <c:extLst>
            <c:ext xmlns:c16="http://schemas.microsoft.com/office/drawing/2014/chart" uri="{C3380CC4-5D6E-409C-BE32-E72D297353CC}">
              <c16:uniqueId val="{00000001-26E7-4F90-9EB9-41EBB1257CDB}"/>
            </c:ext>
          </c:extLst>
        </c:ser>
        <c:dLbls>
          <c:showLegendKey val="0"/>
          <c:showVal val="0"/>
          <c:showCatName val="0"/>
          <c:showSerName val="0"/>
          <c:showPercent val="0"/>
          <c:showBubbleSize val="0"/>
        </c:dLbls>
        <c:marker val="1"/>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Billion gallons</a:t>
                </a:r>
              </a:p>
            </c:rich>
          </c:tx>
          <c:layout>
            <c:manualLayout>
              <c:xMode val="edge"/>
              <c:yMode val="edge"/>
              <c:x val="4.3024146327286352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midCat"/>
      </c:valAx>
      <c:spPr>
        <a:noFill/>
        <a:ln>
          <a:solidFill>
            <a:schemeClr val="tx1"/>
          </a:solidFill>
        </a:ln>
        <a:effectLst/>
      </c:spPr>
    </c:plotArea>
    <c:legend>
      <c:legendPos val="t"/>
      <c:layout>
        <c:manualLayout>
          <c:xMode val="edge"/>
          <c:yMode val="edge"/>
          <c:x val="0.10405246219222598"/>
          <c:y val="6.25E-2"/>
          <c:w val="0.42604486939132608"/>
          <c:h val="9.2662741731082729E-2"/>
        </c:manualLayout>
      </c:layout>
      <c:overlay val="1"/>
      <c:spPr>
        <a:noFill/>
        <a:ln w="9525">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122940787499309"/>
          <c:y val="3.8194444444444448E-2"/>
          <c:w val="0.87720006319148713"/>
          <c:h val="0.87947315179352581"/>
        </c:manualLayout>
      </c:layout>
      <c:lineChart>
        <c:grouping val="standard"/>
        <c:varyColors val="0"/>
        <c:ser>
          <c:idx val="1"/>
          <c:order val="0"/>
          <c:tx>
            <c:v>Exports of biodiesel</c:v>
          </c:tx>
          <c:spPr>
            <a:ln w="28575" cap="rnd">
              <a:solidFill>
                <a:srgbClr val="A6CEE3"/>
              </a:solidFill>
              <a:round/>
            </a:ln>
            <a:effectLst/>
          </c:spPr>
          <c:marker>
            <c:symbol val="circle"/>
            <c:size val="5"/>
            <c:spPr>
              <a:solidFill>
                <a:srgbClr val="A6CEE3"/>
              </a:solidFill>
              <a:ln w="28575">
                <a:solidFill>
                  <a:srgbClr val="A6CEE3"/>
                </a:solidFill>
              </a:ln>
              <a:effectLst/>
            </c:spPr>
          </c:marker>
          <c:cat>
            <c:numRef>
              <c:f>BIODIESEL!$B$18:$M$18</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BIODIESEL!$B$22:$M$22</c:f>
              <c:numCache>
                <c:formatCode>0.0</c:formatCode>
                <c:ptCount val="12"/>
                <c:pt idx="0">
                  <c:v>108.696</c:v>
                </c:pt>
                <c:pt idx="1">
                  <c:v>75.558000000000007</c:v>
                </c:pt>
                <c:pt idx="2">
                  <c:v>128.352</c:v>
                </c:pt>
                <c:pt idx="3">
                  <c:v>196.35</c:v>
                </c:pt>
                <c:pt idx="4">
                  <c:v>82.908000000000001</c:v>
                </c:pt>
                <c:pt idx="5">
                  <c:v>87.822000000000003</c:v>
                </c:pt>
                <c:pt idx="6">
                  <c:v>88.116</c:v>
                </c:pt>
                <c:pt idx="7">
                  <c:v>93.156000000000006</c:v>
                </c:pt>
                <c:pt idx="8">
                  <c:v>103.74</c:v>
                </c:pt>
                <c:pt idx="9">
                  <c:v>114.66</c:v>
                </c:pt>
                <c:pt idx="10">
                  <c:v>145.23599999999999</c:v>
                </c:pt>
                <c:pt idx="11">
                  <c:v>182.364</c:v>
                </c:pt>
              </c:numCache>
            </c:numRef>
          </c:val>
          <c:smooth val="0"/>
          <c:extLst>
            <c:ext xmlns:c16="http://schemas.microsoft.com/office/drawing/2014/chart" uri="{C3380CC4-5D6E-409C-BE32-E72D297353CC}">
              <c16:uniqueId val="{00000000-C1B2-4303-ABE4-674D18ABAFCB}"/>
            </c:ext>
          </c:extLst>
        </c:ser>
        <c:ser>
          <c:idx val="2"/>
          <c:order val="1"/>
          <c:tx>
            <c:v>Imports of biodiesel</c:v>
          </c:tx>
          <c:spPr>
            <a:ln w="28575" cap="rnd">
              <a:solidFill>
                <a:srgbClr val="B3DE69"/>
              </a:solidFill>
              <a:round/>
            </a:ln>
            <a:effectLst/>
          </c:spPr>
          <c:marker>
            <c:symbol val="circle"/>
            <c:size val="5"/>
            <c:spPr>
              <a:solidFill>
                <a:srgbClr val="B3DE69"/>
              </a:solidFill>
              <a:ln w="9525">
                <a:solidFill>
                  <a:srgbClr val="B3DE69"/>
                </a:solidFill>
              </a:ln>
              <a:effectLst/>
            </c:spPr>
          </c:marker>
          <c:cat>
            <c:numRef>
              <c:f>BIODIESEL!$B$18:$M$18</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BIODIESEL!$B$21:$M$21</c:f>
              <c:numCache>
                <c:formatCode>0.0</c:formatCode>
                <c:ptCount val="12"/>
                <c:pt idx="0">
                  <c:v>23.687999999999999</c:v>
                </c:pt>
                <c:pt idx="1">
                  <c:v>37.380000000000003</c:v>
                </c:pt>
                <c:pt idx="2">
                  <c:v>35.826000000000001</c:v>
                </c:pt>
                <c:pt idx="3">
                  <c:v>342.38400000000001</c:v>
                </c:pt>
                <c:pt idx="4">
                  <c:v>192.27600000000001</c:v>
                </c:pt>
                <c:pt idx="5">
                  <c:v>352.75799999999998</c:v>
                </c:pt>
                <c:pt idx="6">
                  <c:v>708.91800000000001</c:v>
                </c:pt>
                <c:pt idx="7">
                  <c:v>393.70800000000003</c:v>
                </c:pt>
                <c:pt idx="8">
                  <c:v>166.69800000000001</c:v>
                </c:pt>
                <c:pt idx="9">
                  <c:v>171.27600000000001</c:v>
                </c:pt>
                <c:pt idx="10">
                  <c:v>196.72800000000001</c:v>
                </c:pt>
                <c:pt idx="11">
                  <c:v>202.94399999999999</c:v>
                </c:pt>
              </c:numCache>
            </c:numRef>
          </c:val>
          <c:smooth val="0"/>
          <c:extLst>
            <c:ext xmlns:c16="http://schemas.microsoft.com/office/drawing/2014/chart" uri="{C3380CC4-5D6E-409C-BE32-E72D297353CC}">
              <c16:uniqueId val="{00000001-C1B2-4303-ABE4-674D18ABAFCB}"/>
            </c:ext>
          </c:extLst>
        </c:ser>
        <c:dLbls>
          <c:showLegendKey val="0"/>
          <c:showVal val="0"/>
          <c:showCatName val="0"/>
          <c:showSerName val="0"/>
          <c:showPercent val="0"/>
          <c:showBubbleSize val="0"/>
        </c:dLbls>
        <c:marker val="1"/>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Million gallons</a:t>
                </a:r>
              </a:p>
            </c:rich>
          </c:tx>
          <c:layout>
            <c:manualLayout>
              <c:xMode val="edge"/>
              <c:yMode val="edge"/>
              <c:x val="4.3024146327286352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midCat"/>
      </c:valAx>
      <c:spPr>
        <a:noFill/>
        <a:ln>
          <a:solidFill>
            <a:schemeClr val="tx1"/>
          </a:solidFill>
        </a:ln>
        <a:effectLst/>
      </c:spPr>
    </c:plotArea>
    <c:legend>
      <c:legendPos val="t"/>
      <c:layout>
        <c:manualLayout>
          <c:xMode val="edge"/>
          <c:yMode val="edge"/>
          <c:x val="0.10405246219222598"/>
          <c:y val="6.25E-2"/>
          <c:w val="0.26136232970878642"/>
          <c:h val="9.2662741731082729E-2"/>
        </c:manualLayout>
      </c:layout>
      <c:overlay val="1"/>
      <c:spPr>
        <a:noFill/>
        <a:ln w="9525">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122940787499309"/>
          <c:y val="3.8194444444444448E-2"/>
          <c:w val="0.87720006319148713"/>
          <c:h val="0.87947315179352581"/>
        </c:manualLayout>
      </c:layout>
      <c:lineChart>
        <c:grouping val="standard"/>
        <c:varyColors val="0"/>
        <c:ser>
          <c:idx val="1"/>
          <c:order val="0"/>
          <c:tx>
            <c:v>Total biodiesel production in the U.S.</c:v>
          </c:tx>
          <c:spPr>
            <a:ln w="28575" cap="rnd">
              <a:solidFill>
                <a:srgbClr val="A6CEE3"/>
              </a:solidFill>
              <a:round/>
            </a:ln>
            <a:effectLst/>
          </c:spPr>
          <c:marker>
            <c:symbol val="none"/>
          </c:marker>
          <c:cat>
            <c:numRef>
              <c:f>BIODIESEL!$B$18:$M$18</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BIODIESEL!$B$19:$M$19</c:f>
              <c:numCache>
                <c:formatCode>0.0</c:formatCode>
                <c:ptCount val="12"/>
                <c:pt idx="0">
                  <c:v>0.34350000000000003</c:v>
                </c:pt>
                <c:pt idx="1">
                  <c:v>0.96750000000000003</c:v>
                </c:pt>
                <c:pt idx="2">
                  <c:v>0.96960000000000002</c:v>
                </c:pt>
                <c:pt idx="3">
                  <c:v>1.3580000000000001</c:v>
                </c:pt>
                <c:pt idx="4">
                  <c:v>1.268</c:v>
                </c:pt>
                <c:pt idx="5">
                  <c:v>1.266</c:v>
                </c:pt>
                <c:pt idx="6">
                  <c:v>1.569</c:v>
                </c:pt>
                <c:pt idx="7">
                  <c:v>1.5960000000000001</c:v>
                </c:pt>
                <c:pt idx="8">
                  <c:v>1.857</c:v>
                </c:pt>
                <c:pt idx="9">
                  <c:v>1.7250000000000001</c:v>
                </c:pt>
                <c:pt idx="10">
                  <c:v>1.8149999999999999</c:v>
                </c:pt>
                <c:pt idx="11">
                  <c:v>1.7090000000000001</c:v>
                </c:pt>
              </c:numCache>
            </c:numRef>
          </c:val>
          <c:smooth val="0"/>
          <c:extLst>
            <c:ext xmlns:c16="http://schemas.microsoft.com/office/drawing/2014/chart" uri="{C3380CC4-5D6E-409C-BE32-E72D297353CC}">
              <c16:uniqueId val="{00000000-DDFE-4DC9-983C-66D824550D5C}"/>
            </c:ext>
          </c:extLst>
        </c:ser>
        <c:ser>
          <c:idx val="2"/>
          <c:order val="1"/>
          <c:tx>
            <c:v>Total biodiesel consumption in the U.S.</c:v>
          </c:tx>
          <c:spPr>
            <a:ln w="28575" cap="rnd">
              <a:solidFill>
                <a:srgbClr val="B2DF8A"/>
              </a:solidFill>
              <a:round/>
            </a:ln>
            <a:effectLst/>
          </c:spPr>
          <c:marker>
            <c:symbol val="none"/>
          </c:marker>
          <c:cat>
            <c:numRef>
              <c:f>BIODIESEL!$B$18:$M$18</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BIODIESEL!$B$20:$M$20</c:f>
              <c:numCache>
                <c:formatCode>0.0</c:formatCode>
                <c:ptCount val="12"/>
                <c:pt idx="0">
                  <c:v>0.25863034148161967</c:v>
                </c:pt>
                <c:pt idx="1">
                  <c:v>0.88561298749766748</c:v>
                </c:pt>
                <c:pt idx="2">
                  <c:v>0.90128755364806867</c:v>
                </c:pt>
                <c:pt idx="3">
                  <c:v>1.4263855196865085</c:v>
                </c:pt>
                <c:pt idx="4">
                  <c:v>1.4185508836553156</c:v>
                </c:pt>
                <c:pt idx="5">
                  <c:v>1.496923860652847</c:v>
                </c:pt>
                <c:pt idx="6">
                  <c:v>2.0847211881343313</c:v>
                </c:pt>
                <c:pt idx="7">
                  <c:v>1.9828363180375406</c:v>
                </c:pt>
                <c:pt idx="8">
                  <c:v>1.9044633410400094</c:v>
                </c:pt>
                <c:pt idx="9">
                  <c:v>1.8104157686429718</c:v>
                </c:pt>
                <c:pt idx="10">
                  <c:v>1.8731141502409969</c:v>
                </c:pt>
                <c:pt idx="11">
                  <c:v>1.6458325169481565</c:v>
                </c:pt>
              </c:numCache>
            </c:numRef>
          </c:val>
          <c:smooth val="0"/>
          <c:extLst>
            <c:ext xmlns:c16="http://schemas.microsoft.com/office/drawing/2014/chart" uri="{C3380CC4-5D6E-409C-BE32-E72D297353CC}">
              <c16:uniqueId val="{00000001-DDFE-4DC9-983C-66D824550D5C}"/>
            </c:ext>
          </c:extLst>
        </c:ser>
        <c:ser>
          <c:idx val="0"/>
          <c:order val="2"/>
          <c:tx>
            <c:v>Total biodiesel import in the U.S.</c:v>
          </c:tx>
          <c:spPr>
            <a:ln w="28575" cap="rnd">
              <a:solidFill>
                <a:srgbClr val="FB8072"/>
              </a:solidFill>
              <a:round/>
            </a:ln>
            <a:effectLst/>
          </c:spPr>
          <c:marker>
            <c:symbol val="none"/>
          </c:marker>
          <c:cat>
            <c:numRef>
              <c:f>BIODIESEL!$B$18:$M$18</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BIODIESEL!$B$32:$M$32</c:f>
              <c:numCache>
                <c:formatCode>0.0</c:formatCode>
                <c:ptCount val="12"/>
                <c:pt idx="0">
                  <c:v>2.3687999999999997E-2</c:v>
                </c:pt>
                <c:pt idx="1">
                  <c:v>3.7380000000000004E-2</c:v>
                </c:pt>
                <c:pt idx="2">
                  <c:v>3.5826000000000004E-2</c:v>
                </c:pt>
                <c:pt idx="3">
                  <c:v>0.34238400000000002</c:v>
                </c:pt>
                <c:pt idx="4">
                  <c:v>0.192276</c:v>
                </c:pt>
                <c:pt idx="5">
                  <c:v>0.35275799999999996</c:v>
                </c:pt>
                <c:pt idx="6">
                  <c:v>0.70891800000000005</c:v>
                </c:pt>
                <c:pt idx="7">
                  <c:v>0.393708</c:v>
                </c:pt>
                <c:pt idx="8">
                  <c:v>0.16669800000000001</c:v>
                </c:pt>
                <c:pt idx="9">
                  <c:v>0.17127600000000001</c:v>
                </c:pt>
                <c:pt idx="10">
                  <c:v>0.19672800000000001</c:v>
                </c:pt>
                <c:pt idx="11">
                  <c:v>0.20294399999999999</c:v>
                </c:pt>
              </c:numCache>
            </c:numRef>
          </c:val>
          <c:smooth val="0"/>
          <c:extLst>
            <c:ext xmlns:c16="http://schemas.microsoft.com/office/drawing/2014/chart" uri="{C3380CC4-5D6E-409C-BE32-E72D297353CC}">
              <c16:uniqueId val="{00000003-DDFE-4DC9-983C-66D824550D5C}"/>
            </c:ext>
          </c:extLst>
        </c:ser>
        <c:ser>
          <c:idx val="3"/>
          <c:order val="3"/>
          <c:tx>
            <c:v>Total biodiesel export in the U.S.</c:v>
          </c:tx>
          <c:spPr>
            <a:ln w="28575" cap="rnd">
              <a:solidFill>
                <a:srgbClr val="FDB462"/>
              </a:solidFill>
              <a:round/>
            </a:ln>
            <a:effectLst/>
          </c:spPr>
          <c:marker>
            <c:symbol val="none"/>
          </c:marker>
          <c:cat>
            <c:numRef>
              <c:f>BIODIESEL!$B$18:$M$18</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BIODIESEL!$B$33:$M$33</c:f>
              <c:numCache>
                <c:formatCode>0.0</c:formatCode>
                <c:ptCount val="12"/>
                <c:pt idx="0">
                  <c:v>0.108696</c:v>
                </c:pt>
                <c:pt idx="1">
                  <c:v>7.5558E-2</c:v>
                </c:pt>
                <c:pt idx="2">
                  <c:v>0.12835199999999999</c:v>
                </c:pt>
                <c:pt idx="3">
                  <c:v>0.19635</c:v>
                </c:pt>
                <c:pt idx="4">
                  <c:v>8.2907999999999996E-2</c:v>
                </c:pt>
                <c:pt idx="5">
                  <c:v>8.7821999999999997E-2</c:v>
                </c:pt>
                <c:pt idx="6">
                  <c:v>8.8116E-2</c:v>
                </c:pt>
                <c:pt idx="7">
                  <c:v>9.3156000000000003E-2</c:v>
                </c:pt>
                <c:pt idx="8">
                  <c:v>0.10374</c:v>
                </c:pt>
                <c:pt idx="9">
                  <c:v>0.11466</c:v>
                </c:pt>
                <c:pt idx="10">
                  <c:v>0.14523599999999998</c:v>
                </c:pt>
                <c:pt idx="11">
                  <c:v>0.182364</c:v>
                </c:pt>
              </c:numCache>
            </c:numRef>
          </c:val>
          <c:smooth val="0"/>
          <c:extLst>
            <c:ext xmlns:c16="http://schemas.microsoft.com/office/drawing/2014/chart" uri="{C3380CC4-5D6E-409C-BE32-E72D297353CC}">
              <c16:uniqueId val="{00000004-DDFE-4DC9-983C-66D824550D5C}"/>
            </c:ext>
          </c:extLst>
        </c:ser>
        <c:dLbls>
          <c:showLegendKey val="0"/>
          <c:showVal val="0"/>
          <c:showCatName val="0"/>
          <c:showSerName val="0"/>
          <c:showPercent val="0"/>
          <c:showBubbleSize val="0"/>
        </c:dLbls>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Billion gallons</a:t>
                </a:r>
              </a:p>
            </c:rich>
          </c:tx>
          <c:layout>
            <c:manualLayout>
              <c:xMode val="edge"/>
              <c:yMode val="edge"/>
              <c:x val="4.3024146327286352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midCat"/>
      </c:valAx>
      <c:spPr>
        <a:noFill/>
        <a:ln>
          <a:solidFill>
            <a:schemeClr val="tx1"/>
          </a:solidFill>
        </a:ln>
        <a:effectLst/>
      </c:spPr>
    </c:plotArea>
    <c:legend>
      <c:legendPos val="t"/>
      <c:layout>
        <c:manualLayout>
          <c:xMode val="edge"/>
          <c:yMode val="edge"/>
          <c:x val="9.8100081239845024E-2"/>
          <c:y val="6.25E-2"/>
          <c:w val="0.44805555555555554"/>
          <c:h val="0.21398075240594924"/>
        </c:manualLayout>
      </c:layout>
      <c:overlay val="1"/>
      <c:spPr>
        <a:noFill/>
        <a:ln w="9525">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31907136947561"/>
          <c:y val="3.0118021463519166E-2"/>
          <c:w val="0.7950705906177562"/>
          <c:h val="0.89206602043952687"/>
        </c:manualLayout>
      </c:layout>
      <c:barChart>
        <c:barDir val="col"/>
        <c:grouping val="clustered"/>
        <c:varyColors val="0"/>
        <c:ser>
          <c:idx val="1"/>
          <c:order val="0"/>
          <c:tx>
            <c:v>B99/100</c:v>
          </c:tx>
          <c:spPr>
            <a:solidFill>
              <a:srgbClr val="A6CEE3"/>
            </a:solidFill>
            <a:ln>
              <a:solidFill>
                <a:sysClr val="windowText" lastClr="000000"/>
              </a:solidFill>
            </a:ln>
            <a:effectLst/>
          </c:spPr>
          <c:invertIfNegative val="0"/>
          <c:cat>
            <c:numRef>
              <c:f>BIODIESEL!$B$18:$M$18</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BIODIESEL!$B$27:$M$27</c:f>
              <c:numCache>
                <c:formatCode>0.0</c:formatCode>
                <c:ptCount val="12"/>
                <c:pt idx="0">
                  <c:v>3.6274999999999999</c:v>
                </c:pt>
                <c:pt idx="1">
                  <c:v>3.4175</c:v>
                </c:pt>
                <c:pt idx="2">
                  <c:v>4.2275</c:v>
                </c:pt>
                <c:pt idx="3">
                  <c:v>4.2125000000000004</c:v>
                </c:pt>
                <c:pt idx="4">
                  <c:v>4.18</c:v>
                </c:pt>
                <c:pt idx="5">
                  <c:v>3.6150000000000002</c:v>
                </c:pt>
                <c:pt idx="6">
                  <c:v>3</c:v>
                </c:pt>
                <c:pt idx="7">
                  <c:v>3.12</c:v>
                </c:pt>
                <c:pt idx="8">
                  <c:v>3.4625000000000004</c:v>
                </c:pt>
                <c:pt idx="9">
                  <c:v>3.5350000000000001</c:v>
                </c:pt>
                <c:pt idx="10">
                  <c:v>3.3574999999999999</c:v>
                </c:pt>
                <c:pt idx="11">
                  <c:v>3.4725000000000001</c:v>
                </c:pt>
              </c:numCache>
            </c:numRef>
          </c:val>
          <c:extLst>
            <c:ext xmlns:c16="http://schemas.microsoft.com/office/drawing/2014/chart" uri="{C3380CC4-5D6E-409C-BE32-E72D297353CC}">
              <c16:uniqueId val="{00000000-F48C-4E77-A087-1B524943CDD9}"/>
            </c:ext>
          </c:extLst>
        </c:ser>
        <c:ser>
          <c:idx val="0"/>
          <c:order val="1"/>
          <c:tx>
            <c:v>B20</c:v>
          </c:tx>
          <c:spPr>
            <a:solidFill>
              <a:srgbClr val="FDBF6F"/>
            </a:solidFill>
            <a:ln>
              <a:solidFill>
                <a:sysClr val="windowText" lastClr="000000"/>
              </a:solidFill>
            </a:ln>
            <a:effectLst/>
          </c:spPr>
          <c:invertIfNegative val="0"/>
          <c:cat>
            <c:numRef>
              <c:f>BIODIESEL!$B$18:$M$18</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BIODIESEL!$B$28:$M$28</c:f>
              <c:numCache>
                <c:formatCode>0.0</c:formatCode>
                <c:ptCount val="12"/>
                <c:pt idx="0">
                  <c:v>2.8</c:v>
                </c:pt>
                <c:pt idx="1">
                  <c:v>3.5300000000000002</c:v>
                </c:pt>
                <c:pt idx="2">
                  <c:v>3.6875</c:v>
                </c:pt>
                <c:pt idx="3">
                  <c:v>3.6675</c:v>
                </c:pt>
                <c:pt idx="4">
                  <c:v>3.5975000000000001</c:v>
                </c:pt>
                <c:pt idx="5">
                  <c:v>2.6349999999999998</c:v>
                </c:pt>
                <c:pt idx="6">
                  <c:v>2.1674999999999995</c:v>
                </c:pt>
                <c:pt idx="7">
                  <c:v>2.3025000000000002</c:v>
                </c:pt>
                <c:pt idx="8">
                  <c:v>2.6675</c:v>
                </c:pt>
                <c:pt idx="9">
                  <c:v>2.5674999999999999</c:v>
                </c:pt>
                <c:pt idx="10">
                  <c:v>2.2250000000000001</c:v>
                </c:pt>
                <c:pt idx="11">
                  <c:v>2.6025</c:v>
                </c:pt>
              </c:numCache>
            </c:numRef>
          </c:val>
          <c:extLst>
            <c:ext xmlns:c16="http://schemas.microsoft.com/office/drawing/2014/chart" uri="{C3380CC4-5D6E-409C-BE32-E72D297353CC}">
              <c16:uniqueId val="{00000001-F48C-4E77-A087-1B524943CDD9}"/>
            </c:ext>
          </c:extLst>
        </c:ser>
        <c:ser>
          <c:idx val="2"/>
          <c:order val="2"/>
          <c:tx>
            <c:v>Diesel</c:v>
          </c:tx>
          <c:spPr>
            <a:solidFill>
              <a:schemeClr val="bg1">
                <a:lumMod val="85000"/>
              </a:schemeClr>
            </a:solidFill>
            <a:ln>
              <a:solidFill>
                <a:sysClr val="windowText" lastClr="000000"/>
              </a:solidFill>
            </a:ln>
            <a:effectLst/>
          </c:spPr>
          <c:invertIfNegative val="0"/>
          <c:cat>
            <c:numRef>
              <c:f>BIODIESEL!$B$18:$M$18</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BIODIESEL!$B$29:$M$29</c:f>
              <c:numCache>
                <c:formatCode>0.0</c:formatCode>
                <c:ptCount val="12"/>
                <c:pt idx="0">
                  <c:v>2.67</c:v>
                </c:pt>
                <c:pt idx="1">
                  <c:v>3.4175</c:v>
                </c:pt>
                <c:pt idx="2">
                  <c:v>3.5525000000000002</c:v>
                </c:pt>
                <c:pt idx="3">
                  <c:v>3.5349999999999997</c:v>
                </c:pt>
                <c:pt idx="4">
                  <c:v>3.4850000000000003</c:v>
                </c:pt>
                <c:pt idx="5">
                  <c:v>2.5549999999999997</c:v>
                </c:pt>
                <c:pt idx="6">
                  <c:v>2.0724999999999998</c:v>
                </c:pt>
                <c:pt idx="7">
                  <c:v>2.3075000000000001</c:v>
                </c:pt>
                <c:pt idx="8">
                  <c:v>2.8025000000000002</c:v>
                </c:pt>
                <c:pt idx="9">
                  <c:v>2.7124999999999999</c:v>
                </c:pt>
                <c:pt idx="10">
                  <c:v>2.3425000000000002</c:v>
                </c:pt>
                <c:pt idx="11">
                  <c:v>2.78</c:v>
                </c:pt>
              </c:numCache>
            </c:numRef>
          </c:val>
          <c:extLst>
            <c:ext xmlns:c16="http://schemas.microsoft.com/office/drawing/2014/chart" uri="{C3380CC4-5D6E-409C-BE32-E72D297353CC}">
              <c16:uniqueId val="{00000002-F48C-4E77-A087-1B524943CDD9}"/>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max val="5"/>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 per gasoline</a:t>
                </a:r>
                <a:r>
                  <a:rPr lang="en-US" sz="1000" baseline="0">
                    <a:solidFill>
                      <a:sysClr val="windowText" lastClr="000000"/>
                    </a:solidFill>
                  </a:rPr>
                  <a:t> </a:t>
                </a:r>
                <a:r>
                  <a:rPr lang="en-US" sz="1000">
                    <a:solidFill>
                      <a:sysClr val="windowText" lastClr="000000"/>
                    </a:solidFill>
                  </a:rPr>
                  <a:t>gallon equivalent</a:t>
                </a:r>
              </a:p>
            </c:rich>
          </c:tx>
          <c:layout>
            <c:manualLayout>
              <c:xMode val="edge"/>
              <c:yMode val="edge"/>
              <c:x val="1.5873048042090752E-2"/>
              <c:y val="0.171997014184281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0.11830880514935634"/>
          <c:y val="4.2086340769903759E-2"/>
          <c:w val="0.46578723493149371"/>
          <c:h val="5.9844175325817615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Tallow</c:v>
          </c:tx>
          <c:spPr>
            <a:solidFill>
              <a:srgbClr val="A6CEE3"/>
            </a:solidFill>
            <a:ln>
              <a:solidFill>
                <a:sysClr val="windowText" lastClr="000000"/>
              </a:solidFill>
            </a:ln>
            <a:effectLst/>
          </c:spPr>
          <c:invertIfNegative val="0"/>
          <c:cat>
            <c:numRef>
              <c:f>FATS!$D$3:$N$3</c:f>
              <c:numCache>
                <c:formatCode>General</c:formatCode>
                <c:ptCount val="11"/>
                <c:pt idx="0">
                  <c:v>2011</c:v>
                </c:pt>
                <c:pt idx="1">
                  <c:v>2012</c:v>
                </c:pt>
                <c:pt idx="2">
                  <c:v>2013</c:v>
                </c:pt>
                <c:pt idx="3">
                  <c:v>2014</c:v>
                </c:pt>
                <c:pt idx="4">
                  <c:v>2015</c:v>
                </c:pt>
                <c:pt idx="5">
                  <c:v>2016</c:v>
                </c:pt>
                <c:pt idx="6">
                  <c:v>2017</c:v>
                </c:pt>
                <c:pt idx="7">
                  <c:v>2018</c:v>
                </c:pt>
                <c:pt idx="8">
                  <c:v>2019</c:v>
                </c:pt>
                <c:pt idx="9">
                  <c:v>2020</c:v>
                </c:pt>
                <c:pt idx="10">
                  <c:v>2021</c:v>
                </c:pt>
              </c:numCache>
            </c:numRef>
          </c:cat>
          <c:val>
            <c:numRef>
              <c:f>FATS!$D$6:$N$6</c:f>
              <c:numCache>
                <c:formatCode>0</c:formatCode>
                <c:ptCount val="11"/>
                <c:pt idx="0">
                  <c:v>2646.2</c:v>
                </c:pt>
                <c:pt idx="1">
                  <c:v>2608.6999999999998</c:v>
                </c:pt>
                <c:pt idx="2">
                  <c:v>2589.3000000000002</c:v>
                </c:pt>
                <c:pt idx="3">
                  <c:v>2441.4</c:v>
                </c:pt>
                <c:pt idx="4">
                  <c:v>2385.6999999999998</c:v>
                </c:pt>
                <c:pt idx="5">
                  <c:v>2559.5</c:v>
                </c:pt>
                <c:pt idx="6">
                  <c:v>2594.9</c:v>
                </c:pt>
                <c:pt idx="7">
                  <c:v>2770.8</c:v>
                </c:pt>
                <c:pt idx="8">
                  <c:v>2767.4</c:v>
                </c:pt>
                <c:pt idx="9">
                  <c:v>2601.9</c:v>
                </c:pt>
                <c:pt idx="10">
                  <c:v>2860.8</c:v>
                </c:pt>
              </c:numCache>
            </c:numRef>
          </c:val>
          <c:extLst>
            <c:ext xmlns:c16="http://schemas.microsoft.com/office/drawing/2014/chart" uri="{C3380CC4-5D6E-409C-BE32-E72D297353CC}">
              <c16:uniqueId val="{00000001-548A-4152-8EDD-A37E8E33814F}"/>
            </c:ext>
          </c:extLst>
        </c:ser>
        <c:ser>
          <c:idx val="1"/>
          <c:order val="1"/>
          <c:tx>
            <c:v>Poultry Fat</c:v>
          </c:tx>
          <c:spPr>
            <a:solidFill>
              <a:srgbClr val="FB9A99"/>
            </a:solidFill>
            <a:ln>
              <a:solidFill>
                <a:sysClr val="windowText" lastClr="000000"/>
              </a:solidFill>
            </a:ln>
            <a:effectLst/>
          </c:spPr>
          <c:invertIfNegative val="0"/>
          <c:cat>
            <c:numRef>
              <c:f>FATS!$D$3:$N$3</c:f>
              <c:numCache>
                <c:formatCode>General</c:formatCode>
                <c:ptCount val="11"/>
                <c:pt idx="0">
                  <c:v>2011</c:v>
                </c:pt>
                <c:pt idx="1">
                  <c:v>2012</c:v>
                </c:pt>
                <c:pt idx="2">
                  <c:v>2013</c:v>
                </c:pt>
                <c:pt idx="3">
                  <c:v>2014</c:v>
                </c:pt>
                <c:pt idx="4">
                  <c:v>2015</c:v>
                </c:pt>
                <c:pt idx="5">
                  <c:v>2016</c:v>
                </c:pt>
                <c:pt idx="6">
                  <c:v>2017</c:v>
                </c:pt>
                <c:pt idx="7">
                  <c:v>2018</c:v>
                </c:pt>
                <c:pt idx="8">
                  <c:v>2019</c:v>
                </c:pt>
                <c:pt idx="9">
                  <c:v>2020</c:v>
                </c:pt>
                <c:pt idx="10">
                  <c:v>2021</c:v>
                </c:pt>
              </c:numCache>
            </c:numRef>
          </c:cat>
          <c:val>
            <c:numRef>
              <c:f>FATS!$D$5:$N$5</c:f>
              <c:numCache>
                <c:formatCode>0</c:formatCode>
                <c:ptCount val="11"/>
                <c:pt idx="0">
                  <c:v>1004.9</c:v>
                </c:pt>
                <c:pt idx="1">
                  <c:v>1025.2</c:v>
                </c:pt>
                <c:pt idx="2">
                  <c:v>1040.2</c:v>
                </c:pt>
                <c:pt idx="3">
                  <c:v>1056.5</c:v>
                </c:pt>
                <c:pt idx="4">
                  <c:v>1088.8</c:v>
                </c:pt>
                <c:pt idx="5">
                  <c:v>1113.3</c:v>
                </c:pt>
                <c:pt idx="6">
                  <c:v>1095.3</c:v>
                </c:pt>
                <c:pt idx="7">
                  <c:v>1025.5999999999999</c:v>
                </c:pt>
                <c:pt idx="8">
                  <c:v>1133.9000000000001</c:v>
                </c:pt>
                <c:pt idx="9">
                  <c:v>1146.5</c:v>
                </c:pt>
                <c:pt idx="10">
                  <c:v>957.1</c:v>
                </c:pt>
              </c:numCache>
            </c:numRef>
          </c:val>
          <c:extLst>
            <c:ext xmlns:c16="http://schemas.microsoft.com/office/drawing/2014/chart" uri="{C3380CC4-5D6E-409C-BE32-E72D297353CC}">
              <c16:uniqueId val="{00000000-548A-4152-8EDD-A37E8E33814F}"/>
            </c:ext>
          </c:extLst>
        </c:ser>
        <c:ser>
          <c:idx val="3"/>
          <c:order val="2"/>
          <c:tx>
            <c:v>Yellow Grease</c:v>
          </c:tx>
          <c:spPr>
            <a:solidFill>
              <a:srgbClr val="FDBF6F"/>
            </a:solidFill>
            <a:ln>
              <a:solidFill>
                <a:sysClr val="windowText" lastClr="000000"/>
              </a:solidFill>
            </a:ln>
            <a:effectLst/>
          </c:spPr>
          <c:invertIfNegative val="0"/>
          <c:cat>
            <c:numRef>
              <c:f>FATS!$D$3:$N$3</c:f>
              <c:numCache>
                <c:formatCode>General</c:formatCode>
                <c:ptCount val="11"/>
                <c:pt idx="0">
                  <c:v>2011</c:v>
                </c:pt>
                <c:pt idx="1">
                  <c:v>2012</c:v>
                </c:pt>
                <c:pt idx="2">
                  <c:v>2013</c:v>
                </c:pt>
                <c:pt idx="3">
                  <c:v>2014</c:v>
                </c:pt>
                <c:pt idx="4">
                  <c:v>2015</c:v>
                </c:pt>
                <c:pt idx="5">
                  <c:v>2016</c:v>
                </c:pt>
                <c:pt idx="6">
                  <c:v>2017</c:v>
                </c:pt>
                <c:pt idx="7">
                  <c:v>2018</c:v>
                </c:pt>
                <c:pt idx="8">
                  <c:v>2019</c:v>
                </c:pt>
                <c:pt idx="9">
                  <c:v>2020</c:v>
                </c:pt>
                <c:pt idx="10">
                  <c:v>2021</c:v>
                </c:pt>
              </c:numCache>
            </c:numRef>
          </c:cat>
          <c:val>
            <c:numRef>
              <c:f>FATS!$D$8:$N$8</c:f>
              <c:numCache>
                <c:formatCode>0</c:formatCode>
                <c:ptCount val="11"/>
                <c:pt idx="0">
                  <c:v>906.4</c:v>
                </c:pt>
                <c:pt idx="1">
                  <c:v>885.9</c:v>
                </c:pt>
                <c:pt idx="2">
                  <c:v>896.4</c:v>
                </c:pt>
                <c:pt idx="3">
                  <c:v>933.2</c:v>
                </c:pt>
                <c:pt idx="4">
                  <c:v>926.4</c:v>
                </c:pt>
                <c:pt idx="5">
                  <c:v>916.4</c:v>
                </c:pt>
                <c:pt idx="6">
                  <c:v>913</c:v>
                </c:pt>
                <c:pt idx="7">
                  <c:v>992.2</c:v>
                </c:pt>
                <c:pt idx="8">
                  <c:v>1007.7</c:v>
                </c:pt>
                <c:pt idx="9">
                  <c:v>1345.4</c:v>
                </c:pt>
                <c:pt idx="10">
                  <c:v>1349.3</c:v>
                </c:pt>
              </c:numCache>
            </c:numRef>
          </c:val>
          <c:extLst>
            <c:ext xmlns:c16="http://schemas.microsoft.com/office/drawing/2014/chart" uri="{C3380CC4-5D6E-409C-BE32-E72D297353CC}">
              <c16:uniqueId val="{00000003-548A-4152-8EDD-A37E8E33814F}"/>
            </c:ext>
          </c:extLst>
        </c:ser>
        <c:ser>
          <c:idx val="2"/>
          <c:order val="3"/>
          <c:tx>
            <c:v>White Grease</c:v>
          </c:tx>
          <c:spPr>
            <a:solidFill>
              <a:srgbClr val="B2DF8A"/>
            </a:solidFill>
            <a:ln>
              <a:solidFill>
                <a:sysClr val="windowText" lastClr="000000"/>
              </a:solidFill>
            </a:ln>
            <a:effectLst/>
          </c:spPr>
          <c:invertIfNegative val="0"/>
          <c:cat>
            <c:numRef>
              <c:f>FATS!$D$3:$N$3</c:f>
              <c:numCache>
                <c:formatCode>General</c:formatCode>
                <c:ptCount val="11"/>
                <c:pt idx="0">
                  <c:v>2011</c:v>
                </c:pt>
                <c:pt idx="1">
                  <c:v>2012</c:v>
                </c:pt>
                <c:pt idx="2">
                  <c:v>2013</c:v>
                </c:pt>
                <c:pt idx="3">
                  <c:v>2014</c:v>
                </c:pt>
                <c:pt idx="4">
                  <c:v>2015</c:v>
                </c:pt>
                <c:pt idx="5">
                  <c:v>2016</c:v>
                </c:pt>
                <c:pt idx="6">
                  <c:v>2017</c:v>
                </c:pt>
                <c:pt idx="7">
                  <c:v>2018</c:v>
                </c:pt>
                <c:pt idx="8">
                  <c:v>2019</c:v>
                </c:pt>
                <c:pt idx="9">
                  <c:v>2020</c:v>
                </c:pt>
                <c:pt idx="10">
                  <c:v>2021</c:v>
                </c:pt>
              </c:numCache>
            </c:numRef>
          </c:cat>
          <c:val>
            <c:numRef>
              <c:f>FATS!$D$7:$N$7</c:f>
              <c:numCache>
                <c:formatCode>0</c:formatCode>
                <c:ptCount val="11"/>
                <c:pt idx="0">
                  <c:v>721.5</c:v>
                </c:pt>
                <c:pt idx="1">
                  <c:v>720</c:v>
                </c:pt>
                <c:pt idx="2">
                  <c:v>718</c:v>
                </c:pt>
                <c:pt idx="3">
                  <c:v>707.3</c:v>
                </c:pt>
                <c:pt idx="4">
                  <c:v>758.7</c:v>
                </c:pt>
                <c:pt idx="5">
                  <c:v>787.6</c:v>
                </c:pt>
                <c:pt idx="6">
                  <c:v>750.5</c:v>
                </c:pt>
                <c:pt idx="7">
                  <c:v>736.8</c:v>
                </c:pt>
                <c:pt idx="8">
                  <c:v>768.9</c:v>
                </c:pt>
                <c:pt idx="9">
                  <c:v>734.2</c:v>
                </c:pt>
                <c:pt idx="10">
                  <c:v>697.6</c:v>
                </c:pt>
              </c:numCache>
            </c:numRef>
          </c:val>
          <c:extLst>
            <c:ext xmlns:c16="http://schemas.microsoft.com/office/drawing/2014/chart" uri="{C3380CC4-5D6E-409C-BE32-E72D297353CC}">
              <c16:uniqueId val="{00000002-548A-4152-8EDD-A37E8E33814F}"/>
            </c:ext>
          </c:extLst>
        </c:ser>
        <c:ser>
          <c:idx val="4"/>
          <c:order val="4"/>
          <c:tx>
            <c:v>Other fats</c:v>
          </c:tx>
          <c:spPr>
            <a:solidFill>
              <a:srgbClr val="CAB2D6"/>
            </a:solidFill>
            <a:ln>
              <a:solidFill>
                <a:sysClr val="windowText" lastClr="000000"/>
              </a:solidFill>
            </a:ln>
            <a:effectLst/>
          </c:spPr>
          <c:invertIfNegative val="0"/>
          <c:cat>
            <c:numRef>
              <c:f>FATS!$D$3:$N$3</c:f>
              <c:numCache>
                <c:formatCode>General</c:formatCode>
                <c:ptCount val="11"/>
                <c:pt idx="0">
                  <c:v>2011</c:v>
                </c:pt>
                <c:pt idx="1">
                  <c:v>2012</c:v>
                </c:pt>
                <c:pt idx="2">
                  <c:v>2013</c:v>
                </c:pt>
                <c:pt idx="3">
                  <c:v>2014</c:v>
                </c:pt>
                <c:pt idx="4">
                  <c:v>2015</c:v>
                </c:pt>
                <c:pt idx="5">
                  <c:v>2016</c:v>
                </c:pt>
                <c:pt idx="6">
                  <c:v>2017</c:v>
                </c:pt>
                <c:pt idx="7">
                  <c:v>2018</c:v>
                </c:pt>
                <c:pt idx="8">
                  <c:v>2019</c:v>
                </c:pt>
                <c:pt idx="9">
                  <c:v>2020</c:v>
                </c:pt>
                <c:pt idx="10">
                  <c:v>2021</c:v>
                </c:pt>
              </c:numCache>
            </c:numRef>
          </c:cat>
          <c:val>
            <c:numRef>
              <c:f>FATS!$D$9:$N$9</c:f>
              <c:numCache>
                <c:formatCode>0</c:formatCode>
                <c:ptCount val="11"/>
                <c:pt idx="0">
                  <c:v>345.2</c:v>
                </c:pt>
                <c:pt idx="1">
                  <c:v>348.6</c:v>
                </c:pt>
                <c:pt idx="2">
                  <c:v>346.7</c:v>
                </c:pt>
                <c:pt idx="3">
                  <c:v>333.9</c:v>
                </c:pt>
                <c:pt idx="4">
                  <c:v>341.7</c:v>
                </c:pt>
                <c:pt idx="5">
                  <c:v>336</c:v>
                </c:pt>
                <c:pt idx="6">
                  <c:v>369.2</c:v>
                </c:pt>
                <c:pt idx="7">
                  <c:v>285.89999999999998</c:v>
                </c:pt>
                <c:pt idx="8">
                  <c:v>209.4</c:v>
                </c:pt>
                <c:pt idx="9">
                  <c:v>207.2</c:v>
                </c:pt>
                <c:pt idx="10">
                  <c:v>229.2</c:v>
                </c:pt>
              </c:numCache>
            </c:numRef>
          </c:val>
          <c:extLst>
            <c:ext xmlns:c16="http://schemas.microsoft.com/office/drawing/2014/chart" uri="{C3380CC4-5D6E-409C-BE32-E72D297353CC}">
              <c16:uniqueId val="{00000004-548A-4152-8EDD-A37E8E33814F}"/>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Thousand metric tons</a:t>
                </a:r>
              </a:p>
            </c:rich>
          </c:tx>
          <c:layout>
            <c:manualLayout>
              <c:xMode val="edge"/>
              <c:yMode val="edge"/>
              <c:x val="1.5872933633710156E-2"/>
              <c:y val="0.336835471667475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0.13172353455818023"/>
          <c:y val="5.9482447506561682E-2"/>
          <c:w val="0.600578912158928"/>
          <c:h val="5.8453383195599791E-2"/>
        </c:manualLayout>
      </c:layout>
      <c:overlay val="1"/>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Tallow</c:v>
          </c:tx>
          <c:spPr>
            <a:solidFill>
              <a:srgbClr val="A6CEE3"/>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FATS!$D$12:$K$12</c:f>
              <c:numCache>
                <c:formatCode>0</c:formatCode>
                <c:ptCount val="8"/>
                <c:pt idx="0">
                  <c:v>1792.3</c:v>
                </c:pt>
                <c:pt idx="1">
                  <c:v>1934.5</c:v>
                </c:pt>
                <c:pt idx="2">
                  <c:v>1990.3</c:v>
                </c:pt>
                <c:pt idx="3">
                  <c:v>1899.6</c:v>
                </c:pt>
                <c:pt idx="4">
                  <c:v>1846.8</c:v>
                </c:pt>
                <c:pt idx="5">
                  <c:v>2084.4</c:v>
                </c:pt>
                <c:pt idx="6">
                  <c:v>2116.1</c:v>
                </c:pt>
                <c:pt idx="7">
                  <c:v>2150</c:v>
                </c:pt>
              </c:numCache>
            </c:numRef>
          </c:val>
          <c:extLst>
            <c:ext xmlns:c16="http://schemas.microsoft.com/office/drawing/2014/chart" uri="{C3380CC4-5D6E-409C-BE32-E72D297353CC}">
              <c16:uniqueId val="{00000000-5A44-43BF-B50E-514209A231B5}"/>
            </c:ext>
          </c:extLst>
        </c:ser>
        <c:ser>
          <c:idx val="1"/>
          <c:order val="1"/>
          <c:tx>
            <c:v>Poultry Fat</c:v>
          </c:tx>
          <c:spPr>
            <a:solidFill>
              <a:srgbClr val="FB9A99"/>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FATS!$D$11:$K$11</c:f>
              <c:numCache>
                <c:formatCode>0</c:formatCode>
                <c:ptCount val="8"/>
                <c:pt idx="0">
                  <c:v>896</c:v>
                </c:pt>
                <c:pt idx="1">
                  <c:v>931.4</c:v>
                </c:pt>
                <c:pt idx="2">
                  <c:v>952.6</c:v>
                </c:pt>
                <c:pt idx="3">
                  <c:v>959</c:v>
                </c:pt>
                <c:pt idx="4">
                  <c:v>983.7</c:v>
                </c:pt>
                <c:pt idx="5">
                  <c:v>999.4</c:v>
                </c:pt>
                <c:pt idx="6">
                  <c:v>1000.9</c:v>
                </c:pt>
                <c:pt idx="7">
                  <c:v>979.4</c:v>
                </c:pt>
              </c:numCache>
            </c:numRef>
          </c:val>
          <c:extLst>
            <c:ext xmlns:c16="http://schemas.microsoft.com/office/drawing/2014/chart" uri="{C3380CC4-5D6E-409C-BE32-E72D297353CC}">
              <c16:uniqueId val="{00000001-5A44-43BF-B50E-514209A231B5}"/>
            </c:ext>
          </c:extLst>
        </c:ser>
        <c:ser>
          <c:idx val="3"/>
          <c:order val="2"/>
          <c:tx>
            <c:v>Yellow Grease</c:v>
          </c:tx>
          <c:spPr>
            <a:solidFill>
              <a:srgbClr val="FDBF6F"/>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FATS!$D$14:$K$14</c:f>
              <c:numCache>
                <c:formatCode>0</c:formatCode>
                <c:ptCount val="8"/>
                <c:pt idx="0">
                  <c:v>126.5</c:v>
                </c:pt>
                <c:pt idx="1">
                  <c:v>146</c:v>
                </c:pt>
                <c:pt idx="2">
                  <c:v>80.599999999999994</c:v>
                </c:pt>
                <c:pt idx="3">
                  <c:v>123.7</c:v>
                </c:pt>
                <c:pt idx="4">
                  <c:v>126.5</c:v>
                </c:pt>
                <c:pt idx="5">
                  <c:v>23.1</c:v>
                </c:pt>
                <c:pt idx="6">
                  <c:v>0</c:v>
                </c:pt>
                <c:pt idx="7">
                  <c:v>0</c:v>
                </c:pt>
              </c:numCache>
            </c:numRef>
          </c:val>
          <c:extLst>
            <c:ext xmlns:c16="http://schemas.microsoft.com/office/drawing/2014/chart" uri="{C3380CC4-5D6E-409C-BE32-E72D297353CC}">
              <c16:uniqueId val="{00000002-5A44-43BF-B50E-514209A231B5}"/>
            </c:ext>
          </c:extLst>
        </c:ser>
        <c:ser>
          <c:idx val="2"/>
          <c:order val="3"/>
          <c:tx>
            <c:v>White Grease</c:v>
          </c:tx>
          <c:spPr>
            <a:solidFill>
              <a:srgbClr val="B2DF8A"/>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FATS!$D$13:$K$13</c:f>
              <c:numCache>
                <c:formatCode>0</c:formatCode>
                <c:ptCount val="8"/>
                <c:pt idx="0">
                  <c:v>442.4</c:v>
                </c:pt>
                <c:pt idx="1">
                  <c:v>526.4</c:v>
                </c:pt>
                <c:pt idx="2">
                  <c:v>498.5</c:v>
                </c:pt>
                <c:pt idx="3">
                  <c:v>492.5</c:v>
                </c:pt>
                <c:pt idx="4">
                  <c:v>505.9</c:v>
                </c:pt>
                <c:pt idx="5">
                  <c:v>534.79999999999995</c:v>
                </c:pt>
                <c:pt idx="6">
                  <c:v>491.4</c:v>
                </c:pt>
                <c:pt idx="7">
                  <c:v>475</c:v>
                </c:pt>
              </c:numCache>
            </c:numRef>
          </c:val>
          <c:extLst>
            <c:ext xmlns:c16="http://schemas.microsoft.com/office/drawing/2014/chart" uri="{C3380CC4-5D6E-409C-BE32-E72D297353CC}">
              <c16:uniqueId val="{00000003-5A44-43BF-B50E-514209A231B5}"/>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Thousand metric tons</a:t>
                </a:r>
              </a:p>
            </c:rich>
          </c:tx>
          <c:layout>
            <c:manualLayout>
              <c:xMode val="edge"/>
              <c:yMode val="edge"/>
              <c:x val="1.7847873678095108E-2"/>
              <c:y val="0.302578521875477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0.12974860209228198"/>
          <c:y val="4.9205360589262379E-2"/>
          <c:w val="0.51565790378065646"/>
          <c:h val="5.8453383195599791E-2"/>
        </c:manualLayout>
      </c:layout>
      <c:overlay val="1"/>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Tallow</c:v>
          </c:tx>
          <c:spPr>
            <a:solidFill>
              <a:srgbClr val="A6CEE3"/>
            </a:solidFill>
            <a:ln>
              <a:solidFill>
                <a:sysClr val="windowText" lastClr="000000"/>
              </a:solidFill>
            </a:ln>
            <a:effectLst/>
          </c:spPr>
          <c:invertIfNegative val="0"/>
          <c:cat>
            <c:numRef>
              <c:f>FATS!$B$3:$N$3</c:f>
              <c:numCache>
                <c:formatCode>General</c:formatCod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numCache>
            </c:numRef>
          </c:cat>
          <c:val>
            <c:numRef>
              <c:f>FATS!$B$18:$N$18</c:f>
              <c:numCache>
                <c:formatCode>0</c:formatCode>
                <c:ptCount val="13"/>
                <c:pt idx="0">
                  <c:v>240.85761640771071</c:v>
                </c:pt>
                <c:pt idx="1">
                  <c:v>77.11072465030287</c:v>
                </c:pt>
                <c:pt idx="2">
                  <c:v>195.4983666134149</c:v>
                </c:pt>
                <c:pt idx="3">
                  <c:v>174.63311170803883</c:v>
                </c:pt>
                <c:pt idx="4">
                  <c:v>210.92051154347547</c:v>
                </c:pt>
                <c:pt idx="5">
                  <c:v>172.36514921832406</c:v>
                </c:pt>
                <c:pt idx="6">
                  <c:v>195.04477411547197</c:v>
                </c:pt>
                <c:pt idx="7">
                  <c:v>150.59270931706206</c:v>
                </c:pt>
                <c:pt idx="8">
                  <c:v>156.48941179032053</c:v>
                </c:pt>
                <c:pt idx="9">
                  <c:v>219.5387690043917</c:v>
                </c:pt>
                <c:pt idx="10">
                  <c:v>132.4465943127251</c:v>
                </c:pt>
                <c:pt idx="11">
                  <c:v>166.92203924300856</c:v>
                </c:pt>
                <c:pt idx="12">
                  <c:v>604.73859010751062</c:v>
                </c:pt>
              </c:numCache>
            </c:numRef>
          </c:val>
          <c:extLst>
            <c:ext xmlns:c16="http://schemas.microsoft.com/office/drawing/2014/chart" uri="{C3380CC4-5D6E-409C-BE32-E72D297353CC}">
              <c16:uniqueId val="{00000000-FDEB-4558-B670-26296252A01E}"/>
            </c:ext>
          </c:extLst>
        </c:ser>
        <c:ser>
          <c:idx val="1"/>
          <c:order val="1"/>
          <c:tx>
            <c:v>Poultry Fat</c:v>
          </c:tx>
          <c:spPr>
            <a:solidFill>
              <a:srgbClr val="FB9A99"/>
            </a:solidFill>
            <a:ln>
              <a:solidFill>
                <a:sysClr val="windowText" lastClr="000000"/>
              </a:solidFill>
            </a:ln>
            <a:effectLst/>
          </c:spPr>
          <c:invertIfNegative val="0"/>
          <c:cat>
            <c:numRef>
              <c:f>FATS!$B$3:$N$3</c:f>
              <c:numCache>
                <c:formatCode>General</c:formatCod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numCache>
            </c:numRef>
          </c:cat>
          <c:val>
            <c:numRef>
              <c:f>FATS!$B$17:$N$17</c:f>
              <c:numCache>
                <c:formatCode>0</c:formatCode>
                <c:ptCount val="13"/>
                <c:pt idx="0">
                  <c:v>61.234987222299331</c:v>
                </c:pt>
                <c:pt idx="1">
                  <c:v>45.359249794295806</c:v>
                </c:pt>
                <c:pt idx="2">
                  <c:v>108.86219950630993</c:v>
                </c:pt>
                <c:pt idx="3">
                  <c:v>79.832279637960625</c:v>
                </c:pt>
                <c:pt idx="4">
                  <c:v>73.028392168816254</c:v>
                </c:pt>
                <c:pt idx="5">
                  <c:v>79.832279637960625</c:v>
                </c:pt>
                <c:pt idx="6">
                  <c:v>89.35772209476275</c:v>
                </c:pt>
                <c:pt idx="7">
                  <c:v>99.790349547450759</c:v>
                </c:pt>
                <c:pt idx="8">
                  <c:v>72.121207172930326</c:v>
                </c:pt>
                <c:pt idx="9">
                  <c:v>51.255952267554257</c:v>
                </c:pt>
                <c:pt idx="10">
                  <c:v>73.934229017034895</c:v>
                </c:pt>
                <c:pt idx="11">
                  <c:v>78.471502144131733</c:v>
                </c:pt>
                <c:pt idx="12">
                  <c:v>139.43433386766532</c:v>
                </c:pt>
              </c:numCache>
            </c:numRef>
          </c:val>
          <c:extLst>
            <c:ext xmlns:c16="http://schemas.microsoft.com/office/drawing/2014/chart" uri="{C3380CC4-5D6E-409C-BE32-E72D297353CC}">
              <c16:uniqueId val="{00000001-FDEB-4558-B670-26296252A01E}"/>
            </c:ext>
          </c:extLst>
        </c:ser>
        <c:ser>
          <c:idx val="3"/>
          <c:order val="2"/>
          <c:tx>
            <c:v>Yellow Grease</c:v>
          </c:tx>
          <c:spPr>
            <a:solidFill>
              <a:srgbClr val="FDBF6F"/>
            </a:solidFill>
            <a:ln>
              <a:solidFill>
                <a:sysClr val="windowText" lastClr="000000"/>
              </a:solidFill>
            </a:ln>
            <a:effectLst/>
          </c:spPr>
          <c:invertIfNegative val="0"/>
          <c:cat>
            <c:numRef>
              <c:f>FATS!$B$3:$N$3</c:f>
              <c:numCache>
                <c:formatCode>General</c:formatCod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numCache>
            </c:numRef>
          </c:cat>
          <c:val>
            <c:numRef>
              <c:f>FATS!$B$20:$N$20</c:f>
              <c:numCache>
                <c:formatCode>0</c:formatCode>
                <c:ptCount val="13"/>
                <c:pt idx="0">
                  <c:v>70.760429679101463</c:v>
                </c:pt>
                <c:pt idx="1">
                  <c:v>111.58375449396769</c:v>
                </c:pt>
                <c:pt idx="2">
                  <c:v>213.64206653113325</c:v>
                </c:pt>
                <c:pt idx="3">
                  <c:v>303.90697362178184</c:v>
                </c:pt>
                <c:pt idx="4">
                  <c:v>474.45775284833417</c:v>
                </c:pt>
                <c:pt idx="5">
                  <c:v>487.15834279073698</c:v>
                </c:pt>
                <c:pt idx="6">
                  <c:v>568.80499242046949</c:v>
                </c:pt>
                <c:pt idx="7">
                  <c:v>630.03997964276869</c:v>
                </c:pt>
                <c:pt idx="8">
                  <c:v>667.23456447409137</c:v>
                </c:pt>
                <c:pt idx="9">
                  <c:v>756.59228656885398</c:v>
                </c:pt>
                <c:pt idx="10">
                  <c:v>655.42920815714979</c:v>
                </c:pt>
                <c:pt idx="11">
                  <c:v>477.6329003339348</c:v>
                </c:pt>
                <c:pt idx="12">
                  <c:v>1535.2423227201762</c:v>
                </c:pt>
              </c:numCache>
            </c:numRef>
          </c:val>
          <c:extLst>
            <c:ext xmlns:c16="http://schemas.microsoft.com/office/drawing/2014/chart" uri="{C3380CC4-5D6E-409C-BE32-E72D297353CC}">
              <c16:uniqueId val="{00000002-FDEB-4558-B670-26296252A01E}"/>
            </c:ext>
          </c:extLst>
        </c:ser>
        <c:ser>
          <c:idx val="2"/>
          <c:order val="3"/>
          <c:tx>
            <c:v>White Grease</c:v>
          </c:tx>
          <c:spPr>
            <a:solidFill>
              <a:srgbClr val="B2DF8A"/>
            </a:solidFill>
            <a:ln>
              <a:solidFill>
                <a:sysClr val="windowText" lastClr="000000"/>
              </a:solidFill>
            </a:ln>
            <a:effectLst/>
          </c:spPr>
          <c:invertIfNegative val="0"/>
          <c:cat>
            <c:numRef>
              <c:f>FATS!$B$3:$N$3</c:f>
              <c:numCache>
                <c:formatCode>General</c:formatCod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numCache>
            </c:numRef>
          </c:cat>
          <c:val>
            <c:numRef>
              <c:f>FATS!$B$19:$N$19</c:f>
              <c:numCache>
                <c:formatCode>0</c:formatCode>
                <c:ptCount val="13"/>
                <c:pt idx="0">
                  <c:v>151.49989431294802</c:v>
                </c:pt>
                <c:pt idx="1">
                  <c:v>151.04630181500505</c:v>
                </c:pt>
                <c:pt idx="2">
                  <c:v>241.76480140359661</c:v>
                </c:pt>
                <c:pt idx="3">
                  <c:v>185.06573916072688</c:v>
                </c:pt>
                <c:pt idx="4">
                  <c:v>212.28128903730436</c:v>
                </c:pt>
                <c:pt idx="5">
                  <c:v>193.6839966216431</c:v>
                </c:pt>
                <c:pt idx="6">
                  <c:v>267.16598128840229</c:v>
                </c:pt>
                <c:pt idx="7">
                  <c:v>262.17646381102975</c:v>
                </c:pt>
                <c:pt idx="8">
                  <c:v>268.07316628428822</c:v>
                </c:pt>
                <c:pt idx="9">
                  <c:v>280.32016372874807</c:v>
                </c:pt>
                <c:pt idx="10">
                  <c:v>243.12114572472822</c:v>
                </c:pt>
                <c:pt idx="11">
                  <c:v>277.59860874109035</c:v>
                </c:pt>
                <c:pt idx="12">
                  <c:v>314.76869957752399</c:v>
                </c:pt>
              </c:numCache>
            </c:numRef>
          </c:val>
          <c:extLst>
            <c:ext xmlns:c16="http://schemas.microsoft.com/office/drawing/2014/chart" uri="{C3380CC4-5D6E-409C-BE32-E72D297353CC}">
              <c16:uniqueId val="{00000003-FDEB-4558-B670-26296252A01E}"/>
            </c:ext>
          </c:extLst>
        </c:ser>
        <c:ser>
          <c:idx val="4"/>
          <c:order val="4"/>
          <c:tx>
            <c:v>Other fats</c:v>
          </c:tx>
          <c:spPr>
            <a:solidFill>
              <a:srgbClr val="CAB2D6"/>
            </a:solidFill>
            <a:ln>
              <a:solidFill>
                <a:sysClr val="windowText" lastClr="000000"/>
              </a:solidFill>
            </a:ln>
            <a:effectLst/>
          </c:spPr>
          <c:invertIfNegative val="0"/>
          <c:cat>
            <c:numRef>
              <c:f>FATS!$B$3:$N$3</c:f>
              <c:numCache>
                <c:formatCode>General</c:formatCod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numCache>
            </c:numRef>
          </c:cat>
          <c:val>
            <c:numRef>
              <c:f>FATS!$B$21:$N$21</c:f>
              <c:numCache>
                <c:formatCode>0</c:formatCode>
                <c:ptCount val="13"/>
                <c:pt idx="0">
                  <c:v>37.648177329265515</c:v>
                </c:pt>
                <c:pt idx="1">
                  <c:v>37.194584831322565</c:v>
                </c:pt>
                <c:pt idx="2">
                  <c:v>127.00589942402827</c:v>
                </c:pt>
                <c:pt idx="3">
                  <c:v>152.86067180677688</c:v>
                </c:pt>
                <c:pt idx="4">
                  <c:v>148.3247468273473</c:v>
                </c:pt>
                <c:pt idx="5">
                  <c:v>97.975979555678947</c:v>
                </c:pt>
                <c:pt idx="6">
                  <c:v>80.739464633846524</c:v>
                </c:pt>
                <c:pt idx="7">
                  <c:v>31.297882358064104</c:v>
                </c:pt>
                <c:pt idx="8">
                  <c:v>29.02991986834931</c:v>
                </c:pt>
                <c:pt idx="9">
                  <c:v>100.24394204539374</c:v>
                </c:pt>
                <c:pt idx="10">
                  <c:v>0</c:v>
                </c:pt>
                <c:pt idx="11">
                  <c:v>16.782922423889449</c:v>
                </c:pt>
                <c:pt idx="12">
                  <c:v>35.674596370715697</c:v>
                </c:pt>
              </c:numCache>
            </c:numRef>
          </c:val>
          <c:extLst>
            <c:ext xmlns:c16="http://schemas.microsoft.com/office/drawing/2014/chart" uri="{C3380CC4-5D6E-409C-BE32-E72D297353CC}">
              <c16:uniqueId val="{00000004-FDEB-4558-B670-26296252A01E}"/>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Thousand metric tons</a:t>
                </a:r>
              </a:p>
            </c:rich>
          </c:tx>
          <c:layout>
            <c:manualLayout>
              <c:xMode val="edge"/>
              <c:yMode val="edge"/>
              <c:x val="1.7847873678095108E-2"/>
              <c:y val="0.302578521875477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0.12974860209228198"/>
          <c:y val="4.9205360589262379E-2"/>
          <c:w val="0.70899269407506282"/>
          <c:h val="5.9247320647419076E-2"/>
        </c:manualLayout>
      </c:layout>
      <c:overlay val="1"/>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Feed &amp; Food</c:v>
          </c:tx>
          <c:spPr>
            <a:solidFill>
              <a:srgbClr val="A6CEE3"/>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FATS!$D$15:$K$15</c:f>
              <c:numCache>
                <c:formatCode>0</c:formatCode>
                <c:ptCount val="8"/>
                <c:pt idx="0">
                  <c:v>3257.2000000000003</c:v>
                </c:pt>
                <c:pt idx="1">
                  <c:v>3538.3</c:v>
                </c:pt>
                <c:pt idx="2">
                  <c:v>3522</c:v>
                </c:pt>
                <c:pt idx="3">
                  <c:v>3474.7999999999997</c:v>
                </c:pt>
                <c:pt idx="4">
                  <c:v>3462.9</c:v>
                </c:pt>
                <c:pt idx="5">
                  <c:v>3641.7000000000003</c:v>
                </c:pt>
                <c:pt idx="6">
                  <c:v>3608.4</c:v>
                </c:pt>
                <c:pt idx="7">
                  <c:v>3604.4</c:v>
                </c:pt>
              </c:numCache>
            </c:numRef>
          </c:val>
          <c:extLst>
            <c:ext xmlns:c16="http://schemas.microsoft.com/office/drawing/2014/chart" uri="{C3380CC4-5D6E-409C-BE32-E72D297353CC}">
              <c16:uniqueId val="{00000000-921D-424B-810C-9F0549110A32}"/>
            </c:ext>
          </c:extLst>
        </c:ser>
        <c:ser>
          <c:idx val="1"/>
          <c:order val="1"/>
          <c:tx>
            <c:v>Biodiesel</c:v>
          </c:tx>
          <c:spPr>
            <a:solidFill>
              <a:srgbClr val="FB9A99"/>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FATS!$D$22:$K$22</c:f>
              <c:numCache>
                <c:formatCode>0</c:formatCode>
                <c:ptCount val="8"/>
                <c:pt idx="0">
                  <c:v>886.77333347848298</c:v>
                </c:pt>
                <c:pt idx="1">
                  <c:v>896.29877593528499</c:v>
                </c:pt>
                <c:pt idx="2">
                  <c:v>1119.0126924252775</c:v>
                </c:pt>
                <c:pt idx="3">
                  <c:v>1031.0157478243439</c:v>
                </c:pt>
                <c:pt idx="4">
                  <c:v>1201.112934552953</c:v>
                </c:pt>
                <c:pt idx="5">
                  <c:v>1173.8973846763754</c:v>
                </c:pt>
                <c:pt idx="6">
                  <c:v>1192.9482695899796</c:v>
                </c:pt>
                <c:pt idx="7">
                  <c:v>1407.9511136149417</c:v>
                </c:pt>
              </c:numCache>
            </c:numRef>
          </c:val>
          <c:extLst>
            <c:ext xmlns:c16="http://schemas.microsoft.com/office/drawing/2014/chart" uri="{C3380CC4-5D6E-409C-BE32-E72D297353CC}">
              <c16:uniqueId val="{00000001-921D-424B-810C-9F0549110A32}"/>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Thousand metric tons</a:t>
                </a:r>
              </a:p>
            </c:rich>
          </c:tx>
          <c:layout>
            <c:manualLayout>
              <c:xMode val="edge"/>
              <c:yMode val="edge"/>
              <c:x val="1.5872933633710156E-2"/>
              <c:y val="0.336835471667475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0.13172353455818023"/>
          <c:y val="5.9482447506561682E-2"/>
          <c:w val="0.24904543561631565"/>
          <c:h val="5.8453383195599791E-2"/>
        </c:manualLayout>
      </c:layout>
      <c:overlay val="1"/>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Tallow</c:v>
          </c:tx>
          <c:spPr>
            <a:solidFill>
              <a:srgbClr val="A6CEE3"/>
            </a:solidFill>
            <a:ln>
              <a:solidFill>
                <a:sysClr val="windowText" lastClr="000000"/>
              </a:solidFill>
            </a:ln>
            <a:effectLst/>
          </c:spPr>
          <c:invertIfNegative val="0"/>
          <c:cat>
            <c:numRef>
              <c:f>FATS!$D$3:$N$3</c:f>
              <c:numCache>
                <c:formatCode>General</c:formatCode>
                <c:ptCount val="11"/>
                <c:pt idx="0">
                  <c:v>2011</c:v>
                </c:pt>
                <c:pt idx="1">
                  <c:v>2012</c:v>
                </c:pt>
                <c:pt idx="2">
                  <c:v>2013</c:v>
                </c:pt>
                <c:pt idx="3">
                  <c:v>2014</c:v>
                </c:pt>
                <c:pt idx="4">
                  <c:v>2015</c:v>
                </c:pt>
                <c:pt idx="5">
                  <c:v>2016</c:v>
                </c:pt>
                <c:pt idx="6">
                  <c:v>2017</c:v>
                </c:pt>
                <c:pt idx="7">
                  <c:v>2018</c:v>
                </c:pt>
                <c:pt idx="8">
                  <c:v>2019</c:v>
                </c:pt>
                <c:pt idx="9">
                  <c:v>2020</c:v>
                </c:pt>
                <c:pt idx="10">
                  <c:v>2021</c:v>
                </c:pt>
              </c:numCache>
            </c:numRef>
          </c:cat>
          <c:val>
            <c:numRef>
              <c:f>FATS!$D$25:$N$25</c:f>
              <c:numCache>
                <c:formatCode>0</c:formatCode>
                <c:ptCount val="11"/>
                <c:pt idx="0">
                  <c:v>658.4</c:v>
                </c:pt>
                <c:pt idx="1">
                  <c:v>562.1</c:v>
                </c:pt>
                <c:pt idx="2">
                  <c:v>453.4</c:v>
                </c:pt>
                <c:pt idx="3">
                  <c:v>443.3</c:v>
                </c:pt>
                <c:pt idx="4">
                  <c:v>407.90000000000003</c:v>
                </c:pt>
                <c:pt idx="5">
                  <c:v>403.4</c:v>
                </c:pt>
                <c:pt idx="6">
                  <c:v>402.3</c:v>
                </c:pt>
                <c:pt idx="7">
                  <c:v>445.4</c:v>
                </c:pt>
                <c:pt idx="8">
                  <c:v>422.4</c:v>
                </c:pt>
                <c:pt idx="9">
                  <c:v>402.8</c:v>
                </c:pt>
                <c:pt idx="10">
                  <c:v>301.5</c:v>
                </c:pt>
              </c:numCache>
            </c:numRef>
          </c:val>
          <c:extLst>
            <c:ext xmlns:c16="http://schemas.microsoft.com/office/drawing/2014/chart" uri="{C3380CC4-5D6E-409C-BE32-E72D297353CC}">
              <c16:uniqueId val="{00000000-57F8-44A6-B63C-D47E1FC9DE3F}"/>
            </c:ext>
          </c:extLst>
        </c:ser>
        <c:ser>
          <c:idx val="1"/>
          <c:order val="1"/>
          <c:tx>
            <c:v>Poultry Fat</c:v>
          </c:tx>
          <c:spPr>
            <a:solidFill>
              <a:srgbClr val="FB9A99"/>
            </a:solidFill>
            <a:ln>
              <a:solidFill>
                <a:sysClr val="windowText" lastClr="000000"/>
              </a:solidFill>
            </a:ln>
            <a:effectLst/>
          </c:spPr>
          <c:invertIfNegative val="0"/>
          <c:cat>
            <c:numRef>
              <c:f>FATS!$D$3:$N$3</c:f>
              <c:numCache>
                <c:formatCode>General</c:formatCode>
                <c:ptCount val="11"/>
                <c:pt idx="0">
                  <c:v>2011</c:v>
                </c:pt>
                <c:pt idx="1">
                  <c:v>2012</c:v>
                </c:pt>
                <c:pt idx="2">
                  <c:v>2013</c:v>
                </c:pt>
                <c:pt idx="3">
                  <c:v>2014</c:v>
                </c:pt>
                <c:pt idx="4">
                  <c:v>2015</c:v>
                </c:pt>
                <c:pt idx="5">
                  <c:v>2016</c:v>
                </c:pt>
                <c:pt idx="6">
                  <c:v>2017</c:v>
                </c:pt>
                <c:pt idx="7">
                  <c:v>2018</c:v>
                </c:pt>
                <c:pt idx="8">
                  <c:v>2019</c:v>
                </c:pt>
                <c:pt idx="9">
                  <c:v>2020</c:v>
                </c:pt>
                <c:pt idx="10">
                  <c:v>2021</c:v>
                </c:pt>
              </c:numCache>
            </c:numRef>
          </c:cat>
          <c:val>
            <c:numRef>
              <c:f>FATS!$D$24:$N$24</c:f>
              <c:numCache>
                <c:formatCode>0</c:formatCode>
                <c:ptCount val="11"/>
                <c:pt idx="1">
                  <c:v>14.5</c:v>
                </c:pt>
                <c:pt idx="2">
                  <c:v>14.9</c:v>
                </c:pt>
                <c:pt idx="3">
                  <c:v>18.399999999999999</c:v>
                </c:pt>
                <c:pt idx="4">
                  <c:v>16.399999999999999</c:v>
                </c:pt>
                <c:pt idx="5">
                  <c:v>14.7</c:v>
                </c:pt>
                <c:pt idx="6">
                  <c:v>16.100000000000001</c:v>
                </c:pt>
                <c:pt idx="7">
                  <c:v>14.8</c:v>
                </c:pt>
                <c:pt idx="8">
                  <c:v>12.9</c:v>
                </c:pt>
                <c:pt idx="9">
                  <c:v>19</c:v>
                </c:pt>
                <c:pt idx="10">
                  <c:v>17</c:v>
                </c:pt>
              </c:numCache>
            </c:numRef>
          </c:val>
          <c:extLst>
            <c:ext xmlns:c16="http://schemas.microsoft.com/office/drawing/2014/chart" uri="{C3380CC4-5D6E-409C-BE32-E72D297353CC}">
              <c16:uniqueId val="{00000001-57F8-44A6-B63C-D47E1FC9DE3F}"/>
            </c:ext>
          </c:extLst>
        </c:ser>
        <c:ser>
          <c:idx val="3"/>
          <c:order val="2"/>
          <c:tx>
            <c:v>Yellow Grease</c:v>
          </c:tx>
          <c:spPr>
            <a:solidFill>
              <a:srgbClr val="FDBF6F"/>
            </a:solidFill>
            <a:ln>
              <a:solidFill>
                <a:sysClr val="windowText" lastClr="000000"/>
              </a:solidFill>
            </a:ln>
            <a:effectLst/>
          </c:spPr>
          <c:invertIfNegative val="0"/>
          <c:cat>
            <c:numRef>
              <c:f>FATS!$D$3:$N$3</c:f>
              <c:numCache>
                <c:formatCode>General</c:formatCode>
                <c:ptCount val="11"/>
                <c:pt idx="0">
                  <c:v>2011</c:v>
                </c:pt>
                <c:pt idx="1">
                  <c:v>2012</c:v>
                </c:pt>
                <c:pt idx="2">
                  <c:v>2013</c:v>
                </c:pt>
                <c:pt idx="3">
                  <c:v>2014</c:v>
                </c:pt>
                <c:pt idx="4">
                  <c:v>2015</c:v>
                </c:pt>
                <c:pt idx="5">
                  <c:v>2016</c:v>
                </c:pt>
                <c:pt idx="6">
                  <c:v>2017</c:v>
                </c:pt>
                <c:pt idx="7">
                  <c:v>2018</c:v>
                </c:pt>
                <c:pt idx="8">
                  <c:v>2019</c:v>
                </c:pt>
                <c:pt idx="9">
                  <c:v>2020</c:v>
                </c:pt>
                <c:pt idx="10">
                  <c:v>2021</c:v>
                </c:pt>
              </c:numCache>
            </c:numRef>
          </c:cat>
          <c:val>
            <c:numRef>
              <c:f>FATS!$D$27:$N$27</c:f>
              <c:numCache>
                <c:formatCode>0</c:formatCode>
                <c:ptCount val="11"/>
                <c:pt idx="0">
                  <c:v>566.20000000000005</c:v>
                </c:pt>
                <c:pt idx="1">
                  <c:v>452.1</c:v>
                </c:pt>
                <c:pt idx="2">
                  <c:v>361</c:v>
                </c:pt>
                <c:pt idx="3">
                  <c:v>333.1</c:v>
                </c:pt>
                <c:pt idx="4">
                  <c:v>253</c:v>
                </c:pt>
                <c:pt idx="5">
                  <c:v>286.2</c:v>
                </c:pt>
                <c:pt idx="6">
                  <c:v>300.2</c:v>
                </c:pt>
                <c:pt idx="7">
                  <c:v>360.7</c:v>
                </c:pt>
                <c:pt idx="8">
                  <c:v>448.2</c:v>
                </c:pt>
                <c:pt idx="9">
                  <c:v>766.7</c:v>
                </c:pt>
                <c:pt idx="10">
                  <c:v>762.7</c:v>
                </c:pt>
              </c:numCache>
            </c:numRef>
          </c:val>
          <c:extLst>
            <c:ext xmlns:c16="http://schemas.microsoft.com/office/drawing/2014/chart" uri="{C3380CC4-5D6E-409C-BE32-E72D297353CC}">
              <c16:uniqueId val="{00000002-57F8-44A6-B63C-D47E1FC9DE3F}"/>
            </c:ext>
          </c:extLst>
        </c:ser>
        <c:ser>
          <c:idx val="2"/>
          <c:order val="3"/>
          <c:tx>
            <c:v>White Grease</c:v>
          </c:tx>
          <c:spPr>
            <a:solidFill>
              <a:srgbClr val="B2DF8A"/>
            </a:solidFill>
            <a:ln>
              <a:solidFill>
                <a:sysClr val="windowText" lastClr="000000"/>
              </a:solidFill>
            </a:ln>
            <a:effectLst/>
          </c:spPr>
          <c:invertIfNegative val="0"/>
          <c:cat>
            <c:numRef>
              <c:f>FATS!$D$3:$N$3</c:f>
              <c:numCache>
                <c:formatCode>General</c:formatCode>
                <c:ptCount val="11"/>
                <c:pt idx="0">
                  <c:v>2011</c:v>
                </c:pt>
                <c:pt idx="1">
                  <c:v>2012</c:v>
                </c:pt>
                <c:pt idx="2">
                  <c:v>2013</c:v>
                </c:pt>
                <c:pt idx="3">
                  <c:v>2014</c:v>
                </c:pt>
                <c:pt idx="4">
                  <c:v>2015</c:v>
                </c:pt>
                <c:pt idx="5">
                  <c:v>2016</c:v>
                </c:pt>
                <c:pt idx="6">
                  <c:v>2017</c:v>
                </c:pt>
                <c:pt idx="7">
                  <c:v>2018</c:v>
                </c:pt>
                <c:pt idx="8">
                  <c:v>2019</c:v>
                </c:pt>
                <c:pt idx="9">
                  <c:v>2020</c:v>
                </c:pt>
                <c:pt idx="10">
                  <c:v>2021</c:v>
                </c:pt>
              </c:numCache>
            </c:numRef>
          </c:cat>
          <c:val>
            <c:numRef>
              <c:f>FATS!$D$26:$N$26</c:f>
              <c:numCache>
                <c:formatCode>0</c:formatCode>
                <c:ptCount val="11"/>
                <c:pt idx="0">
                  <c:v>37.299999999999997</c:v>
                </c:pt>
                <c:pt idx="1">
                  <c:v>26.2</c:v>
                </c:pt>
                <c:pt idx="2">
                  <c:v>29.9</c:v>
                </c:pt>
                <c:pt idx="3">
                  <c:v>22</c:v>
                </c:pt>
                <c:pt idx="4">
                  <c:v>20</c:v>
                </c:pt>
                <c:pt idx="5">
                  <c:v>19.5</c:v>
                </c:pt>
                <c:pt idx="6">
                  <c:v>18</c:v>
                </c:pt>
                <c:pt idx="7">
                  <c:v>17.2</c:v>
                </c:pt>
                <c:pt idx="8">
                  <c:v>23.2</c:v>
                </c:pt>
                <c:pt idx="9">
                  <c:v>24</c:v>
                </c:pt>
                <c:pt idx="10">
                  <c:v>81.5</c:v>
                </c:pt>
              </c:numCache>
            </c:numRef>
          </c:val>
          <c:extLst>
            <c:ext xmlns:c16="http://schemas.microsoft.com/office/drawing/2014/chart" uri="{C3380CC4-5D6E-409C-BE32-E72D297353CC}">
              <c16:uniqueId val="{00000003-57F8-44A6-B63C-D47E1FC9DE3F}"/>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Thousand metric tons</a:t>
                </a:r>
              </a:p>
            </c:rich>
          </c:tx>
          <c:layout>
            <c:manualLayout>
              <c:xMode val="edge"/>
              <c:yMode val="edge"/>
              <c:x val="1.7847873678095108E-2"/>
              <c:y val="0.302578521875477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0.12974860209228198"/>
          <c:y val="4.9205360589262379E-2"/>
          <c:w val="0.51565790378065646"/>
          <c:h val="5.8453383195599791E-2"/>
        </c:manualLayout>
      </c:layout>
      <c:overlay val="1"/>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Tallow</c:v>
          </c:tx>
          <c:spPr>
            <a:solidFill>
              <a:srgbClr val="A6CEE3"/>
            </a:solidFill>
            <a:ln>
              <a:solidFill>
                <a:sysClr val="windowText" lastClr="000000"/>
              </a:solidFill>
            </a:ln>
            <a:effectLst/>
          </c:spPr>
          <c:invertIfNegative val="0"/>
          <c:cat>
            <c:numRef>
              <c:f>FATS!$E$3:$N$3</c:f>
              <c:numCache>
                <c:formatCode>General</c:formatCode>
                <c:ptCount val="10"/>
                <c:pt idx="0">
                  <c:v>2012</c:v>
                </c:pt>
                <c:pt idx="1">
                  <c:v>2013</c:v>
                </c:pt>
                <c:pt idx="2">
                  <c:v>2014</c:v>
                </c:pt>
                <c:pt idx="3">
                  <c:v>2015</c:v>
                </c:pt>
                <c:pt idx="4">
                  <c:v>2016</c:v>
                </c:pt>
                <c:pt idx="5">
                  <c:v>2017</c:v>
                </c:pt>
                <c:pt idx="6">
                  <c:v>2018</c:v>
                </c:pt>
                <c:pt idx="7">
                  <c:v>2019</c:v>
                </c:pt>
                <c:pt idx="8">
                  <c:v>2020</c:v>
                </c:pt>
                <c:pt idx="9">
                  <c:v>2021</c:v>
                </c:pt>
              </c:numCache>
            </c:numRef>
          </c:cat>
          <c:val>
            <c:numRef>
              <c:f>FATS!$E$30:$N$30</c:f>
              <c:numCache>
                <c:formatCode>0</c:formatCode>
                <c:ptCount val="10"/>
                <c:pt idx="0">
                  <c:v>62.6</c:v>
                </c:pt>
                <c:pt idx="1">
                  <c:v>59.5</c:v>
                </c:pt>
                <c:pt idx="2">
                  <c:v>62.6</c:v>
                </c:pt>
                <c:pt idx="3">
                  <c:v>64</c:v>
                </c:pt>
                <c:pt idx="4">
                  <c:v>78.900000000000006</c:v>
                </c:pt>
                <c:pt idx="5">
                  <c:v>99.8</c:v>
                </c:pt>
                <c:pt idx="6">
                  <c:v>139.30000000000001</c:v>
                </c:pt>
                <c:pt idx="7">
                  <c:v>192</c:v>
                </c:pt>
                <c:pt idx="8">
                  <c:v>243.1</c:v>
                </c:pt>
                <c:pt idx="9">
                  <c:v>333.3</c:v>
                </c:pt>
              </c:numCache>
            </c:numRef>
          </c:val>
          <c:extLst>
            <c:ext xmlns:c16="http://schemas.microsoft.com/office/drawing/2014/chart" uri="{C3380CC4-5D6E-409C-BE32-E72D297353CC}">
              <c16:uniqueId val="{00000000-291B-4424-8F53-D9C98E368C8E}"/>
            </c:ext>
          </c:extLst>
        </c:ser>
        <c:ser>
          <c:idx val="1"/>
          <c:order val="1"/>
          <c:tx>
            <c:v>Poultry Fat</c:v>
          </c:tx>
          <c:spPr>
            <a:solidFill>
              <a:srgbClr val="FB9A99"/>
            </a:solidFill>
            <a:ln>
              <a:solidFill>
                <a:sysClr val="windowText" lastClr="000000"/>
              </a:solidFill>
            </a:ln>
            <a:effectLst/>
          </c:spPr>
          <c:invertIfNegative val="0"/>
          <c:cat>
            <c:numRef>
              <c:f>FATS!$E$3:$N$3</c:f>
              <c:numCache>
                <c:formatCode>General</c:formatCode>
                <c:ptCount val="10"/>
                <c:pt idx="0">
                  <c:v>2012</c:v>
                </c:pt>
                <c:pt idx="1">
                  <c:v>2013</c:v>
                </c:pt>
                <c:pt idx="2">
                  <c:v>2014</c:v>
                </c:pt>
                <c:pt idx="3">
                  <c:v>2015</c:v>
                </c:pt>
                <c:pt idx="4">
                  <c:v>2016</c:v>
                </c:pt>
                <c:pt idx="5">
                  <c:v>2017</c:v>
                </c:pt>
                <c:pt idx="6">
                  <c:v>2018</c:v>
                </c:pt>
                <c:pt idx="7">
                  <c:v>2019</c:v>
                </c:pt>
                <c:pt idx="8">
                  <c:v>2020</c:v>
                </c:pt>
                <c:pt idx="9">
                  <c:v>2021</c:v>
                </c:pt>
              </c:numCache>
            </c:numRef>
          </c:cat>
          <c:val>
            <c:numRef>
              <c:f>FATS!$E$29:$K$29</c:f>
              <c:numCache>
                <c:formatCode>General</c:formatCode>
                <c:ptCount val="7"/>
                <c:pt idx="0" formatCode="0">
                  <c:v>0.5</c:v>
                </c:pt>
                <c:pt idx="1">
                  <c:v>0.4</c:v>
                </c:pt>
                <c:pt idx="2">
                  <c:v>4.4000000000000004</c:v>
                </c:pt>
                <c:pt idx="3">
                  <c:v>0.6</c:v>
                </c:pt>
                <c:pt idx="4">
                  <c:v>0.6</c:v>
                </c:pt>
                <c:pt idx="5">
                  <c:v>1.9</c:v>
                </c:pt>
                <c:pt idx="6">
                  <c:v>0.6</c:v>
                </c:pt>
              </c:numCache>
            </c:numRef>
          </c:val>
          <c:extLst>
            <c:ext xmlns:c16="http://schemas.microsoft.com/office/drawing/2014/chart" uri="{C3380CC4-5D6E-409C-BE32-E72D297353CC}">
              <c16:uniqueId val="{00000001-291B-4424-8F53-D9C98E368C8E}"/>
            </c:ext>
          </c:extLst>
        </c:ser>
        <c:ser>
          <c:idx val="3"/>
          <c:order val="2"/>
          <c:tx>
            <c:v>Yellow Grease</c:v>
          </c:tx>
          <c:spPr>
            <a:solidFill>
              <a:srgbClr val="FDBF6F"/>
            </a:solidFill>
            <a:ln>
              <a:solidFill>
                <a:sysClr val="windowText" lastClr="000000"/>
              </a:solidFill>
            </a:ln>
            <a:effectLst/>
          </c:spPr>
          <c:invertIfNegative val="0"/>
          <c:cat>
            <c:numRef>
              <c:f>FATS!$E$3:$N$3</c:f>
              <c:numCache>
                <c:formatCode>General</c:formatCode>
                <c:ptCount val="10"/>
                <c:pt idx="0">
                  <c:v>2012</c:v>
                </c:pt>
                <c:pt idx="1">
                  <c:v>2013</c:v>
                </c:pt>
                <c:pt idx="2">
                  <c:v>2014</c:v>
                </c:pt>
                <c:pt idx="3">
                  <c:v>2015</c:v>
                </c:pt>
                <c:pt idx="4">
                  <c:v>2016</c:v>
                </c:pt>
                <c:pt idx="5">
                  <c:v>2017</c:v>
                </c:pt>
                <c:pt idx="6">
                  <c:v>2018</c:v>
                </c:pt>
                <c:pt idx="7">
                  <c:v>2019</c:v>
                </c:pt>
                <c:pt idx="8">
                  <c:v>2020</c:v>
                </c:pt>
                <c:pt idx="9">
                  <c:v>2021</c:v>
                </c:pt>
              </c:numCache>
            </c:numRef>
          </c:cat>
          <c:val>
            <c:numRef>
              <c:f>FATS!$E$32:$N$32</c:f>
              <c:numCache>
                <c:formatCode>0</c:formatCode>
                <c:ptCount val="10"/>
                <c:pt idx="0">
                  <c:v>16.100000000000001</c:v>
                </c:pt>
                <c:pt idx="1">
                  <c:v>20.6</c:v>
                </c:pt>
                <c:pt idx="2">
                  <c:v>17.2</c:v>
                </c:pt>
                <c:pt idx="3">
                  <c:v>22.4</c:v>
                </c:pt>
                <c:pt idx="4">
                  <c:v>23</c:v>
                </c:pt>
                <c:pt idx="5">
                  <c:v>38.700000000000003</c:v>
                </c:pt>
                <c:pt idx="6">
                  <c:v>62.8</c:v>
                </c:pt>
                <c:pt idx="7">
                  <c:v>87.7</c:v>
                </c:pt>
                <c:pt idx="8">
                  <c:v>83.1</c:v>
                </c:pt>
                <c:pt idx="9">
                  <c:v>129.5</c:v>
                </c:pt>
              </c:numCache>
            </c:numRef>
          </c:val>
          <c:extLst>
            <c:ext xmlns:c16="http://schemas.microsoft.com/office/drawing/2014/chart" uri="{C3380CC4-5D6E-409C-BE32-E72D297353CC}">
              <c16:uniqueId val="{00000002-291B-4424-8F53-D9C98E368C8E}"/>
            </c:ext>
          </c:extLst>
        </c:ser>
        <c:ser>
          <c:idx val="2"/>
          <c:order val="3"/>
          <c:tx>
            <c:v>White Grease</c:v>
          </c:tx>
          <c:spPr>
            <a:solidFill>
              <a:srgbClr val="B2DF8A"/>
            </a:solidFill>
            <a:ln>
              <a:solidFill>
                <a:sysClr val="windowText" lastClr="000000"/>
              </a:solidFill>
            </a:ln>
            <a:effectLst/>
          </c:spPr>
          <c:invertIfNegative val="0"/>
          <c:cat>
            <c:numRef>
              <c:f>FATS!$E$3:$N$3</c:f>
              <c:numCache>
                <c:formatCode>General</c:formatCode>
                <c:ptCount val="10"/>
                <c:pt idx="0">
                  <c:v>2012</c:v>
                </c:pt>
                <c:pt idx="1">
                  <c:v>2013</c:v>
                </c:pt>
                <c:pt idx="2">
                  <c:v>2014</c:v>
                </c:pt>
                <c:pt idx="3">
                  <c:v>2015</c:v>
                </c:pt>
                <c:pt idx="4">
                  <c:v>2016</c:v>
                </c:pt>
                <c:pt idx="5">
                  <c:v>2017</c:v>
                </c:pt>
                <c:pt idx="6">
                  <c:v>2018</c:v>
                </c:pt>
                <c:pt idx="7">
                  <c:v>2019</c:v>
                </c:pt>
                <c:pt idx="8">
                  <c:v>2020</c:v>
                </c:pt>
                <c:pt idx="9">
                  <c:v>2021</c:v>
                </c:pt>
              </c:numCache>
            </c:numRef>
          </c:cat>
          <c:val>
            <c:numRef>
              <c:f>FATS!$E$31:$N$31</c:f>
              <c:numCache>
                <c:formatCode>0</c:formatCode>
                <c:ptCount val="10"/>
                <c:pt idx="0">
                  <c:v>17.7</c:v>
                </c:pt>
                <c:pt idx="1">
                  <c:v>21.8</c:v>
                </c:pt>
                <c:pt idx="2">
                  <c:v>20.8</c:v>
                </c:pt>
                <c:pt idx="3">
                  <c:v>34.4</c:v>
                </c:pt>
                <c:pt idx="4">
                  <c:v>28.8</c:v>
                </c:pt>
                <c:pt idx="5">
                  <c:v>27</c:v>
                </c:pt>
                <c:pt idx="6">
                  <c:v>35.799999999999997</c:v>
                </c:pt>
                <c:pt idx="7">
                  <c:v>27.2</c:v>
                </c:pt>
                <c:pt idx="8">
                  <c:v>23</c:v>
                </c:pt>
                <c:pt idx="9">
                  <c:v>30.4</c:v>
                </c:pt>
              </c:numCache>
            </c:numRef>
          </c:val>
          <c:extLst>
            <c:ext xmlns:c16="http://schemas.microsoft.com/office/drawing/2014/chart" uri="{C3380CC4-5D6E-409C-BE32-E72D297353CC}">
              <c16:uniqueId val="{00000003-291B-4424-8F53-D9C98E368C8E}"/>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max val="5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Thousand metric tons</a:t>
                </a:r>
              </a:p>
            </c:rich>
          </c:tx>
          <c:layout>
            <c:manualLayout>
              <c:xMode val="edge"/>
              <c:yMode val="edge"/>
              <c:x val="1.7847873678095108E-2"/>
              <c:y val="0.302578521875477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0.1198279902512186"/>
          <c:y val="6.3094378827646541E-2"/>
          <c:w val="0.51565790378065646"/>
          <c:h val="5.8453383195599791E-2"/>
        </c:manualLayout>
      </c:layout>
      <c:overlay val="1"/>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Tallow</c:v>
          </c:tx>
          <c:spPr>
            <a:solidFill>
              <a:srgbClr val="A6CEE3"/>
            </a:solidFill>
            <a:ln>
              <a:solidFill>
                <a:sysClr val="windowText" lastClr="000000"/>
              </a:solidFill>
            </a:ln>
            <a:effectLst/>
          </c:spPr>
          <c:invertIfNegative val="0"/>
          <c:cat>
            <c:numRef>
              <c:f>FATS!$D$3:$M$3</c:f>
              <c:numCache>
                <c:formatCode>General</c:formatCode>
                <c:ptCount val="10"/>
                <c:pt idx="0">
                  <c:v>2011</c:v>
                </c:pt>
                <c:pt idx="1">
                  <c:v>2012</c:v>
                </c:pt>
                <c:pt idx="2">
                  <c:v>2013</c:v>
                </c:pt>
                <c:pt idx="3">
                  <c:v>2014</c:v>
                </c:pt>
                <c:pt idx="4">
                  <c:v>2015</c:v>
                </c:pt>
                <c:pt idx="5">
                  <c:v>2016</c:v>
                </c:pt>
                <c:pt idx="6">
                  <c:v>2017</c:v>
                </c:pt>
                <c:pt idx="7">
                  <c:v>2018</c:v>
                </c:pt>
                <c:pt idx="8">
                  <c:v>2019</c:v>
                </c:pt>
                <c:pt idx="9">
                  <c:v>2020</c:v>
                </c:pt>
              </c:numCache>
            </c:numRef>
          </c:cat>
          <c:val>
            <c:numRef>
              <c:f>FATS!$D$35:$M$35</c:f>
              <c:numCache>
                <c:formatCode>0</c:formatCode>
                <c:ptCount val="10"/>
                <c:pt idx="0">
                  <c:v>7.3878908099695755</c:v>
                </c:pt>
                <c:pt idx="1">
                  <c:v>6.6942581250446134</c:v>
                </c:pt>
                <c:pt idx="2">
                  <c:v>8.1458506756063578</c:v>
                </c:pt>
                <c:pt idx="3">
                  <c:v>7.0600945858246931</c:v>
                </c:pt>
                <c:pt idx="4">
                  <c:v>8.1755784095012771</c:v>
                </c:pt>
                <c:pt idx="5">
                  <c:v>5.8836768633351069</c:v>
                </c:pt>
                <c:pt idx="6">
                  <c:v>6.0306528879849139</c:v>
                </c:pt>
                <c:pt idx="7">
                  <c:v>7.9232990112744224</c:v>
                </c:pt>
                <c:pt idx="8">
                  <c:v>4.7859577333498988</c:v>
                </c:pt>
                <c:pt idx="9">
                  <c:v>6.4153902626161097</c:v>
                </c:pt>
              </c:numCache>
            </c:numRef>
          </c:val>
          <c:extLst>
            <c:ext xmlns:c16="http://schemas.microsoft.com/office/drawing/2014/chart" uri="{C3380CC4-5D6E-409C-BE32-E72D297353CC}">
              <c16:uniqueId val="{00000000-FC35-462C-8D10-0903A8261CCC}"/>
            </c:ext>
          </c:extLst>
        </c:ser>
        <c:ser>
          <c:idx val="1"/>
          <c:order val="1"/>
          <c:tx>
            <c:v>Poultry Fat</c:v>
          </c:tx>
          <c:spPr>
            <a:solidFill>
              <a:srgbClr val="FB9A99"/>
            </a:solidFill>
            <a:ln>
              <a:solidFill>
                <a:sysClr val="windowText" lastClr="000000"/>
              </a:solidFill>
            </a:ln>
            <a:effectLst/>
          </c:spPr>
          <c:invertIfNegative val="0"/>
          <c:cat>
            <c:numRef>
              <c:f>FATS!$D$3:$M$3</c:f>
              <c:numCache>
                <c:formatCode>General</c:formatCode>
                <c:ptCount val="10"/>
                <c:pt idx="0">
                  <c:v>2011</c:v>
                </c:pt>
                <c:pt idx="1">
                  <c:v>2012</c:v>
                </c:pt>
                <c:pt idx="2">
                  <c:v>2013</c:v>
                </c:pt>
                <c:pt idx="3">
                  <c:v>2014</c:v>
                </c:pt>
                <c:pt idx="4">
                  <c:v>2015</c:v>
                </c:pt>
                <c:pt idx="5">
                  <c:v>2016</c:v>
                </c:pt>
                <c:pt idx="6">
                  <c:v>2017</c:v>
                </c:pt>
                <c:pt idx="7">
                  <c:v>2018</c:v>
                </c:pt>
                <c:pt idx="8">
                  <c:v>2019</c:v>
                </c:pt>
                <c:pt idx="9">
                  <c:v>2020</c:v>
                </c:pt>
              </c:numCache>
            </c:numRef>
          </c:cat>
          <c:val>
            <c:numRef>
              <c:f>FATS!$D$34:$M$34</c:f>
              <c:numCache>
                <c:formatCode>0</c:formatCode>
                <c:ptCount val="10"/>
                <c:pt idx="0">
                  <c:v>10.833137576506113</c:v>
                </c:pt>
                <c:pt idx="1">
                  <c:v>7.7869956728404812</c:v>
                </c:pt>
                <c:pt idx="2">
                  <c:v>7.0206106680269418</c:v>
                </c:pt>
                <c:pt idx="3">
                  <c:v>7.5562971734936699</c:v>
                </c:pt>
                <c:pt idx="4">
                  <c:v>8.2069913753455879</c:v>
                </c:pt>
                <c:pt idx="5">
                  <c:v>8.9634734166397898</c:v>
                </c:pt>
                <c:pt idx="6">
                  <c:v>6.5846076118807941</c:v>
                </c:pt>
                <c:pt idx="7">
                  <c:v>4.9976552522966324</c:v>
                </c:pt>
                <c:pt idx="8">
                  <c:v>6.520348268545276</c:v>
                </c:pt>
                <c:pt idx="9">
                  <c:v>6.8444397857943065</c:v>
                </c:pt>
              </c:numCache>
            </c:numRef>
          </c:val>
          <c:extLst>
            <c:ext xmlns:c16="http://schemas.microsoft.com/office/drawing/2014/chart" uri="{C3380CC4-5D6E-409C-BE32-E72D297353CC}">
              <c16:uniqueId val="{00000001-FC35-462C-8D10-0903A8261CCC}"/>
            </c:ext>
          </c:extLst>
        </c:ser>
        <c:ser>
          <c:idx val="3"/>
          <c:order val="2"/>
          <c:tx>
            <c:v>Yellow Grease</c:v>
          </c:tx>
          <c:spPr>
            <a:solidFill>
              <a:srgbClr val="FDBF6F"/>
            </a:solidFill>
            <a:ln>
              <a:solidFill>
                <a:sysClr val="windowText" lastClr="000000"/>
              </a:solidFill>
            </a:ln>
            <a:effectLst/>
          </c:spPr>
          <c:invertIfNegative val="0"/>
          <c:cat>
            <c:numRef>
              <c:f>FATS!$D$3:$M$3</c:f>
              <c:numCache>
                <c:formatCode>General</c:formatCode>
                <c:ptCount val="10"/>
                <c:pt idx="0">
                  <c:v>2011</c:v>
                </c:pt>
                <c:pt idx="1">
                  <c:v>2012</c:v>
                </c:pt>
                <c:pt idx="2">
                  <c:v>2013</c:v>
                </c:pt>
                <c:pt idx="3">
                  <c:v>2014</c:v>
                </c:pt>
                <c:pt idx="4">
                  <c:v>2015</c:v>
                </c:pt>
                <c:pt idx="5">
                  <c:v>2016</c:v>
                </c:pt>
                <c:pt idx="6">
                  <c:v>2017</c:v>
                </c:pt>
                <c:pt idx="7">
                  <c:v>2018</c:v>
                </c:pt>
                <c:pt idx="8">
                  <c:v>2019</c:v>
                </c:pt>
                <c:pt idx="9">
                  <c:v>2020</c:v>
                </c:pt>
              </c:numCache>
            </c:numRef>
          </c:cat>
          <c:val>
            <c:numRef>
              <c:f>FATS!$D$37:$M$37</c:f>
              <c:numCache>
                <c:formatCode>0</c:formatCode>
                <c:ptCount val="10"/>
                <c:pt idx="0">
                  <c:v>23.570395689666071</c:v>
                </c:pt>
                <c:pt idx="1">
                  <c:v>34.304884707278681</c:v>
                </c:pt>
                <c:pt idx="2">
                  <c:v>52.929245074557585</c:v>
                </c:pt>
                <c:pt idx="3">
                  <c:v>52.202994298192984</c:v>
                </c:pt>
                <c:pt idx="4">
                  <c:v>61.399502636061044</c:v>
                </c:pt>
                <c:pt idx="5">
                  <c:v>68.751634618372833</c:v>
                </c:pt>
                <c:pt idx="6">
                  <c:v>73.081551421039578</c:v>
                </c:pt>
                <c:pt idx="7">
                  <c:v>76.254009934373514</c:v>
                </c:pt>
                <c:pt idx="8">
                  <c:v>65.042096671345618</c:v>
                </c:pt>
                <c:pt idx="9">
                  <c:v>35.501181829488239</c:v>
                </c:pt>
              </c:numCache>
            </c:numRef>
          </c:val>
          <c:extLst>
            <c:ext xmlns:c16="http://schemas.microsoft.com/office/drawing/2014/chart" uri="{C3380CC4-5D6E-409C-BE32-E72D297353CC}">
              <c16:uniqueId val="{00000002-FC35-462C-8D10-0903A8261CCC}"/>
            </c:ext>
          </c:extLst>
        </c:ser>
        <c:ser>
          <c:idx val="2"/>
          <c:order val="3"/>
          <c:tx>
            <c:v>White Grease</c:v>
          </c:tx>
          <c:spPr>
            <a:solidFill>
              <a:srgbClr val="B2DF8A"/>
            </a:solidFill>
            <a:ln>
              <a:solidFill>
                <a:sysClr val="windowText" lastClr="000000"/>
              </a:solidFill>
            </a:ln>
            <a:effectLst/>
          </c:spPr>
          <c:invertIfNegative val="0"/>
          <c:cat>
            <c:numRef>
              <c:f>FATS!$D$3:$M$3</c:f>
              <c:numCache>
                <c:formatCode>General</c:formatCode>
                <c:ptCount val="10"/>
                <c:pt idx="0">
                  <c:v>2011</c:v>
                </c:pt>
                <c:pt idx="1">
                  <c:v>2012</c:v>
                </c:pt>
                <c:pt idx="2">
                  <c:v>2013</c:v>
                </c:pt>
                <c:pt idx="3">
                  <c:v>2014</c:v>
                </c:pt>
                <c:pt idx="4">
                  <c:v>2015</c:v>
                </c:pt>
                <c:pt idx="5">
                  <c:v>2016</c:v>
                </c:pt>
                <c:pt idx="6">
                  <c:v>2017</c:v>
                </c:pt>
                <c:pt idx="7">
                  <c:v>2018</c:v>
                </c:pt>
                <c:pt idx="8">
                  <c:v>2019</c:v>
                </c:pt>
                <c:pt idx="9">
                  <c:v>2020</c:v>
                </c:pt>
              </c:numCache>
            </c:numRef>
          </c:cat>
          <c:val>
            <c:numRef>
              <c:f>FATS!$D$36:$M$36</c:f>
              <c:numCache>
                <c:formatCode>0</c:formatCode>
                <c:ptCount val="10"/>
                <c:pt idx="0">
                  <c:v>33.508634983173472</c:v>
                </c:pt>
                <c:pt idx="1">
                  <c:v>25.703574883434289</c:v>
                </c:pt>
                <c:pt idx="2">
                  <c:v>29.565639141685846</c:v>
                </c:pt>
                <c:pt idx="3">
                  <c:v>27.383570849942473</c:v>
                </c:pt>
                <c:pt idx="4">
                  <c:v>35.213652469803911</c:v>
                </c:pt>
                <c:pt idx="5">
                  <c:v>33.288022322375539</c:v>
                </c:pt>
                <c:pt idx="6">
                  <c:v>35.719275987246931</c:v>
                </c:pt>
                <c:pt idx="7">
                  <c:v>38.045624827463101</c:v>
                </c:pt>
                <c:pt idx="8">
                  <c:v>31.619345262677623</c:v>
                </c:pt>
                <c:pt idx="9">
                  <c:v>37.809671580099476</c:v>
                </c:pt>
              </c:numCache>
            </c:numRef>
          </c:val>
          <c:extLst>
            <c:ext xmlns:c16="http://schemas.microsoft.com/office/drawing/2014/chart" uri="{C3380CC4-5D6E-409C-BE32-E72D297353CC}">
              <c16:uniqueId val="{00000003-FC35-462C-8D10-0903A8261CCC}"/>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max val="8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Percent</a:t>
                </a:r>
              </a:p>
            </c:rich>
          </c:tx>
          <c:layout>
            <c:manualLayout>
              <c:xMode val="edge"/>
              <c:yMode val="edge"/>
              <c:x val="1.3879671291088615E-2"/>
              <c:y val="0.417161800087489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0.10197084739407573"/>
          <c:y val="5.2677712160979877E-2"/>
          <c:w val="0.50068225846769154"/>
          <c:h val="5.9247320647419076E-2"/>
        </c:manualLayout>
      </c:layout>
      <c:overlay val="1"/>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Tallow</c:v>
          </c:tx>
          <c:spPr>
            <a:solidFill>
              <a:srgbClr val="A6CEE3"/>
            </a:solidFill>
            <a:ln>
              <a:solidFill>
                <a:sysClr val="windowText" lastClr="000000"/>
              </a:solidFill>
            </a:ln>
            <a:effectLst/>
          </c:spPr>
          <c:invertIfNegative val="0"/>
          <c:cat>
            <c:numRef>
              <c:f>FATS!$D$3:$N$3</c:f>
              <c:numCache>
                <c:formatCode>General</c:formatCode>
                <c:ptCount val="11"/>
                <c:pt idx="0">
                  <c:v>2011</c:v>
                </c:pt>
                <c:pt idx="1">
                  <c:v>2012</c:v>
                </c:pt>
                <c:pt idx="2">
                  <c:v>2013</c:v>
                </c:pt>
                <c:pt idx="3">
                  <c:v>2014</c:v>
                </c:pt>
                <c:pt idx="4">
                  <c:v>2015</c:v>
                </c:pt>
                <c:pt idx="5">
                  <c:v>2016</c:v>
                </c:pt>
                <c:pt idx="6">
                  <c:v>2017</c:v>
                </c:pt>
                <c:pt idx="7">
                  <c:v>2018</c:v>
                </c:pt>
                <c:pt idx="8">
                  <c:v>2019</c:v>
                </c:pt>
                <c:pt idx="9">
                  <c:v>2020</c:v>
                </c:pt>
                <c:pt idx="10">
                  <c:v>2021</c:v>
                </c:pt>
              </c:numCache>
            </c:numRef>
          </c:cat>
          <c:val>
            <c:numRef>
              <c:f>FATS!$D$42:$N$42</c:f>
              <c:numCache>
                <c:formatCode>General</c:formatCode>
                <c:ptCount val="11"/>
                <c:pt idx="0">
                  <c:v>1180</c:v>
                </c:pt>
                <c:pt idx="1">
                  <c:v>1034</c:v>
                </c:pt>
                <c:pt idx="2">
                  <c:v>966</c:v>
                </c:pt>
                <c:pt idx="3">
                  <c:v>803</c:v>
                </c:pt>
                <c:pt idx="4">
                  <c:v>563</c:v>
                </c:pt>
                <c:pt idx="5">
                  <c:v>746</c:v>
                </c:pt>
                <c:pt idx="6">
                  <c:v>731</c:v>
                </c:pt>
                <c:pt idx="7">
                  <c:v>662</c:v>
                </c:pt>
                <c:pt idx="8">
                  <c:v>740</c:v>
                </c:pt>
                <c:pt idx="9">
                  <c:v>828</c:v>
                </c:pt>
                <c:pt idx="10">
                  <c:v>1444</c:v>
                </c:pt>
              </c:numCache>
            </c:numRef>
          </c:val>
          <c:extLst>
            <c:ext xmlns:c16="http://schemas.microsoft.com/office/drawing/2014/chart" uri="{C3380CC4-5D6E-409C-BE32-E72D297353CC}">
              <c16:uniqueId val="{00000000-1467-44A8-AECF-C36817BC03DA}"/>
            </c:ext>
          </c:extLst>
        </c:ser>
        <c:ser>
          <c:idx val="1"/>
          <c:order val="1"/>
          <c:tx>
            <c:v>Poultry Fat</c:v>
          </c:tx>
          <c:spPr>
            <a:solidFill>
              <a:srgbClr val="FB9A99"/>
            </a:solidFill>
            <a:ln>
              <a:solidFill>
                <a:sysClr val="windowText" lastClr="000000"/>
              </a:solidFill>
            </a:ln>
            <a:effectLst/>
          </c:spPr>
          <c:invertIfNegative val="0"/>
          <c:cat>
            <c:numRef>
              <c:f>FATS!$D$3:$N$3</c:f>
              <c:numCache>
                <c:formatCode>General</c:formatCode>
                <c:ptCount val="11"/>
                <c:pt idx="0">
                  <c:v>2011</c:v>
                </c:pt>
                <c:pt idx="1">
                  <c:v>2012</c:v>
                </c:pt>
                <c:pt idx="2">
                  <c:v>2013</c:v>
                </c:pt>
                <c:pt idx="3">
                  <c:v>2014</c:v>
                </c:pt>
                <c:pt idx="4">
                  <c:v>2015</c:v>
                </c:pt>
                <c:pt idx="5">
                  <c:v>2016</c:v>
                </c:pt>
                <c:pt idx="6">
                  <c:v>2017</c:v>
                </c:pt>
                <c:pt idx="7">
                  <c:v>2018</c:v>
                </c:pt>
                <c:pt idx="8">
                  <c:v>2019</c:v>
                </c:pt>
                <c:pt idx="9">
                  <c:v>2020</c:v>
                </c:pt>
                <c:pt idx="10">
                  <c:v>2021</c:v>
                </c:pt>
              </c:numCache>
            </c:numRef>
          </c:cat>
          <c:val>
            <c:numRef>
              <c:f>FATS!$D$41:$N$41</c:f>
              <c:numCache>
                <c:formatCode>General</c:formatCode>
                <c:ptCount val="11"/>
                <c:pt idx="0">
                  <c:v>992</c:v>
                </c:pt>
                <c:pt idx="1">
                  <c:v>864</c:v>
                </c:pt>
                <c:pt idx="2">
                  <c:v>793</c:v>
                </c:pt>
                <c:pt idx="3">
                  <c:v>660</c:v>
                </c:pt>
                <c:pt idx="4">
                  <c:v>502</c:v>
                </c:pt>
                <c:pt idx="5">
                  <c:v>546</c:v>
                </c:pt>
                <c:pt idx="6">
                  <c:v>605</c:v>
                </c:pt>
                <c:pt idx="7">
                  <c:v>566</c:v>
                </c:pt>
                <c:pt idx="8">
                  <c:v>564</c:v>
                </c:pt>
                <c:pt idx="9">
                  <c:v>558</c:v>
                </c:pt>
                <c:pt idx="10">
                  <c:v>1038</c:v>
                </c:pt>
              </c:numCache>
            </c:numRef>
          </c:val>
          <c:extLst>
            <c:ext xmlns:c16="http://schemas.microsoft.com/office/drawing/2014/chart" uri="{C3380CC4-5D6E-409C-BE32-E72D297353CC}">
              <c16:uniqueId val="{00000001-1467-44A8-AECF-C36817BC03DA}"/>
            </c:ext>
          </c:extLst>
        </c:ser>
        <c:ser>
          <c:idx val="3"/>
          <c:order val="2"/>
          <c:tx>
            <c:v>Yellow Grease</c:v>
          </c:tx>
          <c:spPr>
            <a:solidFill>
              <a:srgbClr val="FDBF6F"/>
            </a:solidFill>
            <a:ln>
              <a:solidFill>
                <a:sysClr val="windowText" lastClr="000000"/>
              </a:solidFill>
            </a:ln>
            <a:effectLst/>
          </c:spPr>
          <c:invertIfNegative val="0"/>
          <c:cat>
            <c:numRef>
              <c:f>FATS!$D$3:$N$3</c:f>
              <c:numCache>
                <c:formatCode>General</c:formatCode>
                <c:ptCount val="11"/>
                <c:pt idx="0">
                  <c:v>2011</c:v>
                </c:pt>
                <c:pt idx="1">
                  <c:v>2012</c:v>
                </c:pt>
                <c:pt idx="2">
                  <c:v>2013</c:v>
                </c:pt>
                <c:pt idx="3">
                  <c:v>2014</c:v>
                </c:pt>
                <c:pt idx="4">
                  <c:v>2015</c:v>
                </c:pt>
                <c:pt idx="5">
                  <c:v>2016</c:v>
                </c:pt>
                <c:pt idx="6">
                  <c:v>2017</c:v>
                </c:pt>
                <c:pt idx="7">
                  <c:v>2018</c:v>
                </c:pt>
                <c:pt idx="8">
                  <c:v>2019</c:v>
                </c:pt>
                <c:pt idx="9">
                  <c:v>2020</c:v>
                </c:pt>
                <c:pt idx="10">
                  <c:v>2021</c:v>
                </c:pt>
              </c:numCache>
            </c:numRef>
          </c:cat>
          <c:val>
            <c:numRef>
              <c:f>FATS!$D$44:$N$44</c:f>
              <c:numCache>
                <c:formatCode>General</c:formatCode>
                <c:ptCount val="11"/>
                <c:pt idx="0">
                  <c:v>932</c:v>
                </c:pt>
                <c:pt idx="1">
                  <c:v>788</c:v>
                </c:pt>
                <c:pt idx="2">
                  <c:v>727</c:v>
                </c:pt>
                <c:pt idx="3">
                  <c:v>612</c:v>
                </c:pt>
                <c:pt idx="4">
                  <c:v>462</c:v>
                </c:pt>
                <c:pt idx="5">
                  <c:v>505</c:v>
                </c:pt>
                <c:pt idx="6">
                  <c:v>524</c:v>
                </c:pt>
                <c:pt idx="7">
                  <c:v>408</c:v>
                </c:pt>
                <c:pt idx="8">
                  <c:v>466</c:v>
                </c:pt>
                <c:pt idx="9">
                  <c:v>461</c:v>
                </c:pt>
                <c:pt idx="10">
                  <c:v>893</c:v>
                </c:pt>
              </c:numCache>
            </c:numRef>
          </c:val>
          <c:extLst>
            <c:ext xmlns:c16="http://schemas.microsoft.com/office/drawing/2014/chart" uri="{C3380CC4-5D6E-409C-BE32-E72D297353CC}">
              <c16:uniqueId val="{00000002-1467-44A8-AECF-C36817BC03DA}"/>
            </c:ext>
          </c:extLst>
        </c:ser>
        <c:ser>
          <c:idx val="2"/>
          <c:order val="3"/>
          <c:tx>
            <c:v>White Grease</c:v>
          </c:tx>
          <c:spPr>
            <a:solidFill>
              <a:srgbClr val="B2DF8A"/>
            </a:solidFill>
            <a:ln>
              <a:solidFill>
                <a:sysClr val="windowText" lastClr="000000"/>
              </a:solidFill>
            </a:ln>
            <a:effectLst/>
          </c:spPr>
          <c:invertIfNegative val="0"/>
          <c:cat>
            <c:numRef>
              <c:f>FATS!$D$3:$N$3</c:f>
              <c:numCache>
                <c:formatCode>General</c:formatCode>
                <c:ptCount val="11"/>
                <c:pt idx="0">
                  <c:v>2011</c:v>
                </c:pt>
                <c:pt idx="1">
                  <c:v>2012</c:v>
                </c:pt>
                <c:pt idx="2">
                  <c:v>2013</c:v>
                </c:pt>
                <c:pt idx="3">
                  <c:v>2014</c:v>
                </c:pt>
                <c:pt idx="4">
                  <c:v>2015</c:v>
                </c:pt>
                <c:pt idx="5">
                  <c:v>2016</c:v>
                </c:pt>
                <c:pt idx="6">
                  <c:v>2017</c:v>
                </c:pt>
                <c:pt idx="7">
                  <c:v>2018</c:v>
                </c:pt>
                <c:pt idx="8">
                  <c:v>2019</c:v>
                </c:pt>
                <c:pt idx="9">
                  <c:v>2020</c:v>
                </c:pt>
                <c:pt idx="10">
                  <c:v>2021</c:v>
                </c:pt>
              </c:numCache>
            </c:numRef>
          </c:cat>
          <c:val>
            <c:numRef>
              <c:f>FATS!$D$43:$N$43</c:f>
              <c:numCache>
                <c:formatCode>General</c:formatCode>
                <c:ptCount val="11"/>
                <c:pt idx="0">
                  <c:v>1020</c:v>
                </c:pt>
                <c:pt idx="1">
                  <c:v>926</c:v>
                </c:pt>
                <c:pt idx="2">
                  <c:v>846</c:v>
                </c:pt>
                <c:pt idx="3">
                  <c:v>711</c:v>
                </c:pt>
                <c:pt idx="4">
                  <c:v>498</c:v>
                </c:pt>
                <c:pt idx="5">
                  <c:v>537</c:v>
                </c:pt>
                <c:pt idx="6">
                  <c:v>549</c:v>
                </c:pt>
                <c:pt idx="7">
                  <c:v>463</c:v>
                </c:pt>
                <c:pt idx="8">
                  <c:v>512</c:v>
                </c:pt>
                <c:pt idx="9">
                  <c:v>534</c:v>
                </c:pt>
                <c:pt idx="10">
                  <c:v>1066</c:v>
                </c:pt>
              </c:numCache>
            </c:numRef>
          </c:val>
          <c:extLst>
            <c:ext xmlns:c16="http://schemas.microsoft.com/office/drawing/2014/chart" uri="{C3380CC4-5D6E-409C-BE32-E72D297353CC}">
              <c16:uniqueId val="{00000003-1467-44A8-AECF-C36817BC03DA}"/>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max val="1600"/>
          <c:min val="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a:t>
                </a:r>
                <a:r>
                  <a:rPr lang="en-US" sz="1000" baseline="0">
                    <a:solidFill>
                      <a:sysClr val="windowText" lastClr="000000"/>
                    </a:solidFill>
                  </a:rPr>
                  <a:t> per metric tons</a:t>
                </a:r>
                <a:endParaRPr lang="en-US" sz="1000">
                  <a:solidFill>
                    <a:sysClr val="windowText" lastClr="000000"/>
                  </a:solidFill>
                </a:endParaRPr>
              </a:p>
            </c:rich>
          </c:tx>
          <c:layout>
            <c:manualLayout>
              <c:xMode val="edge"/>
              <c:yMode val="edge"/>
              <c:x val="1.3879600283019782E-2"/>
              <c:y val="0.351820959415997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0.12776449818772653"/>
          <c:y val="4.9205489938757653E-2"/>
          <c:w val="0.50068225846769154"/>
          <c:h val="5.9247320647419076E-2"/>
        </c:manualLayout>
      </c:layout>
      <c:overlay val="1"/>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40044994375703"/>
          <c:y val="3.8194444444444448E-2"/>
          <c:w val="0.87177415323084617"/>
          <c:h val="0.87947315179352581"/>
        </c:manualLayout>
      </c:layout>
      <c:lineChart>
        <c:grouping val="standard"/>
        <c:varyColors val="0"/>
        <c:ser>
          <c:idx val="1"/>
          <c:order val="0"/>
          <c:tx>
            <c:v>Total renewable diesel production in the U.S.</c:v>
          </c:tx>
          <c:spPr>
            <a:ln w="28575" cap="rnd">
              <a:solidFill>
                <a:srgbClr val="A6CEE3"/>
              </a:solidFill>
              <a:round/>
            </a:ln>
            <a:effectLst/>
          </c:spPr>
          <c:marker>
            <c:symbol val="circle"/>
            <c:size val="5"/>
            <c:spPr>
              <a:solidFill>
                <a:srgbClr val="A6CEE3"/>
              </a:solidFill>
              <a:ln w="9525">
                <a:solidFill>
                  <a:srgbClr val="A6CEE3"/>
                </a:solidFill>
              </a:ln>
              <a:effectLst/>
            </c:spPr>
          </c:marker>
          <c:cat>
            <c:numRef>
              <c:f>'RENEWABLE DIESEL'!$B$3:$M$3</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'RENEWABLE DIESEL'!$B$4:$M$4</c:f>
              <c:numCache>
                <c:formatCode>0</c:formatCode>
                <c:ptCount val="12"/>
                <c:pt idx="0">
                  <c:v>8.7765930000000001</c:v>
                </c:pt>
                <c:pt idx="1">
                  <c:v>62.041289999999996</c:v>
                </c:pt>
                <c:pt idx="2">
                  <c:v>52.401102000000002</c:v>
                </c:pt>
                <c:pt idx="3">
                  <c:v>113.285858</c:v>
                </c:pt>
                <c:pt idx="4">
                  <c:v>159.14120600000001</c:v>
                </c:pt>
                <c:pt idx="5">
                  <c:v>176.84761599999999</c:v>
                </c:pt>
                <c:pt idx="6">
                  <c:v>241.487435</c:v>
                </c:pt>
                <c:pt idx="7">
                  <c:v>258.34212500000001</c:v>
                </c:pt>
                <c:pt idx="8">
                  <c:v>305.48444699999999</c:v>
                </c:pt>
                <c:pt idx="9">
                  <c:v>492.00795799999997</c:v>
                </c:pt>
                <c:pt idx="10">
                  <c:v>533.50834699999996</c:v>
                </c:pt>
                <c:pt idx="11">
                  <c:v>845.43490699999995</c:v>
                </c:pt>
              </c:numCache>
            </c:numRef>
          </c:val>
          <c:smooth val="0"/>
          <c:extLst>
            <c:ext xmlns:c16="http://schemas.microsoft.com/office/drawing/2014/chart" uri="{C3380CC4-5D6E-409C-BE32-E72D297353CC}">
              <c16:uniqueId val="{00000000-BC3A-4720-B43D-C4B151235E98}"/>
            </c:ext>
          </c:extLst>
        </c:ser>
        <c:ser>
          <c:idx val="2"/>
          <c:order val="1"/>
          <c:tx>
            <c:v>Total renewable diesel consumption in the U.S.</c:v>
          </c:tx>
          <c:spPr>
            <a:ln w="28575" cap="rnd">
              <a:solidFill>
                <a:srgbClr val="B2DF8A"/>
              </a:solidFill>
              <a:round/>
            </a:ln>
            <a:effectLst/>
          </c:spPr>
          <c:marker>
            <c:symbol val="circle"/>
            <c:size val="5"/>
            <c:spPr>
              <a:solidFill>
                <a:srgbClr val="B2DF8A"/>
              </a:solidFill>
              <a:ln w="9525">
                <a:solidFill>
                  <a:srgbClr val="B2DF8A"/>
                </a:solidFill>
              </a:ln>
              <a:effectLst/>
            </c:spPr>
          </c:marker>
          <c:cat>
            <c:numRef>
              <c:f>'RENEWABLE DIESEL'!$B$3:$M$3</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'RENEWABLE DIESEL'!$B$5:$M$5</c:f>
              <c:numCache>
                <c:formatCode>0</c:formatCode>
                <c:ptCount val="12"/>
                <c:pt idx="0">
                  <c:v>8.7765930000000001</c:v>
                </c:pt>
                <c:pt idx="1">
                  <c:v>62.041289999999996</c:v>
                </c:pt>
                <c:pt idx="2">
                  <c:v>102.674024</c:v>
                </c:pt>
                <c:pt idx="3">
                  <c:v>416.68540000000002</c:v>
                </c:pt>
                <c:pt idx="4">
                  <c:v>487.892696</c:v>
                </c:pt>
                <c:pt idx="5">
                  <c:v>513.14457400000003</c:v>
                </c:pt>
                <c:pt idx="6">
                  <c:v>591.17347099999995</c:v>
                </c:pt>
                <c:pt idx="7">
                  <c:v>602.72382000000005</c:v>
                </c:pt>
                <c:pt idx="8">
                  <c:v>615.33108400000003</c:v>
                </c:pt>
                <c:pt idx="9">
                  <c:v>912.38458300000002</c:v>
                </c:pt>
                <c:pt idx="10">
                  <c:v>892.71931400000005</c:v>
                </c:pt>
                <c:pt idx="11">
                  <c:v>1237.223954</c:v>
                </c:pt>
              </c:numCache>
            </c:numRef>
          </c:val>
          <c:smooth val="0"/>
          <c:extLst>
            <c:ext xmlns:c16="http://schemas.microsoft.com/office/drawing/2014/chart" uri="{C3380CC4-5D6E-409C-BE32-E72D297353CC}">
              <c16:uniqueId val="{00000001-BC3A-4720-B43D-C4B151235E98}"/>
            </c:ext>
          </c:extLst>
        </c:ser>
        <c:ser>
          <c:idx val="0"/>
          <c:order val="2"/>
          <c:tx>
            <c:v>Total renewable diesel import in the U.S.</c:v>
          </c:tx>
          <c:spPr>
            <a:ln w="28575" cap="rnd">
              <a:solidFill>
                <a:srgbClr val="FDBF6F"/>
              </a:solidFill>
              <a:round/>
            </a:ln>
            <a:effectLst/>
          </c:spPr>
          <c:marker>
            <c:symbol val="circle"/>
            <c:size val="5"/>
            <c:spPr>
              <a:solidFill>
                <a:srgbClr val="FDBF6F"/>
              </a:solidFill>
              <a:ln w="9525">
                <a:solidFill>
                  <a:srgbClr val="FDBF6F"/>
                </a:solidFill>
              </a:ln>
              <a:effectLst/>
            </c:spPr>
          </c:marker>
          <c:cat>
            <c:numRef>
              <c:f>'RENEWABLE DIESEL'!$B$3:$M$3</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'RENEWABLE DIESEL'!$B$7:$M$7</c:f>
              <c:numCache>
                <c:formatCode>General</c:formatCode>
                <c:ptCount val="12"/>
                <c:pt idx="2" formatCode="0">
                  <c:v>30.909999999999997</c:v>
                </c:pt>
                <c:pt idx="3" formatCode="0">
                  <c:v>212.85599999999999</c:v>
                </c:pt>
                <c:pt idx="4" formatCode="0">
                  <c:v>120.666</c:v>
                </c:pt>
                <c:pt idx="5" formatCode="0">
                  <c:v>204.708</c:v>
                </c:pt>
                <c:pt idx="6" formatCode="0">
                  <c:v>222.768</c:v>
                </c:pt>
                <c:pt idx="7" formatCode="0">
                  <c:v>189.37799999999999</c:v>
                </c:pt>
                <c:pt idx="8" formatCode="0">
                  <c:v>173.208</c:v>
                </c:pt>
                <c:pt idx="9" formatCode="0">
                  <c:v>258.00599999999997</c:v>
                </c:pt>
                <c:pt idx="10" formatCode="0">
                  <c:v>279.63600000000002</c:v>
                </c:pt>
                <c:pt idx="11" formatCode="0">
                  <c:v>392.28</c:v>
                </c:pt>
              </c:numCache>
            </c:numRef>
          </c:val>
          <c:smooth val="0"/>
          <c:extLst>
            <c:ext xmlns:c16="http://schemas.microsoft.com/office/drawing/2014/chart" uri="{C3380CC4-5D6E-409C-BE32-E72D297353CC}">
              <c16:uniqueId val="{00000001-DC73-4821-B151-11124B0D767D}"/>
            </c:ext>
          </c:extLst>
        </c:ser>
        <c:dLbls>
          <c:showLegendKey val="0"/>
          <c:showVal val="0"/>
          <c:showCatName val="0"/>
          <c:showSerName val="0"/>
          <c:showPercent val="0"/>
          <c:showBubbleSize val="0"/>
        </c:dLbls>
        <c:marker val="1"/>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gallons</a:t>
                </a:r>
              </a:p>
            </c:rich>
          </c:tx>
          <c:layout>
            <c:manualLayout>
              <c:xMode val="edge"/>
              <c:yMode val="edge"/>
              <c:x val="7.936507936507936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midCat"/>
      </c:valAx>
      <c:spPr>
        <a:noFill/>
        <a:ln>
          <a:solidFill>
            <a:schemeClr val="tx1"/>
          </a:solidFill>
        </a:ln>
        <a:effectLst/>
      </c:spPr>
    </c:plotArea>
    <c:legend>
      <c:legendPos val="t"/>
      <c:layout>
        <c:manualLayout>
          <c:xMode val="edge"/>
          <c:yMode val="edge"/>
          <c:x val="0.13125229157779295"/>
          <c:y val="4.8743352008947131E-2"/>
          <c:w val="0.47416666666666657"/>
          <c:h val="0.17253362860892388"/>
        </c:manualLayout>
      </c:layout>
      <c:overlay val="1"/>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FDBF6F"/>
            </a:solidFill>
            <a:ln>
              <a:solidFill>
                <a:schemeClr val="tx1"/>
              </a:solidFill>
            </a:ln>
            <a:effectLst/>
          </c:spPr>
          <c:invertIfNegative val="0"/>
          <c:cat>
            <c:numRef>
              <c:f>'RENEWABLE DIESEL'!$D$3:$M$3</c:f>
              <c:numCache>
                <c:formatCode>General</c:formatCode>
                <c:ptCount val="10"/>
                <c:pt idx="0">
                  <c:v>2012</c:v>
                </c:pt>
                <c:pt idx="1">
                  <c:v>2013</c:v>
                </c:pt>
                <c:pt idx="2">
                  <c:v>2014</c:v>
                </c:pt>
                <c:pt idx="3">
                  <c:v>2015</c:v>
                </c:pt>
                <c:pt idx="4">
                  <c:v>2016</c:v>
                </c:pt>
                <c:pt idx="5">
                  <c:v>2017</c:v>
                </c:pt>
                <c:pt idx="6">
                  <c:v>2018</c:v>
                </c:pt>
                <c:pt idx="7">
                  <c:v>2019</c:v>
                </c:pt>
                <c:pt idx="8">
                  <c:v>2020</c:v>
                </c:pt>
                <c:pt idx="9">
                  <c:v>2021</c:v>
                </c:pt>
              </c:numCache>
            </c:numRef>
          </c:cat>
          <c:val>
            <c:numRef>
              <c:f>'RENEWABLE DIESEL'!$D$7:$M$7</c:f>
              <c:numCache>
                <c:formatCode>0</c:formatCode>
                <c:ptCount val="10"/>
                <c:pt idx="0">
                  <c:v>30.909999999999997</c:v>
                </c:pt>
                <c:pt idx="1">
                  <c:v>212.85599999999999</c:v>
                </c:pt>
                <c:pt idx="2">
                  <c:v>120.666</c:v>
                </c:pt>
                <c:pt idx="3">
                  <c:v>204.708</c:v>
                </c:pt>
                <c:pt idx="4">
                  <c:v>222.768</c:v>
                </c:pt>
                <c:pt idx="5">
                  <c:v>189.37799999999999</c:v>
                </c:pt>
                <c:pt idx="6">
                  <c:v>173.208</c:v>
                </c:pt>
                <c:pt idx="7">
                  <c:v>258.00599999999997</c:v>
                </c:pt>
                <c:pt idx="8">
                  <c:v>279.63600000000002</c:v>
                </c:pt>
                <c:pt idx="9">
                  <c:v>392.28</c:v>
                </c:pt>
              </c:numCache>
            </c:numRef>
          </c:val>
          <c:extLst>
            <c:ext xmlns:c16="http://schemas.microsoft.com/office/drawing/2014/chart" uri="{C3380CC4-5D6E-409C-BE32-E72D297353CC}">
              <c16:uniqueId val="{00000000-2751-48E3-B332-34D58605B94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62152855091583"/>
          <c:y val="3.8194444444444448E-2"/>
          <c:w val="0.84230921756363575"/>
          <c:h val="0.87947315179352581"/>
        </c:manualLayout>
      </c:layout>
      <c:lineChart>
        <c:grouping val="standard"/>
        <c:varyColors val="0"/>
        <c:ser>
          <c:idx val="0"/>
          <c:order val="0"/>
          <c:spPr>
            <a:ln w="28575" cap="rnd">
              <a:solidFill>
                <a:srgbClr val="A6CEE3"/>
              </a:solidFill>
              <a:round/>
            </a:ln>
            <a:effectLst/>
          </c:spPr>
          <c:marker>
            <c:symbol val="none"/>
          </c:marker>
          <c:dLbls>
            <c:dLbl>
              <c:idx val="0"/>
              <c:layout>
                <c:manualLayout>
                  <c:x val="0"/>
                  <c:y val="-1.38888888888890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C2F-4703-85A1-6FFDB1566A04}"/>
                </c:ext>
              </c:extLst>
            </c:dLbl>
            <c:dLbl>
              <c:idx val="1"/>
              <c:layout>
                <c:manualLayout>
                  <c:x val="-1.515682109802218E-2"/>
                  <c:y val="-3.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2F-4703-85A1-6FFDB1566A04}"/>
                </c:ext>
              </c:extLst>
            </c:dLbl>
            <c:dLbl>
              <c:idx val="2"/>
              <c:layout>
                <c:manualLayout>
                  <c:x val="-1.2991560941161948E-2"/>
                  <c:y val="1.7361111111111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C2F-4703-85A1-6FFDB1566A04}"/>
                </c:ext>
              </c:extLst>
            </c:dLbl>
            <c:dLbl>
              <c:idx val="4"/>
              <c:layout>
                <c:manualLayout>
                  <c:x val="-2.1652601568603112E-3"/>
                  <c:y val="2.43055555555555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C2F-4703-85A1-6FFDB1566A04}"/>
                </c:ext>
              </c:extLst>
            </c:dLbl>
            <c:dLbl>
              <c:idx val="5"/>
              <c:layout>
                <c:manualLayout>
                  <c:x val="-3.8974682823485762E-2"/>
                  <c:y val="-2.43055555555555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2F-4703-85A1-6FFDB1566A04}"/>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'RENEWABLE JET FUEL'!$H$3:$M$3</c:f>
              <c:numCache>
                <c:formatCode>General</c:formatCode>
                <c:ptCount val="6"/>
                <c:pt idx="0">
                  <c:v>2016</c:v>
                </c:pt>
                <c:pt idx="1">
                  <c:v>2017</c:v>
                </c:pt>
                <c:pt idx="2">
                  <c:v>2018</c:v>
                </c:pt>
                <c:pt idx="3">
                  <c:v>2019</c:v>
                </c:pt>
                <c:pt idx="4">
                  <c:v>2020</c:v>
                </c:pt>
                <c:pt idx="5">
                  <c:v>2021</c:v>
                </c:pt>
              </c:numCache>
            </c:numRef>
          </c:cat>
          <c:val>
            <c:numRef>
              <c:f>'RENEWABLE JET FUEL'!$H$4:$M$4</c:f>
              <c:numCache>
                <c:formatCode>#,##0</c:formatCode>
                <c:ptCount val="6"/>
                <c:pt idx="0">
                  <c:v>1943.7170000000001</c:v>
                </c:pt>
                <c:pt idx="1">
                  <c:v>1711.0170000000001</c:v>
                </c:pt>
                <c:pt idx="2">
                  <c:v>1828.1780000000001</c:v>
                </c:pt>
                <c:pt idx="3">
                  <c:v>2428.3690000000001</c:v>
                </c:pt>
                <c:pt idx="4">
                  <c:v>4608.3990000000003</c:v>
                </c:pt>
                <c:pt idx="5">
                  <c:v>5076.6229999999996</c:v>
                </c:pt>
              </c:numCache>
            </c:numRef>
          </c:val>
          <c:smooth val="0"/>
          <c:extLst>
            <c:ext xmlns:c16="http://schemas.microsoft.com/office/drawing/2014/chart" uri="{C3380CC4-5D6E-409C-BE32-E72D297353CC}">
              <c16:uniqueId val="{00000002-4D1F-4292-8636-4B638313E630}"/>
            </c:ext>
          </c:extLst>
        </c:ser>
        <c:dLbls>
          <c:showLegendKey val="0"/>
          <c:showVal val="0"/>
          <c:showCatName val="0"/>
          <c:showSerName val="0"/>
          <c:showPercent val="0"/>
          <c:showBubbleSize val="0"/>
        </c:dLbls>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Thousand gallons</a:t>
                </a:r>
              </a:p>
            </c:rich>
          </c:tx>
          <c:layout>
            <c:manualLayout>
              <c:xMode val="edge"/>
              <c:yMode val="edge"/>
              <c:x val="6.1701662292213489E-3"/>
              <c:y val="0.3176588473315835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midCat"/>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997441357566151"/>
          <c:y val="3.8194444444444448E-2"/>
          <c:w val="0.79413460109939082"/>
          <c:h val="0.87947315179352581"/>
        </c:manualLayout>
      </c:layout>
      <c:lineChart>
        <c:grouping val="standard"/>
        <c:varyColors val="0"/>
        <c:ser>
          <c:idx val="2"/>
          <c:order val="0"/>
          <c:spPr>
            <a:ln w="28575" cap="rnd">
              <a:solidFill>
                <a:srgbClr val="A6CEE3"/>
              </a:solidFill>
              <a:round/>
            </a:ln>
            <a:effectLst/>
          </c:spPr>
          <c:marker>
            <c:symbol val="circle"/>
            <c:size val="5"/>
            <c:spPr>
              <a:solidFill>
                <a:srgbClr val="A6CEE3"/>
              </a:solidFill>
              <a:ln w="9525">
                <a:solidFill>
                  <a:srgbClr val="A6CEE3"/>
                </a:solidFill>
              </a:ln>
              <a:effectLst/>
            </c:spPr>
          </c:marker>
          <c:dLbls>
            <c:dLbl>
              <c:idx val="0"/>
              <c:layout>
                <c:manualLayout>
                  <c:x val="-1.2176560121765601E-2"/>
                  <c:y val="-1.38888888888890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C6-41A6-9F2D-EB007B49550C}"/>
                </c:ext>
              </c:extLst>
            </c:dLbl>
            <c:dLbl>
              <c:idx val="4"/>
              <c:layout>
                <c:manualLayout>
                  <c:x val="-3.2470826991374935E-2"/>
                  <c:y val="-3.819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C6-41A6-9F2D-EB007B49550C}"/>
                </c:ext>
              </c:extLst>
            </c:dLbl>
            <c:dLbl>
              <c:idx val="5"/>
              <c:layout>
                <c:manualLayout>
                  <c:x val="-2.6382546930492135E-2"/>
                  <c:y val="-4.8611111111111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C6-41A6-9F2D-EB007B49550C}"/>
                </c:ext>
              </c:extLst>
            </c:dLbl>
            <c:dLbl>
              <c:idx val="6"/>
              <c:layout>
                <c:manualLayout>
                  <c:x val="-2.8411973617453068E-2"/>
                  <c:y val="-3.47222222222223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CC6-41A6-9F2D-EB007B49550C}"/>
                </c:ext>
              </c:extLst>
            </c:dLbl>
            <c:dLbl>
              <c:idx val="7"/>
              <c:layout>
                <c:manualLayout>
                  <c:x val="-8.1177067478437337E-3"/>
                  <c:y val="-1.73611111111112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CC6-41A6-9F2D-EB007B49550C}"/>
                </c:ext>
              </c:extLst>
            </c:dLbl>
            <c:dLbl>
              <c:idx val="8"/>
              <c:layout>
                <c:manualLayout>
                  <c:x val="-4.4647387113140688E-2"/>
                  <c:y val="-6.944444444444460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C6-41A6-9F2D-EB007B49550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'RENEWABLE JET FUEL'!$E$3:$M$3</c:f>
              <c:numCache>
                <c:formatCode>General</c:formatCode>
                <c:ptCount val="9"/>
                <c:pt idx="0">
                  <c:v>2013</c:v>
                </c:pt>
                <c:pt idx="1">
                  <c:v>2014</c:v>
                </c:pt>
                <c:pt idx="2">
                  <c:v>2015</c:v>
                </c:pt>
                <c:pt idx="3">
                  <c:v>2016</c:v>
                </c:pt>
                <c:pt idx="4">
                  <c:v>2017</c:v>
                </c:pt>
                <c:pt idx="5">
                  <c:v>2018</c:v>
                </c:pt>
                <c:pt idx="6">
                  <c:v>2019</c:v>
                </c:pt>
                <c:pt idx="7">
                  <c:v>2020</c:v>
                </c:pt>
                <c:pt idx="8">
                  <c:v>2021</c:v>
                </c:pt>
              </c:numCache>
            </c:numRef>
          </c:cat>
          <c:val>
            <c:numRef>
              <c:f>'RENEWABLE JET FUEL'!$E$5:$M$5</c:f>
              <c:numCache>
                <c:formatCode>_(* #,##0_);_(* \(#,##0\);_(* "-"??_);_(@_)</c:formatCode>
                <c:ptCount val="9"/>
                <c:pt idx="0">
                  <c:v>15004.969600000002</c:v>
                </c:pt>
                <c:pt idx="1">
                  <c:v>395993.82799999998</c:v>
                </c:pt>
                <c:pt idx="2">
                  <c:v>921009.26080000005</c:v>
                </c:pt>
                <c:pt idx="3">
                  <c:v>639005.65080000006</c:v>
                </c:pt>
                <c:pt idx="4">
                  <c:v>39995.640800000001</c:v>
                </c:pt>
                <c:pt idx="5">
                  <c:v>105.6688</c:v>
                </c:pt>
                <c:pt idx="6">
                  <c:v>257541.28280000002</c:v>
                </c:pt>
                <c:pt idx="7">
                  <c:v>109789.8832</c:v>
                </c:pt>
                <c:pt idx="8">
                  <c:v>2635881.7988</c:v>
                </c:pt>
              </c:numCache>
            </c:numRef>
          </c:val>
          <c:smooth val="0"/>
          <c:extLst>
            <c:ext xmlns:c16="http://schemas.microsoft.com/office/drawing/2014/chart" uri="{C3380CC4-5D6E-409C-BE32-E72D297353CC}">
              <c16:uniqueId val="{00000001-726D-46C6-85F6-59549418958E}"/>
            </c:ext>
          </c:extLst>
        </c:ser>
        <c:dLbls>
          <c:showLegendKey val="0"/>
          <c:showVal val="0"/>
          <c:showCatName val="0"/>
          <c:showSerName val="0"/>
          <c:showPercent val="0"/>
          <c:showBubbleSize val="0"/>
        </c:dLbls>
        <c:marker val="1"/>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Thousand gallons</a:t>
                </a:r>
              </a:p>
            </c:rich>
          </c:tx>
          <c:layout>
            <c:manualLayout>
              <c:xMode val="edge"/>
              <c:yMode val="edge"/>
              <c:x val="6.1701662292213489E-3"/>
              <c:y val="0.3176588473315835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midCat"/>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spPr>
            <a:solidFill>
              <a:srgbClr val="A6CEE3"/>
            </a:solidFill>
            <a:ln>
              <a:solidFill>
                <a:sysClr val="windowText" lastClr="000000"/>
              </a:solidFill>
            </a:ln>
            <a:effectLst/>
          </c:spPr>
          <c:invertIfNegative val="0"/>
          <c:cat>
            <c:numRef>
              <c:f>'WOOD PELLETS'!$E$3:$M$3</c:f>
              <c:numCache>
                <c:formatCode>General</c:formatCode>
                <c:ptCount val="9"/>
                <c:pt idx="0">
                  <c:v>2013</c:v>
                </c:pt>
                <c:pt idx="1">
                  <c:v>2014</c:v>
                </c:pt>
                <c:pt idx="2">
                  <c:v>2015</c:v>
                </c:pt>
                <c:pt idx="3">
                  <c:v>2016</c:v>
                </c:pt>
                <c:pt idx="4">
                  <c:v>2017</c:v>
                </c:pt>
                <c:pt idx="5">
                  <c:v>2018</c:v>
                </c:pt>
                <c:pt idx="6">
                  <c:v>2019</c:v>
                </c:pt>
                <c:pt idx="7">
                  <c:v>2020</c:v>
                </c:pt>
                <c:pt idx="8">
                  <c:v>2021</c:v>
                </c:pt>
              </c:numCache>
            </c:numRef>
          </c:cat>
          <c:val>
            <c:numRef>
              <c:f>'WOOD PELLETS'!$E$4:$M$4</c:f>
              <c:numCache>
                <c:formatCode>General</c:formatCode>
                <c:ptCount val="9"/>
                <c:pt idx="0">
                  <c:v>123</c:v>
                </c:pt>
                <c:pt idx="1">
                  <c:v>122</c:v>
                </c:pt>
                <c:pt idx="2">
                  <c:v>137</c:v>
                </c:pt>
                <c:pt idx="3">
                  <c:v>147</c:v>
                </c:pt>
                <c:pt idx="4">
                  <c:v>148</c:v>
                </c:pt>
                <c:pt idx="5">
                  <c:v>140</c:v>
                </c:pt>
                <c:pt idx="6">
                  <c:v>126</c:v>
                </c:pt>
                <c:pt idx="7">
                  <c:v>124</c:v>
                </c:pt>
                <c:pt idx="8">
                  <c:v>116</c:v>
                </c:pt>
              </c:numCache>
            </c:numRef>
          </c:val>
          <c:extLst>
            <c:ext xmlns:c16="http://schemas.microsoft.com/office/drawing/2014/chart" uri="{C3380CC4-5D6E-409C-BE32-E72D297353CC}">
              <c16:uniqueId val="{00000000-8382-4CD5-81DB-B17AD6C8EA85}"/>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plants</a:t>
                </a:r>
              </a:p>
            </c:rich>
          </c:tx>
          <c:layout>
            <c:manualLayout>
              <c:xMode val="edge"/>
              <c:yMode val="edge"/>
              <c:x val="1.5873000985438521E-2"/>
              <c:y val="0.37541468512098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59878310665712"/>
          <c:y val="2.8028762029746284E-2"/>
          <c:w val="0.88461623208770401"/>
          <c:h val="0.87787714035745534"/>
        </c:manualLayout>
      </c:layout>
      <c:barChart>
        <c:barDir val="col"/>
        <c:grouping val="clustered"/>
        <c:varyColors val="0"/>
        <c:ser>
          <c:idx val="1"/>
          <c:order val="0"/>
          <c:spPr>
            <a:solidFill>
              <a:srgbClr val="A6CEE3"/>
            </a:solidFill>
            <a:ln>
              <a:solidFill>
                <a:sysClr val="windowText" lastClr="000000"/>
              </a:solidFill>
            </a:ln>
            <a:effectLst/>
          </c:spPr>
          <c:invertIfNegative val="0"/>
          <c:cat>
            <c:numRef>
              <c:f>'WOOD PELLETS'!$D$10:$L$10</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'WOOD PELLETS'!$D$13:$L$13</c:f>
              <c:numCache>
                <c:formatCode>0.0</c:formatCode>
                <c:ptCount val="9"/>
                <c:pt idx="0">
                  <c:v>1.8981250000000001</c:v>
                </c:pt>
                <c:pt idx="1">
                  <c:v>2.882517</c:v>
                </c:pt>
                <c:pt idx="2">
                  <c:v>4.0050569999999999</c:v>
                </c:pt>
                <c:pt idx="3">
                  <c:v>4.6689999999999996</c:v>
                </c:pt>
                <c:pt idx="4">
                  <c:v>4.7089999999999996</c:v>
                </c:pt>
                <c:pt idx="5">
                  <c:v>5.2039809999999997</c:v>
                </c:pt>
                <c:pt idx="6">
                  <c:v>6.0170000000000003</c:v>
                </c:pt>
                <c:pt idx="7">
                  <c:v>6.8584620000000003</c:v>
                </c:pt>
                <c:pt idx="8">
                  <c:v>7.2568599999999996</c:v>
                </c:pt>
              </c:numCache>
            </c:numRef>
          </c:val>
          <c:extLst>
            <c:ext xmlns:c16="http://schemas.microsoft.com/office/drawing/2014/chart" uri="{C3380CC4-5D6E-409C-BE32-E72D297353CC}">
              <c16:uniqueId val="{00000000-D148-49BE-BC70-C0D6A50A85F5}"/>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3930492080098378E-2"/>
              <c:y val="0.302498086176727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28054673658868"/>
          <c:y val="3.8194444444444448E-2"/>
          <c:w val="0.8393802754387919"/>
          <c:h val="0.87947315179352581"/>
        </c:manualLayout>
      </c:layout>
      <c:barChart>
        <c:barDir val="col"/>
        <c:grouping val="clustered"/>
        <c:varyColors val="0"/>
        <c:ser>
          <c:idx val="1"/>
          <c:order val="0"/>
          <c:tx>
            <c:v>Electricity generation</c:v>
          </c:tx>
          <c:spPr>
            <a:solidFill>
              <a:srgbClr val="A6CEE3"/>
            </a:solidFill>
            <a:ln>
              <a:solidFill>
                <a:sysClr val="windowText" lastClr="000000"/>
              </a:solidFill>
            </a:ln>
            <a:effectLst/>
          </c:spPr>
          <c:invertIfNegative val="0"/>
          <c:cat>
            <c:numRef>
              <c:f>'WOOD PELLETS'!$B$10:$M$10</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'WOOD PELLETS'!$B$15:$M$15</c:f>
              <c:numCache>
                <c:formatCode>0</c:formatCode>
                <c:ptCount val="12"/>
                <c:pt idx="0">
                  <c:v>126.83606807999999</c:v>
                </c:pt>
                <c:pt idx="1">
                  <c:v>127.78123085999998</c:v>
                </c:pt>
                <c:pt idx="2">
                  <c:v>128.97547985999998</c:v>
                </c:pt>
                <c:pt idx="3">
                  <c:v>136.58113992</c:v>
                </c:pt>
                <c:pt idx="4">
                  <c:v>144.4700076</c:v>
                </c:pt>
                <c:pt idx="5">
                  <c:v>143.06761806</c:v>
                </c:pt>
                <c:pt idx="6">
                  <c:v>139.71689658</c:v>
                </c:pt>
                <c:pt idx="7">
                  <c:v>140.41638527999999</c:v>
                </c:pt>
                <c:pt idx="8">
                  <c:v>139.9148007</c:v>
                </c:pt>
                <c:pt idx="9">
                  <c:v>131.51411202</c:v>
                </c:pt>
                <c:pt idx="10" formatCode="#,##0">
                  <c:v>123.55358940000001</c:v>
                </c:pt>
                <c:pt idx="11" formatCode="#,##0">
                  <c:v>126.8292438</c:v>
                </c:pt>
              </c:numCache>
            </c:numRef>
          </c:val>
          <c:extLst>
            <c:ext xmlns:c16="http://schemas.microsoft.com/office/drawing/2014/chart" uri="{C3380CC4-5D6E-409C-BE32-E72D297353CC}">
              <c16:uniqueId val="{00000000-F3BB-422B-A682-B35F7CC4D8C3}"/>
            </c:ext>
          </c:extLst>
        </c:ser>
        <c:ser>
          <c:idx val="0"/>
          <c:order val="1"/>
          <c:tx>
            <c:v>Heating</c:v>
          </c:tx>
          <c:spPr>
            <a:solidFill>
              <a:srgbClr val="FDBF6F"/>
            </a:solidFill>
            <a:ln>
              <a:solidFill>
                <a:sysClr val="windowText" lastClr="000000"/>
              </a:solidFill>
            </a:ln>
            <a:effectLst/>
          </c:spPr>
          <c:invertIfNegative val="0"/>
          <c:cat>
            <c:numRef>
              <c:f>'WOOD PELLETS'!$B$10:$M$10</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'WOOD PELLETS'!$B$18:$M$18</c:f>
              <c:numCache>
                <c:formatCode>0</c:formatCode>
                <c:ptCount val="12"/>
                <c:pt idx="0">
                  <c:v>2090.1639319199999</c:v>
                </c:pt>
                <c:pt idx="1">
                  <c:v>2085.2187691399999</c:v>
                </c:pt>
                <c:pt idx="2">
                  <c:v>2022.02452014</c:v>
                </c:pt>
                <c:pt idx="3">
                  <c:v>2201.4188600799998</c:v>
                </c:pt>
                <c:pt idx="4">
                  <c:v>2256.5299924000001</c:v>
                </c:pt>
                <c:pt idx="5">
                  <c:v>2168.9323819400001</c:v>
                </c:pt>
                <c:pt idx="6">
                  <c:v>2087.2831034199999</c:v>
                </c:pt>
                <c:pt idx="7">
                  <c:v>2044.58361472</c:v>
                </c:pt>
                <c:pt idx="8">
                  <c:v>2122.0851993000001</c:v>
                </c:pt>
                <c:pt idx="9">
                  <c:v>2105.4858879799999</c:v>
                </c:pt>
                <c:pt idx="10">
                  <c:v>1941.4464106</c:v>
                </c:pt>
                <c:pt idx="11">
                  <c:v>1960.1707561999999</c:v>
                </c:pt>
              </c:numCache>
            </c:numRef>
          </c:val>
          <c:extLst>
            <c:ext xmlns:c16="http://schemas.microsoft.com/office/drawing/2014/chart" uri="{C3380CC4-5D6E-409C-BE32-E72D297353CC}">
              <c16:uniqueId val="{00000001-F3BB-422B-A682-B35F7CC4D8C3}"/>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Trillion BTUs</a:t>
                </a:r>
              </a:p>
            </c:rich>
          </c:tx>
          <c:layout>
            <c:manualLayout>
              <c:xMode val="edge"/>
              <c:yMode val="edge"/>
              <c:x val="1.0902206567156236E-2"/>
              <c:y val="0.375414752843394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0.14489098869778427"/>
          <c:y val="5.0595199037620303E-2"/>
          <c:w val="0.41571206229183721"/>
          <c:h val="6.0766896325459313E-2"/>
        </c:manualLayout>
      </c:layout>
      <c:overlay val="1"/>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2"/>
          <c:order val="0"/>
          <c:spPr>
            <a:ln w="12700">
              <a:solidFill>
                <a:sysClr val="windowText" lastClr="000000"/>
              </a:solidFill>
            </a:ln>
          </c:spPr>
          <c:dPt>
            <c:idx val="0"/>
            <c:bubble3D val="0"/>
            <c:spPr>
              <a:solidFill>
                <a:srgbClr val="FB9A99"/>
              </a:solidFill>
              <a:ln w="12700">
                <a:solidFill>
                  <a:sysClr val="windowText" lastClr="000000"/>
                </a:solidFill>
              </a:ln>
            </c:spPr>
            <c:extLst>
              <c:ext xmlns:c16="http://schemas.microsoft.com/office/drawing/2014/chart" uri="{C3380CC4-5D6E-409C-BE32-E72D297353CC}">
                <c16:uniqueId val="{0000002C-640D-4C71-BDF6-D97393AD722A}"/>
              </c:ext>
            </c:extLst>
          </c:dPt>
          <c:dPt>
            <c:idx val="1"/>
            <c:bubble3D val="0"/>
            <c:spPr>
              <a:solidFill>
                <a:srgbClr val="B2DF8A"/>
              </a:solidFill>
              <a:ln w="12700">
                <a:solidFill>
                  <a:sysClr val="windowText" lastClr="000000"/>
                </a:solidFill>
              </a:ln>
            </c:spPr>
            <c:extLst>
              <c:ext xmlns:c16="http://schemas.microsoft.com/office/drawing/2014/chart" uri="{C3380CC4-5D6E-409C-BE32-E72D297353CC}">
                <c16:uniqueId val="{0000002D-640D-4C71-BDF6-D97393AD722A}"/>
              </c:ext>
            </c:extLst>
          </c:dPt>
          <c:dPt>
            <c:idx val="2"/>
            <c:bubble3D val="0"/>
            <c:spPr>
              <a:solidFill>
                <a:srgbClr val="CAB2D6"/>
              </a:solidFill>
              <a:ln w="12700">
                <a:solidFill>
                  <a:sysClr val="windowText" lastClr="000000"/>
                </a:solidFill>
              </a:ln>
            </c:spPr>
            <c:extLst>
              <c:ext xmlns:c16="http://schemas.microsoft.com/office/drawing/2014/chart" uri="{C3380CC4-5D6E-409C-BE32-E72D297353CC}">
                <c16:uniqueId val="{0000002E-640D-4C71-BDF6-D97393AD722A}"/>
              </c:ext>
            </c:extLst>
          </c:dPt>
          <c:dPt>
            <c:idx val="3"/>
            <c:bubble3D val="0"/>
            <c:spPr>
              <a:solidFill>
                <a:schemeClr val="bg1">
                  <a:lumMod val="75000"/>
                </a:schemeClr>
              </a:solidFill>
              <a:ln w="12700">
                <a:solidFill>
                  <a:sysClr val="windowText" lastClr="000000"/>
                </a:solidFill>
              </a:ln>
            </c:spPr>
            <c:extLst>
              <c:ext xmlns:c16="http://schemas.microsoft.com/office/drawing/2014/chart" uri="{C3380CC4-5D6E-409C-BE32-E72D297353CC}">
                <c16:uniqueId val="{0000002F-640D-4C71-BDF6-D97393AD722A}"/>
              </c:ext>
            </c:extLst>
          </c:dPt>
          <c:val>
            <c:numRef>
              <c:f>'WOOD PELLETS'!$K$20:$K$23</c:f>
              <c:numCache>
                <c:formatCode>General</c:formatCode>
                <c:ptCount val="4"/>
                <c:pt idx="0">
                  <c:v>546</c:v>
                </c:pt>
                <c:pt idx="1">
                  <c:v>84</c:v>
                </c:pt>
                <c:pt idx="2">
                  <c:v>1407</c:v>
                </c:pt>
                <c:pt idx="3">
                  <c:v>201</c:v>
                </c:pt>
              </c:numCache>
            </c:numRef>
          </c:val>
          <c:extLst>
            <c:ext xmlns:c16="http://schemas.microsoft.com/office/drawing/2014/chart" uri="{C3380CC4-5D6E-409C-BE32-E72D297353CC}">
              <c16:uniqueId val="{0000002B-640D-4C71-BDF6-D97393AD722A}"/>
            </c:ext>
          </c:extLst>
        </c:ser>
        <c:ser>
          <c:idx val="3"/>
          <c:order val="1"/>
          <c:spPr>
            <a:ln w="12700">
              <a:solidFill>
                <a:sysClr val="windowText" lastClr="000000"/>
              </a:solidFill>
            </a:ln>
          </c:spPr>
          <c:dPt>
            <c:idx val="0"/>
            <c:bubble3D val="0"/>
            <c:spPr>
              <a:solidFill>
                <a:srgbClr val="FB9A99"/>
              </a:solidFill>
              <a:ln w="12700">
                <a:solidFill>
                  <a:sysClr val="windowText" lastClr="000000"/>
                </a:solidFill>
              </a:ln>
              <a:effectLst/>
            </c:spPr>
            <c:extLst>
              <c:ext xmlns:c16="http://schemas.microsoft.com/office/drawing/2014/chart" uri="{C3380CC4-5D6E-409C-BE32-E72D297353CC}">
                <c16:uniqueId val="{00000031-640D-4C71-BDF6-D97393AD722A}"/>
              </c:ext>
            </c:extLst>
          </c:dPt>
          <c:dPt>
            <c:idx val="1"/>
            <c:bubble3D val="0"/>
            <c:spPr>
              <a:solidFill>
                <a:srgbClr val="B2DF8A"/>
              </a:solidFill>
              <a:ln w="12700">
                <a:solidFill>
                  <a:sysClr val="windowText" lastClr="000000"/>
                </a:solidFill>
              </a:ln>
              <a:effectLst/>
            </c:spPr>
            <c:extLst>
              <c:ext xmlns:c16="http://schemas.microsoft.com/office/drawing/2014/chart" uri="{C3380CC4-5D6E-409C-BE32-E72D297353CC}">
                <c16:uniqueId val="{00000032-640D-4C71-BDF6-D97393AD722A}"/>
              </c:ext>
            </c:extLst>
          </c:dPt>
          <c:dPt>
            <c:idx val="2"/>
            <c:bubble3D val="0"/>
            <c:spPr>
              <a:solidFill>
                <a:srgbClr val="CAB2D6"/>
              </a:solidFill>
              <a:ln w="12700">
                <a:solidFill>
                  <a:sysClr val="windowText" lastClr="000000"/>
                </a:solidFill>
              </a:ln>
              <a:effectLst/>
            </c:spPr>
            <c:extLst>
              <c:ext xmlns:c16="http://schemas.microsoft.com/office/drawing/2014/chart" uri="{C3380CC4-5D6E-409C-BE32-E72D297353CC}">
                <c16:uniqueId val="{00000033-640D-4C71-BDF6-D97393AD722A}"/>
              </c:ext>
            </c:extLst>
          </c:dPt>
          <c:dPt>
            <c:idx val="3"/>
            <c:bubble3D val="0"/>
            <c:spPr>
              <a:solidFill>
                <a:schemeClr val="bg1">
                  <a:lumMod val="75000"/>
                </a:schemeClr>
              </a:solidFill>
              <a:ln w="12700">
                <a:solidFill>
                  <a:sysClr val="windowText" lastClr="000000"/>
                </a:solidFill>
              </a:ln>
              <a:effectLst/>
            </c:spPr>
            <c:extLst>
              <c:ext xmlns:c16="http://schemas.microsoft.com/office/drawing/2014/chart" uri="{C3380CC4-5D6E-409C-BE32-E72D297353CC}">
                <c16:uniqueId val="{00000034-640D-4C71-BDF6-D97393AD722A}"/>
              </c:ext>
            </c:extLst>
          </c:dPt>
          <c:val>
            <c:numRef>
              <c:f>'WOOD PELLETS'!$K$20:$K$23</c:f>
              <c:numCache>
                <c:formatCode>General</c:formatCode>
                <c:ptCount val="4"/>
                <c:pt idx="0">
                  <c:v>546</c:v>
                </c:pt>
                <c:pt idx="1">
                  <c:v>84</c:v>
                </c:pt>
                <c:pt idx="2">
                  <c:v>1407</c:v>
                </c:pt>
                <c:pt idx="3">
                  <c:v>201</c:v>
                </c:pt>
              </c:numCache>
            </c:numRef>
          </c:val>
          <c:extLst>
            <c:ext xmlns:c16="http://schemas.microsoft.com/office/drawing/2014/chart" uri="{C3380CC4-5D6E-409C-BE32-E72D297353CC}">
              <c16:uniqueId val="{00000030-640D-4C71-BDF6-D97393AD722A}"/>
            </c:ext>
          </c:extLst>
        </c:ser>
        <c:ser>
          <c:idx val="1"/>
          <c:order val="2"/>
          <c:spPr>
            <a:ln w="12700">
              <a:solidFill>
                <a:sysClr val="windowText" lastClr="000000"/>
              </a:solidFill>
            </a:ln>
          </c:spPr>
          <c:dPt>
            <c:idx val="0"/>
            <c:bubble3D val="0"/>
            <c:spPr>
              <a:solidFill>
                <a:srgbClr val="FB9A99"/>
              </a:solidFill>
              <a:ln w="12700">
                <a:solidFill>
                  <a:sysClr val="windowText" lastClr="000000"/>
                </a:solidFill>
              </a:ln>
            </c:spPr>
            <c:extLst>
              <c:ext xmlns:c16="http://schemas.microsoft.com/office/drawing/2014/chart" uri="{C3380CC4-5D6E-409C-BE32-E72D297353CC}">
                <c16:uniqueId val="{00000019-640D-4C71-BDF6-D97393AD722A}"/>
              </c:ext>
            </c:extLst>
          </c:dPt>
          <c:dPt>
            <c:idx val="1"/>
            <c:bubble3D val="0"/>
            <c:spPr>
              <a:solidFill>
                <a:srgbClr val="B2DF8A"/>
              </a:solidFill>
              <a:ln w="12700">
                <a:solidFill>
                  <a:sysClr val="windowText" lastClr="000000"/>
                </a:solidFill>
              </a:ln>
            </c:spPr>
            <c:extLst>
              <c:ext xmlns:c16="http://schemas.microsoft.com/office/drawing/2014/chart" uri="{C3380CC4-5D6E-409C-BE32-E72D297353CC}">
                <c16:uniqueId val="{0000001B-640D-4C71-BDF6-D97393AD722A}"/>
              </c:ext>
            </c:extLst>
          </c:dPt>
          <c:dPt>
            <c:idx val="2"/>
            <c:bubble3D val="0"/>
            <c:spPr>
              <a:solidFill>
                <a:srgbClr val="CAB2D6"/>
              </a:solidFill>
              <a:ln w="12700">
                <a:solidFill>
                  <a:sysClr val="windowText" lastClr="000000"/>
                </a:solidFill>
              </a:ln>
            </c:spPr>
            <c:extLst>
              <c:ext xmlns:c16="http://schemas.microsoft.com/office/drawing/2014/chart" uri="{C3380CC4-5D6E-409C-BE32-E72D297353CC}">
                <c16:uniqueId val="{0000001D-640D-4C71-BDF6-D97393AD722A}"/>
              </c:ext>
            </c:extLst>
          </c:dPt>
          <c:dPt>
            <c:idx val="3"/>
            <c:bubble3D val="0"/>
            <c:spPr>
              <a:solidFill>
                <a:schemeClr val="bg1">
                  <a:lumMod val="75000"/>
                </a:schemeClr>
              </a:solidFill>
              <a:ln w="12700">
                <a:solidFill>
                  <a:sysClr val="windowText" lastClr="000000"/>
                </a:solidFill>
              </a:ln>
            </c:spPr>
            <c:extLst>
              <c:ext xmlns:c16="http://schemas.microsoft.com/office/drawing/2014/chart" uri="{C3380CC4-5D6E-409C-BE32-E72D297353CC}">
                <c16:uniqueId val="{0000001F-640D-4C71-BDF6-D97393AD722A}"/>
              </c:ext>
            </c:extLst>
          </c:dPt>
          <c:val>
            <c:numRef>
              <c:f>'WOOD PELLETS'!$K$20:$K$23</c:f>
              <c:numCache>
                <c:formatCode>General</c:formatCode>
                <c:ptCount val="4"/>
                <c:pt idx="0">
                  <c:v>546</c:v>
                </c:pt>
                <c:pt idx="1">
                  <c:v>84</c:v>
                </c:pt>
                <c:pt idx="2">
                  <c:v>1407</c:v>
                </c:pt>
                <c:pt idx="3">
                  <c:v>201</c:v>
                </c:pt>
              </c:numCache>
            </c:numRef>
          </c:val>
          <c:extLst>
            <c:ext xmlns:c16="http://schemas.microsoft.com/office/drawing/2014/chart" uri="{C3380CC4-5D6E-409C-BE32-E72D297353CC}">
              <c16:uniqueId val="{00000020-640D-4C71-BDF6-D97393AD722A}"/>
            </c:ext>
          </c:extLst>
        </c:ser>
        <c:ser>
          <c:idx val="0"/>
          <c:order val="3"/>
          <c:spPr>
            <a:ln w="12700">
              <a:solidFill>
                <a:sysClr val="windowText" lastClr="000000"/>
              </a:solidFill>
            </a:ln>
          </c:spPr>
          <c:dPt>
            <c:idx val="0"/>
            <c:bubble3D val="0"/>
            <c:spPr>
              <a:solidFill>
                <a:srgbClr val="FB9A99"/>
              </a:solidFill>
              <a:ln w="12700">
                <a:solidFill>
                  <a:sysClr val="windowText" lastClr="000000"/>
                </a:solidFill>
              </a:ln>
              <a:effectLst/>
            </c:spPr>
            <c:extLst>
              <c:ext xmlns:c16="http://schemas.microsoft.com/office/drawing/2014/chart" uri="{C3380CC4-5D6E-409C-BE32-E72D297353CC}">
                <c16:uniqueId val="{00000023-640D-4C71-BDF6-D97393AD722A}"/>
              </c:ext>
            </c:extLst>
          </c:dPt>
          <c:dPt>
            <c:idx val="1"/>
            <c:bubble3D val="0"/>
            <c:spPr>
              <a:solidFill>
                <a:srgbClr val="B2DF8A"/>
              </a:solidFill>
              <a:ln w="12700">
                <a:solidFill>
                  <a:sysClr val="windowText" lastClr="000000"/>
                </a:solidFill>
              </a:ln>
              <a:effectLst/>
            </c:spPr>
            <c:extLst>
              <c:ext xmlns:c16="http://schemas.microsoft.com/office/drawing/2014/chart" uri="{C3380CC4-5D6E-409C-BE32-E72D297353CC}">
                <c16:uniqueId val="{00000025-640D-4C71-BDF6-D97393AD722A}"/>
              </c:ext>
            </c:extLst>
          </c:dPt>
          <c:dPt>
            <c:idx val="2"/>
            <c:bubble3D val="0"/>
            <c:spPr>
              <a:solidFill>
                <a:srgbClr val="CAB2D6"/>
              </a:solidFill>
              <a:ln w="12700">
                <a:solidFill>
                  <a:sysClr val="windowText" lastClr="000000"/>
                </a:solidFill>
              </a:ln>
              <a:effectLst/>
            </c:spPr>
            <c:extLst>
              <c:ext xmlns:c16="http://schemas.microsoft.com/office/drawing/2014/chart" uri="{C3380CC4-5D6E-409C-BE32-E72D297353CC}">
                <c16:uniqueId val="{00000027-640D-4C71-BDF6-D97393AD722A}"/>
              </c:ext>
            </c:extLst>
          </c:dPt>
          <c:dPt>
            <c:idx val="3"/>
            <c:bubble3D val="0"/>
            <c:spPr>
              <a:solidFill>
                <a:schemeClr val="bg1">
                  <a:lumMod val="75000"/>
                </a:schemeClr>
              </a:solidFill>
              <a:ln w="12700">
                <a:solidFill>
                  <a:sysClr val="windowText" lastClr="000000"/>
                </a:solidFill>
              </a:ln>
              <a:effectLst/>
            </c:spPr>
            <c:extLst>
              <c:ext xmlns:c16="http://schemas.microsoft.com/office/drawing/2014/chart" uri="{C3380CC4-5D6E-409C-BE32-E72D297353CC}">
                <c16:uniqueId val="{00000029-640D-4C71-BDF6-D97393AD722A}"/>
              </c:ext>
            </c:extLst>
          </c:dPt>
          <c:val>
            <c:numRef>
              <c:f>'WOOD PELLETS'!$K$20:$K$23</c:f>
              <c:numCache>
                <c:formatCode>General</c:formatCode>
                <c:ptCount val="4"/>
                <c:pt idx="0">
                  <c:v>546</c:v>
                </c:pt>
                <c:pt idx="1">
                  <c:v>84</c:v>
                </c:pt>
                <c:pt idx="2">
                  <c:v>1407</c:v>
                </c:pt>
                <c:pt idx="3">
                  <c:v>201</c:v>
                </c:pt>
              </c:numCache>
            </c:numRef>
          </c:val>
          <c:extLst>
            <c:ext xmlns:c16="http://schemas.microsoft.com/office/drawing/2014/chart" uri="{C3380CC4-5D6E-409C-BE32-E72D297353CC}">
              <c16:uniqueId val="{0000002A-640D-4C71-BDF6-D97393AD722A}"/>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69979320766722"/>
          <c:y val="2.8028762029746284E-2"/>
          <c:w val="0.87451523105066409"/>
          <c:h val="0.87787714035745534"/>
        </c:manualLayout>
      </c:layout>
      <c:barChart>
        <c:barDir val="col"/>
        <c:grouping val="clustered"/>
        <c:varyColors val="0"/>
        <c:ser>
          <c:idx val="0"/>
          <c:order val="0"/>
          <c:spPr>
            <a:solidFill>
              <a:srgbClr val="A6CEE3"/>
            </a:solidFill>
            <a:ln>
              <a:solidFill>
                <a:sysClr val="windowText" lastClr="000000"/>
              </a:solidFill>
            </a:ln>
            <a:effectLst/>
          </c:spPr>
          <c:invertIfNegative val="0"/>
          <c:cat>
            <c:numRef>
              <c:f>'WOOD PELLETS'!$D$10:$L$10</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'WOOD PELLETS'!$D$12:$L$12</c:f>
              <c:numCache>
                <c:formatCode>0</c:formatCode>
                <c:ptCount val="9"/>
                <c:pt idx="0">
                  <c:v>86</c:v>
                </c:pt>
                <c:pt idx="1">
                  <c:v>152.44200000000001</c:v>
                </c:pt>
                <c:pt idx="2">
                  <c:v>219.98699999999999</c:v>
                </c:pt>
                <c:pt idx="3">
                  <c:v>207</c:v>
                </c:pt>
                <c:pt idx="4">
                  <c:v>204.84700000000001</c:v>
                </c:pt>
                <c:pt idx="5">
                  <c:v>211.61699999999999</c:v>
                </c:pt>
                <c:pt idx="6">
                  <c:v>221</c:v>
                </c:pt>
                <c:pt idx="7">
                  <c:v>211.61500000000001</c:v>
                </c:pt>
                <c:pt idx="8">
                  <c:v>204.958</c:v>
                </c:pt>
              </c:numCache>
            </c:numRef>
          </c:val>
          <c:extLst>
            <c:ext xmlns:c16="http://schemas.microsoft.com/office/drawing/2014/chart" uri="{C3380CC4-5D6E-409C-BE32-E72D297353CC}">
              <c16:uniqueId val="{00000000-98CD-49C3-80AC-E86D40FD1D4A}"/>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Thousand metric tons</a:t>
                </a:r>
              </a:p>
            </c:rich>
          </c:tx>
          <c:layout>
            <c:manualLayout>
              <c:xMode val="edge"/>
              <c:yMode val="edge"/>
              <c:x val="1.3930446194225721E-2"/>
              <c:y val="0.281664752843394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77595037520518"/>
          <c:y val="3.5806958203599679E-2"/>
          <c:w val="0.78260695996916452"/>
          <c:h val="0.86189760588349362"/>
        </c:manualLayout>
      </c:layout>
      <c:barChart>
        <c:barDir val="col"/>
        <c:grouping val="clustered"/>
        <c:varyColors val="0"/>
        <c:ser>
          <c:idx val="1"/>
          <c:order val="0"/>
          <c:spPr>
            <a:solidFill>
              <a:srgbClr val="A6CEE3"/>
            </a:solidFill>
            <a:ln>
              <a:solidFill>
                <a:sysClr val="windowText" lastClr="000000"/>
              </a:solidFill>
            </a:ln>
            <a:effectLst/>
          </c:spPr>
          <c:invertIfNegative val="0"/>
          <c:cat>
            <c:numRef>
              <c:f>'WOOD PELLETS'!$B$29:$M$29</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'WOOD PELLETS'!$B$30:$M$30</c:f>
              <c:numCache>
                <c:formatCode>General</c:formatCode>
                <c:ptCount val="12"/>
                <c:pt idx="0">
                  <c:v>26549</c:v>
                </c:pt>
                <c:pt idx="1">
                  <c:v>25477</c:v>
                </c:pt>
                <c:pt idx="2">
                  <c:v>25484</c:v>
                </c:pt>
                <c:pt idx="3">
                  <c:v>25085</c:v>
                </c:pt>
                <c:pt idx="4">
                  <c:v>26895</c:v>
                </c:pt>
                <c:pt idx="5">
                  <c:v>23416</c:v>
                </c:pt>
                <c:pt idx="6">
                  <c:v>23596</c:v>
                </c:pt>
                <c:pt idx="7">
                  <c:v>24432</c:v>
                </c:pt>
                <c:pt idx="8">
                  <c:v>25040</c:v>
                </c:pt>
                <c:pt idx="9">
                  <c:v>24738</c:v>
                </c:pt>
                <c:pt idx="10">
                  <c:v>24306</c:v>
                </c:pt>
                <c:pt idx="11">
                  <c:v>25472</c:v>
                </c:pt>
              </c:numCache>
            </c:numRef>
          </c:val>
          <c:extLst>
            <c:ext xmlns:c16="http://schemas.microsoft.com/office/drawing/2014/chart" uri="{C3380CC4-5D6E-409C-BE32-E72D297353CC}">
              <c16:uniqueId val="{00000000-79C2-4FEE-A94A-1F72758D1933}"/>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FDBF6F"/>
              </a:solidFill>
              <a:round/>
            </a:ln>
            <a:effectLst/>
          </c:spPr>
          <c:marker>
            <c:symbol val="none"/>
          </c:marker>
          <c:cat>
            <c:numRef>
              <c:f>'WOOD PELLETS'!$B$29:$L$29</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'WOOD PELLETS'!$B$11:$L$11</c:f>
              <c:numCache>
                <c:formatCode>General</c:formatCode>
                <c:ptCount val="11"/>
                <c:pt idx="2" formatCode="0.0">
                  <c:v>3.4740000000000002</c:v>
                </c:pt>
                <c:pt idx="3" formatCode="0.0">
                  <c:v>4.7039999999999997</c:v>
                </c:pt>
                <c:pt idx="4" formatCode="0.0">
                  <c:v>5.9470000000000001</c:v>
                </c:pt>
                <c:pt idx="5" formatCode="0.0">
                  <c:v>6.5170000000000003</c:v>
                </c:pt>
                <c:pt idx="6" formatCode="0.0">
                  <c:v>6.3929999999999998</c:v>
                </c:pt>
                <c:pt idx="7" formatCode="0.0">
                  <c:v>6.9</c:v>
                </c:pt>
                <c:pt idx="8" formatCode="0.0">
                  <c:v>7.4683609999999998</c:v>
                </c:pt>
                <c:pt idx="9" formatCode="0.0">
                  <c:v>8.5927129999999998</c:v>
                </c:pt>
                <c:pt idx="10" formatCode="0.0">
                  <c:v>8.4123590000000004</c:v>
                </c:pt>
              </c:numCache>
            </c:numRef>
          </c:val>
          <c:smooth val="0"/>
          <c:extLst>
            <c:ext xmlns:c16="http://schemas.microsoft.com/office/drawing/2014/chart" uri="{C3380CC4-5D6E-409C-BE32-E72D297353CC}">
              <c16:uniqueId val="{00000001-79C2-4FEE-A94A-1F72758D1933}"/>
            </c:ext>
          </c:extLst>
        </c:ser>
        <c:dLbls>
          <c:showLegendKey val="0"/>
          <c:showVal val="0"/>
          <c:showCatName val="0"/>
          <c:showSerName val="0"/>
          <c:showPercent val="0"/>
          <c:showBubbleSize val="0"/>
        </c:dLbls>
        <c:marker val="1"/>
        <c:smooth val="0"/>
        <c:axId val="619386592"/>
        <c:axId val="619386264"/>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min val="100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Number of jobs</a:t>
                </a:r>
              </a:p>
            </c:rich>
          </c:tx>
          <c:layout>
            <c:manualLayout>
              <c:xMode val="edge"/>
              <c:yMode val="edge"/>
              <c:x val="1.5873000985438521E-2"/>
              <c:y val="0.37541468512098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valAx>
        <c:axId val="619386264"/>
        <c:scaling>
          <c:orientation val="minMax"/>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Million metric tons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619386592"/>
        <c:crosses val="max"/>
        <c:crossBetween val="between"/>
      </c:valAx>
      <c:catAx>
        <c:axId val="619386592"/>
        <c:scaling>
          <c:orientation val="minMax"/>
        </c:scaling>
        <c:delete val="1"/>
        <c:axPos val="b"/>
        <c:numFmt formatCode="General" sourceLinked="1"/>
        <c:majorTickMark val="out"/>
        <c:minorTickMark val="none"/>
        <c:tickLblPos val="nextTo"/>
        <c:crossAx val="619386264"/>
        <c:crosses val="autoZero"/>
        <c:auto val="1"/>
        <c:lblAlgn val="ctr"/>
        <c:lblOffset val="100"/>
        <c:noMultiLvlLbl val="0"/>
      </c:cat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39670392348691E-2"/>
          <c:y val="2.8028683914510674E-2"/>
          <c:w val="0.88461623208770401"/>
          <c:h val="0.87787714035745534"/>
        </c:manualLayout>
      </c:layout>
      <c:lineChart>
        <c:grouping val="standard"/>
        <c:varyColors val="0"/>
        <c:ser>
          <c:idx val="1"/>
          <c:order val="0"/>
          <c:tx>
            <c:v>Total wood pellets production in the U.S.</c:v>
          </c:tx>
          <c:spPr>
            <a:ln w="28575" cap="rnd">
              <a:solidFill>
                <a:srgbClr val="A6CEE3"/>
              </a:solidFill>
              <a:round/>
            </a:ln>
            <a:effectLst/>
          </c:spPr>
          <c:marker>
            <c:symbol val="none"/>
          </c:marker>
          <c:cat>
            <c:numRef>
              <c:f>'WOOD PELLETS'!$D$10:$M$10</c:f>
              <c:numCache>
                <c:formatCode>General</c:formatCode>
                <c:ptCount val="10"/>
                <c:pt idx="0">
                  <c:v>2012</c:v>
                </c:pt>
                <c:pt idx="1">
                  <c:v>2013</c:v>
                </c:pt>
                <c:pt idx="2">
                  <c:v>2014</c:v>
                </c:pt>
                <c:pt idx="3">
                  <c:v>2015</c:v>
                </c:pt>
                <c:pt idx="4">
                  <c:v>2016</c:v>
                </c:pt>
                <c:pt idx="5">
                  <c:v>2017</c:v>
                </c:pt>
                <c:pt idx="6">
                  <c:v>2018</c:v>
                </c:pt>
                <c:pt idx="7">
                  <c:v>2019</c:v>
                </c:pt>
                <c:pt idx="8">
                  <c:v>2020</c:v>
                </c:pt>
                <c:pt idx="9">
                  <c:v>2021</c:v>
                </c:pt>
              </c:numCache>
            </c:numRef>
          </c:cat>
          <c:val>
            <c:numRef>
              <c:f>'WOOD PELLETS'!$D$11:$M$11</c:f>
              <c:numCache>
                <c:formatCode>0.0</c:formatCode>
                <c:ptCount val="10"/>
                <c:pt idx="0">
                  <c:v>3.4740000000000002</c:v>
                </c:pt>
                <c:pt idx="1">
                  <c:v>4.7039999999999997</c:v>
                </c:pt>
                <c:pt idx="2">
                  <c:v>5.9470000000000001</c:v>
                </c:pt>
                <c:pt idx="3">
                  <c:v>6.5170000000000003</c:v>
                </c:pt>
                <c:pt idx="4">
                  <c:v>6.3929999999999998</c:v>
                </c:pt>
                <c:pt idx="5">
                  <c:v>6.9</c:v>
                </c:pt>
                <c:pt idx="6">
                  <c:v>7.4683609999999998</c:v>
                </c:pt>
                <c:pt idx="7">
                  <c:v>8.5927129999999998</c:v>
                </c:pt>
                <c:pt idx="8">
                  <c:v>8.4123590000000004</c:v>
                </c:pt>
                <c:pt idx="9">
                  <c:v>8.4485969999999995</c:v>
                </c:pt>
              </c:numCache>
            </c:numRef>
          </c:val>
          <c:smooth val="0"/>
          <c:extLst>
            <c:ext xmlns:c16="http://schemas.microsoft.com/office/drawing/2014/chart" uri="{C3380CC4-5D6E-409C-BE32-E72D297353CC}">
              <c16:uniqueId val="{00000000-3D70-4707-8F2D-09713ECFE352}"/>
            </c:ext>
          </c:extLst>
        </c:ser>
        <c:ser>
          <c:idx val="0"/>
          <c:order val="1"/>
          <c:tx>
            <c:v>Total wood pellets consumption in the U.S.</c:v>
          </c:tx>
          <c:spPr>
            <a:ln w="28575" cap="rnd">
              <a:solidFill>
                <a:srgbClr val="B2DF8A"/>
              </a:solidFill>
              <a:round/>
            </a:ln>
            <a:effectLst/>
          </c:spPr>
          <c:marker>
            <c:symbol val="none"/>
          </c:marker>
          <c:cat>
            <c:numRef>
              <c:f>'WOOD PELLETS'!$D$10:$M$10</c:f>
              <c:numCache>
                <c:formatCode>General</c:formatCode>
                <c:ptCount val="10"/>
                <c:pt idx="0">
                  <c:v>2012</c:v>
                </c:pt>
                <c:pt idx="1">
                  <c:v>2013</c:v>
                </c:pt>
                <c:pt idx="2">
                  <c:v>2014</c:v>
                </c:pt>
                <c:pt idx="3">
                  <c:v>2015</c:v>
                </c:pt>
                <c:pt idx="4">
                  <c:v>2016</c:v>
                </c:pt>
                <c:pt idx="5">
                  <c:v>2017</c:v>
                </c:pt>
                <c:pt idx="6">
                  <c:v>2018</c:v>
                </c:pt>
                <c:pt idx="7">
                  <c:v>2019</c:v>
                </c:pt>
                <c:pt idx="8">
                  <c:v>2020</c:v>
                </c:pt>
                <c:pt idx="9">
                  <c:v>2021</c:v>
                </c:pt>
              </c:numCache>
            </c:numRef>
          </c:cat>
          <c:val>
            <c:numRef>
              <c:f>'WOOD PELLETS'!$D$14:$M$14</c:f>
              <c:numCache>
                <c:formatCode>0.0</c:formatCode>
                <c:ptCount val="10"/>
                <c:pt idx="0">
                  <c:v>1.661875</c:v>
                </c:pt>
                <c:pt idx="1">
                  <c:v>1.9739249999999995</c:v>
                </c:pt>
                <c:pt idx="2">
                  <c:v>2.1619299999999999</c:v>
                </c:pt>
                <c:pt idx="3">
                  <c:v>2.0550000000000006</c:v>
                </c:pt>
                <c:pt idx="4">
                  <c:v>1.8888470000000002</c:v>
                </c:pt>
                <c:pt idx="5">
                  <c:v>1.907636000000001</c:v>
                </c:pt>
                <c:pt idx="6">
                  <c:v>1.6723609999999995</c:v>
                </c:pt>
                <c:pt idx="7">
                  <c:v>1.9458659999999997</c:v>
                </c:pt>
                <c:pt idx="8">
                  <c:v>1.3604570000000002</c:v>
                </c:pt>
                <c:pt idx="9">
                  <c:v>1.1219980000000005</c:v>
                </c:pt>
              </c:numCache>
            </c:numRef>
          </c:val>
          <c:smooth val="0"/>
          <c:extLst>
            <c:ext xmlns:c16="http://schemas.microsoft.com/office/drawing/2014/chart" uri="{C3380CC4-5D6E-409C-BE32-E72D297353CC}">
              <c16:uniqueId val="{00000001-3D70-4707-8F2D-09713ECFE352}"/>
            </c:ext>
          </c:extLst>
        </c:ser>
        <c:dLbls>
          <c:showLegendKey val="0"/>
          <c:showVal val="0"/>
          <c:showCatName val="0"/>
          <c:showSerName val="0"/>
          <c:showPercent val="0"/>
          <c:showBubbleSize val="0"/>
        </c:dLbls>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3930492080098378E-2"/>
              <c:y val="0.302498086176727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midCat"/>
      </c:valAx>
      <c:spPr>
        <a:noFill/>
        <a:ln>
          <a:solidFill>
            <a:schemeClr val="tx1"/>
          </a:solidFill>
        </a:ln>
        <a:effectLst/>
      </c:spPr>
    </c:plotArea>
    <c:legend>
      <c:legendPos val="t"/>
      <c:layout>
        <c:manualLayout>
          <c:xMode val="edge"/>
          <c:yMode val="edge"/>
          <c:x val="0.1080526480798069"/>
          <c:y val="5.5555555555555552E-2"/>
          <c:w val="0.45742360329958764"/>
          <c:h val="0.12174732064741908"/>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39670392348691E-2"/>
          <c:y val="2.8028683914510674E-2"/>
          <c:w val="0.88461623208770401"/>
          <c:h val="0.87787714035745534"/>
        </c:manualLayout>
      </c:layout>
      <c:lineChart>
        <c:grouping val="standard"/>
        <c:varyColors val="0"/>
        <c:ser>
          <c:idx val="1"/>
          <c:order val="0"/>
          <c:tx>
            <c:v>Total wood pellets production in the U.S.</c:v>
          </c:tx>
          <c:spPr>
            <a:ln w="28575" cap="rnd">
              <a:solidFill>
                <a:srgbClr val="A6CEE3"/>
              </a:solidFill>
              <a:round/>
            </a:ln>
            <a:effectLst/>
          </c:spPr>
          <c:marker>
            <c:symbol val="none"/>
          </c:marker>
          <c:cat>
            <c:numRef>
              <c:f>'WOOD PELLETS'!$D$10:$L$10</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'WOOD PELLETS'!$D$11:$L$11</c:f>
              <c:numCache>
                <c:formatCode>0.0</c:formatCode>
                <c:ptCount val="9"/>
                <c:pt idx="0">
                  <c:v>3.4740000000000002</c:v>
                </c:pt>
                <c:pt idx="1">
                  <c:v>4.7039999999999997</c:v>
                </c:pt>
                <c:pt idx="2">
                  <c:v>5.9470000000000001</c:v>
                </c:pt>
                <c:pt idx="3">
                  <c:v>6.5170000000000003</c:v>
                </c:pt>
                <c:pt idx="4">
                  <c:v>6.3929999999999998</c:v>
                </c:pt>
                <c:pt idx="5">
                  <c:v>6.9</c:v>
                </c:pt>
                <c:pt idx="6">
                  <c:v>7.4683609999999998</c:v>
                </c:pt>
                <c:pt idx="7">
                  <c:v>8.5927129999999998</c:v>
                </c:pt>
                <c:pt idx="8">
                  <c:v>8.4123590000000004</c:v>
                </c:pt>
              </c:numCache>
            </c:numRef>
          </c:val>
          <c:smooth val="0"/>
          <c:extLst>
            <c:ext xmlns:c16="http://schemas.microsoft.com/office/drawing/2014/chart" uri="{C3380CC4-5D6E-409C-BE32-E72D297353CC}">
              <c16:uniqueId val="{00000000-095E-40EA-B10D-E033354D202E}"/>
            </c:ext>
          </c:extLst>
        </c:ser>
        <c:ser>
          <c:idx val="0"/>
          <c:order val="1"/>
          <c:tx>
            <c:v>Total wood pellets consumption in the U.S.</c:v>
          </c:tx>
          <c:spPr>
            <a:ln w="28575" cap="rnd">
              <a:solidFill>
                <a:srgbClr val="B2DF8A"/>
              </a:solidFill>
              <a:round/>
            </a:ln>
            <a:effectLst/>
          </c:spPr>
          <c:marker>
            <c:symbol val="none"/>
          </c:marker>
          <c:cat>
            <c:numRef>
              <c:f>'WOOD PELLETS'!$D$10:$L$10</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'WOOD PELLETS'!$D$14:$L$14</c:f>
              <c:numCache>
                <c:formatCode>0.0</c:formatCode>
                <c:ptCount val="9"/>
                <c:pt idx="0">
                  <c:v>1.661875</c:v>
                </c:pt>
                <c:pt idx="1">
                  <c:v>1.9739249999999995</c:v>
                </c:pt>
                <c:pt idx="2">
                  <c:v>2.1619299999999999</c:v>
                </c:pt>
                <c:pt idx="3">
                  <c:v>2.0550000000000006</c:v>
                </c:pt>
                <c:pt idx="4">
                  <c:v>1.8888470000000002</c:v>
                </c:pt>
                <c:pt idx="5">
                  <c:v>1.907636000000001</c:v>
                </c:pt>
                <c:pt idx="6">
                  <c:v>1.6723609999999995</c:v>
                </c:pt>
                <c:pt idx="7">
                  <c:v>1.9458659999999997</c:v>
                </c:pt>
                <c:pt idx="8">
                  <c:v>1.3604570000000002</c:v>
                </c:pt>
              </c:numCache>
            </c:numRef>
          </c:val>
          <c:smooth val="0"/>
          <c:extLst>
            <c:ext xmlns:c16="http://schemas.microsoft.com/office/drawing/2014/chart" uri="{C3380CC4-5D6E-409C-BE32-E72D297353CC}">
              <c16:uniqueId val="{00000001-095E-40EA-B10D-E033354D202E}"/>
            </c:ext>
          </c:extLst>
        </c:ser>
        <c:ser>
          <c:idx val="2"/>
          <c:order val="2"/>
          <c:tx>
            <c:v>Total wood pellets exports in the U.S.</c:v>
          </c:tx>
          <c:spPr>
            <a:ln w="28575" cap="rnd">
              <a:solidFill>
                <a:srgbClr val="FDB462"/>
              </a:solidFill>
              <a:round/>
            </a:ln>
            <a:effectLst/>
          </c:spPr>
          <c:marker>
            <c:symbol val="none"/>
          </c:marker>
          <c:cat>
            <c:numRef>
              <c:f>'WOOD PELLETS'!$D$10:$L$10</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'WOOD PELLETS'!$D$13:$L$13</c:f>
              <c:numCache>
                <c:formatCode>0.0</c:formatCode>
                <c:ptCount val="9"/>
                <c:pt idx="0">
                  <c:v>1.8981250000000001</c:v>
                </c:pt>
                <c:pt idx="1">
                  <c:v>2.882517</c:v>
                </c:pt>
                <c:pt idx="2">
                  <c:v>4.0050569999999999</c:v>
                </c:pt>
                <c:pt idx="3">
                  <c:v>4.6689999999999996</c:v>
                </c:pt>
                <c:pt idx="4">
                  <c:v>4.7089999999999996</c:v>
                </c:pt>
                <c:pt idx="5">
                  <c:v>5.2039809999999997</c:v>
                </c:pt>
                <c:pt idx="6">
                  <c:v>6.0170000000000003</c:v>
                </c:pt>
                <c:pt idx="7">
                  <c:v>6.8584620000000003</c:v>
                </c:pt>
                <c:pt idx="8">
                  <c:v>7.2568599999999996</c:v>
                </c:pt>
              </c:numCache>
            </c:numRef>
          </c:val>
          <c:smooth val="0"/>
          <c:extLst>
            <c:ext xmlns:c16="http://schemas.microsoft.com/office/drawing/2014/chart" uri="{C3380CC4-5D6E-409C-BE32-E72D297353CC}">
              <c16:uniqueId val="{00000003-095E-40EA-B10D-E033354D202E}"/>
            </c:ext>
          </c:extLst>
        </c:ser>
        <c:dLbls>
          <c:showLegendKey val="0"/>
          <c:showVal val="0"/>
          <c:showCatName val="0"/>
          <c:showSerName val="0"/>
          <c:showPercent val="0"/>
          <c:showBubbleSize val="0"/>
        </c:dLbls>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3930492080098378E-2"/>
              <c:y val="0.302498086176727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midCat"/>
      </c:valAx>
      <c:spPr>
        <a:noFill/>
        <a:ln>
          <a:solidFill>
            <a:schemeClr val="tx1"/>
          </a:solidFill>
        </a:ln>
        <a:effectLst/>
      </c:spPr>
    </c:plotArea>
    <c:legend>
      <c:legendPos val="t"/>
      <c:layout>
        <c:manualLayout>
          <c:xMode val="edge"/>
          <c:yMode val="edge"/>
          <c:x val="0.1080526480798069"/>
          <c:y val="5.5555555555555552E-2"/>
          <c:w val="0.44456349206349205"/>
          <c:h val="0.2070363079615048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29858767654043"/>
          <c:y val="3.8579213453513429E-2"/>
          <c:w val="0.86957614673165851"/>
          <c:h val="0.87825897008136433"/>
        </c:manualLayout>
      </c:layout>
      <c:barChart>
        <c:barDir val="col"/>
        <c:grouping val="clustered"/>
        <c:varyColors val="0"/>
        <c:ser>
          <c:idx val="1"/>
          <c:order val="0"/>
          <c:tx>
            <c:v>Anaerobic digester</c:v>
          </c:tx>
          <c:spPr>
            <a:solidFill>
              <a:srgbClr val="A6CEE3"/>
            </a:solidFill>
            <a:ln>
              <a:solidFill>
                <a:sysClr val="windowText" lastClr="000000"/>
              </a:solidFill>
            </a:ln>
            <a:effectLst/>
          </c:spPr>
          <c:invertIfNegative val="0"/>
          <c:cat>
            <c:numRef>
              <c:f>BIOGAS!$B$3:$M$3</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BIOGAS!$B$22:$M$22</c:f>
              <c:numCache>
                <c:formatCode>0.0</c:formatCode>
                <c:ptCount val="12"/>
                <c:pt idx="0">
                  <c:v>1.6728379098658634</c:v>
                </c:pt>
                <c:pt idx="1">
                  <c:v>2.1895623753332276</c:v>
                </c:pt>
                <c:pt idx="2">
                  <c:v>2.939235055035978</c:v>
                </c:pt>
                <c:pt idx="3">
                  <c:v>3.412219188887462</c:v>
                </c:pt>
                <c:pt idx="4">
                  <c:v>3.5748673849910277</c:v>
                </c:pt>
                <c:pt idx="5">
                  <c:v>3.6316947319653963</c:v>
                </c:pt>
                <c:pt idx="6">
                  <c:v>3.8358738646334083</c:v>
                </c:pt>
                <c:pt idx="7">
                  <c:v>3.9646129917931661</c:v>
                </c:pt>
                <c:pt idx="8">
                  <c:v>4.328456563696955</c:v>
                </c:pt>
                <c:pt idx="9">
                  <c:v>4.6165652124397916</c:v>
                </c:pt>
                <c:pt idx="10">
                  <c:v>5.2080848328613385</c:v>
                </c:pt>
                <c:pt idx="11">
                  <c:v>5.8887469880043204</c:v>
                </c:pt>
              </c:numCache>
            </c:numRef>
          </c:val>
          <c:extLst>
            <c:ext xmlns:c16="http://schemas.microsoft.com/office/drawing/2014/chart" uri="{C3380CC4-5D6E-409C-BE32-E72D297353CC}">
              <c16:uniqueId val="{00000000-2441-4D5B-A984-4358F3F8E586}"/>
            </c:ext>
          </c:extLst>
        </c:ser>
        <c:ser>
          <c:idx val="0"/>
          <c:order val="1"/>
          <c:tx>
            <c:v>Landfill</c:v>
          </c:tx>
          <c:spPr>
            <a:solidFill>
              <a:srgbClr val="B2DF8A"/>
            </a:solidFill>
            <a:ln>
              <a:solidFill>
                <a:sysClr val="windowText" lastClr="000000"/>
              </a:solidFill>
            </a:ln>
            <a:effectLst/>
          </c:spPr>
          <c:invertIfNegative val="0"/>
          <c:cat>
            <c:numRef>
              <c:f>BIOGAS!$B$3:$M$3</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BIOGAS!$B$26:$M$26</c:f>
              <c:numCache>
                <c:formatCode>0</c:formatCode>
                <c:ptCount val="12"/>
                <c:pt idx="0">
                  <c:v>64.168769999999981</c:v>
                </c:pt>
                <c:pt idx="1">
                  <c:v>71.994010000000017</c:v>
                </c:pt>
                <c:pt idx="2">
                  <c:v>80.27265000000007</c:v>
                </c:pt>
                <c:pt idx="3">
                  <c:v>89.394360000000091</c:v>
                </c:pt>
                <c:pt idx="4">
                  <c:v>96.577120000000036</c:v>
                </c:pt>
                <c:pt idx="5">
                  <c:v>99.470280000000031</c:v>
                </c:pt>
                <c:pt idx="6">
                  <c:v>105.34576000000007</c:v>
                </c:pt>
                <c:pt idx="7">
                  <c:v>108.25581000000007</c:v>
                </c:pt>
                <c:pt idx="8">
                  <c:v>115.4852600000001</c:v>
                </c:pt>
                <c:pt idx="9">
                  <c:v>90.052050000000008</c:v>
                </c:pt>
                <c:pt idx="10">
                  <c:v>93.352610000000027</c:v>
                </c:pt>
                <c:pt idx="11">
                  <c:v>93.943090000000012</c:v>
                </c:pt>
              </c:numCache>
            </c:numRef>
          </c:val>
          <c:extLst>
            <c:ext xmlns:c16="http://schemas.microsoft.com/office/drawing/2014/chart" uri="{C3380CC4-5D6E-409C-BE32-E72D297353CC}">
              <c16:uniqueId val="{00000001-2441-4D5B-A984-4358F3F8E58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 of carbon dioxide emission reductions</a:t>
                </a:r>
              </a:p>
            </c:rich>
          </c:tx>
          <c:layout>
            <c:manualLayout>
              <c:xMode val="edge"/>
              <c:yMode val="edge"/>
              <c:x val="5.9047306586676668E-3"/>
              <c:y val="0.1267530621172353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0.13184976877890264"/>
          <c:y val="5.2607994313210851E-2"/>
          <c:w val="0.32090256524019006"/>
          <c:h val="5.9844175325817615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448225221847274E-2"/>
          <c:y val="3.8579213453513429E-2"/>
          <c:w val="0.89740485564304451"/>
          <c:h val="0.87825897008136433"/>
        </c:manualLayout>
      </c:layout>
      <c:barChart>
        <c:barDir val="col"/>
        <c:grouping val="clustered"/>
        <c:varyColors val="0"/>
        <c:ser>
          <c:idx val="1"/>
          <c:order val="0"/>
          <c:tx>
            <c:v>Anaerobic digester</c:v>
          </c:tx>
          <c:spPr>
            <a:solidFill>
              <a:srgbClr val="A6CEE3"/>
            </a:solidFill>
            <a:ln>
              <a:solidFill>
                <a:sysClr val="windowText" lastClr="000000"/>
              </a:solidFill>
            </a:ln>
            <a:effectLst/>
          </c:spPr>
          <c:invertIfNegative val="0"/>
          <c:cat>
            <c:numRef>
              <c:f>BIOGAS!$B$3:$M$3</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BIOGAS!$B$21:$M$21</c:f>
              <c:numCache>
                <c:formatCode>0</c:formatCode>
                <c:ptCount val="12"/>
                <c:pt idx="0">
                  <c:v>4.5437535999999996</c:v>
                </c:pt>
                <c:pt idx="1">
                  <c:v>4.8955854950000006</c:v>
                </c:pt>
                <c:pt idx="2">
                  <c:v>5.7489427199999996</c:v>
                </c:pt>
                <c:pt idx="3">
                  <c:v>6.97676476</c:v>
                </c:pt>
                <c:pt idx="4">
                  <c:v>7.0215867599999999</c:v>
                </c:pt>
                <c:pt idx="5">
                  <c:v>7.4140347599999998</c:v>
                </c:pt>
                <c:pt idx="6">
                  <c:v>7.4140347599999998</c:v>
                </c:pt>
                <c:pt idx="7">
                  <c:v>7.4140347599999998</c:v>
                </c:pt>
                <c:pt idx="8">
                  <c:v>7.7701287599999995</c:v>
                </c:pt>
                <c:pt idx="9">
                  <c:v>7.0534877600000003</c:v>
                </c:pt>
                <c:pt idx="10">
                  <c:v>6.6845092599999996</c:v>
                </c:pt>
                <c:pt idx="11">
                  <c:v>6.8245093900000002</c:v>
                </c:pt>
              </c:numCache>
            </c:numRef>
          </c:val>
          <c:extLst>
            <c:ext xmlns:c16="http://schemas.microsoft.com/office/drawing/2014/chart" uri="{C3380CC4-5D6E-409C-BE32-E72D297353CC}">
              <c16:uniqueId val="{00000000-D413-4EB2-ACE5-BBA7227A2D50}"/>
            </c:ext>
          </c:extLst>
        </c:ser>
        <c:ser>
          <c:idx val="0"/>
          <c:order val="1"/>
          <c:tx>
            <c:v>Landfill</c:v>
          </c:tx>
          <c:spPr>
            <a:solidFill>
              <a:srgbClr val="B2DF8A"/>
            </a:solidFill>
            <a:ln>
              <a:solidFill>
                <a:sysClr val="windowText" lastClr="000000"/>
              </a:solidFill>
            </a:ln>
            <a:effectLst/>
          </c:spPr>
          <c:invertIfNegative val="0"/>
          <c:cat>
            <c:numRef>
              <c:f>BIOGAS!$B$3:$M$3</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BIOGAS!$B$25:$L$25</c:f>
              <c:numCache>
                <c:formatCode>0</c:formatCode>
                <c:ptCount val="11"/>
                <c:pt idx="0">
                  <c:v>219.95400000000001</c:v>
                </c:pt>
                <c:pt idx="1">
                  <c:v>235.99</c:v>
                </c:pt>
                <c:pt idx="2">
                  <c:v>259.56400000000002</c:v>
                </c:pt>
                <c:pt idx="3">
                  <c:v>272.798</c:v>
                </c:pt>
                <c:pt idx="4">
                  <c:v>287.69200000000001</c:v>
                </c:pt>
                <c:pt idx="5">
                  <c:v>284.05200000000002</c:v>
                </c:pt>
                <c:pt idx="6">
                  <c:v>277.72000000000003</c:v>
                </c:pt>
                <c:pt idx="7">
                  <c:v>282.05099999999999</c:v>
                </c:pt>
                <c:pt idx="8">
                  <c:v>273.85599999999999</c:v>
                </c:pt>
                <c:pt idx="9">
                  <c:v>261.06400000000002</c:v>
                </c:pt>
                <c:pt idx="10">
                  <c:v>256.512</c:v>
                </c:pt>
              </c:numCache>
            </c:numRef>
          </c:val>
          <c:extLst>
            <c:ext xmlns:c16="http://schemas.microsoft.com/office/drawing/2014/chart" uri="{C3380CC4-5D6E-409C-BE32-E72D297353CC}">
              <c16:uniqueId val="{00000001-D413-4EB2-ACE5-BBA7227A2D5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cubic</a:t>
                </a:r>
                <a:r>
                  <a:rPr lang="en-US" sz="1000" baseline="0">
                    <a:solidFill>
                      <a:sysClr val="windowText" lastClr="000000"/>
                    </a:solidFill>
                  </a:rPr>
                  <a:t> feet</a:t>
                </a:r>
                <a:endParaRPr lang="en-US" sz="1000">
                  <a:solidFill>
                    <a:sysClr val="windowText" lastClr="000000"/>
                  </a:solidFill>
                </a:endParaRP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0.10996203599550056"/>
          <c:y val="5.6080216535433082E-2"/>
          <c:w val="0.32090256524019006"/>
          <c:h val="5.9844175325817615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524871891013629E-2"/>
          <c:y val="3.857912292213473E-2"/>
          <c:w val="0.87750687414073236"/>
          <c:h val="0.87825897008136433"/>
        </c:manualLayout>
      </c:layout>
      <c:lineChart>
        <c:grouping val="standard"/>
        <c:varyColors val="0"/>
        <c:ser>
          <c:idx val="1"/>
          <c:order val="0"/>
          <c:tx>
            <c:v>Total energy generated from biogas captured in anaerobic digester</c:v>
          </c:tx>
          <c:spPr>
            <a:ln w="28575" cap="rnd">
              <a:solidFill>
                <a:srgbClr val="A6CEE3"/>
              </a:solidFill>
              <a:round/>
            </a:ln>
            <a:effectLst/>
          </c:spPr>
          <c:marker>
            <c:symbol val="circle"/>
            <c:size val="5"/>
            <c:spPr>
              <a:solidFill>
                <a:srgbClr val="A6CEE3"/>
              </a:solidFill>
              <a:ln w="9525">
                <a:solidFill>
                  <a:srgbClr val="A6CEE3"/>
                </a:solidFill>
              </a:ln>
              <a:effectLst/>
            </c:spPr>
          </c:marker>
          <c:cat>
            <c:numRef>
              <c:f>BIOGAS!$B$3:$M$3</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BIOGAS!$B$20:$M$20</c:f>
              <c:numCache>
                <c:formatCode>0.00</c:formatCode>
                <c:ptCount val="12"/>
                <c:pt idx="0">
                  <c:v>1.1486828861639999</c:v>
                </c:pt>
                <c:pt idx="1">
                  <c:v>1.7767971438720001</c:v>
                </c:pt>
                <c:pt idx="2">
                  <c:v>2.3515711422304002</c:v>
                </c:pt>
                <c:pt idx="3">
                  <c:v>2.7847011393224004</c:v>
                </c:pt>
                <c:pt idx="4">
                  <c:v>2.9103043657224004</c:v>
                </c:pt>
                <c:pt idx="5">
                  <c:v>2.9395184556424003</c:v>
                </c:pt>
                <c:pt idx="6">
                  <c:v>2.9615746506544003</c:v>
                </c:pt>
                <c:pt idx="7">
                  <c:v>2.9615746506544003</c:v>
                </c:pt>
                <c:pt idx="8">
                  <c:v>3.1052850880944005</c:v>
                </c:pt>
                <c:pt idx="9">
                  <c:v>2.7302468885864002</c:v>
                </c:pt>
                <c:pt idx="10">
                  <c:v>2.5661268259184005</c:v>
                </c:pt>
                <c:pt idx="11">
                  <c:v>2.5661268259184005</c:v>
                </c:pt>
              </c:numCache>
            </c:numRef>
          </c:val>
          <c:smooth val="0"/>
          <c:extLst>
            <c:ext xmlns:c16="http://schemas.microsoft.com/office/drawing/2014/chart" uri="{C3380CC4-5D6E-409C-BE32-E72D297353CC}">
              <c16:uniqueId val="{00000000-3073-4917-8060-733EDCD4B7D0}"/>
            </c:ext>
          </c:extLst>
        </c:ser>
        <c:ser>
          <c:idx val="0"/>
          <c:order val="1"/>
          <c:tx>
            <c:v>Total energy generated from biogas captured in landfill</c:v>
          </c:tx>
          <c:spPr>
            <a:ln w="28575" cap="rnd">
              <a:solidFill>
                <a:srgbClr val="B2DF8A"/>
              </a:solidFill>
              <a:round/>
            </a:ln>
            <a:effectLst/>
          </c:spPr>
          <c:marker>
            <c:symbol val="circle"/>
            <c:size val="5"/>
            <c:spPr>
              <a:solidFill>
                <a:srgbClr val="B2DF8A"/>
              </a:solidFill>
              <a:ln w="9525">
                <a:solidFill>
                  <a:srgbClr val="B2DF8A"/>
                </a:solidFill>
              </a:ln>
              <a:effectLst/>
            </c:spPr>
          </c:marker>
          <c:cat>
            <c:numRef>
              <c:f>BIOGAS!$B$3:$M$3</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BIOGAS!$B$24:$M$24</c:f>
              <c:numCache>
                <c:formatCode>0</c:formatCode>
                <c:ptCount val="12"/>
                <c:pt idx="0">
                  <c:v>106.681</c:v>
                </c:pt>
                <c:pt idx="1">
                  <c:v>114.173</c:v>
                </c:pt>
                <c:pt idx="2">
                  <c:v>125.92700000000001</c:v>
                </c:pt>
                <c:pt idx="3">
                  <c:v>133.18</c:v>
                </c:pt>
                <c:pt idx="4">
                  <c:v>141.63200000000001</c:v>
                </c:pt>
                <c:pt idx="5">
                  <c:v>138.84100000000001</c:v>
                </c:pt>
                <c:pt idx="6">
                  <c:v>137.6</c:v>
                </c:pt>
                <c:pt idx="7">
                  <c:v>139.83099999999999</c:v>
                </c:pt>
                <c:pt idx="8">
                  <c:v>135.92099999999999</c:v>
                </c:pt>
                <c:pt idx="9">
                  <c:v>129.5</c:v>
                </c:pt>
                <c:pt idx="10">
                  <c:v>126.872</c:v>
                </c:pt>
                <c:pt idx="11">
                  <c:v>116.04900000000001</c:v>
                </c:pt>
              </c:numCache>
            </c:numRef>
          </c:val>
          <c:smooth val="0"/>
          <c:extLst>
            <c:ext xmlns:c16="http://schemas.microsoft.com/office/drawing/2014/chart" uri="{C3380CC4-5D6E-409C-BE32-E72D297353CC}">
              <c16:uniqueId val="{00000001-3073-4917-8060-733EDCD4B7D0}"/>
            </c:ext>
          </c:extLst>
        </c:ser>
        <c:dLbls>
          <c:showLegendKey val="0"/>
          <c:showVal val="0"/>
          <c:showCatName val="0"/>
          <c:showSerName val="0"/>
          <c:showPercent val="0"/>
          <c:showBubbleSize val="0"/>
        </c:dLbls>
        <c:marker val="1"/>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max val="180"/>
          <c:min val="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Trillion BTUs</a:t>
                </a:r>
              </a:p>
            </c:rich>
          </c:tx>
          <c:layout>
            <c:manualLayout>
              <c:xMode val="edge"/>
              <c:yMode val="edge"/>
              <c:x val="1.9421009873765785E-3"/>
              <c:y val="0.378921970691163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midCat"/>
      </c:valAx>
      <c:spPr>
        <a:noFill/>
        <a:ln>
          <a:solidFill>
            <a:schemeClr val="tx1"/>
          </a:solidFill>
        </a:ln>
        <a:effectLst/>
      </c:spPr>
    </c:plotArea>
    <c:legend>
      <c:legendPos val="t"/>
      <c:layout>
        <c:manualLayout>
          <c:xMode val="edge"/>
          <c:yMode val="edge"/>
          <c:x val="0.11004706871309272"/>
          <c:y val="5.2608018345700128E-2"/>
          <c:w val="0.71170634920634923"/>
          <c:h val="0.11328630796150481"/>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983965364587238E-2"/>
          <c:y val="3.1564811007420077E-2"/>
          <c:w val="0.50126250622340196"/>
          <c:h val="0.88527337252745764"/>
        </c:manualLayout>
      </c:layout>
      <c:pieChart>
        <c:varyColors val="1"/>
        <c:ser>
          <c:idx val="3"/>
          <c:order val="0"/>
          <c:spPr>
            <a:solidFill>
              <a:srgbClr val="B2DF8A"/>
            </a:solidFill>
          </c:spPr>
          <c:dPt>
            <c:idx val="0"/>
            <c:bubble3D val="0"/>
            <c:spPr>
              <a:solidFill>
                <a:srgbClr val="B2DF8A"/>
              </a:solidFill>
              <a:ln>
                <a:noFill/>
              </a:ln>
              <a:effectLst/>
            </c:spPr>
            <c:extLst>
              <c:ext xmlns:c16="http://schemas.microsoft.com/office/drawing/2014/chart" uri="{C3380CC4-5D6E-409C-BE32-E72D297353CC}">
                <c16:uniqueId val="{00000001-FB4F-445A-A091-0FBFA990D569}"/>
              </c:ext>
            </c:extLst>
          </c:dPt>
          <c:dPt>
            <c:idx val="1"/>
            <c:bubble3D val="0"/>
            <c:spPr>
              <a:solidFill>
                <a:srgbClr val="A6CEE3"/>
              </a:solidFill>
              <a:ln>
                <a:noFill/>
              </a:ln>
              <a:effectLst/>
            </c:spPr>
            <c:extLst>
              <c:ext xmlns:c16="http://schemas.microsoft.com/office/drawing/2014/chart" uri="{C3380CC4-5D6E-409C-BE32-E72D297353CC}">
                <c16:uniqueId val="{00000003-FB4F-445A-A091-0FBFA990D569}"/>
              </c:ext>
            </c:extLst>
          </c:dPt>
          <c:dPt>
            <c:idx val="2"/>
            <c:bubble3D val="0"/>
            <c:spPr>
              <a:solidFill>
                <a:srgbClr val="FB9A99"/>
              </a:solidFill>
              <a:ln>
                <a:noFill/>
              </a:ln>
              <a:effectLst/>
            </c:spPr>
            <c:extLst>
              <c:ext xmlns:c16="http://schemas.microsoft.com/office/drawing/2014/chart" uri="{C3380CC4-5D6E-409C-BE32-E72D297353CC}">
                <c16:uniqueId val="{00000005-FB4F-445A-A091-0FBFA990D569}"/>
              </c:ext>
            </c:extLst>
          </c:dPt>
          <c:cat>
            <c:strRef>
              <c:f>BIOGAS!$A$34:$A$37</c:f>
              <c:strCache>
                <c:ptCount val="4"/>
                <c:pt idx="0">
                  <c:v>Methane potential for biogas from landfills</c:v>
                </c:pt>
                <c:pt idx="1">
                  <c:v>Methane potential for biogas from wastewater</c:v>
                </c:pt>
                <c:pt idx="2">
                  <c:v>Methane potential for biogas from manure </c:v>
                </c:pt>
                <c:pt idx="3">
                  <c:v>Methane potential for biogas from organic waste </c:v>
                </c:pt>
              </c:strCache>
            </c:strRef>
          </c:cat>
          <c:val>
            <c:numRef>
              <c:f>BIOGAS!$J$17:$J$19</c:f>
              <c:numCache>
                <c:formatCode>0</c:formatCode>
                <c:ptCount val="3"/>
                <c:pt idx="0">
                  <c:v>125.12774973833359</c:v>
                </c:pt>
                <c:pt idx="1">
                  <c:v>132</c:v>
                </c:pt>
                <c:pt idx="2">
                  <c:v>1124</c:v>
                </c:pt>
              </c:numCache>
            </c:numRef>
          </c:val>
          <c:extLst>
            <c:ext xmlns:c16="http://schemas.microsoft.com/office/drawing/2014/chart" uri="{C3380CC4-5D6E-409C-BE32-E72D297353CC}">
              <c16:uniqueId val="{00000008-FB4F-445A-A091-0FBFA990D569}"/>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58711214758031638"/>
          <c:y val="0.28759050028982736"/>
          <c:w val="0.39770306429055718"/>
          <c:h val="0.41649036306712756"/>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827002786686214E-2"/>
          <c:y val="3.8579213453513429E-2"/>
          <c:w val="0.90902609245623467"/>
          <c:h val="0.87825897008136433"/>
        </c:manualLayout>
      </c:layout>
      <c:barChart>
        <c:barDir val="col"/>
        <c:grouping val="clustered"/>
        <c:varyColors val="0"/>
        <c:ser>
          <c:idx val="1"/>
          <c:order val="0"/>
          <c:tx>
            <c:v>Anaerobic digester</c:v>
          </c:tx>
          <c:spPr>
            <a:solidFill>
              <a:srgbClr val="A6CEE3"/>
            </a:solidFill>
            <a:ln>
              <a:solidFill>
                <a:sysClr val="windowText" lastClr="000000"/>
              </a:solidFill>
            </a:ln>
            <a:effectLst/>
          </c:spPr>
          <c:invertIfNegative val="0"/>
          <c:cat>
            <c:numRef>
              <c:f>BIOGAS!$B$3:$M$3</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BIOGAS!$B$4:$M$4</c:f>
              <c:numCache>
                <c:formatCode>General</c:formatCode>
                <c:ptCount val="12"/>
                <c:pt idx="0">
                  <c:v>133</c:v>
                </c:pt>
                <c:pt idx="1">
                  <c:v>158</c:v>
                </c:pt>
                <c:pt idx="2">
                  <c:v>183</c:v>
                </c:pt>
                <c:pt idx="3">
                  <c:v>209</c:v>
                </c:pt>
                <c:pt idx="4">
                  <c:v>218</c:v>
                </c:pt>
                <c:pt idx="5">
                  <c:v>225</c:v>
                </c:pt>
                <c:pt idx="6">
                  <c:v>229</c:v>
                </c:pt>
                <c:pt idx="7">
                  <c:v>234</c:v>
                </c:pt>
                <c:pt idx="8">
                  <c:v>245</c:v>
                </c:pt>
                <c:pt idx="9">
                  <c:v>257</c:v>
                </c:pt>
                <c:pt idx="10">
                  <c:v>282</c:v>
                </c:pt>
                <c:pt idx="11">
                  <c:v>341</c:v>
                </c:pt>
              </c:numCache>
            </c:numRef>
          </c:val>
          <c:extLst>
            <c:ext xmlns:c16="http://schemas.microsoft.com/office/drawing/2014/chart" uri="{C3380CC4-5D6E-409C-BE32-E72D297353CC}">
              <c16:uniqueId val="{00000000-DC9B-478A-8142-4BEEBB17A19E}"/>
            </c:ext>
          </c:extLst>
        </c:ser>
        <c:ser>
          <c:idx val="0"/>
          <c:order val="1"/>
          <c:tx>
            <c:v>Landfill</c:v>
          </c:tx>
          <c:spPr>
            <a:solidFill>
              <a:srgbClr val="B2DF8A"/>
            </a:solidFill>
            <a:ln>
              <a:solidFill>
                <a:sysClr val="windowText" lastClr="000000"/>
              </a:solidFill>
            </a:ln>
            <a:effectLst/>
          </c:spPr>
          <c:invertIfNegative val="0"/>
          <c:cat>
            <c:numRef>
              <c:f>BIOGAS!$B$3:$M$3</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BIOGAS!$B$13:$M$13</c:f>
              <c:numCache>
                <c:formatCode>General</c:formatCode>
                <c:ptCount val="12"/>
                <c:pt idx="0">
                  <c:v>359</c:v>
                </c:pt>
                <c:pt idx="1">
                  <c:v>394</c:v>
                </c:pt>
                <c:pt idx="2">
                  <c:v>425</c:v>
                </c:pt>
                <c:pt idx="3">
                  <c:v>451</c:v>
                </c:pt>
                <c:pt idx="4">
                  <c:v>474</c:v>
                </c:pt>
                <c:pt idx="5">
                  <c:v>483</c:v>
                </c:pt>
                <c:pt idx="6">
                  <c:v>490</c:v>
                </c:pt>
                <c:pt idx="7">
                  <c:v>497</c:v>
                </c:pt>
                <c:pt idx="8">
                  <c:v>514</c:v>
                </c:pt>
                <c:pt idx="9">
                  <c:v>565</c:v>
                </c:pt>
                <c:pt idx="10">
                  <c:v>545</c:v>
                </c:pt>
                <c:pt idx="11">
                  <c:v>549</c:v>
                </c:pt>
              </c:numCache>
            </c:numRef>
          </c:val>
          <c:extLst>
            <c:ext xmlns:c16="http://schemas.microsoft.com/office/drawing/2014/chart" uri="{C3380CC4-5D6E-409C-BE32-E72D297353CC}">
              <c16:uniqueId val="{00000001-DC9B-478A-8142-4BEEBB17A19E}"/>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plants</a:t>
                </a: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9.5942854747208942E-2"/>
          <c:y val="5.2608018345700128E-2"/>
          <c:w val="0.29688945131858524"/>
          <c:h val="5.9844175325817615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45727003956612"/>
          <c:y val="3.8579213453513429E-2"/>
          <c:w val="0.88941734435497921"/>
          <c:h val="0.87825897008136433"/>
        </c:manualLayout>
      </c:layout>
      <c:barChart>
        <c:barDir val="col"/>
        <c:grouping val="clustered"/>
        <c:varyColors val="0"/>
        <c:ser>
          <c:idx val="1"/>
          <c:order val="0"/>
          <c:tx>
            <c:v>Methane emissions from waste</c:v>
          </c:tx>
          <c:spPr>
            <a:solidFill>
              <a:srgbClr val="2B642A"/>
            </a:solidFill>
            <a:ln>
              <a:solidFill>
                <a:sysClr val="windowText" lastClr="000000"/>
              </a:solidFill>
            </a:ln>
            <a:effectLst/>
          </c:spPr>
          <c:invertIfNegative val="0"/>
          <c:cat>
            <c:numRef>
              <c:f>BIOGAS!$B$3:$M$3</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BIOGAS!$B$27:$M$27</c:f>
              <c:numCache>
                <c:formatCode>0</c:formatCode>
                <c:ptCount val="12"/>
                <c:pt idx="0">
                  <c:v>145.269084424125</c:v>
                </c:pt>
                <c:pt idx="1">
                  <c:v>136.65718789888001</c:v>
                </c:pt>
                <c:pt idx="2">
                  <c:v>137.89875816585001</c:v>
                </c:pt>
                <c:pt idx="3">
                  <c:v>134.09974059557999</c:v>
                </c:pt>
                <c:pt idx="4">
                  <c:v>133.591566472182</c:v>
                </c:pt>
                <c:pt idx="5">
                  <c:v>132.33994453422201</c:v>
                </c:pt>
                <c:pt idx="6">
                  <c:v>129.09859076708699</c:v>
                </c:pt>
                <c:pt idx="7">
                  <c:v>130.28810506510001</c:v>
                </c:pt>
                <c:pt idx="8">
                  <c:v>132.39132095135699</c:v>
                </c:pt>
                <c:pt idx="9">
                  <c:v>134.12208120039199</c:v>
                </c:pt>
                <c:pt idx="10">
                  <c:v>130.01857740944999</c:v>
                </c:pt>
              </c:numCache>
            </c:numRef>
          </c:val>
          <c:extLst>
            <c:ext xmlns:c16="http://schemas.microsoft.com/office/drawing/2014/chart" uri="{C3380CC4-5D6E-409C-BE32-E72D297353CC}">
              <c16:uniqueId val="{00000000-4E46-4522-9BE0-6168A2485177}"/>
            </c:ext>
          </c:extLst>
        </c:ser>
        <c:ser>
          <c:idx val="0"/>
          <c:order val="1"/>
          <c:tx>
            <c:v>Methane capture from landfills</c:v>
          </c:tx>
          <c:spPr>
            <a:solidFill>
              <a:srgbClr val="B2DF8A"/>
            </a:solidFill>
            <a:ln>
              <a:solidFill>
                <a:sysClr val="windowText" lastClr="000000"/>
              </a:solidFill>
            </a:ln>
            <a:effectLst/>
          </c:spPr>
          <c:invertIfNegative val="0"/>
          <c:cat>
            <c:numRef>
              <c:f>BIOGAS!$B$3:$M$3</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BIOGAS!$B$26:$M$26</c:f>
              <c:numCache>
                <c:formatCode>0</c:formatCode>
                <c:ptCount val="12"/>
                <c:pt idx="0">
                  <c:v>64.168769999999981</c:v>
                </c:pt>
                <c:pt idx="1">
                  <c:v>71.994010000000017</c:v>
                </c:pt>
                <c:pt idx="2">
                  <c:v>80.27265000000007</c:v>
                </c:pt>
                <c:pt idx="3">
                  <c:v>89.394360000000091</c:v>
                </c:pt>
                <c:pt idx="4">
                  <c:v>96.577120000000036</c:v>
                </c:pt>
                <c:pt idx="5">
                  <c:v>99.470280000000031</c:v>
                </c:pt>
                <c:pt idx="6">
                  <c:v>105.34576000000007</c:v>
                </c:pt>
                <c:pt idx="7">
                  <c:v>108.25581000000007</c:v>
                </c:pt>
                <c:pt idx="8">
                  <c:v>115.4852600000001</c:v>
                </c:pt>
                <c:pt idx="9">
                  <c:v>90.052050000000008</c:v>
                </c:pt>
                <c:pt idx="10">
                  <c:v>93.352610000000027</c:v>
                </c:pt>
                <c:pt idx="11">
                  <c:v>93.943090000000012</c:v>
                </c:pt>
              </c:numCache>
            </c:numRef>
          </c:val>
          <c:extLst>
            <c:ext xmlns:c16="http://schemas.microsoft.com/office/drawing/2014/chart" uri="{C3380CC4-5D6E-409C-BE32-E72D297353CC}">
              <c16:uniqueId val="{00000001-4E46-4522-9BE0-6168A2485177}"/>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 of carbon dioxide</a:t>
                </a:r>
              </a:p>
            </c:rich>
          </c:tx>
          <c:layout>
            <c:manualLayout>
              <c:xMode val="edge"/>
              <c:yMode val="edge"/>
              <c:x val="1.5825363141337308E-2"/>
              <c:y val="0.161475410515141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0.11796091866712073"/>
          <c:y val="5.2608018345700128E-2"/>
          <c:w val="0.62756434872354094"/>
          <c:h val="5.9844175325817615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45727003956612"/>
          <c:y val="3.8579213453513429E-2"/>
          <c:w val="0.88941734435497921"/>
          <c:h val="0.87825897008136433"/>
        </c:manualLayout>
      </c:layout>
      <c:barChart>
        <c:barDir val="col"/>
        <c:grouping val="clustered"/>
        <c:varyColors val="0"/>
        <c:ser>
          <c:idx val="0"/>
          <c:order val="0"/>
          <c:tx>
            <c:v>Methane emissions from agriculture</c:v>
          </c:tx>
          <c:spPr>
            <a:solidFill>
              <a:srgbClr val="285A84"/>
            </a:solidFill>
            <a:ln>
              <a:solidFill>
                <a:sysClr val="windowText" lastClr="000000"/>
              </a:solidFill>
            </a:ln>
            <a:effectLst/>
          </c:spPr>
          <c:invertIfNegative val="0"/>
          <c:cat>
            <c:numRef>
              <c:f>BIOGAS!$B$3:$M$3</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BIOGAS!$B$23:$M$23</c:f>
              <c:numCache>
                <c:formatCode>0</c:formatCode>
                <c:ptCount val="12"/>
                <c:pt idx="0">
                  <c:v>242.04900000000001</c:v>
                </c:pt>
                <c:pt idx="1">
                  <c:v>236.482</c:v>
                </c:pt>
                <c:pt idx="2">
                  <c:v>236.06399999999999</c:v>
                </c:pt>
                <c:pt idx="3">
                  <c:v>231.46100000000001</c:v>
                </c:pt>
                <c:pt idx="4">
                  <c:v>230.76499999999999</c:v>
                </c:pt>
                <c:pt idx="5">
                  <c:v>237.999</c:v>
                </c:pt>
                <c:pt idx="6">
                  <c:v>244.66800000000001</c:v>
                </c:pt>
                <c:pt idx="7">
                  <c:v>247.768</c:v>
                </c:pt>
                <c:pt idx="8">
                  <c:v>251.078</c:v>
                </c:pt>
                <c:pt idx="9" formatCode="_(* #,##0_);_(* \(#,##0\);_(* &quot;-&quot;??_);_(@_)">
                  <c:v>250.333</c:v>
                </c:pt>
                <c:pt idx="10" formatCode="_(* #,##0_);_(* \(#,##0\);_(* &quot;-&quot;??_);_(@_)">
                  <c:v>250.91</c:v>
                </c:pt>
              </c:numCache>
            </c:numRef>
          </c:val>
          <c:extLst>
            <c:ext xmlns:c16="http://schemas.microsoft.com/office/drawing/2014/chart" uri="{C3380CC4-5D6E-409C-BE32-E72D297353CC}">
              <c16:uniqueId val="{00000000-1ACF-42E5-AE67-BD0CAC3639AA}"/>
            </c:ext>
          </c:extLst>
        </c:ser>
        <c:ser>
          <c:idx val="1"/>
          <c:order val="1"/>
          <c:tx>
            <c:v>Methane capture from farms</c:v>
          </c:tx>
          <c:spPr>
            <a:solidFill>
              <a:srgbClr val="A6CEE3"/>
            </a:solidFill>
            <a:ln>
              <a:solidFill>
                <a:sysClr val="windowText" lastClr="000000"/>
              </a:solidFill>
            </a:ln>
            <a:effectLst/>
          </c:spPr>
          <c:invertIfNegative val="0"/>
          <c:cat>
            <c:numRef>
              <c:f>BIOGAS!$B$3:$M$3</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BIOGAS!$B$22:$M$22</c:f>
              <c:numCache>
                <c:formatCode>0.0</c:formatCode>
                <c:ptCount val="12"/>
                <c:pt idx="0">
                  <c:v>1.6728379098658634</c:v>
                </c:pt>
                <c:pt idx="1">
                  <c:v>2.1895623753332276</c:v>
                </c:pt>
                <c:pt idx="2">
                  <c:v>2.939235055035978</c:v>
                </c:pt>
                <c:pt idx="3">
                  <c:v>3.412219188887462</c:v>
                </c:pt>
                <c:pt idx="4">
                  <c:v>3.5748673849910277</c:v>
                </c:pt>
                <c:pt idx="5">
                  <c:v>3.6316947319653963</c:v>
                </c:pt>
                <c:pt idx="6">
                  <c:v>3.8358738646334083</c:v>
                </c:pt>
                <c:pt idx="7">
                  <c:v>3.9646129917931661</c:v>
                </c:pt>
                <c:pt idx="8">
                  <c:v>4.328456563696955</c:v>
                </c:pt>
                <c:pt idx="9">
                  <c:v>4.6165652124397916</c:v>
                </c:pt>
                <c:pt idx="10">
                  <c:v>5.2080848328613385</c:v>
                </c:pt>
                <c:pt idx="11">
                  <c:v>5.8887469880043204</c:v>
                </c:pt>
              </c:numCache>
            </c:numRef>
          </c:val>
          <c:extLst>
            <c:ext xmlns:c16="http://schemas.microsoft.com/office/drawing/2014/chart" uri="{C3380CC4-5D6E-409C-BE32-E72D297353CC}">
              <c16:uniqueId val="{00000001-1ACF-42E5-AE67-BD0CAC3639A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 of carbon dioxide</a:t>
                </a:r>
              </a:p>
            </c:rich>
          </c:tx>
          <c:layout>
            <c:manualLayout>
              <c:xMode val="edge"/>
              <c:yMode val="edge"/>
              <c:x val="1.5825363141337308E-2"/>
              <c:y val="0.161475410515141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0.11399262592175978"/>
          <c:y val="5.2607994313210851E-2"/>
          <c:w val="0.65130590228418972"/>
          <c:h val="5.9844175325817615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A6CEE3"/>
            </a:solidFill>
            <a:ln>
              <a:solidFill>
                <a:sysClr val="windowText" lastClr="000000"/>
              </a:solidFill>
            </a:ln>
            <a:effectLst/>
          </c:spPr>
          <c:invertIfNegative val="0"/>
          <c:cat>
            <c:numRef>
              <c:f>'WASTE TO ENERGY'!$B$3:$K$3</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'WASTE TO ENERGY'!$B$4:$K$4</c:f>
              <c:numCache>
                <c:formatCode>General</c:formatCode>
                <c:ptCount val="10"/>
                <c:pt idx="0">
                  <c:v>86</c:v>
                </c:pt>
                <c:pt idx="1">
                  <c:v>85</c:v>
                </c:pt>
                <c:pt idx="2">
                  <c:v>85</c:v>
                </c:pt>
                <c:pt idx="3">
                  <c:v>84</c:v>
                </c:pt>
                <c:pt idx="4">
                  <c:v>84</c:v>
                </c:pt>
                <c:pt idx="5">
                  <c:v>78</c:v>
                </c:pt>
                <c:pt idx="6">
                  <c:v>77</c:v>
                </c:pt>
                <c:pt idx="7">
                  <c:v>76</c:v>
                </c:pt>
                <c:pt idx="8">
                  <c:v>75</c:v>
                </c:pt>
                <c:pt idx="9">
                  <c:v>75</c:v>
                </c:pt>
              </c:numCache>
            </c:numRef>
          </c:val>
          <c:extLst>
            <c:ext xmlns:c16="http://schemas.microsoft.com/office/drawing/2014/chart" uri="{C3380CC4-5D6E-409C-BE32-E72D297353CC}">
              <c16:uniqueId val="{00000000-DCFE-4EED-899E-E385095AED5C}"/>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min val="5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plants</a:t>
                </a:r>
              </a:p>
            </c:rich>
          </c:tx>
          <c:layout>
            <c:manualLayout>
              <c:xMode val="edge"/>
              <c:yMode val="edge"/>
              <c:x val="1.5873000985438521E-2"/>
              <c:y val="0.37541468512098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spPr>
            <a:solidFill>
              <a:srgbClr val="A6CEE3"/>
            </a:solidFill>
            <a:ln>
              <a:solidFill>
                <a:sysClr val="windowText" lastClr="000000"/>
              </a:solidFill>
            </a:ln>
          </c:spPr>
          <c:invertIfNegative val="0"/>
          <c:cat>
            <c:numRef>
              <c:f>'WASTE TO ENERGY'!$B$11:$J$11</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'WASTE TO ENERGY'!$B$12:$J$12</c:f>
              <c:numCache>
                <c:formatCode>0</c:formatCode>
                <c:ptCount val="9"/>
                <c:pt idx="0">
                  <c:v>251.05</c:v>
                </c:pt>
                <c:pt idx="1">
                  <c:v>250.5</c:v>
                </c:pt>
                <c:pt idx="2">
                  <c:v>251.83999999999997</c:v>
                </c:pt>
                <c:pt idx="3">
                  <c:v>255.02</c:v>
                </c:pt>
                <c:pt idx="4">
                  <c:v>258.95</c:v>
                </c:pt>
                <c:pt idx="5">
                  <c:v>262.11</c:v>
                </c:pt>
                <c:pt idx="6">
                  <c:v>266.82</c:v>
                </c:pt>
                <c:pt idx="7">
                  <c:v>267.78999999999996</c:v>
                </c:pt>
                <c:pt idx="8">
                  <c:v>265.26527999999996</c:v>
                </c:pt>
              </c:numCache>
            </c:numRef>
          </c:val>
          <c:extLst>
            <c:ext xmlns:c16="http://schemas.microsoft.com/office/drawing/2014/chart" uri="{C3380CC4-5D6E-409C-BE32-E72D297353CC}">
              <c16:uniqueId val="{00000000-5F6A-4731-A197-18CE1A2D2978}"/>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5872902250855008E-2"/>
              <c:y val="0.30249808617672791"/>
            </c:manualLayout>
          </c:layout>
          <c:overlay val="0"/>
          <c:spPr>
            <a:noFill/>
            <a:ln>
              <a:noFill/>
            </a:ln>
            <a:effectLst/>
          </c:sp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plotVisOnly val="1"/>
    <c:dispBlanksAs val="gap"/>
    <c:showDLblsOverMax val="0"/>
  </c:chart>
  <c:spPr>
    <a:ln>
      <a:noFill/>
    </a:ln>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CAB2D6"/>
            </a:solidFill>
            <a:ln w="9525">
              <a:solidFill>
                <a:sysClr val="windowText" lastClr="000000"/>
              </a:solidFill>
            </a:ln>
          </c:spPr>
          <c:dPt>
            <c:idx val="0"/>
            <c:bubble3D val="0"/>
            <c:spPr>
              <a:solidFill>
                <a:srgbClr val="B2DF8A"/>
              </a:solidFill>
              <a:ln w="9525">
                <a:solidFill>
                  <a:sysClr val="windowText" lastClr="000000"/>
                </a:solidFill>
              </a:ln>
              <a:effectLst/>
            </c:spPr>
            <c:extLst>
              <c:ext xmlns:c16="http://schemas.microsoft.com/office/drawing/2014/chart" uri="{C3380CC4-5D6E-409C-BE32-E72D297353CC}">
                <c16:uniqueId val="{00000008-F801-4879-9253-6DC673F4220F}"/>
              </c:ext>
            </c:extLst>
          </c:dPt>
          <c:dPt>
            <c:idx val="1"/>
            <c:bubble3D val="0"/>
            <c:spPr>
              <a:solidFill>
                <a:srgbClr val="FB9A99"/>
              </a:solidFill>
              <a:ln w="9525">
                <a:solidFill>
                  <a:sysClr val="windowText" lastClr="000000"/>
                </a:solidFill>
              </a:ln>
              <a:effectLst/>
            </c:spPr>
            <c:extLst>
              <c:ext xmlns:c16="http://schemas.microsoft.com/office/drawing/2014/chart" uri="{C3380CC4-5D6E-409C-BE32-E72D297353CC}">
                <c16:uniqueId val="{00000016-F801-4879-9253-6DC673F4220F}"/>
              </c:ext>
            </c:extLst>
          </c:dPt>
          <c:dPt>
            <c:idx val="2"/>
            <c:bubble3D val="0"/>
            <c:spPr>
              <a:solidFill>
                <a:srgbClr val="CAB2D6"/>
              </a:solidFill>
              <a:ln w="9525">
                <a:solidFill>
                  <a:sysClr val="windowText" lastClr="000000"/>
                </a:solidFill>
              </a:ln>
              <a:effectLst/>
            </c:spPr>
            <c:extLst>
              <c:ext xmlns:c16="http://schemas.microsoft.com/office/drawing/2014/chart" uri="{C3380CC4-5D6E-409C-BE32-E72D297353CC}">
                <c16:uniqueId val="{0000001D-F801-4879-9253-6DC673F4220F}"/>
              </c:ext>
            </c:extLst>
          </c:dPt>
          <c:val>
            <c:numRef>
              <c:f>'WASTE TO ENERGY'!$J$13:$J$15</c:f>
              <c:numCache>
                <c:formatCode>0</c:formatCode>
                <c:ptCount val="3"/>
                <c:pt idx="0">
                  <c:v>85.186080000000004</c:v>
                </c:pt>
                <c:pt idx="1">
                  <c:v>31.389120000000002</c:v>
                </c:pt>
                <c:pt idx="2">
                  <c:v>132.63263999999998</c:v>
                </c:pt>
              </c:numCache>
            </c:numRef>
          </c:val>
          <c:extLst>
            <c:ext xmlns:c16="http://schemas.microsoft.com/office/drawing/2014/chart" uri="{C3380CC4-5D6E-409C-BE32-E72D297353CC}">
              <c16:uniqueId val="{00000000-F801-4879-9253-6DC673F4220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orientation="landscape"/>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88340093851907"/>
          <c:y val="3.8194444444444448E-2"/>
          <c:w val="0.8553388212837032"/>
          <c:h val="0.87947315179352581"/>
        </c:manualLayout>
      </c:layout>
      <c:barChart>
        <c:barDir val="col"/>
        <c:grouping val="clustered"/>
        <c:varyColors val="0"/>
        <c:ser>
          <c:idx val="4"/>
          <c:order val="0"/>
          <c:tx>
            <c:v>Electricity generation</c:v>
          </c:tx>
          <c:spPr>
            <a:solidFill>
              <a:srgbClr val="A6CEE3"/>
            </a:solidFill>
            <a:ln>
              <a:solidFill>
                <a:sysClr val="windowText" lastClr="000000"/>
              </a:solidFill>
            </a:ln>
          </c:spPr>
          <c:invertIfNegative val="0"/>
          <c:cat>
            <c:numRef>
              <c:f>'WASTE TO ENERGY'!$B$11:$M$11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'WASTE TO ENERGY'!$B$23:$M$23</c:f>
              <c:numCache>
                <c:formatCode>0</c:formatCode>
                <c:ptCount val="12"/>
                <c:pt idx="0">
                  <c:v>144.934</c:v>
                </c:pt>
                <c:pt idx="1">
                  <c:v>135.24100000000001</c:v>
                </c:pt>
                <c:pt idx="2">
                  <c:v>135.73500000000001</c:v>
                </c:pt>
                <c:pt idx="3">
                  <c:v>135.76400000000001</c:v>
                </c:pt>
                <c:pt idx="4">
                  <c:v>134.40799999999999</c:v>
                </c:pt>
                <c:pt idx="5">
                  <c:v>133.11699999999999</c:v>
                </c:pt>
                <c:pt idx="6">
                  <c:v>135.95699999999999</c:v>
                </c:pt>
                <c:pt idx="7">
                  <c:v>130.94200000000001</c:v>
                </c:pt>
                <c:pt idx="8">
                  <c:v>134.465</c:v>
                </c:pt>
                <c:pt idx="9">
                  <c:v>115.114</c:v>
                </c:pt>
                <c:pt idx="10">
                  <c:v>114.81399999999999</c:v>
                </c:pt>
                <c:pt idx="11">
                  <c:v>113.173</c:v>
                </c:pt>
              </c:numCache>
            </c:numRef>
          </c:val>
          <c:extLst>
            <c:ext xmlns:c16="http://schemas.microsoft.com/office/drawing/2014/chart" uri="{C3380CC4-5D6E-409C-BE32-E72D297353CC}">
              <c16:uniqueId val="{00000001-9C5F-4BC4-9372-A522D7511D6D}"/>
            </c:ext>
          </c:extLst>
        </c:ser>
        <c:ser>
          <c:idx val="3"/>
          <c:order val="1"/>
          <c:tx>
            <c:v>Heating</c:v>
          </c:tx>
          <c:spPr>
            <a:solidFill>
              <a:srgbClr val="FDBF6F"/>
            </a:solidFill>
            <a:ln>
              <a:solidFill>
                <a:sysClr val="windowText" lastClr="000000"/>
              </a:solidFill>
            </a:ln>
          </c:spPr>
          <c:invertIfNegative val="0"/>
          <c:cat>
            <c:numRef>
              <c:f>'WASTE TO ENERGY'!$B$11:$M$11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'WASTE TO ENERGY'!$B$24:$M$24</c:f>
              <c:numCache>
                <c:formatCode>0</c:formatCode>
                <c:ptCount val="12"/>
                <c:pt idx="0">
                  <c:v>17.501999999999999</c:v>
                </c:pt>
                <c:pt idx="1">
                  <c:v>16.765999999999998</c:v>
                </c:pt>
                <c:pt idx="2">
                  <c:v>16.309999999999999</c:v>
                </c:pt>
                <c:pt idx="3">
                  <c:v>15.167999999999999</c:v>
                </c:pt>
                <c:pt idx="4">
                  <c:v>15.782999999999999</c:v>
                </c:pt>
                <c:pt idx="5">
                  <c:v>16.623000000000001</c:v>
                </c:pt>
                <c:pt idx="6">
                  <c:v>18.259</c:v>
                </c:pt>
                <c:pt idx="7">
                  <c:v>17.72</c:v>
                </c:pt>
                <c:pt idx="8">
                  <c:v>16.724</c:v>
                </c:pt>
                <c:pt idx="9">
                  <c:v>12.308</c:v>
                </c:pt>
                <c:pt idx="10">
                  <c:v>11.939</c:v>
                </c:pt>
                <c:pt idx="11">
                  <c:v>12.721</c:v>
                </c:pt>
              </c:numCache>
            </c:numRef>
          </c:val>
          <c:extLst>
            <c:ext xmlns:c16="http://schemas.microsoft.com/office/drawing/2014/chart" uri="{C3380CC4-5D6E-409C-BE32-E72D297353CC}">
              <c16:uniqueId val="{00000000-9C5F-4BC4-9372-A522D7511D6D}"/>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max val="16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Trillion BTUs</a:t>
                </a:r>
              </a:p>
            </c:rich>
          </c:tx>
          <c:layout>
            <c:manualLayout>
              <c:xMode val="edge"/>
              <c:yMode val="edge"/>
              <c:x val="5.7718921498449054E-3"/>
              <c:y val="0.37541475284339459"/>
            </c:manualLayout>
          </c:layout>
          <c:overlay val="0"/>
          <c:spPr>
            <a:noFill/>
            <a:ln>
              <a:noFill/>
            </a:ln>
            <a:effectLst/>
          </c:sp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0.1302027823974522"/>
          <c:y val="5.4067421259842513E-2"/>
          <c:w val="0.36207255343082112"/>
          <c:h val="5.9247320647419076E-2"/>
        </c:manualLayout>
      </c:layout>
      <c:overlay val="1"/>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ln>
      <a:noFill/>
    </a:ln>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chemeClr val="tx1"/>
              </a:solidFill>
            </a:ln>
          </c:spPr>
          <c:dPt>
            <c:idx val="0"/>
            <c:bubble3D val="0"/>
            <c:spPr>
              <a:solidFill>
                <a:srgbClr val="B2DF8A"/>
              </a:solidFill>
              <a:ln w="9525">
                <a:solidFill>
                  <a:schemeClr val="tx1"/>
                </a:solidFill>
              </a:ln>
              <a:effectLst/>
            </c:spPr>
            <c:extLst>
              <c:ext xmlns:c16="http://schemas.microsoft.com/office/drawing/2014/chart" uri="{C3380CC4-5D6E-409C-BE32-E72D297353CC}">
                <c16:uniqueId val="{00000001-97E4-4ACF-92D3-AF39F788EB08}"/>
              </c:ext>
            </c:extLst>
          </c:dPt>
          <c:dPt>
            <c:idx val="1"/>
            <c:bubble3D val="0"/>
            <c:spPr>
              <a:solidFill>
                <a:srgbClr val="FB9A99"/>
              </a:solidFill>
              <a:ln w="9525">
                <a:solidFill>
                  <a:schemeClr val="tx1"/>
                </a:solidFill>
              </a:ln>
              <a:effectLst/>
            </c:spPr>
            <c:extLst>
              <c:ext xmlns:c16="http://schemas.microsoft.com/office/drawing/2014/chart" uri="{C3380CC4-5D6E-409C-BE32-E72D297353CC}">
                <c16:uniqueId val="{00000003-97E4-4ACF-92D3-AF39F788EB08}"/>
              </c:ext>
            </c:extLst>
          </c:dPt>
          <c:dPt>
            <c:idx val="2"/>
            <c:bubble3D val="0"/>
            <c:spPr>
              <a:solidFill>
                <a:srgbClr val="CAB2D6"/>
              </a:solidFill>
              <a:ln w="9525">
                <a:solidFill>
                  <a:schemeClr val="tx1"/>
                </a:solidFill>
              </a:ln>
              <a:effectLst/>
            </c:spPr>
            <c:extLst>
              <c:ext xmlns:c16="http://schemas.microsoft.com/office/drawing/2014/chart" uri="{C3380CC4-5D6E-409C-BE32-E72D297353CC}">
                <c16:uniqueId val="{00000005-97E4-4ACF-92D3-AF39F788EB08}"/>
              </c:ext>
            </c:extLst>
          </c:dPt>
          <c:dPt>
            <c:idx val="3"/>
            <c:bubble3D val="0"/>
            <c:spPr>
              <a:solidFill>
                <a:schemeClr val="bg1">
                  <a:lumMod val="65000"/>
                </a:schemeClr>
              </a:solidFill>
              <a:ln w="9525">
                <a:solidFill>
                  <a:schemeClr val="tx1"/>
                </a:solidFill>
              </a:ln>
              <a:effectLst/>
            </c:spPr>
            <c:extLst>
              <c:ext xmlns:c16="http://schemas.microsoft.com/office/drawing/2014/chart" uri="{C3380CC4-5D6E-409C-BE32-E72D297353CC}">
                <c16:uniqueId val="{0000000F-97E4-4ACF-92D3-AF39F788EB08}"/>
              </c:ext>
            </c:extLst>
          </c:dPt>
          <c:val>
            <c:numRef>
              <c:f>'WASTE TO ENERGY'!$K$26:$K$29</c:f>
              <c:numCache>
                <c:formatCode>0</c:formatCode>
                <c:ptCount val="4"/>
                <c:pt idx="0" formatCode="0.0">
                  <c:v>2.4540000000000002</c:v>
                </c:pt>
                <c:pt idx="1">
                  <c:v>101</c:v>
                </c:pt>
                <c:pt idx="2">
                  <c:v>22.472999999999999</c:v>
                </c:pt>
                <c:pt idx="3" formatCode="0.0">
                  <c:v>1.4950000000000001</c:v>
                </c:pt>
              </c:numCache>
            </c:numRef>
          </c:val>
          <c:extLst>
            <c:ext xmlns:c16="http://schemas.microsoft.com/office/drawing/2014/chart" uri="{C3380CC4-5D6E-409C-BE32-E72D297353CC}">
              <c16:uniqueId val="{00000006-97E4-4ACF-92D3-AF39F788EB0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orientation="landscape"/>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792491847609964E-2"/>
          <c:y val="3.8194444444444448E-2"/>
          <c:w val="0.87442973037461225"/>
          <c:h val="0.87947315179352581"/>
        </c:manualLayout>
      </c:layout>
      <c:barChart>
        <c:barDir val="col"/>
        <c:grouping val="clustered"/>
        <c:varyColors val="0"/>
        <c:ser>
          <c:idx val="4"/>
          <c:order val="0"/>
          <c:tx>
            <c:v>Electricity generation</c:v>
          </c:tx>
          <c:spPr>
            <a:solidFill>
              <a:srgbClr val="A6CEE3"/>
            </a:solidFill>
            <a:ln>
              <a:solidFill>
                <a:schemeClr val="tx1"/>
              </a:solidFill>
            </a:ln>
          </c:spPr>
          <c:invertIfNegative val="0"/>
          <c:cat>
            <c:numRef>
              <c:f>'WASTE TO ENERGY'!$B$11:$M$11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'WASTE TO ENERGY'!$B$16:$M$16</c:f>
              <c:numCache>
                <c:formatCode>0</c:formatCode>
                <c:ptCount val="12"/>
                <c:pt idx="0">
                  <c:v>17.633246400000001</c:v>
                </c:pt>
                <c:pt idx="1">
                  <c:v>15.396998400000001</c:v>
                </c:pt>
                <c:pt idx="2">
                  <c:v>15.3933696</c:v>
                </c:pt>
                <c:pt idx="3">
                  <c:v>15.428750400000002</c:v>
                </c:pt>
                <c:pt idx="4">
                  <c:v>15.1556832</c:v>
                </c:pt>
                <c:pt idx="5">
                  <c:v>15.0876432</c:v>
                </c:pt>
                <c:pt idx="6">
                  <c:v>15.416956799999999</c:v>
                </c:pt>
                <c:pt idx="7">
                  <c:v>14.830905599999999</c:v>
                </c:pt>
                <c:pt idx="8">
                  <c:v>15.225537600000001</c:v>
                </c:pt>
                <c:pt idx="9">
                  <c:v>14.1151248</c:v>
                </c:pt>
                <c:pt idx="10">
                  <c:v>14.076115199999998</c:v>
                </c:pt>
                <c:pt idx="11">
                  <c:v>13.8103056</c:v>
                </c:pt>
              </c:numCache>
            </c:numRef>
          </c:val>
          <c:extLst>
            <c:ext xmlns:c16="http://schemas.microsoft.com/office/drawing/2014/chart" uri="{C3380CC4-5D6E-409C-BE32-E72D297353CC}">
              <c16:uniqueId val="{00000000-3F7E-4683-84B2-3DB5FBA82A28}"/>
            </c:ext>
          </c:extLst>
        </c:ser>
        <c:ser>
          <c:idx val="3"/>
          <c:order val="1"/>
          <c:tx>
            <c:v>Heating</c:v>
          </c:tx>
          <c:spPr>
            <a:solidFill>
              <a:srgbClr val="FDBF6F"/>
            </a:solidFill>
            <a:ln>
              <a:solidFill>
                <a:schemeClr val="tx1"/>
              </a:solidFill>
            </a:ln>
          </c:spPr>
          <c:invertIfNegative val="0"/>
          <c:cat>
            <c:numRef>
              <c:f>'WASTE TO ENERGY'!$B$11:$M$11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'WASTE TO ENERGY'!$B$17:$M$17</c:f>
              <c:numCache>
                <c:formatCode>0</c:formatCode>
                <c:ptCount val="12"/>
                <c:pt idx="0">
                  <c:v>2.0747664000000001</c:v>
                </c:pt>
                <c:pt idx="1">
                  <c:v>1.8180288</c:v>
                </c:pt>
                <c:pt idx="2">
                  <c:v>1.8016992000000001</c:v>
                </c:pt>
                <c:pt idx="3">
                  <c:v>1.6919280000000001</c:v>
                </c:pt>
                <c:pt idx="4">
                  <c:v>1.773576</c:v>
                </c:pt>
                <c:pt idx="5">
                  <c:v>1.8016992000000001</c:v>
                </c:pt>
                <c:pt idx="6">
                  <c:v>2.0248704000000002</c:v>
                </c:pt>
                <c:pt idx="7">
                  <c:v>1.9268928000000001</c:v>
                </c:pt>
                <c:pt idx="8">
                  <c:v>1.8597599999999999</c:v>
                </c:pt>
                <c:pt idx="9">
                  <c:v>1.5123024</c:v>
                </c:pt>
                <c:pt idx="10">
                  <c:v>1.49688</c:v>
                </c:pt>
                <c:pt idx="11">
                  <c:v>1.5531264</c:v>
                </c:pt>
              </c:numCache>
            </c:numRef>
          </c:val>
          <c:extLst>
            <c:ext xmlns:c16="http://schemas.microsoft.com/office/drawing/2014/chart" uri="{C3380CC4-5D6E-409C-BE32-E72D297353CC}">
              <c16:uniqueId val="{00000001-3F7E-4683-84B2-3DB5FBA82A28}"/>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7.2138709933985609E-4"/>
              <c:y val="0.31985919728783901"/>
            </c:manualLayout>
          </c:layout>
          <c:overlay val="0"/>
          <c:spPr>
            <a:noFill/>
            <a:ln>
              <a:noFill/>
            </a:ln>
            <a:effectLst/>
          </c:sp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0.11567986293379995"/>
          <c:y val="5.406742125984252E-2"/>
          <c:w val="0.43963393780322912"/>
          <c:h val="5.9247320647419076E-2"/>
        </c:manualLayout>
      </c:layout>
      <c:overlay val="1"/>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ln>
      <a:noFill/>
    </a:ln>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chemeClr val="tx1"/>
              </a:solidFill>
            </a:ln>
          </c:spPr>
          <c:dPt>
            <c:idx val="0"/>
            <c:bubble3D val="0"/>
            <c:spPr>
              <a:solidFill>
                <a:srgbClr val="B2DF8A"/>
              </a:solidFill>
              <a:ln w="9525">
                <a:solidFill>
                  <a:schemeClr val="tx1"/>
                </a:solidFill>
              </a:ln>
              <a:effectLst/>
            </c:spPr>
            <c:extLst>
              <c:ext xmlns:c16="http://schemas.microsoft.com/office/drawing/2014/chart" uri="{C3380CC4-5D6E-409C-BE32-E72D297353CC}">
                <c16:uniqueId val="{00000001-BAD4-481E-9707-CD188CEC93F8}"/>
              </c:ext>
            </c:extLst>
          </c:dPt>
          <c:dPt>
            <c:idx val="1"/>
            <c:bubble3D val="0"/>
            <c:spPr>
              <a:solidFill>
                <a:srgbClr val="FB9A99"/>
              </a:solidFill>
              <a:ln w="9525">
                <a:solidFill>
                  <a:schemeClr val="tx1"/>
                </a:solidFill>
              </a:ln>
              <a:effectLst/>
            </c:spPr>
            <c:extLst>
              <c:ext xmlns:c16="http://schemas.microsoft.com/office/drawing/2014/chart" uri="{C3380CC4-5D6E-409C-BE32-E72D297353CC}">
                <c16:uniqueId val="{00000003-BAD4-481E-9707-CD188CEC93F8}"/>
              </c:ext>
            </c:extLst>
          </c:dPt>
          <c:dPt>
            <c:idx val="2"/>
            <c:bubble3D val="0"/>
            <c:spPr>
              <a:solidFill>
                <a:srgbClr val="CAB2D6"/>
              </a:solidFill>
              <a:ln w="9525">
                <a:solidFill>
                  <a:schemeClr val="tx1"/>
                </a:solidFill>
              </a:ln>
              <a:effectLst/>
            </c:spPr>
            <c:extLst>
              <c:ext xmlns:c16="http://schemas.microsoft.com/office/drawing/2014/chart" uri="{C3380CC4-5D6E-409C-BE32-E72D297353CC}">
                <c16:uniqueId val="{00000005-BAD4-481E-9707-CD188CEC93F8}"/>
              </c:ext>
            </c:extLst>
          </c:dPt>
          <c:dPt>
            <c:idx val="3"/>
            <c:bubble3D val="0"/>
            <c:spPr>
              <a:solidFill>
                <a:schemeClr val="bg1">
                  <a:lumMod val="65000"/>
                </a:schemeClr>
              </a:solidFill>
              <a:ln w="9525">
                <a:solidFill>
                  <a:schemeClr val="tx1"/>
                </a:solidFill>
              </a:ln>
              <a:effectLst/>
            </c:spPr>
            <c:extLst>
              <c:ext xmlns:c16="http://schemas.microsoft.com/office/drawing/2014/chart" uri="{C3380CC4-5D6E-409C-BE32-E72D297353CC}">
                <c16:uniqueId val="{00000007-BAD4-481E-9707-CD188CEC93F8}"/>
              </c:ext>
            </c:extLst>
          </c:dPt>
          <c:val>
            <c:numRef>
              <c:f>'WASTE TO ENERGY'!$K$19:$K$22</c:f>
              <c:numCache>
                <c:formatCode>0</c:formatCode>
                <c:ptCount val="4"/>
                <c:pt idx="0" formatCode="0.0">
                  <c:v>0.26943839999999997</c:v>
                </c:pt>
                <c:pt idx="1">
                  <c:v>12.4141248</c:v>
                </c:pt>
                <c:pt idx="2" formatCode="0.0">
                  <c:v>2.7642384</c:v>
                </c:pt>
                <c:pt idx="3" formatCode="0.0">
                  <c:v>0.1787184</c:v>
                </c:pt>
              </c:numCache>
            </c:numRef>
          </c:val>
          <c:extLst>
            <c:ext xmlns:c16="http://schemas.microsoft.com/office/drawing/2014/chart" uri="{C3380CC4-5D6E-409C-BE32-E72D297353CC}">
              <c16:uniqueId val="{00000008-BAD4-481E-9707-CD188CEC93F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orientation="landscape"/>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84179550322941"/>
          <c:y val="3.7482466147725456E-2"/>
          <c:w val="0.87024585884712502"/>
          <c:h val="0.88171987906873917"/>
        </c:manualLayout>
      </c:layout>
      <c:barChart>
        <c:barDir val="col"/>
        <c:grouping val="clustered"/>
        <c:varyColors val="0"/>
        <c:ser>
          <c:idx val="1"/>
          <c:order val="0"/>
          <c:spPr>
            <a:solidFill>
              <a:srgbClr val="A6CEE3"/>
            </a:solidFill>
            <a:ln>
              <a:solidFill>
                <a:sysClr val="windowText" lastClr="000000"/>
              </a:solidFill>
            </a:ln>
            <a:effectLst/>
          </c:spPr>
          <c:invertIfNegative val="0"/>
          <c:cat>
            <c:numRef>
              <c:f>'WASTE TO ENERGY'!$C$31:$L$31</c:f>
              <c:numCache>
                <c:formatCode>General</c:formatCode>
                <c:ptCount val="10"/>
                <c:pt idx="0">
                  <c:v>2011</c:v>
                </c:pt>
                <c:pt idx="1">
                  <c:v>2012</c:v>
                </c:pt>
                <c:pt idx="2">
                  <c:v>2013</c:v>
                </c:pt>
                <c:pt idx="3">
                  <c:v>2014</c:v>
                </c:pt>
                <c:pt idx="4">
                  <c:v>2015</c:v>
                </c:pt>
                <c:pt idx="5">
                  <c:v>2016</c:v>
                </c:pt>
                <c:pt idx="6">
                  <c:v>2017</c:v>
                </c:pt>
                <c:pt idx="7">
                  <c:v>2018</c:v>
                </c:pt>
                <c:pt idx="8">
                  <c:v>2019</c:v>
                </c:pt>
                <c:pt idx="9">
                  <c:v>2020</c:v>
                </c:pt>
              </c:numCache>
            </c:numRef>
          </c:cat>
          <c:val>
            <c:numRef>
              <c:f>'WASTE TO ENERGY'!$C$32:$L$32</c:f>
              <c:numCache>
                <c:formatCode>General</c:formatCode>
                <c:ptCount val="10"/>
                <c:pt idx="0">
                  <c:v>640</c:v>
                </c:pt>
                <c:pt idx="1">
                  <c:v>290</c:v>
                </c:pt>
                <c:pt idx="2">
                  <c:v>550</c:v>
                </c:pt>
                <c:pt idx="3">
                  <c:v>348</c:v>
                </c:pt>
                <c:pt idx="4">
                  <c:v>524</c:v>
                </c:pt>
                <c:pt idx="5">
                  <c:v>227</c:v>
                </c:pt>
                <c:pt idx="6">
                  <c:v>142</c:v>
                </c:pt>
                <c:pt idx="7">
                  <c:v>54</c:v>
                </c:pt>
                <c:pt idx="8">
                  <c:v>57</c:v>
                </c:pt>
                <c:pt idx="9">
                  <c:v>54</c:v>
                </c:pt>
              </c:numCache>
            </c:numRef>
          </c:val>
          <c:extLst>
            <c:ext xmlns:c16="http://schemas.microsoft.com/office/drawing/2014/chart" uri="{C3380CC4-5D6E-409C-BE32-E72D297353CC}">
              <c16:uniqueId val="{00000000-A095-48B4-BC64-09E2FD707289}"/>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dollars</a:t>
                </a:r>
              </a:p>
            </c:rich>
          </c:tx>
          <c:layout>
            <c:manualLayout>
              <c:xMode val="edge"/>
              <c:yMode val="edge"/>
              <c:x val="1.7860491892306211E-2"/>
              <c:y val="0.3311172082350883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43219597550304"/>
          <c:y val="3.8194444444444448E-2"/>
          <c:w val="0.87264716910386197"/>
          <c:h val="0.87947315179352581"/>
        </c:manualLayout>
      </c:layout>
      <c:barChart>
        <c:barDir val="col"/>
        <c:grouping val="clustered"/>
        <c:varyColors val="0"/>
        <c:ser>
          <c:idx val="1"/>
          <c:order val="0"/>
          <c:tx>
            <c:v>Total jobs</c:v>
          </c:tx>
          <c:spPr>
            <a:solidFill>
              <a:srgbClr val="A6CEE3"/>
            </a:solidFill>
            <a:ln>
              <a:solidFill>
                <a:sysClr val="windowText" lastClr="000000"/>
              </a:solidFill>
            </a:ln>
            <a:effectLst/>
          </c:spPr>
          <c:invertIfNegative val="0"/>
          <c:cat>
            <c:numRef>
              <c:f>'WASTE TO ENERGY'!$E$31:$J$31</c:f>
              <c:numCache>
                <c:formatCode>General</c:formatCode>
                <c:ptCount val="6"/>
                <c:pt idx="0">
                  <c:v>2013</c:v>
                </c:pt>
                <c:pt idx="1">
                  <c:v>2014</c:v>
                </c:pt>
                <c:pt idx="2">
                  <c:v>2015</c:v>
                </c:pt>
                <c:pt idx="3">
                  <c:v>2016</c:v>
                </c:pt>
                <c:pt idx="4">
                  <c:v>2017</c:v>
                </c:pt>
                <c:pt idx="5">
                  <c:v>2018</c:v>
                </c:pt>
              </c:numCache>
            </c:numRef>
          </c:cat>
          <c:val>
            <c:numRef>
              <c:f>'WASTE TO ENERGY'!$E$34:$J$34</c:f>
              <c:numCache>
                <c:formatCode>#,##0</c:formatCode>
                <c:ptCount val="6"/>
                <c:pt idx="0">
                  <c:v>13907</c:v>
                </c:pt>
                <c:pt idx="1">
                  <c:v>13878</c:v>
                </c:pt>
                <c:pt idx="3">
                  <c:v>13756</c:v>
                </c:pt>
                <c:pt idx="5">
                  <c:v>13601</c:v>
                </c:pt>
              </c:numCache>
            </c:numRef>
          </c:val>
          <c:extLst>
            <c:ext xmlns:c16="http://schemas.microsoft.com/office/drawing/2014/chart" uri="{C3380CC4-5D6E-409C-BE32-E72D297353CC}">
              <c16:uniqueId val="{00000000-2F1F-40E4-A024-4AF450F3AD0B}"/>
            </c:ext>
          </c:extLst>
        </c:ser>
        <c:ser>
          <c:idx val="0"/>
          <c:order val="1"/>
          <c:tx>
            <c:v>Direct jobs</c:v>
          </c:tx>
          <c:spPr>
            <a:solidFill>
              <a:srgbClr val="FDBF6F"/>
            </a:solidFill>
            <a:ln>
              <a:solidFill>
                <a:schemeClr val="tx1"/>
              </a:solidFill>
            </a:ln>
            <a:effectLst/>
          </c:spPr>
          <c:invertIfNegative val="0"/>
          <c:cat>
            <c:numRef>
              <c:f>'WASTE TO ENERGY'!$E$31:$J$31</c:f>
              <c:numCache>
                <c:formatCode>General</c:formatCode>
                <c:ptCount val="6"/>
                <c:pt idx="0">
                  <c:v>2013</c:v>
                </c:pt>
                <c:pt idx="1">
                  <c:v>2014</c:v>
                </c:pt>
                <c:pt idx="2">
                  <c:v>2015</c:v>
                </c:pt>
                <c:pt idx="3">
                  <c:v>2016</c:v>
                </c:pt>
                <c:pt idx="4">
                  <c:v>2017</c:v>
                </c:pt>
                <c:pt idx="5">
                  <c:v>2018</c:v>
                </c:pt>
              </c:numCache>
            </c:numRef>
          </c:cat>
          <c:val>
            <c:numRef>
              <c:f>'WASTE TO ENERGY'!$E$33:$J$33</c:f>
              <c:numCache>
                <c:formatCode>#,##0</c:formatCode>
                <c:ptCount val="6"/>
                <c:pt idx="0">
                  <c:v>5350</c:v>
                </c:pt>
                <c:pt idx="1">
                  <c:v>4753</c:v>
                </c:pt>
                <c:pt idx="3">
                  <c:v>4640</c:v>
                </c:pt>
                <c:pt idx="5">
                  <c:v>4600</c:v>
                </c:pt>
              </c:numCache>
            </c:numRef>
          </c:val>
          <c:extLst>
            <c:ext xmlns:c16="http://schemas.microsoft.com/office/drawing/2014/chart" uri="{C3380CC4-5D6E-409C-BE32-E72D297353CC}">
              <c16:uniqueId val="{00000001-2F1F-40E4-A024-4AF450F3AD0B}"/>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jobs</a:t>
                </a:r>
                <a:r>
                  <a:rPr lang="en-US" sz="1000" baseline="0">
                    <a:solidFill>
                      <a:sysClr val="windowText" lastClr="000000"/>
                    </a:solidFill>
                  </a:rPr>
                  <a:t> </a:t>
                </a:r>
                <a:endParaRPr lang="en-US" sz="1000">
                  <a:solidFill>
                    <a:sysClr val="windowText" lastClr="000000"/>
                  </a:solidFill>
                </a:endParaRPr>
              </a:p>
            </c:rich>
          </c:tx>
          <c:layout>
            <c:manualLayout>
              <c:xMode val="edge"/>
              <c:yMode val="edge"/>
              <c:x val="9.9204786901637299E-3"/>
              <c:y val="0.361140912073490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0.15156480439945008"/>
          <c:y val="5.6010225284339459E-2"/>
          <c:w val="0.26355939882514684"/>
          <c:h val="5.9247320647419076E-2"/>
        </c:manualLayout>
      </c:layout>
      <c:overlay val="1"/>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43219597550304"/>
          <c:y val="3.8194444444444448E-2"/>
          <c:w val="0.87264716910386197"/>
          <c:h val="0.87947315179352581"/>
        </c:manualLayout>
      </c:layout>
      <c:barChart>
        <c:barDir val="col"/>
        <c:grouping val="stacked"/>
        <c:varyColors val="0"/>
        <c:ser>
          <c:idx val="1"/>
          <c:order val="0"/>
          <c:tx>
            <c:v>GDP</c:v>
          </c:tx>
          <c:spPr>
            <a:solidFill>
              <a:srgbClr val="A6CEE3"/>
            </a:solidFill>
            <a:ln>
              <a:solidFill>
                <a:schemeClr val="tx1"/>
              </a:solidFill>
            </a:ln>
            <a:effectLst/>
          </c:spPr>
          <c:invertIfNegative val="0"/>
          <c:cat>
            <c:numRef>
              <c:f>'WASTE TO ENERGY'!$E$31:$J$31</c:f>
              <c:numCache>
                <c:formatCode>General</c:formatCode>
                <c:ptCount val="6"/>
                <c:pt idx="0">
                  <c:v>2013</c:v>
                </c:pt>
                <c:pt idx="1">
                  <c:v>2014</c:v>
                </c:pt>
                <c:pt idx="2">
                  <c:v>2015</c:v>
                </c:pt>
                <c:pt idx="3">
                  <c:v>2016</c:v>
                </c:pt>
                <c:pt idx="4">
                  <c:v>2017</c:v>
                </c:pt>
                <c:pt idx="5">
                  <c:v>2018</c:v>
                </c:pt>
              </c:numCache>
            </c:numRef>
          </c:cat>
          <c:val>
            <c:numRef>
              <c:f>'WASTE TO ENERGY'!$E$35:$J$35</c:f>
              <c:numCache>
                <c:formatCode>#,##0</c:formatCode>
                <c:ptCount val="6"/>
                <c:pt idx="0">
                  <c:v>5600</c:v>
                </c:pt>
                <c:pt idx="1">
                  <c:v>5561.0000000000009</c:v>
                </c:pt>
                <c:pt idx="3">
                  <c:v>5576.2000000000007</c:v>
                </c:pt>
                <c:pt idx="5">
                  <c:v>5567</c:v>
                </c:pt>
              </c:numCache>
            </c:numRef>
          </c:val>
          <c:extLst>
            <c:ext xmlns:c16="http://schemas.microsoft.com/office/drawing/2014/chart" uri="{C3380CC4-5D6E-409C-BE32-E72D297353CC}">
              <c16:uniqueId val="{00000000-5AF9-4FAC-A68F-17E04A967BE7}"/>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max val="5610"/>
          <c:min val="55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dollars</a:t>
                </a:r>
                <a:endParaRPr lang="en-US" sz="1000">
                  <a:solidFill>
                    <a:sysClr val="windowText" lastClr="000000"/>
                  </a:solidFill>
                </a:endParaRPr>
              </a:p>
            </c:rich>
          </c:tx>
          <c:layout>
            <c:manualLayout>
              <c:xMode val="edge"/>
              <c:yMode val="edge"/>
              <c:x val="9.9204786901637299E-3"/>
              <c:y val="0.361140912073490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88340093851907"/>
          <c:y val="3.8194444444444448E-2"/>
          <c:w val="0.8553388212837032"/>
          <c:h val="0.87947315179352581"/>
        </c:manualLayout>
      </c:layout>
      <c:lineChart>
        <c:grouping val="standard"/>
        <c:varyColors val="0"/>
        <c:ser>
          <c:idx val="4"/>
          <c:order val="0"/>
          <c:tx>
            <c:v>Electricity generation</c:v>
          </c:tx>
          <c:spPr>
            <a:ln>
              <a:solidFill>
                <a:srgbClr val="A6CEE3"/>
              </a:solidFill>
            </a:ln>
          </c:spPr>
          <c:marker>
            <c:symbol val="none"/>
          </c:marker>
          <c:cat>
            <c:numRef>
              <c:f>'WASTE TO ENERGY'!$B$11:$M$11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'WASTE TO ENERGY'!$B$23:$M$23</c:f>
              <c:numCache>
                <c:formatCode>0</c:formatCode>
                <c:ptCount val="12"/>
                <c:pt idx="0">
                  <c:v>144.934</c:v>
                </c:pt>
                <c:pt idx="1">
                  <c:v>135.24100000000001</c:v>
                </c:pt>
                <c:pt idx="2">
                  <c:v>135.73500000000001</c:v>
                </c:pt>
                <c:pt idx="3">
                  <c:v>135.76400000000001</c:v>
                </c:pt>
                <c:pt idx="4">
                  <c:v>134.40799999999999</c:v>
                </c:pt>
                <c:pt idx="5">
                  <c:v>133.11699999999999</c:v>
                </c:pt>
                <c:pt idx="6">
                  <c:v>135.95699999999999</c:v>
                </c:pt>
                <c:pt idx="7">
                  <c:v>130.94200000000001</c:v>
                </c:pt>
                <c:pt idx="8">
                  <c:v>134.465</c:v>
                </c:pt>
                <c:pt idx="9">
                  <c:v>115.114</c:v>
                </c:pt>
                <c:pt idx="10">
                  <c:v>114.81399999999999</c:v>
                </c:pt>
                <c:pt idx="11">
                  <c:v>113.173</c:v>
                </c:pt>
              </c:numCache>
            </c:numRef>
          </c:val>
          <c:smooth val="0"/>
          <c:extLst>
            <c:ext xmlns:c16="http://schemas.microsoft.com/office/drawing/2014/chart" uri="{C3380CC4-5D6E-409C-BE32-E72D297353CC}">
              <c16:uniqueId val="{00000000-038C-4BDD-982A-E24B731B3DC0}"/>
            </c:ext>
          </c:extLst>
        </c:ser>
        <c:ser>
          <c:idx val="3"/>
          <c:order val="1"/>
          <c:tx>
            <c:v>Heating</c:v>
          </c:tx>
          <c:spPr>
            <a:ln>
              <a:solidFill>
                <a:srgbClr val="B2DF8A"/>
              </a:solidFill>
            </a:ln>
          </c:spPr>
          <c:marker>
            <c:symbol val="none"/>
          </c:marker>
          <c:cat>
            <c:numRef>
              <c:f>'WASTE TO ENERGY'!$B$11:$M$11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'WASTE TO ENERGY'!$B$24:$M$24</c:f>
              <c:numCache>
                <c:formatCode>0</c:formatCode>
                <c:ptCount val="12"/>
                <c:pt idx="0">
                  <c:v>17.501999999999999</c:v>
                </c:pt>
                <c:pt idx="1">
                  <c:v>16.765999999999998</c:v>
                </c:pt>
                <c:pt idx="2">
                  <c:v>16.309999999999999</c:v>
                </c:pt>
                <c:pt idx="3">
                  <c:v>15.167999999999999</c:v>
                </c:pt>
                <c:pt idx="4">
                  <c:v>15.782999999999999</c:v>
                </c:pt>
                <c:pt idx="5">
                  <c:v>16.623000000000001</c:v>
                </c:pt>
                <c:pt idx="6">
                  <c:v>18.259</c:v>
                </c:pt>
                <c:pt idx="7">
                  <c:v>17.72</c:v>
                </c:pt>
                <c:pt idx="8">
                  <c:v>16.724</c:v>
                </c:pt>
                <c:pt idx="9">
                  <c:v>12.308</c:v>
                </c:pt>
                <c:pt idx="10">
                  <c:v>11.939</c:v>
                </c:pt>
                <c:pt idx="11">
                  <c:v>12.721</c:v>
                </c:pt>
              </c:numCache>
            </c:numRef>
          </c:val>
          <c:smooth val="0"/>
          <c:extLst>
            <c:ext xmlns:c16="http://schemas.microsoft.com/office/drawing/2014/chart" uri="{C3380CC4-5D6E-409C-BE32-E72D297353CC}">
              <c16:uniqueId val="{00000001-038C-4BDD-982A-E24B731B3DC0}"/>
            </c:ext>
          </c:extLst>
        </c:ser>
        <c:dLbls>
          <c:showLegendKey val="0"/>
          <c:showVal val="0"/>
          <c:showCatName val="0"/>
          <c:showSerName val="0"/>
          <c:showPercent val="0"/>
          <c:showBubbleSize val="0"/>
        </c:dLbls>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max val="170"/>
          <c:min val="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Trillion BTUs</a:t>
                </a:r>
              </a:p>
            </c:rich>
          </c:tx>
          <c:layout>
            <c:manualLayout>
              <c:xMode val="edge"/>
              <c:yMode val="edge"/>
              <c:x val="5.7718921498449054E-3"/>
              <c:y val="0.37541475284339459"/>
            </c:manualLayout>
          </c:layout>
          <c:overlay val="0"/>
          <c:spPr>
            <a:noFill/>
            <a:ln>
              <a:noFill/>
            </a:ln>
            <a:effectLst/>
          </c:sp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midCat"/>
      </c:valAx>
      <c:spPr>
        <a:noFill/>
        <a:ln>
          <a:solidFill>
            <a:schemeClr val="tx1"/>
          </a:solidFill>
        </a:ln>
        <a:effectLst/>
      </c:spPr>
    </c:plotArea>
    <c:legend>
      <c:legendPos val="t"/>
      <c:layout>
        <c:manualLayout>
          <c:xMode val="edge"/>
          <c:yMode val="edge"/>
          <c:x val="0.1302027823974522"/>
          <c:y val="5.4067421259842513E-2"/>
          <c:w val="0.4038050450246517"/>
          <c:h val="5.9247320647419076E-2"/>
        </c:manualLayout>
      </c:layout>
      <c:overlay val="1"/>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ln>
      <a:noFill/>
    </a:ln>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53256560594192"/>
          <c:y val="3.8579213453513429E-2"/>
          <c:w val="0.87548366731993432"/>
          <c:h val="0.87825897008136433"/>
        </c:manualLayout>
      </c:layout>
      <c:barChart>
        <c:barDir val="col"/>
        <c:grouping val="clustered"/>
        <c:varyColors val="0"/>
        <c:ser>
          <c:idx val="1"/>
          <c:order val="0"/>
          <c:spPr>
            <a:solidFill>
              <a:srgbClr val="FB9A99"/>
            </a:solidFill>
            <a:ln>
              <a:solidFill>
                <a:sysClr val="windowText" lastClr="000000"/>
              </a:solidFill>
            </a:ln>
            <a:effectLst/>
          </c:spPr>
          <c:invertIfNegative val="0"/>
          <c:cat>
            <c:numRef>
              <c:f>BIOPRODUCTS!$B$20:$H$20</c:f>
              <c:numCache>
                <c:formatCode>General</c:formatCode>
                <c:ptCount val="7"/>
                <c:pt idx="0">
                  <c:v>2008</c:v>
                </c:pt>
                <c:pt idx="1">
                  <c:v>2009</c:v>
                </c:pt>
                <c:pt idx="2">
                  <c:v>2010</c:v>
                </c:pt>
                <c:pt idx="3">
                  <c:v>2011</c:v>
                </c:pt>
                <c:pt idx="4">
                  <c:v>2012</c:v>
                </c:pt>
                <c:pt idx="5">
                  <c:v>2013</c:v>
                </c:pt>
                <c:pt idx="6">
                  <c:v>2014</c:v>
                </c:pt>
              </c:numCache>
            </c:numRef>
          </c:cat>
          <c:val>
            <c:numRef>
              <c:f>BIOPRODUCTS!$B$24:$H$24</c:f>
              <c:numCache>
                <c:formatCode>#,##0</c:formatCode>
                <c:ptCount val="7"/>
                <c:pt idx="0">
                  <c:v>17197</c:v>
                </c:pt>
                <c:pt idx="1">
                  <c:v>24361</c:v>
                </c:pt>
                <c:pt idx="2">
                  <c:v>30334</c:v>
                </c:pt>
                <c:pt idx="3">
                  <c:v>36053</c:v>
                </c:pt>
                <c:pt idx="4">
                  <c:v>38978</c:v>
                </c:pt>
                <c:pt idx="5">
                  <c:v>39626</c:v>
                </c:pt>
                <c:pt idx="6">
                  <c:v>40424</c:v>
                </c:pt>
              </c:numCache>
            </c:numRef>
          </c:val>
          <c:extLst>
            <c:ext xmlns:c16="http://schemas.microsoft.com/office/drawing/2014/chart" uri="{C3380CC4-5D6E-409C-BE32-E72D297353CC}">
              <c16:uniqueId val="{00000000-C31C-4E44-8457-03659294308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certified products</a:t>
                </a:r>
              </a:p>
            </c:rich>
          </c:tx>
          <c:layout>
            <c:manualLayout>
              <c:xMode val="edge"/>
              <c:yMode val="edge"/>
              <c:x val="1.9761944978773744E-3"/>
              <c:y val="0.259677044760448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807066644656872E-2"/>
          <c:y val="3.8579213453513429E-2"/>
          <c:w val="0.89929612427530248"/>
          <c:h val="0.87825897008136433"/>
        </c:manualLayout>
      </c:layout>
      <c:barChart>
        <c:barDir val="col"/>
        <c:grouping val="stacked"/>
        <c:varyColors val="0"/>
        <c:ser>
          <c:idx val="1"/>
          <c:order val="0"/>
          <c:tx>
            <c:v>Mandatory Federal Purchasing categories</c:v>
          </c:tx>
          <c:spPr>
            <a:solidFill>
              <a:srgbClr val="FB9A99"/>
            </a:solidFill>
            <a:ln>
              <a:solidFill>
                <a:schemeClr val="tx1"/>
              </a:solidFill>
            </a:ln>
            <a:effectLst/>
          </c:spPr>
          <c:invertIfNegative val="0"/>
          <c:cat>
            <c:numRef>
              <c:f>BIOPRODUCTS!$B$20:$O$20</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BIOPRODUCTS!$B$21:$O$21</c:f>
              <c:numCache>
                <c:formatCode>#,##0</c:formatCode>
                <c:ptCount val="14"/>
                <c:pt idx="0">
                  <c:v>32</c:v>
                </c:pt>
                <c:pt idx="1">
                  <c:v>42</c:v>
                </c:pt>
                <c:pt idx="2">
                  <c:v>50</c:v>
                </c:pt>
                <c:pt idx="3">
                  <c:v>64</c:v>
                </c:pt>
                <c:pt idx="4">
                  <c:v>89</c:v>
                </c:pt>
                <c:pt idx="5">
                  <c:v>97</c:v>
                </c:pt>
                <c:pt idx="6">
                  <c:v>97</c:v>
                </c:pt>
                <c:pt idx="7" formatCode="General">
                  <c:v>97</c:v>
                </c:pt>
                <c:pt idx="8" formatCode="General">
                  <c:v>97</c:v>
                </c:pt>
                <c:pt idx="9" formatCode="General">
                  <c:v>109</c:v>
                </c:pt>
                <c:pt idx="10" formatCode="General">
                  <c:v>139</c:v>
                </c:pt>
                <c:pt idx="11" formatCode="General">
                  <c:v>139</c:v>
                </c:pt>
                <c:pt idx="13" formatCode="General">
                  <c:v>171</c:v>
                </c:pt>
              </c:numCache>
            </c:numRef>
          </c:val>
          <c:extLst>
            <c:ext xmlns:c16="http://schemas.microsoft.com/office/drawing/2014/chart" uri="{C3380CC4-5D6E-409C-BE32-E72D297353CC}">
              <c16:uniqueId val="{00000000-247E-4CE7-8619-514DDA28E46B}"/>
            </c:ext>
          </c:extLst>
        </c:ser>
        <c:ser>
          <c:idx val="0"/>
          <c:order val="1"/>
          <c:tx>
            <c:v>Certification-only categories</c:v>
          </c:tx>
          <c:spPr>
            <a:solidFill>
              <a:srgbClr val="CAB2D6"/>
            </a:solidFill>
            <a:ln>
              <a:solidFill>
                <a:sysClr val="windowText" lastClr="000000"/>
              </a:solidFill>
            </a:ln>
            <a:effectLst/>
          </c:spPr>
          <c:invertIfNegative val="0"/>
          <c:cat>
            <c:numRef>
              <c:f>BIOPRODUCTS!$B$20:$O$20</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BIOPRODUCTS!$B$22:$O$22</c:f>
              <c:numCache>
                <c:formatCode>General</c:formatCode>
                <c:ptCount val="14"/>
                <c:pt idx="3" formatCode="#,##0">
                  <c:v>50</c:v>
                </c:pt>
                <c:pt idx="4" formatCode="#,##0">
                  <c:v>75</c:v>
                </c:pt>
                <c:pt idx="5" formatCode="#,##0">
                  <c:v>97</c:v>
                </c:pt>
                <c:pt idx="6" formatCode="#,##0">
                  <c:v>98</c:v>
                </c:pt>
                <c:pt idx="7">
                  <c:v>99</c:v>
                </c:pt>
                <c:pt idx="8">
                  <c:v>100</c:v>
                </c:pt>
                <c:pt idx="13">
                  <c:v>100</c:v>
                </c:pt>
              </c:numCache>
            </c:numRef>
          </c:val>
          <c:extLst>
            <c:ext xmlns:c16="http://schemas.microsoft.com/office/drawing/2014/chart" uri="{C3380CC4-5D6E-409C-BE32-E72D297353CC}">
              <c16:uniqueId val="{00000003-3E24-40D9-B37A-1BFC77EF8E5D}"/>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categories</a:t>
                </a:r>
              </a:p>
            </c:rich>
          </c:tx>
          <c:layout>
            <c:manualLayout>
              <c:xMode val="edge"/>
              <c:yMode val="edge"/>
              <c:x val="1.9761856341132789E-3"/>
              <c:y val="0.312285063106148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9.4786751829532515E-2"/>
          <c:y val="5.6115219568746807E-2"/>
          <c:w val="0.68678353998700659"/>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ysClr val="windowText" lastClr="000000"/>
              </a:solidFill>
            </a:ln>
          </c:spPr>
          <c:dPt>
            <c:idx val="0"/>
            <c:bubble3D val="0"/>
            <c:spPr>
              <a:solidFill>
                <a:srgbClr val="377EB8"/>
              </a:solidFill>
              <a:ln w="9525">
                <a:solidFill>
                  <a:sysClr val="windowText" lastClr="000000"/>
                </a:solidFill>
              </a:ln>
              <a:effectLst/>
            </c:spPr>
            <c:extLst>
              <c:ext xmlns:c16="http://schemas.microsoft.com/office/drawing/2014/chart" uri="{C3380CC4-5D6E-409C-BE32-E72D297353CC}">
                <c16:uniqueId val="{00000001-679B-495A-8F8D-65565C07DF86}"/>
              </c:ext>
            </c:extLst>
          </c:dPt>
          <c:dPt>
            <c:idx val="1"/>
            <c:bubble3D val="0"/>
            <c:spPr>
              <a:solidFill>
                <a:srgbClr val="4DAF4A"/>
              </a:solidFill>
              <a:ln w="9525">
                <a:solidFill>
                  <a:sysClr val="windowText" lastClr="000000"/>
                </a:solidFill>
              </a:ln>
              <a:effectLst/>
            </c:spPr>
            <c:extLst>
              <c:ext xmlns:c16="http://schemas.microsoft.com/office/drawing/2014/chart" uri="{C3380CC4-5D6E-409C-BE32-E72D297353CC}">
                <c16:uniqueId val="{00000003-679B-495A-8F8D-65565C07DF86}"/>
              </c:ext>
            </c:extLst>
          </c:dPt>
          <c:dPt>
            <c:idx val="2"/>
            <c:bubble3D val="0"/>
            <c:spPr>
              <a:solidFill>
                <a:srgbClr val="984EA3"/>
              </a:solidFill>
              <a:ln w="9525">
                <a:solidFill>
                  <a:sysClr val="windowText" lastClr="000000"/>
                </a:solidFill>
              </a:ln>
              <a:effectLst/>
            </c:spPr>
            <c:extLst>
              <c:ext xmlns:c16="http://schemas.microsoft.com/office/drawing/2014/chart" uri="{C3380CC4-5D6E-409C-BE32-E72D297353CC}">
                <c16:uniqueId val="{00000005-679B-495A-8F8D-65565C07DF86}"/>
              </c:ext>
            </c:extLst>
          </c:dPt>
          <c:dPt>
            <c:idx val="3"/>
            <c:bubble3D val="0"/>
            <c:spPr>
              <a:solidFill>
                <a:srgbClr val="FF7F00"/>
              </a:solidFill>
              <a:ln w="9525">
                <a:solidFill>
                  <a:sysClr val="windowText" lastClr="000000"/>
                </a:solidFill>
              </a:ln>
              <a:effectLst/>
            </c:spPr>
            <c:extLst>
              <c:ext xmlns:c16="http://schemas.microsoft.com/office/drawing/2014/chart" uri="{C3380CC4-5D6E-409C-BE32-E72D297353CC}">
                <c16:uniqueId val="{00000007-679B-495A-8F8D-65565C07DF86}"/>
              </c:ext>
            </c:extLst>
          </c:dPt>
          <c:dPt>
            <c:idx val="4"/>
            <c:bubble3D val="0"/>
            <c:spPr>
              <a:solidFill>
                <a:srgbClr val="FFFF33"/>
              </a:solidFill>
              <a:ln w="9525">
                <a:solidFill>
                  <a:sysClr val="windowText" lastClr="000000"/>
                </a:solidFill>
              </a:ln>
              <a:effectLst/>
            </c:spPr>
            <c:extLst>
              <c:ext xmlns:c16="http://schemas.microsoft.com/office/drawing/2014/chart" uri="{C3380CC4-5D6E-409C-BE32-E72D297353CC}">
                <c16:uniqueId val="{00000009-679B-495A-8F8D-65565C07DF86}"/>
              </c:ext>
            </c:extLst>
          </c:dPt>
          <c:val>
            <c:numRef>
              <c:f>BIOPRODUCTS!$J$28:$J$32</c:f>
              <c:numCache>
                <c:formatCode>General</c:formatCode>
                <c:ptCount val="5"/>
                <c:pt idx="0">
                  <c:v>500</c:v>
                </c:pt>
                <c:pt idx="1">
                  <c:v>125</c:v>
                </c:pt>
                <c:pt idx="2">
                  <c:v>300</c:v>
                </c:pt>
                <c:pt idx="3">
                  <c:v>250</c:v>
                </c:pt>
                <c:pt idx="4">
                  <c:v>2250</c:v>
                </c:pt>
              </c:numCache>
            </c:numRef>
          </c:val>
          <c:extLst>
            <c:ext xmlns:c16="http://schemas.microsoft.com/office/drawing/2014/chart" uri="{C3380CC4-5D6E-409C-BE32-E72D297353CC}">
              <c16:uniqueId val="{0000000A-679B-495A-8F8D-65565C07DF8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orientation="portrait"/>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ysClr val="windowText" lastClr="000000"/>
              </a:solidFill>
            </a:ln>
          </c:spPr>
          <c:dPt>
            <c:idx val="0"/>
            <c:bubble3D val="0"/>
            <c:spPr>
              <a:solidFill>
                <a:srgbClr val="377EB8"/>
              </a:solidFill>
              <a:ln w="9525">
                <a:solidFill>
                  <a:sysClr val="windowText" lastClr="000000"/>
                </a:solidFill>
              </a:ln>
              <a:effectLst/>
            </c:spPr>
            <c:extLst>
              <c:ext xmlns:c16="http://schemas.microsoft.com/office/drawing/2014/chart" uri="{C3380CC4-5D6E-409C-BE32-E72D297353CC}">
                <c16:uniqueId val="{00000001-7EA9-4BD7-87D3-738E7EB34372}"/>
              </c:ext>
            </c:extLst>
          </c:dPt>
          <c:dPt>
            <c:idx val="1"/>
            <c:bubble3D val="0"/>
            <c:spPr>
              <a:solidFill>
                <a:srgbClr val="4DAF4A"/>
              </a:solidFill>
              <a:ln w="9525">
                <a:solidFill>
                  <a:sysClr val="windowText" lastClr="000000"/>
                </a:solidFill>
              </a:ln>
              <a:effectLst/>
            </c:spPr>
            <c:extLst>
              <c:ext xmlns:c16="http://schemas.microsoft.com/office/drawing/2014/chart" uri="{C3380CC4-5D6E-409C-BE32-E72D297353CC}">
                <c16:uniqueId val="{00000003-7EA9-4BD7-87D3-738E7EB34372}"/>
              </c:ext>
            </c:extLst>
          </c:dPt>
          <c:dPt>
            <c:idx val="2"/>
            <c:bubble3D val="0"/>
            <c:spPr>
              <a:solidFill>
                <a:srgbClr val="984EA3"/>
              </a:solidFill>
              <a:ln w="9525">
                <a:solidFill>
                  <a:sysClr val="windowText" lastClr="000000"/>
                </a:solidFill>
              </a:ln>
              <a:effectLst/>
            </c:spPr>
            <c:extLst>
              <c:ext xmlns:c16="http://schemas.microsoft.com/office/drawing/2014/chart" uri="{C3380CC4-5D6E-409C-BE32-E72D297353CC}">
                <c16:uniqueId val="{00000005-7EA9-4BD7-87D3-738E7EB34372}"/>
              </c:ext>
            </c:extLst>
          </c:dPt>
          <c:dPt>
            <c:idx val="3"/>
            <c:bubble3D val="0"/>
            <c:spPr>
              <a:solidFill>
                <a:srgbClr val="FF7F00"/>
              </a:solidFill>
              <a:ln w="9525">
                <a:solidFill>
                  <a:sysClr val="windowText" lastClr="000000"/>
                </a:solidFill>
              </a:ln>
              <a:effectLst/>
            </c:spPr>
            <c:extLst>
              <c:ext xmlns:c16="http://schemas.microsoft.com/office/drawing/2014/chart" uri="{C3380CC4-5D6E-409C-BE32-E72D297353CC}">
                <c16:uniqueId val="{00000007-7EA9-4BD7-87D3-738E7EB34372}"/>
              </c:ext>
            </c:extLst>
          </c:dPt>
          <c:dPt>
            <c:idx val="4"/>
            <c:bubble3D val="0"/>
            <c:spPr>
              <a:solidFill>
                <a:srgbClr val="FFFF33"/>
              </a:solidFill>
              <a:ln w="9525">
                <a:solidFill>
                  <a:sysClr val="windowText" lastClr="000000"/>
                </a:solidFill>
              </a:ln>
              <a:effectLst/>
            </c:spPr>
            <c:extLst>
              <c:ext xmlns:c16="http://schemas.microsoft.com/office/drawing/2014/chart" uri="{C3380CC4-5D6E-409C-BE32-E72D297353CC}">
                <c16:uniqueId val="{00000009-7EA9-4BD7-87D3-738E7EB34372}"/>
              </c:ext>
            </c:extLst>
          </c:dPt>
          <c:val>
            <c:numLit>
              <c:formatCode>General</c:formatCode>
              <c:ptCount val="5"/>
              <c:pt idx="0">
                <c:v>500</c:v>
              </c:pt>
              <c:pt idx="1">
                <c:v>125</c:v>
              </c:pt>
              <c:pt idx="2">
                <c:v>300</c:v>
              </c:pt>
              <c:pt idx="3">
                <c:v>250</c:v>
              </c:pt>
              <c:pt idx="4">
                <c:v>2250</c:v>
              </c:pt>
            </c:numLit>
          </c:val>
          <c:extLst>
            <c:ext xmlns:c16="http://schemas.microsoft.com/office/drawing/2014/chart" uri="{C3380CC4-5D6E-409C-BE32-E72D297353CC}">
              <c16:uniqueId val="{0000000A-7EA9-4BD7-87D3-738E7EB3437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orientation="portrait"/>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559253956891759E-2"/>
          <c:y val="3.8579115335066035E-2"/>
          <c:w val="0.8962308120575837"/>
          <c:h val="0.87825897008136433"/>
        </c:manualLayout>
      </c:layout>
      <c:barChart>
        <c:barDir val="col"/>
        <c:grouping val="stacked"/>
        <c:varyColors val="0"/>
        <c:ser>
          <c:idx val="1"/>
          <c:order val="0"/>
          <c:tx>
            <c:v>Biodegradable bioplastics</c:v>
          </c:tx>
          <c:spPr>
            <a:solidFill>
              <a:srgbClr val="B2DF8A"/>
            </a:solidFill>
            <a:ln>
              <a:solidFill>
                <a:sysClr val="windowText" lastClr="000000"/>
              </a:solidFill>
            </a:ln>
            <a:effectLst/>
          </c:spPr>
          <c:invertIfNegative val="0"/>
          <c:cat>
            <c:numRef>
              <c:f>BIOPLASTICS!$B$13:$O$13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BIOPLASTICS!$B$14:$O$14</c:f>
              <c:numCache>
                <c:formatCode>#,##0.00</c:formatCode>
                <c:ptCount val="14"/>
                <c:pt idx="0">
                  <c:v>0.17799999999999999</c:v>
                </c:pt>
                <c:pt idx="1">
                  <c:v>0.29499999999999998</c:v>
                </c:pt>
                <c:pt idx="2">
                  <c:v>0.34200000000000003</c:v>
                </c:pt>
                <c:pt idx="3">
                  <c:v>0.48599999999999999</c:v>
                </c:pt>
                <c:pt idx="4">
                  <c:v>0.57099999999999995</c:v>
                </c:pt>
                <c:pt idx="5">
                  <c:v>0.59099999999999997</c:v>
                </c:pt>
                <c:pt idx="6">
                  <c:v>0.66300000000000003</c:v>
                </c:pt>
                <c:pt idx="7">
                  <c:v>0.45900000000000002</c:v>
                </c:pt>
                <c:pt idx="8">
                  <c:v>0.86199999999999999</c:v>
                </c:pt>
                <c:pt idx="9">
                  <c:v>0.88</c:v>
                </c:pt>
                <c:pt idx="10">
                  <c:v>1.077</c:v>
                </c:pt>
                <c:pt idx="11">
                  <c:v>1.1739999999999999</c:v>
                </c:pt>
                <c:pt idx="12">
                  <c:v>1.2270000000000001</c:v>
                </c:pt>
                <c:pt idx="13">
                  <c:v>1.5529999999999999</c:v>
                </c:pt>
              </c:numCache>
            </c:numRef>
          </c:val>
          <c:extLst>
            <c:ext xmlns:c16="http://schemas.microsoft.com/office/drawing/2014/chart" uri="{C3380CC4-5D6E-409C-BE32-E72D297353CC}">
              <c16:uniqueId val="{00000000-4029-4B99-B309-700044B956D7}"/>
            </c:ext>
          </c:extLst>
        </c:ser>
        <c:ser>
          <c:idx val="0"/>
          <c:order val="1"/>
          <c:tx>
            <c:v>Non-biodegradable bioplastics</c:v>
          </c:tx>
          <c:spPr>
            <a:solidFill>
              <a:srgbClr val="A6CEE3"/>
            </a:solidFill>
            <a:ln>
              <a:solidFill>
                <a:sysClr val="windowText" lastClr="000000"/>
              </a:solidFill>
            </a:ln>
            <a:effectLst/>
          </c:spPr>
          <c:invertIfNegative val="0"/>
          <c:cat>
            <c:numRef>
              <c:f>BIOPLASTICS!$B$13:$O$13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BIOPLASTICS!$B$15:$O$15</c:f>
              <c:numCache>
                <c:formatCode>#,##0.00</c:formatCode>
                <c:ptCount val="14"/>
                <c:pt idx="0">
                  <c:v>6.0000000000000001E-3</c:v>
                </c:pt>
                <c:pt idx="1">
                  <c:v>2.3E-2</c:v>
                </c:pt>
                <c:pt idx="2">
                  <c:v>0.67400000000000004</c:v>
                </c:pt>
                <c:pt idx="3">
                  <c:v>0.67500000000000004</c:v>
                </c:pt>
                <c:pt idx="4">
                  <c:v>0.92100000000000004</c:v>
                </c:pt>
                <c:pt idx="5">
                  <c:v>0.99</c:v>
                </c:pt>
                <c:pt idx="6">
                  <c:v>1.034</c:v>
                </c:pt>
                <c:pt idx="7">
                  <c:v>1.177</c:v>
                </c:pt>
                <c:pt idx="8">
                  <c:v>1.177</c:v>
                </c:pt>
                <c:pt idx="9">
                  <c:v>1.1739999999999999</c:v>
                </c:pt>
                <c:pt idx="10">
                  <c:v>0.93400000000000005</c:v>
                </c:pt>
                <c:pt idx="11">
                  <c:v>0.94099999999999995</c:v>
                </c:pt>
                <c:pt idx="12">
                  <c:v>0.88400000000000001</c:v>
                </c:pt>
                <c:pt idx="13">
                  <c:v>0.86399999999999999</c:v>
                </c:pt>
              </c:numCache>
            </c:numRef>
          </c:val>
          <c:extLst>
            <c:ext xmlns:c16="http://schemas.microsoft.com/office/drawing/2014/chart" uri="{C3380CC4-5D6E-409C-BE32-E72D297353CC}">
              <c16:uniqueId val="{00000001-4029-4B99-B309-700044B956D7}"/>
            </c:ext>
          </c:extLst>
        </c:ser>
        <c:dLbls>
          <c:showLegendKey val="0"/>
          <c:showVal val="0"/>
          <c:showCatName val="0"/>
          <c:showSerName val="0"/>
          <c:showPercent val="0"/>
          <c:showBubbleSize val="0"/>
        </c:dLbls>
        <c:gapWidth val="150"/>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a:solidFill>
            <a:schemeClr val="tx1"/>
          </a:solidFill>
        </a:ln>
        <a:effectLst/>
      </c:spPr>
    </c:plotArea>
    <c:legend>
      <c:legendPos val="t"/>
      <c:layout>
        <c:manualLayout>
          <c:xMode val="edge"/>
          <c:yMode val="edge"/>
          <c:x val="0.11566412153026329"/>
          <c:y val="5.6115176567178016E-2"/>
          <c:w val="0.3293235695423079"/>
          <c:h val="0.12907592972742035"/>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A6CEE3"/>
            </a:solidFill>
            <a:ln w="6350">
              <a:solidFill>
                <a:schemeClr val="tx1"/>
              </a:solidFill>
            </a:ln>
          </c:spPr>
          <c:dPt>
            <c:idx val="0"/>
            <c:bubble3D val="0"/>
            <c:spPr>
              <a:solidFill>
                <a:srgbClr val="8DD3C7"/>
              </a:solidFill>
              <a:ln w="6350">
                <a:solidFill>
                  <a:schemeClr val="tx1"/>
                </a:solidFill>
              </a:ln>
              <a:effectLst/>
            </c:spPr>
            <c:extLst>
              <c:ext xmlns:c16="http://schemas.microsoft.com/office/drawing/2014/chart" uri="{C3380CC4-5D6E-409C-BE32-E72D297353CC}">
                <c16:uniqueId val="{00000001-81A1-4244-A83A-49173E3602C8}"/>
              </c:ext>
            </c:extLst>
          </c:dPt>
          <c:dPt>
            <c:idx val="1"/>
            <c:bubble3D val="0"/>
            <c:spPr>
              <a:solidFill>
                <a:srgbClr val="FFFFB3"/>
              </a:solidFill>
              <a:ln w="6350">
                <a:solidFill>
                  <a:schemeClr val="tx1"/>
                </a:solidFill>
              </a:ln>
              <a:effectLst/>
            </c:spPr>
            <c:extLst>
              <c:ext xmlns:c16="http://schemas.microsoft.com/office/drawing/2014/chart" uri="{C3380CC4-5D6E-409C-BE32-E72D297353CC}">
                <c16:uniqueId val="{00000003-81A1-4244-A83A-49173E3602C8}"/>
              </c:ext>
            </c:extLst>
          </c:dPt>
          <c:dPt>
            <c:idx val="2"/>
            <c:bubble3D val="0"/>
            <c:spPr>
              <a:solidFill>
                <a:srgbClr val="BEBADA"/>
              </a:solidFill>
              <a:ln w="6350">
                <a:solidFill>
                  <a:schemeClr val="tx1"/>
                </a:solidFill>
              </a:ln>
              <a:effectLst/>
            </c:spPr>
            <c:extLst>
              <c:ext xmlns:c16="http://schemas.microsoft.com/office/drawing/2014/chart" uri="{C3380CC4-5D6E-409C-BE32-E72D297353CC}">
                <c16:uniqueId val="{00000005-81A1-4244-A83A-49173E3602C8}"/>
              </c:ext>
            </c:extLst>
          </c:dPt>
          <c:dPt>
            <c:idx val="3"/>
            <c:bubble3D val="0"/>
            <c:spPr>
              <a:solidFill>
                <a:srgbClr val="FB8072"/>
              </a:solidFill>
              <a:ln w="6350">
                <a:solidFill>
                  <a:schemeClr val="tx1"/>
                </a:solidFill>
              </a:ln>
              <a:effectLst/>
            </c:spPr>
            <c:extLst>
              <c:ext xmlns:c16="http://schemas.microsoft.com/office/drawing/2014/chart" uri="{C3380CC4-5D6E-409C-BE32-E72D297353CC}">
                <c16:uniqueId val="{00000007-81A1-4244-A83A-49173E3602C8}"/>
              </c:ext>
            </c:extLst>
          </c:dPt>
          <c:dPt>
            <c:idx val="4"/>
            <c:bubble3D val="0"/>
            <c:spPr>
              <a:solidFill>
                <a:srgbClr val="80B1D3"/>
              </a:solidFill>
              <a:ln w="6350">
                <a:solidFill>
                  <a:schemeClr val="tx1"/>
                </a:solidFill>
              </a:ln>
              <a:effectLst/>
            </c:spPr>
            <c:extLst>
              <c:ext xmlns:c16="http://schemas.microsoft.com/office/drawing/2014/chart" uri="{C3380CC4-5D6E-409C-BE32-E72D297353CC}">
                <c16:uniqueId val="{00000009-81A1-4244-A83A-49173E3602C8}"/>
              </c:ext>
            </c:extLst>
          </c:dPt>
          <c:dPt>
            <c:idx val="5"/>
            <c:bubble3D val="0"/>
            <c:spPr>
              <a:solidFill>
                <a:srgbClr val="FDB462"/>
              </a:solidFill>
              <a:ln w="6350">
                <a:solidFill>
                  <a:schemeClr val="tx1"/>
                </a:solidFill>
              </a:ln>
              <a:effectLst/>
            </c:spPr>
            <c:extLst>
              <c:ext xmlns:c16="http://schemas.microsoft.com/office/drawing/2014/chart" uri="{C3380CC4-5D6E-409C-BE32-E72D297353CC}">
                <c16:uniqueId val="{0000000B-81A1-4244-A83A-49173E3602C8}"/>
              </c:ext>
            </c:extLst>
          </c:dPt>
          <c:dPt>
            <c:idx val="6"/>
            <c:bubble3D val="0"/>
            <c:spPr>
              <a:solidFill>
                <a:srgbClr val="B3DE69"/>
              </a:solidFill>
              <a:ln w="6350">
                <a:solidFill>
                  <a:schemeClr val="tx1"/>
                </a:solidFill>
              </a:ln>
              <a:effectLst/>
            </c:spPr>
            <c:extLst>
              <c:ext xmlns:c16="http://schemas.microsoft.com/office/drawing/2014/chart" uri="{C3380CC4-5D6E-409C-BE32-E72D297353CC}">
                <c16:uniqueId val="{0000000D-81A1-4244-A83A-49173E3602C8}"/>
              </c:ext>
            </c:extLst>
          </c:dPt>
          <c:dPt>
            <c:idx val="7"/>
            <c:bubble3D val="0"/>
            <c:spPr>
              <a:solidFill>
                <a:srgbClr val="BFBFBF"/>
              </a:solidFill>
              <a:ln w="6350">
                <a:solidFill>
                  <a:schemeClr val="tx1"/>
                </a:solidFill>
              </a:ln>
              <a:effectLst/>
            </c:spPr>
            <c:extLst>
              <c:ext xmlns:c16="http://schemas.microsoft.com/office/drawing/2014/chart" uri="{C3380CC4-5D6E-409C-BE32-E72D297353CC}">
                <c16:uniqueId val="{0000000F-81A1-4244-A83A-49173E3602C8}"/>
              </c:ext>
            </c:extLst>
          </c:dPt>
          <c:cat>
            <c:strRef>
              <c:f>BIOPLASTICS!$A$46:$A$53</c:f>
              <c:strCache>
                <c:ptCount val="8"/>
                <c:pt idx="0">
                  <c:v>Packaging</c:v>
                </c:pt>
                <c:pt idx="1">
                  <c:v>Textiles</c:v>
                </c:pt>
                <c:pt idx="2">
                  <c:v>Consumer Goods</c:v>
                </c:pt>
                <c:pt idx="3">
                  <c:v>Agriculture &amp; Horticulture</c:v>
                </c:pt>
                <c:pt idx="4">
                  <c:v>Automotive &amp; Transport</c:v>
                </c:pt>
                <c:pt idx="5">
                  <c:v>Building &amp; Construction</c:v>
                </c:pt>
                <c:pt idx="6">
                  <c:v>Electronics</c:v>
                </c:pt>
                <c:pt idx="7">
                  <c:v>Others</c:v>
                </c:pt>
              </c:strCache>
            </c:strRef>
          </c:cat>
          <c:val>
            <c:numRef>
              <c:f>BIOPLASTICS!$B$46:$B$53</c:f>
              <c:numCache>
                <c:formatCode>#,##0.00</c:formatCode>
                <c:ptCount val="8"/>
                <c:pt idx="0">
                  <c:v>53.878902554399247</c:v>
                </c:pt>
                <c:pt idx="1">
                  <c:v>11.21097445600757</c:v>
                </c:pt>
                <c:pt idx="2">
                  <c:v>7.8524124881740782</c:v>
                </c:pt>
                <c:pt idx="3">
                  <c:v>7.6158940397350996</c:v>
                </c:pt>
                <c:pt idx="4">
                  <c:v>6.693472090823084</c:v>
                </c:pt>
                <c:pt idx="5">
                  <c:v>3.7842951750236518</c:v>
                </c:pt>
                <c:pt idx="6">
                  <c:v>1.8921475875118259</c:v>
                </c:pt>
                <c:pt idx="7">
                  <c:v>1.1825922421948913</c:v>
                </c:pt>
              </c:numCache>
            </c:numRef>
          </c:val>
          <c:extLst>
            <c:ext xmlns:c16="http://schemas.microsoft.com/office/drawing/2014/chart" uri="{C3380CC4-5D6E-409C-BE32-E72D297353CC}">
              <c16:uniqueId val="{00000010-81A1-4244-A83A-49173E3602C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1110202582649531"/>
          <c:y val="4.8876859142607171E-2"/>
          <c:w val="0.37392399828127876"/>
          <c:h val="0.9115055409740449"/>
        </c:manualLayout>
      </c:layout>
      <c:overlay val="0"/>
      <c:spPr>
        <a:noFill/>
        <a:ln>
          <a:noFill/>
        </a:ln>
        <a:effectLst/>
      </c:spPr>
      <c:txPr>
        <a:bodyPr rot="0" spcFirstLastPara="1" vertOverflow="ellipsis" vert="horz" wrap="square" anchor="ctr" anchorCtr="1"/>
        <a:lstStyle/>
        <a:p>
          <a:pPr rtl="0">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orientation="landscape"/>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40086066621128E-2"/>
          <c:y val="4.6296296296296294E-2"/>
          <c:w val="0.42200871902420373"/>
          <c:h val="0.89814814814814814"/>
        </c:manualLayout>
      </c:layout>
      <c:doughnutChart>
        <c:varyColors val="1"/>
        <c:ser>
          <c:idx val="0"/>
          <c:order val="0"/>
          <c:spPr>
            <a:ln w="6350">
              <a:solidFill>
                <a:schemeClr val="tx1"/>
              </a:solidFill>
            </a:ln>
          </c:spPr>
          <c:dPt>
            <c:idx val="0"/>
            <c:bubble3D val="0"/>
            <c:spPr>
              <a:solidFill>
                <a:srgbClr val="8DD3C7"/>
              </a:solidFill>
              <a:ln w="6350">
                <a:solidFill>
                  <a:schemeClr val="tx1"/>
                </a:solidFill>
              </a:ln>
              <a:effectLst/>
            </c:spPr>
            <c:extLst>
              <c:ext xmlns:c16="http://schemas.microsoft.com/office/drawing/2014/chart" uri="{C3380CC4-5D6E-409C-BE32-E72D297353CC}">
                <c16:uniqueId val="{00000001-6DC2-4544-8AD4-9C424AC27B43}"/>
              </c:ext>
            </c:extLst>
          </c:dPt>
          <c:dPt>
            <c:idx val="1"/>
            <c:bubble3D val="0"/>
            <c:spPr>
              <a:solidFill>
                <a:srgbClr val="FFFFB3"/>
              </a:solidFill>
              <a:ln w="6350">
                <a:solidFill>
                  <a:schemeClr val="tx1"/>
                </a:solidFill>
              </a:ln>
              <a:effectLst/>
            </c:spPr>
            <c:extLst>
              <c:ext xmlns:c16="http://schemas.microsoft.com/office/drawing/2014/chart" uri="{C3380CC4-5D6E-409C-BE32-E72D297353CC}">
                <c16:uniqueId val="{00000003-6DC2-4544-8AD4-9C424AC27B43}"/>
              </c:ext>
            </c:extLst>
          </c:dPt>
          <c:dPt>
            <c:idx val="2"/>
            <c:bubble3D val="0"/>
            <c:spPr>
              <a:solidFill>
                <a:srgbClr val="BEBADA"/>
              </a:solidFill>
              <a:ln w="6350">
                <a:solidFill>
                  <a:schemeClr val="tx1"/>
                </a:solidFill>
              </a:ln>
              <a:effectLst/>
            </c:spPr>
            <c:extLst>
              <c:ext xmlns:c16="http://schemas.microsoft.com/office/drawing/2014/chart" uri="{C3380CC4-5D6E-409C-BE32-E72D297353CC}">
                <c16:uniqueId val="{00000005-6DC2-4544-8AD4-9C424AC27B43}"/>
              </c:ext>
            </c:extLst>
          </c:dPt>
          <c:dPt>
            <c:idx val="3"/>
            <c:bubble3D val="0"/>
            <c:spPr>
              <a:solidFill>
                <a:srgbClr val="FB8072"/>
              </a:solidFill>
              <a:ln w="6350">
                <a:solidFill>
                  <a:schemeClr val="tx1"/>
                </a:solidFill>
              </a:ln>
              <a:effectLst/>
            </c:spPr>
            <c:extLst>
              <c:ext xmlns:c16="http://schemas.microsoft.com/office/drawing/2014/chart" uri="{C3380CC4-5D6E-409C-BE32-E72D297353CC}">
                <c16:uniqueId val="{00000007-6DC2-4544-8AD4-9C424AC27B43}"/>
              </c:ext>
            </c:extLst>
          </c:dPt>
          <c:dPt>
            <c:idx val="4"/>
            <c:bubble3D val="0"/>
            <c:spPr>
              <a:solidFill>
                <a:srgbClr val="80B1D3"/>
              </a:solidFill>
              <a:ln w="6350">
                <a:solidFill>
                  <a:schemeClr val="tx1"/>
                </a:solidFill>
              </a:ln>
              <a:effectLst/>
            </c:spPr>
            <c:extLst>
              <c:ext xmlns:c16="http://schemas.microsoft.com/office/drawing/2014/chart" uri="{C3380CC4-5D6E-409C-BE32-E72D297353CC}">
                <c16:uniqueId val="{00000009-6DC2-4544-8AD4-9C424AC27B43}"/>
              </c:ext>
            </c:extLst>
          </c:dPt>
          <c:dPt>
            <c:idx val="5"/>
            <c:bubble3D val="0"/>
            <c:spPr>
              <a:solidFill>
                <a:srgbClr val="FDB462"/>
              </a:solidFill>
              <a:ln w="6350">
                <a:solidFill>
                  <a:schemeClr val="tx1"/>
                </a:solidFill>
              </a:ln>
              <a:effectLst/>
            </c:spPr>
            <c:extLst>
              <c:ext xmlns:c16="http://schemas.microsoft.com/office/drawing/2014/chart" uri="{C3380CC4-5D6E-409C-BE32-E72D297353CC}">
                <c16:uniqueId val="{0000000B-6DC2-4544-8AD4-9C424AC27B43}"/>
              </c:ext>
            </c:extLst>
          </c:dPt>
          <c:dPt>
            <c:idx val="6"/>
            <c:bubble3D val="0"/>
            <c:spPr>
              <a:solidFill>
                <a:srgbClr val="B3DE69"/>
              </a:solidFill>
              <a:ln w="6350">
                <a:solidFill>
                  <a:schemeClr val="tx1"/>
                </a:solidFill>
              </a:ln>
              <a:effectLst/>
            </c:spPr>
            <c:extLst>
              <c:ext xmlns:c16="http://schemas.microsoft.com/office/drawing/2014/chart" uri="{C3380CC4-5D6E-409C-BE32-E72D297353CC}">
                <c16:uniqueId val="{0000000D-6DC2-4544-8AD4-9C424AC27B43}"/>
              </c:ext>
            </c:extLst>
          </c:dPt>
          <c:dPt>
            <c:idx val="7"/>
            <c:bubble3D val="0"/>
            <c:spPr>
              <a:solidFill>
                <a:srgbClr val="FCCDE5"/>
              </a:solidFill>
              <a:ln w="6350">
                <a:solidFill>
                  <a:schemeClr val="tx1"/>
                </a:solidFill>
              </a:ln>
              <a:effectLst/>
            </c:spPr>
            <c:extLst>
              <c:ext xmlns:c16="http://schemas.microsoft.com/office/drawing/2014/chart" uri="{C3380CC4-5D6E-409C-BE32-E72D297353CC}">
                <c16:uniqueId val="{0000000F-6DC2-4544-8AD4-9C424AC27B43}"/>
              </c:ext>
            </c:extLst>
          </c:dPt>
          <c:dPt>
            <c:idx val="8"/>
            <c:bubble3D val="0"/>
            <c:spPr>
              <a:solidFill>
                <a:srgbClr val="D9D9D9"/>
              </a:solidFill>
              <a:ln w="6350">
                <a:solidFill>
                  <a:schemeClr val="tx1"/>
                </a:solidFill>
              </a:ln>
              <a:effectLst/>
            </c:spPr>
            <c:extLst>
              <c:ext xmlns:c16="http://schemas.microsoft.com/office/drawing/2014/chart" uri="{C3380CC4-5D6E-409C-BE32-E72D297353CC}">
                <c16:uniqueId val="{00000012-6DC2-4544-8AD4-9C424AC27B43}"/>
              </c:ext>
            </c:extLst>
          </c:dPt>
          <c:dPt>
            <c:idx val="9"/>
            <c:bubble3D val="0"/>
            <c:spPr>
              <a:solidFill>
                <a:srgbClr val="BC80BD"/>
              </a:solidFill>
              <a:ln w="6350">
                <a:solidFill>
                  <a:schemeClr val="tx1"/>
                </a:solidFill>
              </a:ln>
              <a:effectLst/>
            </c:spPr>
            <c:extLst>
              <c:ext xmlns:c16="http://schemas.microsoft.com/office/drawing/2014/chart" uri="{C3380CC4-5D6E-409C-BE32-E72D297353CC}">
                <c16:uniqueId val="{00000013-6DC2-4544-8AD4-9C424AC27B43}"/>
              </c:ext>
            </c:extLst>
          </c:dPt>
          <c:dPt>
            <c:idx val="10"/>
            <c:bubble3D val="0"/>
            <c:spPr>
              <a:solidFill>
                <a:srgbClr val="CCEBC5"/>
              </a:solidFill>
              <a:ln w="6350">
                <a:solidFill>
                  <a:schemeClr val="tx1"/>
                </a:solidFill>
              </a:ln>
              <a:effectLst/>
            </c:spPr>
            <c:extLst>
              <c:ext xmlns:c16="http://schemas.microsoft.com/office/drawing/2014/chart" uri="{C3380CC4-5D6E-409C-BE32-E72D297353CC}">
                <c16:uniqueId val="{00000014-6DC2-4544-8AD4-9C424AC27B43}"/>
              </c:ext>
            </c:extLst>
          </c:dPt>
          <c:cat>
            <c:strRef>
              <c:f>BIOPLASTICS!$A$61:$A$71</c:f>
              <c:strCache>
                <c:ptCount val="11"/>
                <c:pt idx="0">
                  <c:v>Starch Blends</c:v>
                </c:pt>
                <c:pt idx="1">
                  <c:v>Polylactic Acid (PLA)</c:v>
                </c:pt>
                <c:pt idx="2">
                  <c:v>Poly (butylene adipate-co-terephthalate) (PBAT)</c:v>
                </c:pt>
                <c:pt idx="3">
                  <c:v>Polyethylene (PE)</c:v>
                </c:pt>
                <c:pt idx="4">
                  <c:v>Polyamides (PA)</c:v>
                </c:pt>
                <c:pt idx="5">
                  <c:v>Polyethylene Terephthalate (PET)</c:v>
                </c:pt>
                <c:pt idx="6">
                  <c:v>Polytrimethylene Terephthalate (PTT)</c:v>
                </c:pt>
                <c:pt idx="7">
                  <c:v>Polybutylene Succinate (PBS)</c:v>
                </c:pt>
                <c:pt idx="8">
                  <c:v>Other</c:v>
                </c:pt>
                <c:pt idx="9">
                  <c:v>Polyhydroxyalkanoates (PHA)</c:v>
                </c:pt>
                <c:pt idx="10">
                  <c:v>Polyproprylene (PP)</c:v>
                </c:pt>
              </c:strCache>
            </c:strRef>
          </c:cat>
          <c:val>
            <c:numRef>
              <c:f>BIOPLASTICS!$M$33:$M$43</c:f>
              <c:numCache>
                <c:formatCode>General</c:formatCode>
                <c:ptCount val="11"/>
                <c:pt idx="0">
                  <c:v>21.3</c:v>
                </c:pt>
                <c:pt idx="1">
                  <c:v>13.9</c:v>
                </c:pt>
                <c:pt idx="2">
                  <c:v>13.4</c:v>
                </c:pt>
                <c:pt idx="3">
                  <c:v>11.8</c:v>
                </c:pt>
                <c:pt idx="4">
                  <c:v>11.6</c:v>
                </c:pt>
                <c:pt idx="5">
                  <c:v>9.8000000000000007</c:v>
                </c:pt>
                <c:pt idx="6">
                  <c:v>9.1999999999999993</c:v>
                </c:pt>
                <c:pt idx="7">
                  <c:v>4.3</c:v>
                </c:pt>
                <c:pt idx="8">
                  <c:v>2.6</c:v>
                </c:pt>
                <c:pt idx="9">
                  <c:v>1.2</c:v>
                </c:pt>
                <c:pt idx="10">
                  <c:v>0.9</c:v>
                </c:pt>
              </c:numCache>
            </c:numRef>
          </c:val>
          <c:extLst>
            <c:ext xmlns:c16="http://schemas.microsoft.com/office/drawing/2014/chart" uri="{C3380CC4-5D6E-409C-BE32-E72D297353CC}">
              <c16:uniqueId val="{00000010-6DC2-4544-8AD4-9C424AC27B4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50025428610528522"/>
          <c:y val="4.4247229512977541E-2"/>
          <c:w val="0.49004528775066603"/>
          <c:h val="0.9115055409740449"/>
        </c:manualLayout>
      </c:layout>
      <c:overlay val="0"/>
      <c:spPr>
        <a:noFill/>
        <a:ln>
          <a:noFill/>
        </a:ln>
        <a:effectLst/>
      </c:spPr>
      <c:txPr>
        <a:bodyPr rot="0" spcFirstLastPara="1" vertOverflow="ellipsis" vert="horz" wrap="square" anchor="ctr" anchorCtr="1"/>
        <a:lstStyle/>
        <a:p>
          <a:pPr rtl="0">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orientation="landscape"/>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6350">
              <a:solidFill>
                <a:schemeClr val="tx1"/>
              </a:solidFill>
            </a:ln>
          </c:spPr>
          <c:dPt>
            <c:idx val="0"/>
            <c:bubble3D val="0"/>
            <c:spPr>
              <a:solidFill>
                <a:schemeClr val="accent1"/>
              </a:solidFill>
              <a:ln w="6350">
                <a:solidFill>
                  <a:schemeClr val="tx1"/>
                </a:solidFill>
              </a:ln>
              <a:effectLst/>
            </c:spPr>
            <c:extLst>
              <c:ext xmlns:c16="http://schemas.microsoft.com/office/drawing/2014/chart" uri="{C3380CC4-5D6E-409C-BE32-E72D297353CC}">
                <c16:uniqueId val="{00000001-E726-4489-BF30-986C877A1792}"/>
              </c:ext>
            </c:extLst>
          </c:dPt>
          <c:dPt>
            <c:idx val="1"/>
            <c:bubble3D val="0"/>
            <c:spPr>
              <a:solidFill>
                <a:schemeClr val="accent2"/>
              </a:solidFill>
              <a:ln w="6350">
                <a:solidFill>
                  <a:schemeClr val="tx1"/>
                </a:solidFill>
              </a:ln>
              <a:effectLst/>
            </c:spPr>
            <c:extLst>
              <c:ext xmlns:c16="http://schemas.microsoft.com/office/drawing/2014/chart" uri="{C3380CC4-5D6E-409C-BE32-E72D297353CC}">
                <c16:uniqueId val="{00000003-E726-4489-BF30-986C877A1792}"/>
              </c:ext>
            </c:extLst>
          </c:dPt>
          <c:dPt>
            <c:idx val="2"/>
            <c:bubble3D val="0"/>
            <c:spPr>
              <a:solidFill>
                <a:schemeClr val="accent3"/>
              </a:solidFill>
              <a:ln w="6350">
                <a:solidFill>
                  <a:schemeClr val="tx1"/>
                </a:solidFill>
              </a:ln>
              <a:effectLst/>
            </c:spPr>
            <c:extLst>
              <c:ext xmlns:c16="http://schemas.microsoft.com/office/drawing/2014/chart" uri="{C3380CC4-5D6E-409C-BE32-E72D297353CC}">
                <c16:uniqueId val="{00000005-E726-4489-BF30-986C877A1792}"/>
              </c:ext>
            </c:extLst>
          </c:dPt>
          <c:dPt>
            <c:idx val="3"/>
            <c:bubble3D val="0"/>
            <c:spPr>
              <a:solidFill>
                <a:schemeClr val="accent4"/>
              </a:solidFill>
              <a:ln w="6350">
                <a:solidFill>
                  <a:schemeClr val="tx1"/>
                </a:solidFill>
              </a:ln>
              <a:effectLst/>
            </c:spPr>
            <c:extLst>
              <c:ext xmlns:c16="http://schemas.microsoft.com/office/drawing/2014/chart" uri="{C3380CC4-5D6E-409C-BE32-E72D297353CC}">
                <c16:uniqueId val="{00000007-E726-4489-BF30-986C877A1792}"/>
              </c:ext>
            </c:extLst>
          </c:dPt>
          <c:dPt>
            <c:idx val="4"/>
            <c:bubble3D val="0"/>
            <c:spPr>
              <a:solidFill>
                <a:schemeClr val="accent5"/>
              </a:solidFill>
              <a:ln w="6350">
                <a:solidFill>
                  <a:schemeClr val="tx1"/>
                </a:solidFill>
              </a:ln>
              <a:effectLst/>
            </c:spPr>
            <c:extLst>
              <c:ext xmlns:c16="http://schemas.microsoft.com/office/drawing/2014/chart" uri="{C3380CC4-5D6E-409C-BE32-E72D297353CC}">
                <c16:uniqueId val="{00000009-E726-4489-BF30-986C877A1792}"/>
              </c:ext>
            </c:extLst>
          </c:dPt>
          <c:dPt>
            <c:idx val="5"/>
            <c:bubble3D val="0"/>
            <c:spPr>
              <a:solidFill>
                <a:schemeClr val="accent6"/>
              </a:solidFill>
              <a:ln w="6350">
                <a:solidFill>
                  <a:schemeClr val="tx1"/>
                </a:solidFill>
              </a:ln>
              <a:effectLst/>
            </c:spPr>
            <c:extLst>
              <c:ext xmlns:c16="http://schemas.microsoft.com/office/drawing/2014/chart" uri="{C3380CC4-5D6E-409C-BE32-E72D297353CC}">
                <c16:uniqueId val="{0000000B-E726-4489-BF30-986C877A1792}"/>
              </c:ext>
            </c:extLst>
          </c:dPt>
          <c:dPt>
            <c:idx val="6"/>
            <c:bubble3D val="0"/>
            <c:spPr>
              <a:solidFill>
                <a:schemeClr val="accent1">
                  <a:lumMod val="60000"/>
                </a:schemeClr>
              </a:solidFill>
              <a:ln w="6350">
                <a:solidFill>
                  <a:schemeClr val="tx1"/>
                </a:solidFill>
              </a:ln>
              <a:effectLst/>
            </c:spPr>
            <c:extLst>
              <c:ext xmlns:c16="http://schemas.microsoft.com/office/drawing/2014/chart" uri="{C3380CC4-5D6E-409C-BE32-E72D297353CC}">
                <c16:uniqueId val="{0000000D-E726-4489-BF30-986C877A1792}"/>
              </c:ext>
            </c:extLst>
          </c:dPt>
          <c:dPt>
            <c:idx val="7"/>
            <c:bubble3D val="0"/>
            <c:spPr>
              <a:solidFill>
                <a:schemeClr val="accent2">
                  <a:lumMod val="60000"/>
                </a:schemeClr>
              </a:solidFill>
              <a:ln w="6350">
                <a:solidFill>
                  <a:schemeClr val="tx1"/>
                </a:solidFill>
              </a:ln>
              <a:effectLst/>
            </c:spPr>
            <c:extLst>
              <c:ext xmlns:c16="http://schemas.microsoft.com/office/drawing/2014/chart" uri="{C3380CC4-5D6E-409C-BE32-E72D297353CC}">
                <c16:uniqueId val="{0000000F-E726-4489-BF30-986C877A1792}"/>
              </c:ext>
            </c:extLst>
          </c:dPt>
          <c:cat>
            <c:strRef>
              <c:f>BIOPLASTICS!$A$46:$A$53</c:f>
              <c:strCache>
                <c:ptCount val="8"/>
                <c:pt idx="0">
                  <c:v>Packaging</c:v>
                </c:pt>
                <c:pt idx="1">
                  <c:v>Textiles</c:v>
                </c:pt>
                <c:pt idx="2">
                  <c:v>Consumer Goods</c:v>
                </c:pt>
                <c:pt idx="3">
                  <c:v>Agriculture &amp; Horticulture</c:v>
                </c:pt>
                <c:pt idx="4">
                  <c:v>Automotive &amp; Transport</c:v>
                </c:pt>
                <c:pt idx="5">
                  <c:v>Building &amp; Construction</c:v>
                </c:pt>
                <c:pt idx="6">
                  <c:v>Electronics</c:v>
                </c:pt>
                <c:pt idx="7">
                  <c:v>Others</c:v>
                </c:pt>
              </c:strCache>
            </c:strRef>
          </c:cat>
          <c:val>
            <c:numRef>
              <c:f>BIOPLASTICS!$C$46:$C$53</c:f>
              <c:numCache>
                <c:formatCode>#,##0.00</c:formatCode>
                <c:ptCount val="8"/>
                <c:pt idx="0">
                  <c:v>47.287372660506989</c:v>
                </c:pt>
                <c:pt idx="1">
                  <c:v>11.419095001184553</c:v>
                </c:pt>
                <c:pt idx="2">
                  <c:v>12.248282397536128</c:v>
                </c:pt>
                <c:pt idx="3">
                  <c:v>7.7469793887704332</c:v>
                </c:pt>
                <c:pt idx="4">
                  <c:v>5.7332385690594645</c:v>
                </c:pt>
                <c:pt idx="5">
                  <c:v>4.0511727078891262</c:v>
                </c:pt>
                <c:pt idx="6">
                  <c:v>3.1982942430703627</c:v>
                </c:pt>
                <c:pt idx="7">
                  <c:v>4.7855958303719497</c:v>
                </c:pt>
              </c:numCache>
            </c:numRef>
          </c:val>
          <c:extLst>
            <c:ext xmlns:c16="http://schemas.microsoft.com/office/drawing/2014/chart" uri="{C3380CC4-5D6E-409C-BE32-E72D297353CC}">
              <c16:uniqueId val="{00000010-E726-4489-BF30-986C877A179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1110202582649531"/>
          <c:y val="4.8876859142607171E-2"/>
          <c:w val="0.37392399828127876"/>
          <c:h val="0.9115055409740449"/>
        </c:manualLayout>
      </c:layout>
      <c:overlay val="0"/>
      <c:spPr>
        <a:noFill/>
        <a:ln>
          <a:noFill/>
        </a:ln>
        <a:effectLst/>
      </c:spPr>
      <c:txPr>
        <a:bodyPr rot="0" spcFirstLastPara="1" vertOverflow="ellipsis" vert="horz" wrap="square" anchor="ctr" anchorCtr="1"/>
        <a:lstStyle/>
        <a:p>
          <a:pPr rtl="0">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orientation="landscape"/>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9525">
              <a:solidFill>
                <a:sysClr val="windowText" lastClr="000000"/>
              </a:solidFill>
            </a:ln>
          </c:spPr>
          <c:dPt>
            <c:idx val="0"/>
            <c:bubble3D val="0"/>
            <c:spPr>
              <a:solidFill>
                <a:srgbClr val="8DD3C7"/>
              </a:solidFill>
              <a:ln w="9525">
                <a:solidFill>
                  <a:sysClr val="windowText" lastClr="000000"/>
                </a:solidFill>
              </a:ln>
              <a:effectLst/>
            </c:spPr>
            <c:extLst>
              <c:ext xmlns:c16="http://schemas.microsoft.com/office/drawing/2014/chart" uri="{C3380CC4-5D6E-409C-BE32-E72D297353CC}">
                <c16:uniqueId val="{00000001-DEC7-4759-BBA5-E9100B63D149}"/>
              </c:ext>
            </c:extLst>
          </c:dPt>
          <c:dPt>
            <c:idx val="1"/>
            <c:bubble3D val="0"/>
            <c:spPr>
              <a:solidFill>
                <a:srgbClr val="FFFFB3"/>
              </a:solidFill>
              <a:ln w="9525">
                <a:solidFill>
                  <a:sysClr val="windowText" lastClr="000000"/>
                </a:solidFill>
              </a:ln>
              <a:effectLst/>
            </c:spPr>
            <c:extLst>
              <c:ext xmlns:c16="http://schemas.microsoft.com/office/drawing/2014/chart" uri="{C3380CC4-5D6E-409C-BE32-E72D297353CC}">
                <c16:uniqueId val="{00000003-DEC7-4759-BBA5-E9100B63D149}"/>
              </c:ext>
            </c:extLst>
          </c:dPt>
          <c:dPt>
            <c:idx val="2"/>
            <c:bubble3D val="0"/>
            <c:spPr>
              <a:solidFill>
                <a:srgbClr val="BEBADA"/>
              </a:solidFill>
              <a:ln w="9525">
                <a:solidFill>
                  <a:sysClr val="windowText" lastClr="000000"/>
                </a:solidFill>
              </a:ln>
              <a:effectLst/>
            </c:spPr>
            <c:extLst>
              <c:ext xmlns:c16="http://schemas.microsoft.com/office/drawing/2014/chart" uri="{C3380CC4-5D6E-409C-BE32-E72D297353CC}">
                <c16:uniqueId val="{00000005-DEC7-4759-BBA5-E9100B63D149}"/>
              </c:ext>
            </c:extLst>
          </c:dPt>
          <c:dPt>
            <c:idx val="3"/>
            <c:bubble3D val="0"/>
            <c:spPr>
              <a:solidFill>
                <a:srgbClr val="FB8072"/>
              </a:solidFill>
              <a:ln w="9525">
                <a:solidFill>
                  <a:sysClr val="windowText" lastClr="000000"/>
                </a:solidFill>
              </a:ln>
              <a:effectLst/>
            </c:spPr>
            <c:extLst>
              <c:ext xmlns:c16="http://schemas.microsoft.com/office/drawing/2014/chart" uri="{C3380CC4-5D6E-409C-BE32-E72D297353CC}">
                <c16:uniqueId val="{00000007-DEC7-4759-BBA5-E9100B63D149}"/>
              </c:ext>
            </c:extLst>
          </c:dPt>
          <c:dPt>
            <c:idx val="4"/>
            <c:bubble3D val="0"/>
            <c:spPr>
              <a:solidFill>
                <a:srgbClr val="80B1D3"/>
              </a:solidFill>
              <a:ln w="9525">
                <a:solidFill>
                  <a:sysClr val="windowText" lastClr="000000"/>
                </a:solidFill>
              </a:ln>
              <a:effectLst/>
            </c:spPr>
            <c:extLst>
              <c:ext xmlns:c16="http://schemas.microsoft.com/office/drawing/2014/chart" uri="{C3380CC4-5D6E-409C-BE32-E72D297353CC}">
                <c16:uniqueId val="{00000009-DEC7-4759-BBA5-E9100B63D149}"/>
              </c:ext>
            </c:extLst>
          </c:dPt>
          <c:dPt>
            <c:idx val="5"/>
            <c:bubble3D val="0"/>
            <c:spPr>
              <a:solidFill>
                <a:srgbClr val="FDB462"/>
              </a:solidFill>
              <a:ln w="9525">
                <a:solidFill>
                  <a:sysClr val="windowText" lastClr="000000"/>
                </a:solidFill>
              </a:ln>
              <a:effectLst/>
            </c:spPr>
            <c:extLst>
              <c:ext xmlns:c16="http://schemas.microsoft.com/office/drawing/2014/chart" uri="{C3380CC4-5D6E-409C-BE32-E72D297353CC}">
                <c16:uniqueId val="{0000000B-DEC7-4759-BBA5-E9100B63D149}"/>
              </c:ext>
            </c:extLst>
          </c:dPt>
          <c:dPt>
            <c:idx val="6"/>
            <c:bubble3D val="0"/>
            <c:spPr>
              <a:solidFill>
                <a:srgbClr val="B3DE69"/>
              </a:solidFill>
              <a:ln w="9525">
                <a:solidFill>
                  <a:sysClr val="windowText" lastClr="000000"/>
                </a:solidFill>
              </a:ln>
              <a:effectLst/>
            </c:spPr>
            <c:extLst>
              <c:ext xmlns:c16="http://schemas.microsoft.com/office/drawing/2014/chart" uri="{C3380CC4-5D6E-409C-BE32-E72D297353CC}">
                <c16:uniqueId val="{0000000D-DEC7-4759-BBA5-E9100B63D149}"/>
              </c:ext>
            </c:extLst>
          </c:dPt>
          <c:dPt>
            <c:idx val="7"/>
            <c:bubble3D val="0"/>
            <c:spPr>
              <a:solidFill>
                <a:srgbClr val="BFBFBF"/>
              </a:solidFill>
              <a:ln w="9525">
                <a:solidFill>
                  <a:sysClr val="windowText" lastClr="000000"/>
                </a:solidFill>
              </a:ln>
              <a:effectLst/>
            </c:spPr>
            <c:extLst>
              <c:ext xmlns:c16="http://schemas.microsoft.com/office/drawing/2014/chart" uri="{C3380CC4-5D6E-409C-BE32-E72D297353CC}">
                <c16:uniqueId val="{0000000F-DEC7-4759-BBA5-E9100B63D149}"/>
              </c:ext>
            </c:extLst>
          </c:dPt>
          <c:cat>
            <c:strRef>
              <c:f>BIOPLASTICS!$A$46:$A$53</c:f>
              <c:strCache>
                <c:ptCount val="8"/>
                <c:pt idx="0">
                  <c:v>Packaging</c:v>
                </c:pt>
                <c:pt idx="1">
                  <c:v>Textiles</c:v>
                </c:pt>
                <c:pt idx="2">
                  <c:v>Consumer Goods</c:v>
                </c:pt>
                <c:pt idx="3">
                  <c:v>Agriculture &amp; Horticulture</c:v>
                </c:pt>
                <c:pt idx="4">
                  <c:v>Automotive &amp; Transport</c:v>
                </c:pt>
                <c:pt idx="5">
                  <c:v>Building &amp; Construction</c:v>
                </c:pt>
                <c:pt idx="6">
                  <c:v>Electronics</c:v>
                </c:pt>
                <c:pt idx="7">
                  <c:v>Others</c:v>
                </c:pt>
              </c:strCache>
            </c:strRef>
          </c:cat>
          <c:val>
            <c:numRef>
              <c:f>BIOPLASTICS!$D$46:$D$53</c:f>
              <c:numCache>
                <c:formatCode>#,##0.00</c:formatCode>
                <c:ptCount val="8"/>
                <c:pt idx="0">
                  <c:v>47.879164080281399</c:v>
                </c:pt>
                <c:pt idx="1">
                  <c:v>10.05586592178771</c:v>
                </c:pt>
                <c:pt idx="2">
                  <c:v>11.152493275398303</c:v>
                </c:pt>
                <c:pt idx="3">
                  <c:v>8.8144009931719438</c:v>
                </c:pt>
                <c:pt idx="4">
                  <c:v>4.8830953858886819</c:v>
                </c:pt>
                <c:pt idx="5">
                  <c:v>3.186426650113801</c:v>
                </c:pt>
                <c:pt idx="6">
                  <c:v>2.6070763500931098</c:v>
                </c:pt>
                <c:pt idx="7">
                  <c:v>7.469480653838195</c:v>
                </c:pt>
              </c:numCache>
            </c:numRef>
          </c:val>
          <c:extLst>
            <c:ext xmlns:c16="http://schemas.microsoft.com/office/drawing/2014/chart" uri="{C3380CC4-5D6E-409C-BE32-E72D297353CC}">
              <c16:uniqueId val="{00000010-DEC7-4759-BBA5-E9100B63D14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1110202582649531"/>
          <c:y val="4.8876859142607171E-2"/>
          <c:w val="0.37392399828127876"/>
          <c:h val="0.9115055409740449"/>
        </c:manualLayout>
      </c:layout>
      <c:overlay val="0"/>
      <c:spPr>
        <a:noFill/>
        <a:ln>
          <a:noFill/>
        </a:ln>
        <a:effectLst/>
      </c:spPr>
      <c:txPr>
        <a:bodyPr rot="0" spcFirstLastPara="1" vertOverflow="ellipsis" vert="horz" wrap="square" anchor="ctr" anchorCtr="1"/>
        <a:lstStyle/>
        <a:p>
          <a:pPr rtl="0">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orientation="landscape"/>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40086066621128E-2"/>
          <c:y val="4.6296296296296294E-2"/>
          <c:w val="0.42200871902420373"/>
          <c:h val="0.89814814814814814"/>
        </c:manualLayout>
      </c:layout>
      <c:doughnutChart>
        <c:varyColors val="1"/>
        <c:ser>
          <c:idx val="0"/>
          <c:order val="0"/>
          <c:spPr>
            <a:ln w="6350">
              <a:solidFill>
                <a:sysClr val="windowText" lastClr="000000"/>
              </a:solidFill>
            </a:ln>
          </c:spPr>
          <c:dPt>
            <c:idx val="0"/>
            <c:bubble3D val="0"/>
            <c:spPr>
              <a:solidFill>
                <a:schemeClr val="accent1"/>
              </a:solidFill>
              <a:ln w="6350">
                <a:solidFill>
                  <a:sysClr val="windowText" lastClr="000000"/>
                </a:solidFill>
              </a:ln>
              <a:effectLst/>
            </c:spPr>
            <c:extLst>
              <c:ext xmlns:c16="http://schemas.microsoft.com/office/drawing/2014/chart" uri="{C3380CC4-5D6E-409C-BE32-E72D297353CC}">
                <c16:uniqueId val="{00000001-4F46-4385-AE88-37816C0E6EB7}"/>
              </c:ext>
            </c:extLst>
          </c:dPt>
          <c:dPt>
            <c:idx val="1"/>
            <c:bubble3D val="0"/>
            <c:spPr>
              <a:solidFill>
                <a:schemeClr val="accent2"/>
              </a:solidFill>
              <a:ln w="6350">
                <a:solidFill>
                  <a:sysClr val="windowText" lastClr="000000"/>
                </a:solidFill>
              </a:ln>
              <a:effectLst/>
            </c:spPr>
            <c:extLst>
              <c:ext xmlns:c16="http://schemas.microsoft.com/office/drawing/2014/chart" uri="{C3380CC4-5D6E-409C-BE32-E72D297353CC}">
                <c16:uniqueId val="{00000003-4F46-4385-AE88-37816C0E6EB7}"/>
              </c:ext>
            </c:extLst>
          </c:dPt>
          <c:dPt>
            <c:idx val="2"/>
            <c:bubble3D val="0"/>
            <c:spPr>
              <a:solidFill>
                <a:schemeClr val="accent3"/>
              </a:solidFill>
              <a:ln w="6350">
                <a:solidFill>
                  <a:sysClr val="windowText" lastClr="000000"/>
                </a:solidFill>
              </a:ln>
              <a:effectLst/>
            </c:spPr>
            <c:extLst>
              <c:ext xmlns:c16="http://schemas.microsoft.com/office/drawing/2014/chart" uri="{C3380CC4-5D6E-409C-BE32-E72D297353CC}">
                <c16:uniqueId val="{00000005-4F46-4385-AE88-37816C0E6EB7}"/>
              </c:ext>
            </c:extLst>
          </c:dPt>
          <c:dPt>
            <c:idx val="3"/>
            <c:bubble3D val="0"/>
            <c:spPr>
              <a:solidFill>
                <a:schemeClr val="accent4"/>
              </a:solidFill>
              <a:ln w="6350">
                <a:solidFill>
                  <a:sysClr val="windowText" lastClr="000000"/>
                </a:solidFill>
              </a:ln>
              <a:effectLst/>
            </c:spPr>
            <c:extLst>
              <c:ext xmlns:c16="http://schemas.microsoft.com/office/drawing/2014/chart" uri="{C3380CC4-5D6E-409C-BE32-E72D297353CC}">
                <c16:uniqueId val="{00000007-4F46-4385-AE88-37816C0E6EB7}"/>
              </c:ext>
            </c:extLst>
          </c:dPt>
          <c:dPt>
            <c:idx val="4"/>
            <c:bubble3D val="0"/>
            <c:spPr>
              <a:solidFill>
                <a:schemeClr val="accent5"/>
              </a:solidFill>
              <a:ln w="6350">
                <a:solidFill>
                  <a:sysClr val="windowText" lastClr="000000"/>
                </a:solidFill>
              </a:ln>
              <a:effectLst/>
            </c:spPr>
            <c:extLst>
              <c:ext xmlns:c16="http://schemas.microsoft.com/office/drawing/2014/chart" uri="{C3380CC4-5D6E-409C-BE32-E72D297353CC}">
                <c16:uniqueId val="{00000009-4F46-4385-AE88-37816C0E6EB7}"/>
              </c:ext>
            </c:extLst>
          </c:dPt>
          <c:dPt>
            <c:idx val="5"/>
            <c:bubble3D val="0"/>
            <c:spPr>
              <a:solidFill>
                <a:schemeClr val="accent6"/>
              </a:solidFill>
              <a:ln w="6350">
                <a:solidFill>
                  <a:sysClr val="windowText" lastClr="000000"/>
                </a:solidFill>
              </a:ln>
              <a:effectLst/>
            </c:spPr>
            <c:extLst>
              <c:ext xmlns:c16="http://schemas.microsoft.com/office/drawing/2014/chart" uri="{C3380CC4-5D6E-409C-BE32-E72D297353CC}">
                <c16:uniqueId val="{0000000B-4F46-4385-AE88-37816C0E6EB7}"/>
              </c:ext>
            </c:extLst>
          </c:dPt>
          <c:dPt>
            <c:idx val="6"/>
            <c:bubble3D val="0"/>
            <c:spPr>
              <a:solidFill>
                <a:schemeClr val="accent1">
                  <a:lumMod val="60000"/>
                </a:schemeClr>
              </a:solidFill>
              <a:ln w="6350">
                <a:solidFill>
                  <a:sysClr val="windowText" lastClr="000000"/>
                </a:solidFill>
              </a:ln>
              <a:effectLst/>
            </c:spPr>
            <c:extLst>
              <c:ext xmlns:c16="http://schemas.microsoft.com/office/drawing/2014/chart" uri="{C3380CC4-5D6E-409C-BE32-E72D297353CC}">
                <c16:uniqueId val="{0000000D-4F46-4385-AE88-37816C0E6EB7}"/>
              </c:ext>
            </c:extLst>
          </c:dPt>
          <c:dPt>
            <c:idx val="7"/>
            <c:bubble3D val="0"/>
            <c:spPr>
              <a:solidFill>
                <a:schemeClr val="accent2">
                  <a:lumMod val="60000"/>
                </a:schemeClr>
              </a:solidFill>
              <a:ln w="6350">
                <a:solidFill>
                  <a:sysClr val="windowText" lastClr="000000"/>
                </a:solidFill>
              </a:ln>
              <a:effectLst/>
            </c:spPr>
            <c:extLst>
              <c:ext xmlns:c16="http://schemas.microsoft.com/office/drawing/2014/chart" uri="{C3380CC4-5D6E-409C-BE32-E72D297353CC}">
                <c16:uniqueId val="{0000000F-4F46-4385-AE88-37816C0E6EB7}"/>
              </c:ext>
            </c:extLst>
          </c:dPt>
          <c:dPt>
            <c:idx val="8"/>
            <c:bubble3D val="0"/>
            <c:spPr>
              <a:solidFill>
                <a:schemeClr val="accent3">
                  <a:lumMod val="60000"/>
                </a:schemeClr>
              </a:solidFill>
              <a:ln w="6350">
                <a:solidFill>
                  <a:sysClr val="windowText" lastClr="000000"/>
                </a:solidFill>
              </a:ln>
              <a:effectLst/>
            </c:spPr>
            <c:extLst>
              <c:ext xmlns:c16="http://schemas.microsoft.com/office/drawing/2014/chart" uri="{C3380CC4-5D6E-409C-BE32-E72D297353CC}">
                <c16:uniqueId val="{00000011-4F46-4385-AE88-37816C0E6EB7}"/>
              </c:ext>
            </c:extLst>
          </c:dPt>
          <c:dPt>
            <c:idx val="9"/>
            <c:bubble3D val="0"/>
            <c:spPr>
              <a:solidFill>
                <a:schemeClr val="accent4">
                  <a:lumMod val="60000"/>
                </a:schemeClr>
              </a:solidFill>
              <a:ln w="6350">
                <a:solidFill>
                  <a:sysClr val="windowText" lastClr="000000"/>
                </a:solidFill>
              </a:ln>
              <a:effectLst/>
            </c:spPr>
            <c:extLst>
              <c:ext xmlns:c16="http://schemas.microsoft.com/office/drawing/2014/chart" uri="{C3380CC4-5D6E-409C-BE32-E72D297353CC}">
                <c16:uniqueId val="{00000013-4F46-4385-AE88-37816C0E6EB7}"/>
              </c:ext>
            </c:extLst>
          </c:dPt>
          <c:dPt>
            <c:idx val="10"/>
            <c:bubble3D val="0"/>
            <c:spPr>
              <a:solidFill>
                <a:schemeClr val="accent5">
                  <a:lumMod val="60000"/>
                </a:schemeClr>
              </a:solidFill>
              <a:ln w="6350">
                <a:solidFill>
                  <a:sysClr val="windowText" lastClr="000000"/>
                </a:solidFill>
              </a:ln>
              <a:effectLst/>
            </c:spPr>
            <c:extLst>
              <c:ext xmlns:c16="http://schemas.microsoft.com/office/drawing/2014/chart" uri="{C3380CC4-5D6E-409C-BE32-E72D297353CC}">
                <c16:uniqueId val="{00000015-4F46-4385-AE88-37816C0E6EB7}"/>
              </c:ext>
            </c:extLst>
          </c:dPt>
          <c:cat>
            <c:strRef>
              <c:f>BIOPLASTICS!$A$61:$A$71</c:f>
              <c:strCache>
                <c:ptCount val="11"/>
                <c:pt idx="0">
                  <c:v>Starch Blends</c:v>
                </c:pt>
                <c:pt idx="1">
                  <c:v>Polylactic Acid (PLA)</c:v>
                </c:pt>
                <c:pt idx="2">
                  <c:v>Poly (butylene adipate-co-terephthalate) (PBAT)</c:v>
                </c:pt>
                <c:pt idx="3">
                  <c:v>Polyethylene (PE)</c:v>
                </c:pt>
                <c:pt idx="4">
                  <c:v>Polyamides (PA)</c:v>
                </c:pt>
                <c:pt idx="5">
                  <c:v>Polyethylene Terephthalate (PET)</c:v>
                </c:pt>
                <c:pt idx="6">
                  <c:v>Polytrimethylene Terephthalate (PTT)</c:v>
                </c:pt>
                <c:pt idx="7">
                  <c:v>Polybutylene Succinate (PBS)</c:v>
                </c:pt>
                <c:pt idx="8">
                  <c:v>Other</c:v>
                </c:pt>
                <c:pt idx="9">
                  <c:v>Polyhydroxyalkanoates (PHA)</c:v>
                </c:pt>
                <c:pt idx="10">
                  <c:v>Polyproprylene (PP)</c:v>
                </c:pt>
              </c:strCache>
            </c:strRef>
          </c:cat>
          <c:val>
            <c:numRef>
              <c:f>BIOPLASTICS!$N$33:$N$43</c:f>
              <c:numCache>
                <c:formatCode>General</c:formatCode>
                <c:ptCount val="11"/>
                <c:pt idx="0">
                  <c:v>18.7</c:v>
                </c:pt>
                <c:pt idx="1">
                  <c:v>18.7</c:v>
                </c:pt>
                <c:pt idx="2">
                  <c:v>13.5</c:v>
                </c:pt>
                <c:pt idx="3">
                  <c:v>10.5</c:v>
                </c:pt>
                <c:pt idx="4">
                  <c:v>11.9</c:v>
                </c:pt>
                <c:pt idx="5">
                  <c:v>7.8</c:v>
                </c:pt>
                <c:pt idx="6">
                  <c:v>9.1999999999999993</c:v>
                </c:pt>
                <c:pt idx="7">
                  <c:v>4.0999999999999996</c:v>
                </c:pt>
                <c:pt idx="8">
                  <c:v>2.5</c:v>
                </c:pt>
                <c:pt idx="9">
                  <c:v>1.7</c:v>
                </c:pt>
                <c:pt idx="10">
                  <c:v>1.4</c:v>
                </c:pt>
              </c:numCache>
            </c:numRef>
          </c:val>
          <c:extLst>
            <c:ext xmlns:c16="http://schemas.microsoft.com/office/drawing/2014/chart" uri="{C3380CC4-5D6E-409C-BE32-E72D297353CC}">
              <c16:uniqueId val="{00000016-4F46-4385-AE88-37816C0E6EB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50025428610528522"/>
          <c:y val="4.4247229512977541E-2"/>
          <c:w val="0.49004528775066603"/>
          <c:h val="0.9115055409740449"/>
        </c:manualLayout>
      </c:layout>
      <c:overlay val="0"/>
      <c:spPr>
        <a:noFill/>
        <a:ln>
          <a:noFill/>
        </a:ln>
        <a:effectLst/>
      </c:spPr>
      <c:txPr>
        <a:bodyPr rot="0" spcFirstLastPara="1" vertOverflow="ellipsis" vert="horz" wrap="square" anchor="ctr" anchorCtr="1"/>
        <a:lstStyle/>
        <a:p>
          <a:pPr rtl="0">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orientation="landscape"/>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40086066621128E-2"/>
          <c:y val="4.6296296296296294E-2"/>
          <c:w val="0.42200871902420373"/>
          <c:h val="0.89814814814814814"/>
        </c:manualLayout>
      </c:layout>
      <c:doughnutChart>
        <c:varyColors val="1"/>
        <c:ser>
          <c:idx val="0"/>
          <c:order val="0"/>
          <c:spPr>
            <a:ln w="6350">
              <a:solidFill>
                <a:schemeClr val="tx1"/>
              </a:solidFill>
            </a:ln>
          </c:spPr>
          <c:dPt>
            <c:idx val="0"/>
            <c:bubble3D val="0"/>
            <c:spPr>
              <a:solidFill>
                <a:schemeClr val="accent1"/>
              </a:solidFill>
              <a:ln w="6350">
                <a:solidFill>
                  <a:schemeClr val="tx1"/>
                </a:solidFill>
              </a:ln>
              <a:effectLst/>
            </c:spPr>
            <c:extLst>
              <c:ext xmlns:c16="http://schemas.microsoft.com/office/drawing/2014/chart" uri="{C3380CC4-5D6E-409C-BE32-E72D297353CC}">
                <c16:uniqueId val="{00000001-1BF5-40C6-BD13-864FFBEEEEAE}"/>
              </c:ext>
            </c:extLst>
          </c:dPt>
          <c:dPt>
            <c:idx val="1"/>
            <c:bubble3D val="0"/>
            <c:spPr>
              <a:solidFill>
                <a:schemeClr val="accent2"/>
              </a:solidFill>
              <a:ln w="6350">
                <a:solidFill>
                  <a:schemeClr val="tx1"/>
                </a:solidFill>
              </a:ln>
              <a:effectLst/>
            </c:spPr>
            <c:extLst>
              <c:ext xmlns:c16="http://schemas.microsoft.com/office/drawing/2014/chart" uri="{C3380CC4-5D6E-409C-BE32-E72D297353CC}">
                <c16:uniqueId val="{00000003-1BF5-40C6-BD13-864FFBEEEEAE}"/>
              </c:ext>
            </c:extLst>
          </c:dPt>
          <c:dPt>
            <c:idx val="2"/>
            <c:bubble3D val="0"/>
            <c:spPr>
              <a:solidFill>
                <a:schemeClr val="accent3"/>
              </a:solidFill>
              <a:ln w="6350">
                <a:solidFill>
                  <a:schemeClr val="tx1"/>
                </a:solidFill>
              </a:ln>
              <a:effectLst/>
            </c:spPr>
            <c:extLst>
              <c:ext xmlns:c16="http://schemas.microsoft.com/office/drawing/2014/chart" uri="{C3380CC4-5D6E-409C-BE32-E72D297353CC}">
                <c16:uniqueId val="{00000005-1BF5-40C6-BD13-864FFBEEEEAE}"/>
              </c:ext>
            </c:extLst>
          </c:dPt>
          <c:dPt>
            <c:idx val="3"/>
            <c:bubble3D val="0"/>
            <c:spPr>
              <a:solidFill>
                <a:schemeClr val="accent4"/>
              </a:solidFill>
              <a:ln w="6350">
                <a:solidFill>
                  <a:schemeClr val="tx1"/>
                </a:solidFill>
              </a:ln>
              <a:effectLst/>
            </c:spPr>
            <c:extLst>
              <c:ext xmlns:c16="http://schemas.microsoft.com/office/drawing/2014/chart" uri="{C3380CC4-5D6E-409C-BE32-E72D297353CC}">
                <c16:uniqueId val="{00000007-1BF5-40C6-BD13-864FFBEEEEAE}"/>
              </c:ext>
            </c:extLst>
          </c:dPt>
          <c:dPt>
            <c:idx val="4"/>
            <c:bubble3D val="0"/>
            <c:spPr>
              <a:solidFill>
                <a:schemeClr val="accent5"/>
              </a:solidFill>
              <a:ln w="6350">
                <a:solidFill>
                  <a:schemeClr val="tx1"/>
                </a:solidFill>
              </a:ln>
              <a:effectLst/>
            </c:spPr>
            <c:extLst>
              <c:ext xmlns:c16="http://schemas.microsoft.com/office/drawing/2014/chart" uri="{C3380CC4-5D6E-409C-BE32-E72D297353CC}">
                <c16:uniqueId val="{00000009-1BF5-40C6-BD13-864FFBEEEEAE}"/>
              </c:ext>
            </c:extLst>
          </c:dPt>
          <c:dPt>
            <c:idx val="5"/>
            <c:bubble3D val="0"/>
            <c:spPr>
              <a:solidFill>
                <a:schemeClr val="accent6"/>
              </a:solidFill>
              <a:ln w="6350">
                <a:solidFill>
                  <a:schemeClr val="tx1"/>
                </a:solidFill>
              </a:ln>
              <a:effectLst/>
            </c:spPr>
            <c:extLst>
              <c:ext xmlns:c16="http://schemas.microsoft.com/office/drawing/2014/chart" uri="{C3380CC4-5D6E-409C-BE32-E72D297353CC}">
                <c16:uniqueId val="{0000000B-1BF5-40C6-BD13-864FFBEEEEAE}"/>
              </c:ext>
            </c:extLst>
          </c:dPt>
          <c:dPt>
            <c:idx val="6"/>
            <c:bubble3D val="0"/>
            <c:spPr>
              <a:solidFill>
                <a:schemeClr val="accent1">
                  <a:lumMod val="60000"/>
                </a:schemeClr>
              </a:solidFill>
              <a:ln w="6350">
                <a:solidFill>
                  <a:schemeClr val="tx1"/>
                </a:solidFill>
              </a:ln>
              <a:effectLst/>
            </c:spPr>
            <c:extLst>
              <c:ext xmlns:c16="http://schemas.microsoft.com/office/drawing/2014/chart" uri="{C3380CC4-5D6E-409C-BE32-E72D297353CC}">
                <c16:uniqueId val="{0000000D-1BF5-40C6-BD13-864FFBEEEEAE}"/>
              </c:ext>
            </c:extLst>
          </c:dPt>
          <c:dPt>
            <c:idx val="7"/>
            <c:bubble3D val="0"/>
            <c:spPr>
              <a:solidFill>
                <a:schemeClr val="accent2">
                  <a:lumMod val="60000"/>
                </a:schemeClr>
              </a:solidFill>
              <a:ln w="6350">
                <a:solidFill>
                  <a:schemeClr val="tx1"/>
                </a:solidFill>
              </a:ln>
              <a:effectLst/>
            </c:spPr>
            <c:extLst>
              <c:ext xmlns:c16="http://schemas.microsoft.com/office/drawing/2014/chart" uri="{C3380CC4-5D6E-409C-BE32-E72D297353CC}">
                <c16:uniqueId val="{0000000F-1BF5-40C6-BD13-864FFBEEEEAE}"/>
              </c:ext>
            </c:extLst>
          </c:dPt>
          <c:dPt>
            <c:idx val="8"/>
            <c:bubble3D val="0"/>
            <c:spPr>
              <a:solidFill>
                <a:schemeClr val="accent3">
                  <a:lumMod val="60000"/>
                </a:schemeClr>
              </a:solidFill>
              <a:ln w="6350">
                <a:solidFill>
                  <a:schemeClr val="tx1"/>
                </a:solidFill>
              </a:ln>
              <a:effectLst/>
            </c:spPr>
            <c:extLst>
              <c:ext xmlns:c16="http://schemas.microsoft.com/office/drawing/2014/chart" uri="{C3380CC4-5D6E-409C-BE32-E72D297353CC}">
                <c16:uniqueId val="{00000011-1BF5-40C6-BD13-864FFBEEEEAE}"/>
              </c:ext>
            </c:extLst>
          </c:dPt>
          <c:dPt>
            <c:idx val="9"/>
            <c:bubble3D val="0"/>
            <c:spPr>
              <a:solidFill>
                <a:schemeClr val="accent4">
                  <a:lumMod val="60000"/>
                </a:schemeClr>
              </a:solidFill>
              <a:ln w="6350">
                <a:solidFill>
                  <a:schemeClr val="tx1"/>
                </a:solidFill>
              </a:ln>
              <a:effectLst/>
            </c:spPr>
            <c:extLst>
              <c:ext xmlns:c16="http://schemas.microsoft.com/office/drawing/2014/chart" uri="{C3380CC4-5D6E-409C-BE32-E72D297353CC}">
                <c16:uniqueId val="{00000013-1BF5-40C6-BD13-864FFBEEEEAE}"/>
              </c:ext>
            </c:extLst>
          </c:dPt>
          <c:dPt>
            <c:idx val="10"/>
            <c:bubble3D val="0"/>
            <c:spPr>
              <a:solidFill>
                <a:schemeClr val="accent5">
                  <a:lumMod val="60000"/>
                </a:schemeClr>
              </a:solidFill>
              <a:ln w="6350">
                <a:solidFill>
                  <a:schemeClr val="tx1"/>
                </a:solidFill>
              </a:ln>
              <a:effectLst/>
            </c:spPr>
            <c:extLst>
              <c:ext xmlns:c16="http://schemas.microsoft.com/office/drawing/2014/chart" uri="{C3380CC4-5D6E-409C-BE32-E72D297353CC}">
                <c16:uniqueId val="{00000015-1BF5-40C6-BD13-864FFBEEEEAE}"/>
              </c:ext>
            </c:extLst>
          </c:dPt>
          <c:dPt>
            <c:idx val="11"/>
            <c:bubble3D val="0"/>
            <c:spPr>
              <a:solidFill>
                <a:schemeClr val="accent6">
                  <a:lumMod val="60000"/>
                </a:schemeClr>
              </a:solidFill>
              <a:ln w="6350">
                <a:solidFill>
                  <a:schemeClr val="tx1"/>
                </a:solidFill>
              </a:ln>
              <a:effectLst/>
            </c:spPr>
            <c:extLst>
              <c:ext xmlns:c16="http://schemas.microsoft.com/office/drawing/2014/chart" uri="{C3380CC4-5D6E-409C-BE32-E72D297353CC}">
                <c16:uniqueId val="{00000017-C071-49D1-8404-82568B647DAB}"/>
              </c:ext>
            </c:extLst>
          </c:dPt>
          <c:cat>
            <c:strRef>
              <c:f>BIOPLASTICS!$A$61:$A$72</c:f>
              <c:strCache>
                <c:ptCount val="12"/>
                <c:pt idx="0">
                  <c:v>Starch Blends</c:v>
                </c:pt>
                <c:pt idx="1">
                  <c:v>Polylactic Acid (PLA)</c:v>
                </c:pt>
                <c:pt idx="2">
                  <c:v>Poly (butylene adipate-co-terephthalate) (PBAT)</c:v>
                </c:pt>
                <c:pt idx="3">
                  <c:v>Polyethylene (PE)</c:v>
                </c:pt>
                <c:pt idx="4">
                  <c:v>Polyamides (PA)</c:v>
                </c:pt>
                <c:pt idx="5">
                  <c:v>Polyethylene Terephthalate (PET)</c:v>
                </c:pt>
                <c:pt idx="6">
                  <c:v>Polytrimethylene Terephthalate (PTT)</c:v>
                </c:pt>
                <c:pt idx="7">
                  <c:v>Polybutylene Succinate (PBS)</c:v>
                </c:pt>
                <c:pt idx="8">
                  <c:v>Other</c:v>
                </c:pt>
                <c:pt idx="9">
                  <c:v>Polyhydroxyalkanoates (PHA)</c:v>
                </c:pt>
                <c:pt idx="10">
                  <c:v>Polyproprylene (PP)</c:v>
                </c:pt>
                <c:pt idx="11">
                  <c:v>Cellulose films (CF)</c:v>
                </c:pt>
              </c:strCache>
            </c:strRef>
          </c:cat>
          <c:val>
            <c:numRef>
              <c:f>BIOPLASTICS!$O$33:$O$44</c:f>
              <c:numCache>
                <c:formatCode>General</c:formatCode>
                <c:ptCount val="12"/>
                <c:pt idx="0">
                  <c:v>16.399999999999999</c:v>
                </c:pt>
                <c:pt idx="1">
                  <c:v>18.899999999999999</c:v>
                </c:pt>
                <c:pt idx="2">
                  <c:v>19.2</c:v>
                </c:pt>
                <c:pt idx="3">
                  <c:v>9.5</c:v>
                </c:pt>
                <c:pt idx="4">
                  <c:v>9.1</c:v>
                </c:pt>
                <c:pt idx="5">
                  <c:v>6.2</c:v>
                </c:pt>
                <c:pt idx="6">
                  <c:v>8.1</c:v>
                </c:pt>
                <c:pt idx="7">
                  <c:v>3.5</c:v>
                </c:pt>
                <c:pt idx="8">
                  <c:v>2.2000000000000002</c:v>
                </c:pt>
                <c:pt idx="9">
                  <c:v>1.8</c:v>
                </c:pt>
                <c:pt idx="10">
                  <c:v>1.9</c:v>
                </c:pt>
                <c:pt idx="11">
                  <c:v>3.2</c:v>
                </c:pt>
              </c:numCache>
            </c:numRef>
          </c:val>
          <c:extLst>
            <c:ext xmlns:c16="http://schemas.microsoft.com/office/drawing/2014/chart" uri="{C3380CC4-5D6E-409C-BE32-E72D297353CC}">
              <c16:uniqueId val="{00000016-1BF5-40C6-BD13-864FFBEEEEA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50025428610528522"/>
          <c:y val="4.4247229512977541E-2"/>
          <c:w val="0.49004528775066603"/>
          <c:h val="0.9115055409740449"/>
        </c:manualLayout>
      </c:layout>
      <c:overlay val="0"/>
      <c:spPr>
        <a:noFill/>
        <a:ln>
          <a:noFill/>
        </a:ln>
        <a:effectLst/>
      </c:spPr>
      <c:txPr>
        <a:bodyPr rot="0" spcFirstLastPara="1" vertOverflow="ellipsis" vert="horz" wrap="square" anchor="ctr" anchorCtr="1"/>
        <a:lstStyle/>
        <a:p>
          <a:pPr rtl="0">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orientation="landscape"/>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BIOPLASTICS!$B$45</c:f>
              <c:strCache>
                <c:ptCount val="1"/>
                <c:pt idx="0">
                  <c:v>2019</c:v>
                </c:pt>
              </c:strCache>
            </c:strRef>
          </c:tx>
          <c:spPr>
            <a:solidFill>
              <a:srgbClr val="A6CEE3"/>
            </a:solidFill>
            <a:ln>
              <a:solidFill>
                <a:sysClr val="windowText" lastClr="000000"/>
              </a:solidFill>
            </a:ln>
            <a:effectLst/>
          </c:spPr>
          <c:invertIfNegative val="0"/>
          <c:cat>
            <c:strRef>
              <c:f>BIOPLASTICS!$A$46:$A$53</c:f>
              <c:strCache>
                <c:ptCount val="8"/>
                <c:pt idx="0">
                  <c:v>Packaging</c:v>
                </c:pt>
                <c:pt idx="1">
                  <c:v>Textiles</c:v>
                </c:pt>
                <c:pt idx="2">
                  <c:v>Consumer Goods</c:v>
                </c:pt>
                <c:pt idx="3">
                  <c:v>Agriculture &amp; Horticulture</c:v>
                </c:pt>
                <c:pt idx="4">
                  <c:v>Automotive &amp; Transport</c:v>
                </c:pt>
                <c:pt idx="5">
                  <c:v>Building &amp; Construction</c:v>
                </c:pt>
                <c:pt idx="6">
                  <c:v>Electronics</c:v>
                </c:pt>
                <c:pt idx="7">
                  <c:v>Others</c:v>
                </c:pt>
              </c:strCache>
            </c:strRef>
          </c:cat>
          <c:val>
            <c:numRef>
              <c:f>BIOPLASTICS!$B$46:$B$53</c:f>
              <c:numCache>
                <c:formatCode>#,##0.00</c:formatCode>
                <c:ptCount val="8"/>
                <c:pt idx="0">
                  <c:v>53.878902554399247</c:v>
                </c:pt>
                <c:pt idx="1">
                  <c:v>11.21097445600757</c:v>
                </c:pt>
                <c:pt idx="2">
                  <c:v>7.8524124881740782</c:v>
                </c:pt>
                <c:pt idx="3">
                  <c:v>7.6158940397350996</c:v>
                </c:pt>
                <c:pt idx="4">
                  <c:v>6.693472090823084</c:v>
                </c:pt>
                <c:pt idx="5">
                  <c:v>3.7842951750236518</c:v>
                </c:pt>
                <c:pt idx="6">
                  <c:v>1.8921475875118259</c:v>
                </c:pt>
                <c:pt idx="7">
                  <c:v>1.1825922421948913</c:v>
                </c:pt>
              </c:numCache>
            </c:numRef>
          </c:val>
          <c:extLst>
            <c:ext xmlns:c16="http://schemas.microsoft.com/office/drawing/2014/chart" uri="{C3380CC4-5D6E-409C-BE32-E72D297353CC}">
              <c16:uniqueId val="{00000000-B6C1-4693-A318-FE316927ECB1}"/>
            </c:ext>
          </c:extLst>
        </c:ser>
        <c:ser>
          <c:idx val="1"/>
          <c:order val="1"/>
          <c:tx>
            <c:strRef>
              <c:f>BIOPLASTICS!$C$45</c:f>
              <c:strCache>
                <c:ptCount val="1"/>
                <c:pt idx="0">
                  <c:v>2020</c:v>
                </c:pt>
              </c:strCache>
            </c:strRef>
          </c:tx>
          <c:spPr>
            <a:solidFill>
              <a:srgbClr val="B3DE69"/>
            </a:solidFill>
            <a:ln>
              <a:solidFill>
                <a:sysClr val="windowText" lastClr="000000"/>
              </a:solidFill>
            </a:ln>
            <a:effectLst/>
          </c:spPr>
          <c:invertIfNegative val="0"/>
          <c:cat>
            <c:strRef>
              <c:f>BIOPLASTICS!$A$46:$A$53</c:f>
              <c:strCache>
                <c:ptCount val="8"/>
                <c:pt idx="0">
                  <c:v>Packaging</c:v>
                </c:pt>
                <c:pt idx="1">
                  <c:v>Textiles</c:v>
                </c:pt>
                <c:pt idx="2">
                  <c:v>Consumer Goods</c:v>
                </c:pt>
                <c:pt idx="3">
                  <c:v>Agriculture &amp; Horticulture</c:v>
                </c:pt>
                <c:pt idx="4">
                  <c:v>Automotive &amp; Transport</c:v>
                </c:pt>
                <c:pt idx="5">
                  <c:v>Building &amp; Construction</c:v>
                </c:pt>
                <c:pt idx="6">
                  <c:v>Electronics</c:v>
                </c:pt>
                <c:pt idx="7">
                  <c:v>Others</c:v>
                </c:pt>
              </c:strCache>
            </c:strRef>
          </c:cat>
          <c:val>
            <c:numRef>
              <c:f>BIOPLASTICS!$C$46:$C$53</c:f>
              <c:numCache>
                <c:formatCode>#,##0.00</c:formatCode>
                <c:ptCount val="8"/>
                <c:pt idx="0">
                  <c:v>47.287372660506989</c:v>
                </c:pt>
                <c:pt idx="1">
                  <c:v>11.419095001184553</c:v>
                </c:pt>
                <c:pt idx="2">
                  <c:v>12.248282397536128</c:v>
                </c:pt>
                <c:pt idx="3">
                  <c:v>7.7469793887704332</c:v>
                </c:pt>
                <c:pt idx="4">
                  <c:v>5.7332385690594645</c:v>
                </c:pt>
                <c:pt idx="5">
                  <c:v>4.0511727078891262</c:v>
                </c:pt>
                <c:pt idx="6">
                  <c:v>3.1982942430703627</c:v>
                </c:pt>
                <c:pt idx="7">
                  <c:v>4.7855958303719497</c:v>
                </c:pt>
              </c:numCache>
            </c:numRef>
          </c:val>
          <c:extLst>
            <c:ext xmlns:c16="http://schemas.microsoft.com/office/drawing/2014/chart" uri="{C3380CC4-5D6E-409C-BE32-E72D297353CC}">
              <c16:uniqueId val="{00000001-B6C1-4693-A318-FE316927ECB1}"/>
            </c:ext>
          </c:extLst>
        </c:ser>
        <c:ser>
          <c:idx val="2"/>
          <c:order val="2"/>
          <c:tx>
            <c:strRef>
              <c:f>BIOPLASTICS!$D$45</c:f>
              <c:strCache>
                <c:ptCount val="1"/>
                <c:pt idx="0">
                  <c:v>2021</c:v>
                </c:pt>
              </c:strCache>
            </c:strRef>
          </c:tx>
          <c:spPr>
            <a:solidFill>
              <a:srgbClr val="FCCDE5"/>
            </a:solidFill>
            <a:ln>
              <a:solidFill>
                <a:sysClr val="windowText" lastClr="000000"/>
              </a:solidFill>
            </a:ln>
            <a:effectLst/>
          </c:spPr>
          <c:invertIfNegative val="0"/>
          <c:cat>
            <c:strRef>
              <c:f>BIOPLASTICS!$A$46:$A$53</c:f>
              <c:strCache>
                <c:ptCount val="8"/>
                <c:pt idx="0">
                  <c:v>Packaging</c:v>
                </c:pt>
                <c:pt idx="1">
                  <c:v>Textiles</c:v>
                </c:pt>
                <c:pt idx="2">
                  <c:v>Consumer Goods</c:v>
                </c:pt>
                <c:pt idx="3">
                  <c:v>Agriculture &amp; Horticulture</c:v>
                </c:pt>
                <c:pt idx="4">
                  <c:v>Automotive &amp; Transport</c:v>
                </c:pt>
                <c:pt idx="5">
                  <c:v>Building &amp; Construction</c:v>
                </c:pt>
                <c:pt idx="6">
                  <c:v>Electronics</c:v>
                </c:pt>
                <c:pt idx="7">
                  <c:v>Others</c:v>
                </c:pt>
              </c:strCache>
            </c:strRef>
          </c:cat>
          <c:val>
            <c:numRef>
              <c:f>BIOPLASTICS!$D$46:$D$53</c:f>
              <c:numCache>
                <c:formatCode>#,##0.00</c:formatCode>
                <c:ptCount val="8"/>
                <c:pt idx="0">
                  <c:v>47.879164080281399</c:v>
                </c:pt>
                <c:pt idx="1">
                  <c:v>10.05586592178771</c:v>
                </c:pt>
                <c:pt idx="2">
                  <c:v>11.152493275398303</c:v>
                </c:pt>
                <c:pt idx="3">
                  <c:v>8.8144009931719438</c:v>
                </c:pt>
                <c:pt idx="4">
                  <c:v>4.8830953858886819</c:v>
                </c:pt>
                <c:pt idx="5">
                  <c:v>3.186426650113801</c:v>
                </c:pt>
                <c:pt idx="6">
                  <c:v>2.6070763500931098</c:v>
                </c:pt>
                <c:pt idx="7">
                  <c:v>7.469480653838195</c:v>
                </c:pt>
              </c:numCache>
            </c:numRef>
          </c:val>
          <c:extLst>
            <c:ext xmlns:c16="http://schemas.microsoft.com/office/drawing/2014/chart" uri="{C3380CC4-5D6E-409C-BE32-E72D297353CC}">
              <c16:uniqueId val="{00000002-B6C1-4693-A318-FE316927ECB1}"/>
            </c:ext>
          </c:extLst>
        </c:ser>
        <c:dLbls>
          <c:showLegendKey val="0"/>
          <c:showVal val="0"/>
          <c:showCatName val="0"/>
          <c:showSerName val="0"/>
          <c:showPercent val="0"/>
          <c:showBubbleSize val="0"/>
        </c:dLbls>
        <c:gapWidth val="219"/>
        <c:axId val="1163329488"/>
        <c:axId val="1163332816"/>
      </c:barChart>
      <c:catAx>
        <c:axId val="1163329488"/>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s-ES"/>
          </a:p>
        </c:txPr>
        <c:crossAx val="1163332816"/>
        <c:crosses val="autoZero"/>
        <c:auto val="1"/>
        <c:lblAlgn val="ctr"/>
        <c:lblOffset val="100"/>
        <c:noMultiLvlLbl val="0"/>
      </c:catAx>
      <c:valAx>
        <c:axId val="1163332816"/>
        <c:scaling>
          <c:orientation val="minMax"/>
        </c:scaling>
        <c:delete val="0"/>
        <c:axPos val="l"/>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US" baseline="0"/>
                  <a:t>Final use of bioplastics by market segment (%)</a:t>
                </a:r>
                <a:endParaRPr lang="en-US"/>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s-E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s-ES"/>
          </a:p>
        </c:txPr>
        <c:crossAx val="1163329488"/>
        <c:crosses val="autoZero"/>
        <c:crossBetween val="between"/>
      </c:valAx>
      <c:spPr>
        <a:noFill/>
        <a:ln>
          <a:solidFill>
            <a:sysClr val="windowText" lastClr="000000"/>
          </a:solidFill>
        </a:ln>
        <a:effectLst/>
      </c:spPr>
    </c:plotArea>
    <c:legend>
      <c:legendPos val="t"/>
      <c:layout>
        <c:manualLayout>
          <c:xMode val="edge"/>
          <c:yMode val="edge"/>
          <c:x val="0.20931004062028322"/>
          <c:y val="0.11591723326997699"/>
          <c:w val="0.17798997846864448"/>
          <c:h val="4.0977827799804044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solidFill>
            <a:sysClr val="windowText" lastClr="000000"/>
          </a:solidFill>
        </a:defRPr>
      </a:pPr>
      <a:endParaRPr lang="es-E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BIOPLASTICS!$B$60</c:f>
              <c:strCache>
                <c:ptCount val="1"/>
                <c:pt idx="0">
                  <c:v>2019</c:v>
                </c:pt>
              </c:strCache>
            </c:strRef>
          </c:tx>
          <c:spPr>
            <a:solidFill>
              <a:srgbClr val="A6CEE3"/>
            </a:solidFill>
            <a:ln>
              <a:solidFill>
                <a:sysClr val="windowText" lastClr="000000"/>
              </a:solidFill>
            </a:ln>
            <a:effectLst/>
          </c:spPr>
          <c:invertIfNegative val="0"/>
          <c:cat>
            <c:strRef>
              <c:f>BIOPLASTICS!$A$61:$A$72</c:f>
              <c:strCache>
                <c:ptCount val="12"/>
                <c:pt idx="0">
                  <c:v>Starch Blends</c:v>
                </c:pt>
                <c:pt idx="1">
                  <c:v>Polylactic Acid (PLA)</c:v>
                </c:pt>
                <c:pt idx="2">
                  <c:v>Poly (butylene adipate-co-terephthalate) (PBAT)</c:v>
                </c:pt>
                <c:pt idx="3">
                  <c:v>Polyethylene (PE)</c:v>
                </c:pt>
                <c:pt idx="4">
                  <c:v>Polyamides (PA)</c:v>
                </c:pt>
                <c:pt idx="5">
                  <c:v>Polyethylene Terephthalate (PET)</c:v>
                </c:pt>
                <c:pt idx="6">
                  <c:v>Polytrimethylene Terephthalate (PTT)</c:v>
                </c:pt>
                <c:pt idx="7">
                  <c:v>Polybutylene Succinate (PBS)</c:v>
                </c:pt>
                <c:pt idx="8">
                  <c:v>Other</c:v>
                </c:pt>
                <c:pt idx="9">
                  <c:v>Polyhydroxyalkanoates (PHA)</c:v>
                </c:pt>
                <c:pt idx="10">
                  <c:v>Polyproprylene (PP)</c:v>
                </c:pt>
                <c:pt idx="11">
                  <c:v>Cellulose films (CF)</c:v>
                </c:pt>
              </c:strCache>
            </c:strRef>
          </c:cat>
          <c:val>
            <c:numRef>
              <c:f>BIOPLASTICS!$B$61:$B$72</c:f>
              <c:numCache>
                <c:formatCode>#,##0.00</c:formatCode>
                <c:ptCount val="12"/>
                <c:pt idx="0">
                  <c:v>21.3</c:v>
                </c:pt>
                <c:pt idx="1">
                  <c:v>13.9</c:v>
                </c:pt>
                <c:pt idx="2">
                  <c:v>13.4</c:v>
                </c:pt>
                <c:pt idx="3">
                  <c:v>11.8</c:v>
                </c:pt>
                <c:pt idx="4">
                  <c:v>11.6</c:v>
                </c:pt>
                <c:pt idx="5">
                  <c:v>9.8000000000000007</c:v>
                </c:pt>
                <c:pt idx="6">
                  <c:v>9.1999999999999993</c:v>
                </c:pt>
                <c:pt idx="7">
                  <c:v>4.3</c:v>
                </c:pt>
                <c:pt idx="8">
                  <c:v>2.6</c:v>
                </c:pt>
                <c:pt idx="9">
                  <c:v>1.2</c:v>
                </c:pt>
                <c:pt idx="10">
                  <c:v>0.9</c:v>
                </c:pt>
                <c:pt idx="11">
                  <c:v>0</c:v>
                </c:pt>
              </c:numCache>
            </c:numRef>
          </c:val>
          <c:extLst>
            <c:ext xmlns:c16="http://schemas.microsoft.com/office/drawing/2014/chart" uri="{C3380CC4-5D6E-409C-BE32-E72D297353CC}">
              <c16:uniqueId val="{00000000-87AB-4D5A-8835-4016294613D6}"/>
            </c:ext>
          </c:extLst>
        </c:ser>
        <c:ser>
          <c:idx val="1"/>
          <c:order val="1"/>
          <c:tx>
            <c:strRef>
              <c:f>BIOPLASTICS!$C$60</c:f>
              <c:strCache>
                <c:ptCount val="1"/>
                <c:pt idx="0">
                  <c:v>2020</c:v>
                </c:pt>
              </c:strCache>
            </c:strRef>
          </c:tx>
          <c:spPr>
            <a:solidFill>
              <a:srgbClr val="B3DE69"/>
            </a:solidFill>
            <a:ln>
              <a:solidFill>
                <a:sysClr val="windowText" lastClr="000000"/>
              </a:solidFill>
            </a:ln>
            <a:effectLst/>
          </c:spPr>
          <c:invertIfNegative val="0"/>
          <c:cat>
            <c:strRef>
              <c:f>BIOPLASTICS!$A$61:$A$72</c:f>
              <c:strCache>
                <c:ptCount val="12"/>
                <c:pt idx="0">
                  <c:v>Starch Blends</c:v>
                </c:pt>
                <c:pt idx="1">
                  <c:v>Polylactic Acid (PLA)</c:v>
                </c:pt>
                <c:pt idx="2">
                  <c:v>Poly (butylene adipate-co-terephthalate) (PBAT)</c:v>
                </c:pt>
                <c:pt idx="3">
                  <c:v>Polyethylene (PE)</c:v>
                </c:pt>
                <c:pt idx="4">
                  <c:v>Polyamides (PA)</c:v>
                </c:pt>
                <c:pt idx="5">
                  <c:v>Polyethylene Terephthalate (PET)</c:v>
                </c:pt>
                <c:pt idx="6">
                  <c:v>Polytrimethylene Terephthalate (PTT)</c:v>
                </c:pt>
                <c:pt idx="7">
                  <c:v>Polybutylene Succinate (PBS)</c:v>
                </c:pt>
                <c:pt idx="8">
                  <c:v>Other</c:v>
                </c:pt>
                <c:pt idx="9">
                  <c:v>Polyhydroxyalkanoates (PHA)</c:v>
                </c:pt>
                <c:pt idx="10">
                  <c:v>Polyproprylene (PP)</c:v>
                </c:pt>
                <c:pt idx="11">
                  <c:v>Cellulose films (CF)</c:v>
                </c:pt>
              </c:strCache>
            </c:strRef>
          </c:cat>
          <c:val>
            <c:numRef>
              <c:f>BIOPLASTICS!$C$61:$C$72</c:f>
              <c:numCache>
                <c:formatCode>#,##0.00</c:formatCode>
                <c:ptCount val="12"/>
                <c:pt idx="0">
                  <c:v>18.7</c:v>
                </c:pt>
                <c:pt idx="1">
                  <c:v>18.7</c:v>
                </c:pt>
                <c:pt idx="2">
                  <c:v>13.5</c:v>
                </c:pt>
                <c:pt idx="3">
                  <c:v>10.5</c:v>
                </c:pt>
                <c:pt idx="4">
                  <c:v>11.9</c:v>
                </c:pt>
                <c:pt idx="5">
                  <c:v>7.8</c:v>
                </c:pt>
                <c:pt idx="6">
                  <c:v>9.1999999999999993</c:v>
                </c:pt>
                <c:pt idx="7">
                  <c:v>4.0999999999999996</c:v>
                </c:pt>
                <c:pt idx="8">
                  <c:v>2.5</c:v>
                </c:pt>
                <c:pt idx="9">
                  <c:v>1.7</c:v>
                </c:pt>
                <c:pt idx="10">
                  <c:v>1.4</c:v>
                </c:pt>
                <c:pt idx="11">
                  <c:v>0</c:v>
                </c:pt>
              </c:numCache>
            </c:numRef>
          </c:val>
          <c:extLst>
            <c:ext xmlns:c16="http://schemas.microsoft.com/office/drawing/2014/chart" uri="{C3380CC4-5D6E-409C-BE32-E72D297353CC}">
              <c16:uniqueId val="{00000001-87AB-4D5A-8835-4016294613D6}"/>
            </c:ext>
          </c:extLst>
        </c:ser>
        <c:ser>
          <c:idx val="2"/>
          <c:order val="2"/>
          <c:tx>
            <c:strRef>
              <c:f>BIOPLASTICS!$D$60</c:f>
              <c:strCache>
                <c:ptCount val="1"/>
                <c:pt idx="0">
                  <c:v>2021</c:v>
                </c:pt>
              </c:strCache>
            </c:strRef>
          </c:tx>
          <c:spPr>
            <a:solidFill>
              <a:srgbClr val="FCCDE5"/>
            </a:solidFill>
            <a:ln>
              <a:solidFill>
                <a:sysClr val="windowText" lastClr="000000"/>
              </a:solidFill>
            </a:ln>
            <a:effectLst/>
          </c:spPr>
          <c:invertIfNegative val="0"/>
          <c:cat>
            <c:strRef>
              <c:f>BIOPLASTICS!$A$61:$A$72</c:f>
              <c:strCache>
                <c:ptCount val="12"/>
                <c:pt idx="0">
                  <c:v>Starch Blends</c:v>
                </c:pt>
                <c:pt idx="1">
                  <c:v>Polylactic Acid (PLA)</c:v>
                </c:pt>
                <c:pt idx="2">
                  <c:v>Poly (butylene adipate-co-terephthalate) (PBAT)</c:v>
                </c:pt>
                <c:pt idx="3">
                  <c:v>Polyethylene (PE)</c:v>
                </c:pt>
                <c:pt idx="4">
                  <c:v>Polyamides (PA)</c:v>
                </c:pt>
                <c:pt idx="5">
                  <c:v>Polyethylene Terephthalate (PET)</c:v>
                </c:pt>
                <c:pt idx="6">
                  <c:v>Polytrimethylene Terephthalate (PTT)</c:v>
                </c:pt>
                <c:pt idx="7">
                  <c:v>Polybutylene Succinate (PBS)</c:v>
                </c:pt>
                <c:pt idx="8">
                  <c:v>Other</c:v>
                </c:pt>
                <c:pt idx="9">
                  <c:v>Polyhydroxyalkanoates (PHA)</c:v>
                </c:pt>
                <c:pt idx="10">
                  <c:v>Polyproprylene (PP)</c:v>
                </c:pt>
                <c:pt idx="11">
                  <c:v>Cellulose films (CF)</c:v>
                </c:pt>
              </c:strCache>
            </c:strRef>
          </c:cat>
          <c:val>
            <c:numRef>
              <c:f>BIOPLASTICS!$D$61:$D$72</c:f>
              <c:numCache>
                <c:formatCode>#,##0.00</c:formatCode>
                <c:ptCount val="12"/>
                <c:pt idx="0">
                  <c:v>16.399999999999999</c:v>
                </c:pt>
                <c:pt idx="1">
                  <c:v>18.899999999999999</c:v>
                </c:pt>
                <c:pt idx="2">
                  <c:v>19.2</c:v>
                </c:pt>
                <c:pt idx="3">
                  <c:v>9.5</c:v>
                </c:pt>
                <c:pt idx="4">
                  <c:v>9.1</c:v>
                </c:pt>
                <c:pt idx="5">
                  <c:v>6.2</c:v>
                </c:pt>
                <c:pt idx="6">
                  <c:v>8.1</c:v>
                </c:pt>
                <c:pt idx="7">
                  <c:v>3.5</c:v>
                </c:pt>
                <c:pt idx="8">
                  <c:v>2.2000000000000002</c:v>
                </c:pt>
                <c:pt idx="9">
                  <c:v>1.8</c:v>
                </c:pt>
                <c:pt idx="10">
                  <c:v>1.9</c:v>
                </c:pt>
                <c:pt idx="11">
                  <c:v>3.2</c:v>
                </c:pt>
              </c:numCache>
            </c:numRef>
          </c:val>
          <c:extLst>
            <c:ext xmlns:c16="http://schemas.microsoft.com/office/drawing/2014/chart" uri="{C3380CC4-5D6E-409C-BE32-E72D297353CC}">
              <c16:uniqueId val="{00000002-87AB-4D5A-8835-4016294613D6}"/>
            </c:ext>
          </c:extLst>
        </c:ser>
        <c:dLbls>
          <c:showLegendKey val="0"/>
          <c:showVal val="0"/>
          <c:showCatName val="0"/>
          <c:showSerName val="0"/>
          <c:showPercent val="0"/>
          <c:showBubbleSize val="0"/>
        </c:dLbls>
        <c:gapWidth val="219"/>
        <c:axId val="1053922960"/>
        <c:axId val="1053924624"/>
      </c:barChart>
      <c:catAx>
        <c:axId val="1053922960"/>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s-ES"/>
          </a:p>
        </c:txPr>
        <c:crossAx val="1053924624"/>
        <c:crosses val="autoZero"/>
        <c:auto val="1"/>
        <c:lblAlgn val="ctr"/>
        <c:lblOffset val="100"/>
        <c:noMultiLvlLbl val="0"/>
      </c:catAx>
      <c:valAx>
        <c:axId val="1053924624"/>
        <c:scaling>
          <c:orientation val="minMax"/>
        </c:scaling>
        <c:delete val="0"/>
        <c:axPos val="l"/>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US"/>
                  <a:t>Final</a:t>
                </a:r>
                <a:r>
                  <a:rPr lang="en-US" baseline="0"/>
                  <a:t> use of bioplastics</a:t>
                </a:r>
                <a:r>
                  <a:rPr lang="en-US"/>
                  <a:t> by material type (%)</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s-E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s-ES"/>
          </a:p>
        </c:txPr>
        <c:crossAx val="1053922960"/>
        <c:crosses val="autoZero"/>
        <c:crossBetween val="between"/>
      </c:valAx>
      <c:spPr>
        <a:noFill/>
        <a:ln>
          <a:solidFill>
            <a:sysClr val="windowText" lastClr="000000"/>
          </a:solidFill>
        </a:ln>
        <a:effectLst/>
      </c:spPr>
    </c:plotArea>
    <c:legend>
      <c:legendPos val="t"/>
      <c:layout>
        <c:manualLayout>
          <c:xMode val="edge"/>
          <c:yMode val="edge"/>
          <c:x val="0.32475304168393071"/>
          <c:y val="0.11896745230078563"/>
          <c:w val="0.16960552445191726"/>
          <c:h val="4.090773557511191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solidFill>
            <a:sysClr val="windowText" lastClr="000000"/>
          </a:solidFill>
        </a:defRPr>
      </a:pPr>
      <a:endParaRPr lang="es-E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813528990694339E-2"/>
          <c:y val="3.8579213453513429E-2"/>
          <c:w val="0.8873502299681284"/>
          <c:h val="0.87825897008136433"/>
        </c:manualLayout>
      </c:layout>
      <c:lineChart>
        <c:grouping val="standard"/>
        <c:varyColors val="0"/>
        <c:ser>
          <c:idx val="1"/>
          <c:order val="0"/>
          <c:spPr>
            <a:ln w="28575" cap="rnd">
              <a:solidFill>
                <a:srgbClr val="A6CEE3"/>
              </a:solidFill>
              <a:round/>
            </a:ln>
            <a:effectLst/>
          </c:spPr>
          <c:marker>
            <c:symbol val="none"/>
          </c:marker>
          <c:cat>
            <c:numRef>
              <c:f>ENZYMES!$B$3:$O$3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ENZYMES!$B$4:$O$4</c:f>
              <c:numCache>
                <c:formatCode>#,##0.0</c:formatCode>
                <c:ptCount val="14"/>
                <c:pt idx="0">
                  <c:v>2.93</c:v>
                </c:pt>
                <c:pt idx="1">
                  <c:v>3.16</c:v>
                </c:pt>
                <c:pt idx="2">
                  <c:v>3.63</c:v>
                </c:pt>
                <c:pt idx="3">
                  <c:v>4.03</c:v>
                </c:pt>
                <c:pt idx="4">
                  <c:v>4.49</c:v>
                </c:pt>
                <c:pt idx="5">
                  <c:v>4.7699999999999996</c:v>
                </c:pt>
                <c:pt idx="6">
                  <c:v>4.5999999999999996</c:v>
                </c:pt>
                <c:pt idx="7">
                  <c:v>4.9000000000000004</c:v>
                </c:pt>
                <c:pt idx="8">
                  <c:v>5</c:v>
                </c:pt>
                <c:pt idx="9" formatCode="0.0">
                  <c:v>5.2541000000000002</c:v>
                </c:pt>
                <c:pt idx="10" formatCode="General">
                  <c:v>5.5</c:v>
                </c:pt>
                <c:pt idx="11" formatCode="General">
                  <c:v>5.6</c:v>
                </c:pt>
                <c:pt idx="12" formatCode="0.000">
                  <c:v>5.93</c:v>
                </c:pt>
                <c:pt idx="13" formatCode="General">
                  <c:v>6.4</c:v>
                </c:pt>
              </c:numCache>
            </c:numRef>
          </c:val>
          <c:smooth val="0"/>
          <c:extLst>
            <c:ext xmlns:c16="http://schemas.microsoft.com/office/drawing/2014/chart" uri="{C3380CC4-5D6E-409C-BE32-E72D297353CC}">
              <c16:uniqueId val="{00000000-CFF7-4A22-BD86-051649CF0232}"/>
            </c:ext>
          </c:extLst>
        </c:ser>
        <c:dLbls>
          <c:showLegendKey val="0"/>
          <c:showVal val="0"/>
          <c:showCatName val="0"/>
          <c:showSerName val="0"/>
          <c:showPercent val="0"/>
          <c:showBubbleSize val="0"/>
        </c:dLbls>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6.2860892388451441E-3"/>
              <c:y val="0.357878679005755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midCat"/>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orientation="portrait"/>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80B1D3"/>
            </a:solidFill>
            <a:ln w="9525">
              <a:solidFill>
                <a:sysClr val="windowText" lastClr="000000"/>
              </a:solidFill>
            </a:ln>
          </c:spPr>
          <c:dPt>
            <c:idx val="0"/>
            <c:bubble3D val="0"/>
            <c:spPr>
              <a:solidFill>
                <a:srgbClr val="80B1D3"/>
              </a:solidFill>
              <a:ln w="9525">
                <a:solidFill>
                  <a:sysClr val="windowText" lastClr="000000"/>
                </a:solidFill>
              </a:ln>
              <a:effectLst/>
            </c:spPr>
            <c:extLst>
              <c:ext xmlns:c16="http://schemas.microsoft.com/office/drawing/2014/chart" uri="{C3380CC4-5D6E-409C-BE32-E72D297353CC}">
                <c16:uniqueId val="{00000001-32D8-4F13-8D88-1229CCDF5F64}"/>
              </c:ext>
            </c:extLst>
          </c:dPt>
          <c:dPt>
            <c:idx val="1"/>
            <c:bubble3D val="0"/>
            <c:spPr>
              <a:solidFill>
                <a:srgbClr val="FB8072"/>
              </a:solidFill>
              <a:ln w="9525">
                <a:solidFill>
                  <a:sysClr val="windowText" lastClr="000000"/>
                </a:solidFill>
              </a:ln>
              <a:effectLst/>
            </c:spPr>
            <c:extLst>
              <c:ext xmlns:c16="http://schemas.microsoft.com/office/drawing/2014/chart" uri="{C3380CC4-5D6E-409C-BE32-E72D297353CC}">
                <c16:uniqueId val="{00000003-32D8-4F13-8D88-1229CCDF5F64}"/>
              </c:ext>
            </c:extLst>
          </c:dPt>
          <c:dPt>
            <c:idx val="2"/>
            <c:bubble3D val="0"/>
            <c:spPr>
              <a:solidFill>
                <a:srgbClr val="B3DE69"/>
              </a:solidFill>
              <a:ln w="9525">
                <a:solidFill>
                  <a:sysClr val="windowText" lastClr="000000"/>
                </a:solidFill>
              </a:ln>
              <a:effectLst/>
            </c:spPr>
            <c:extLst>
              <c:ext xmlns:c16="http://schemas.microsoft.com/office/drawing/2014/chart" uri="{C3380CC4-5D6E-409C-BE32-E72D297353CC}">
                <c16:uniqueId val="{00000005-32D8-4F13-8D88-1229CCDF5F64}"/>
              </c:ext>
            </c:extLst>
          </c:dPt>
          <c:dPt>
            <c:idx val="3"/>
            <c:bubble3D val="0"/>
            <c:spPr>
              <a:solidFill>
                <a:srgbClr val="BEBADA"/>
              </a:solidFill>
              <a:ln w="9525">
                <a:solidFill>
                  <a:sysClr val="windowText" lastClr="000000"/>
                </a:solidFill>
              </a:ln>
              <a:effectLst/>
            </c:spPr>
            <c:extLst>
              <c:ext xmlns:c16="http://schemas.microsoft.com/office/drawing/2014/chart" uri="{C3380CC4-5D6E-409C-BE32-E72D297353CC}">
                <c16:uniqueId val="{00000007-32D8-4F13-8D88-1229CCDF5F64}"/>
              </c:ext>
            </c:extLst>
          </c:dPt>
          <c:dPt>
            <c:idx val="4"/>
            <c:bubble3D val="0"/>
            <c:spPr>
              <a:solidFill>
                <a:srgbClr val="FDB462"/>
              </a:solidFill>
              <a:ln w="9525">
                <a:solidFill>
                  <a:sysClr val="windowText" lastClr="000000"/>
                </a:solidFill>
              </a:ln>
              <a:effectLst/>
            </c:spPr>
            <c:extLst>
              <c:ext xmlns:c16="http://schemas.microsoft.com/office/drawing/2014/chart" uri="{C3380CC4-5D6E-409C-BE32-E72D297353CC}">
                <c16:uniqueId val="{00000009-32D8-4F13-8D88-1229CCDF5F64}"/>
              </c:ext>
            </c:extLst>
          </c:dPt>
          <c:cat>
            <c:strLit>
              <c:ptCount val="5"/>
              <c:pt idx="0">
                <c:v>Food</c:v>
              </c:pt>
              <c:pt idx="1">
                <c:v>Technical</c:v>
              </c:pt>
              <c:pt idx="2">
                <c:v>Biofuel</c:v>
              </c:pt>
              <c:pt idx="3">
                <c:v>Feed</c:v>
              </c:pt>
              <c:pt idx="4">
                <c:v>Other</c:v>
              </c:pt>
            </c:strLit>
          </c:cat>
          <c:val>
            <c:numRef>
              <c:f>ENZYMES!$K$5:$K$9</c:f>
              <c:numCache>
                <c:formatCode>0.0</c:formatCode>
                <c:ptCount val="5"/>
                <c:pt idx="0">
                  <c:v>1.9258999999999999</c:v>
                </c:pt>
                <c:pt idx="1">
                  <c:v>1.2983</c:v>
                </c:pt>
                <c:pt idx="2">
                  <c:v>0.71930000000000005</c:v>
                </c:pt>
                <c:pt idx="3">
                  <c:v>0.59619999999999995</c:v>
                </c:pt>
                <c:pt idx="4">
                  <c:v>0.71440000000000003</c:v>
                </c:pt>
              </c:numCache>
            </c:numRef>
          </c:val>
          <c:extLst>
            <c:ext xmlns:c16="http://schemas.microsoft.com/office/drawing/2014/chart" uri="{C3380CC4-5D6E-409C-BE32-E72D297353CC}">
              <c16:uniqueId val="{0000000C-32D8-4F13-8D88-1229CCDF5F6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098338898016591"/>
          <c:y val="0.30250874890638668"/>
          <c:w val="0.25901661101983409"/>
          <c:h val="0.3949821376494605"/>
        </c:manualLayout>
      </c:layout>
      <c:overlay val="0"/>
      <c:spPr>
        <a:noFill/>
        <a:ln>
          <a:noFill/>
        </a:ln>
        <a:effectLst/>
      </c:spPr>
      <c:txPr>
        <a:bodyPr rot="0" spcFirstLastPara="1" vertOverflow="ellipsis" vert="horz" wrap="square" anchor="ctr" anchorCtr="1"/>
        <a:lstStyle/>
        <a:p>
          <a:pPr rtl="0">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orientation="landscape"/>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965148160619029E-2"/>
          <c:y val="3.8579213453513429E-2"/>
          <c:w val="0.87270199259229408"/>
          <c:h val="0.87825897008136433"/>
        </c:manualLayout>
      </c:layout>
      <c:lineChart>
        <c:grouping val="standard"/>
        <c:varyColors val="0"/>
        <c:ser>
          <c:idx val="1"/>
          <c:order val="0"/>
          <c:tx>
            <c:v>Imports</c:v>
          </c:tx>
          <c:spPr>
            <a:ln w="28575" cap="rnd">
              <a:solidFill>
                <a:srgbClr val="B3DE69"/>
              </a:solidFill>
              <a:round/>
            </a:ln>
            <a:effectLst/>
          </c:spPr>
          <c:marker>
            <c:symbol val="none"/>
          </c:marker>
          <c:cat>
            <c:numRef>
              <c:f>'FOREST PRODUCTS'!$B$3:$O$3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'FOREST PRODUCTS'!$B$35:$O$35</c:f>
              <c:numCache>
                <c:formatCode>#,##0</c:formatCode>
                <c:ptCount val="14"/>
                <c:pt idx="0">
                  <c:v>24.326145</c:v>
                </c:pt>
                <c:pt idx="1">
                  <c:v>17.122207</c:v>
                </c:pt>
                <c:pt idx="2">
                  <c:v>19.540624000000001</c:v>
                </c:pt>
                <c:pt idx="3">
                  <c:v>19.524853</c:v>
                </c:pt>
                <c:pt idx="4">
                  <c:v>20.750095999999999</c:v>
                </c:pt>
                <c:pt idx="5">
                  <c:v>22.951174999999999</c:v>
                </c:pt>
                <c:pt idx="6">
                  <c:v>24.613015999999998</c:v>
                </c:pt>
                <c:pt idx="7">
                  <c:v>23.684847000000001</c:v>
                </c:pt>
                <c:pt idx="8">
                  <c:v>24.078119000000001</c:v>
                </c:pt>
                <c:pt idx="9">
                  <c:v>26.741920069999999</c:v>
                </c:pt>
                <c:pt idx="10">
                  <c:v>28.859011969999997</c:v>
                </c:pt>
                <c:pt idx="11">
                  <c:v>24.637187749999999</c:v>
                </c:pt>
                <c:pt idx="12">
                  <c:v>26.542572399999997</c:v>
                </c:pt>
                <c:pt idx="13">
                  <c:v>40.973882750000001</c:v>
                </c:pt>
              </c:numCache>
            </c:numRef>
          </c:val>
          <c:smooth val="0"/>
          <c:extLst>
            <c:ext xmlns:c16="http://schemas.microsoft.com/office/drawing/2014/chart" uri="{C3380CC4-5D6E-409C-BE32-E72D297353CC}">
              <c16:uniqueId val="{00000000-F1ED-4BB4-8537-BD07AFAC6D2F}"/>
            </c:ext>
          </c:extLst>
        </c:ser>
        <c:ser>
          <c:idx val="0"/>
          <c:order val="1"/>
          <c:tx>
            <c:v>Exports</c:v>
          </c:tx>
          <c:spPr>
            <a:ln w="28575" cap="rnd">
              <a:solidFill>
                <a:srgbClr val="A6CEE3"/>
              </a:solidFill>
              <a:round/>
            </a:ln>
            <a:effectLst/>
          </c:spPr>
          <c:marker>
            <c:symbol val="none"/>
          </c:marker>
          <c:cat>
            <c:numRef>
              <c:f>'FOREST PRODUCTS'!$B$3:$O$3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'FOREST PRODUCTS'!$B$36:$O$36</c:f>
              <c:numCache>
                <c:formatCode>#,##0</c:formatCode>
                <c:ptCount val="14"/>
                <c:pt idx="0">
                  <c:v>21.257016</c:v>
                </c:pt>
                <c:pt idx="1">
                  <c:v>19.115033</c:v>
                </c:pt>
                <c:pt idx="2">
                  <c:v>22.862099000000001</c:v>
                </c:pt>
                <c:pt idx="3">
                  <c:v>25.208741</c:v>
                </c:pt>
                <c:pt idx="4">
                  <c:v>25.527652</c:v>
                </c:pt>
                <c:pt idx="5">
                  <c:v>26.509537000000002</c:v>
                </c:pt>
                <c:pt idx="6">
                  <c:v>27.151489999999999</c:v>
                </c:pt>
                <c:pt idx="7">
                  <c:v>25.083577999999999</c:v>
                </c:pt>
                <c:pt idx="8">
                  <c:v>24.602525</c:v>
                </c:pt>
                <c:pt idx="9">
                  <c:v>27.213931049999999</c:v>
                </c:pt>
                <c:pt idx="10">
                  <c:v>28.456246629999999</c:v>
                </c:pt>
                <c:pt idx="11">
                  <c:v>24.515594839999999</c:v>
                </c:pt>
                <c:pt idx="12">
                  <c:v>22.424830789999998</c:v>
                </c:pt>
                <c:pt idx="13">
                  <c:v>27.060098969999999</c:v>
                </c:pt>
              </c:numCache>
            </c:numRef>
          </c:val>
          <c:smooth val="0"/>
          <c:extLst>
            <c:ext xmlns:c16="http://schemas.microsoft.com/office/drawing/2014/chart" uri="{C3380CC4-5D6E-409C-BE32-E72D297353CC}">
              <c16:uniqueId val="{00000001-F1ED-4BB4-8537-BD07AFAC6D2F}"/>
            </c:ext>
          </c:extLst>
        </c:ser>
        <c:dLbls>
          <c:showLegendKey val="0"/>
          <c:showVal val="0"/>
          <c:showCatName val="0"/>
          <c:showSerName val="0"/>
          <c:showPercent val="0"/>
          <c:showBubbleSize val="0"/>
        </c:dLbls>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midCat"/>
      </c:valAx>
      <c:spPr>
        <a:noFill/>
        <a:ln>
          <a:solidFill>
            <a:schemeClr val="tx1"/>
          </a:solidFill>
        </a:ln>
        <a:effectLst/>
      </c:spPr>
    </c:plotArea>
    <c:legend>
      <c:legendPos val="t"/>
      <c:layout>
        <c:manualLayout>
          <c:xMode val="edge"/>
          <c:yMode val="edge"/>
          <c:x val="0.10667872203130394"/>
          <c:y val="5.2608018345700128E-2"/>
          <c:w val="0.27438085864266964"/>
          <c:h val="5.9247320647419076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746446702556114E-2"/>
          <c:y val="2.1882976675897302E-2"/>
          <c:w val="0.87548322084739405"/>
          <c:h val="0.87825897008136433"/>
        </c:manualLayout>
      </c:layout>
      <c:lineChart>
        <c:grouping val="standard"/>
        <c:varyColors val="0"/>
        <c:ser>
          <c:idx val="2"/>
          <c:order val="0"/>
          <c:tx>
            <c:v>Roundwood</c:v>
          </c:tx>
          <c:spPr>
            <a:ln w="28575" cap="rnd">
              <a:solidFill>
                <a:srgbClr val="FB8072"/>
              </a:solidFill>
              <a:round/>
            </a:ln>
            <a:effectLst/>
          </c:spPr>
          <c:marker>
            <c:symbol val="none"/>
          </c:marker>
          <c:cat>
            <c:numRef>
              <c:f>'FOREST PRODUCTS'!$B$3:$O$3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'FOREST PRODUCTS'!$B$29:$O$29</c:f>
              <c:numCache>
                <c:formatCode>0</c:formatCode>
                <c:ptCount val="14"/>
                <c:pt idx="0">
                  <c:v>544.12764691999996</c:v>
                </c:pt>
                <c:pt idx="1">
                  <c:v>475.51457667999995</c:v>
                </c:pt>
                <c:pt idx="2">
                  <c:v>538.49749668000004</c:v>
                </c:pt>
                <c:pt idx="3">
                  <c:v>565.05116667999994</c:v>
                </c:pt>
                <c:pt idx="4">
                  <c:v>554.14215999999999</c:v>
                </c:pt>
                <c:pt idx="5">
                  <c:v>567.44951548999995</c:v>
                </c:pt>
                <c:pt idx="6">
                  <c:v>570.13063392999993</c:v>
                </c:pt>
                <c:pt idx="7">
                  <c:v>570.60347916000001</c:v>
                </c:pt>
                <c:pt idx="8">
                  <c:v>624.38375999999994</c:v>
                </c:pt>
                <c:pt idx="9">
                  <c:v>630.32309053999995</c:v>
                </c:pt>
                <c:pt idx="10">
                  <c:v>663.68896022000001</c:v>
                </c:pt>
                <c:pt idx="11">
                  <c:v>656.55429697</c:v>
                </c:pt>
                <c:pt idx="12">
                  <c:v>614.47103288999995</c:v>
                </c:pt>
                <c:pt idx="13">
                  <c:v>649.31476323999993</c:v>
                </c:pt>
              </c:numCache>
            </c:numRef>
          </c:val>
          <c:smooth val="0"/>
          <c:extLst>
            <c:ext xmlns:c16="http://schemas.microsoft.com/office/drawing/2014/chart" uri="{C3380CC4-5D6E-409C-BE32-E72D297353CC}">
              <c16:uniqueId val="{00000000-1FAC-461E-893D-15EBE09CBBCB}"/>
            </c:ext>
          </c:extLst>
        </c:ser>
        <c:ser>
          <c:idx val="4"/>
          <c:order val="1"/>
          <c:tx>
            <c:v>Sawnwood</c:v>
          </c:tx>
          <c:spPr>
            <a:ln w="28575" cap="rnd">
              <a:solidFill>
                <a:srgbClr val="80B1D3"/>
              </a:solidFill>
              <a:round/>
            </a:ln>
            <a:effectLst/>
          </c:spPr>
          <c:marker>
            <c:symbol val="none"/>
          </c:marker>
          <c:cat>
            <c:numRef>
              <c:f>'FOREST PRODUCTS'!$B$3:$O$3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'FOREST PRODUCTS'!$B$30:$O$30</c:f>
              <c:numCache>
                <c:formatCode>0</c:formatCode>
                <c:ptCount val="14"/>
                <c:pt idx="0">
                  <c:v>132.62208960000001</c:v>
                </c:pt>
                <c:pt idx="1">
                  <c:v>98.782320000000013</c:v>
                </c:pt>
                <c:pt idx="2">
                  <c:v>109.224388</c:v>
                </c:pt>
                <c:pt idx="3">
                  <c:v>114.976316</c:v>
                </c:pt>
                <c:pt idx="4">
                  <c:v>122.80268000000001</c:v>
                </c:pt>
                <c:pt idx="5">
                  <c:v>129.42929999999998</c:v>
                </c:pt>
                <c:pt idx="6">
                  <c:v>138.016606</c:v>
                </c:pt>
                <c:pt idx="7">
                  <c:v>138.97883999999999</c:v>
                </c:pt>
                <c:pt idx="8">
                  <c:v>142.26030000000003</c:v>
                </c:pt>
                <c:pt idx="9">
                  <c:v>146.28067999999999</c:v>
                </c:pt>
                <c:pt idx="10">
                  <c:v>149.23563200000001</c:v>
                </c:pt>
                <c:pt idx="11">
                  <c:v>150.09849400000002</c:v>
                </c:pt>
                <c:pt idx="12">
                  <c:v>144.02315745999999</c:v>
                </c:pt>
                <c:pt idx="13">
                  <c:v>146.48523526000002</c:v>
                </c:pt>
              </c:numCache>
            </c:numRef>
          </c:val>
          <c:smooth val="0"/>
          <c:extLst>
            <c:ext xmlns:c16="http://schemas.microsoft.com/office/drawing/2014/chart" uri="{C3380CC4-5D6E-409C-BE32-E72D297353CC}">
              <c16:uniqueId val="{00000001-1FAC-461E-893D-15EBE09CBBCB}"/>
            </c:ext>
          </c:extLst>
        </c:ser>
        <c:ser>
          <c:idx val="1"/>
          <c:order val="2"/>
          <c:tx>
            <c:v>Wood fuel</c:v>
          </c:tx>
          <c:spPr>
            <a:ln w="28575" cap="rnd">
              <a:solidFill>
                <a:srgbClr val="B3DE69"/>
              </a:solidFill>
              <a:round/>
            </a:ln>
            <a:effectLst/>
          </c:spPr>
          <c:marker>
            <c:symbol val="none"/>
          </c:marker>
          <c:cat>
            <c:numRef>
              <c:f>'FOREST PRODUCTS'!$B$3:$O$3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'FOREST PRODUCTS'!$B$27:$O$27</c:f>
              <c:numCache>
                <c:formatCode>#,##0</c:formatCode>
                <c:ptCount val="14"/>
                <c:pt idx="0">
                  <c:v>60.187104719999994</c:v>
                </c:pt>
                <c:pt idx="1">
                  <c:v>55.802612879999991</c:v>
                </c:pt>
                <c:pt idx="2">
                  <c:v>55.802612879999991</c:v>
                </c:pt>
                <c:pt idx="3">
                  <c:v>55.802612879999991</c:v>
                </c:pt>
                <c:pt idx="4">
                  <c:v>55.801679999999998</c:v>
                </c:pt>
                <c:pt idx="5">
                  <c:v>57.795563339999994</c:v>
                </c:pt>
                <c:pt idx="6">
                  <c:v>57.795563339999994</c:v>
                </c:pt>
                <c:pt idx="7">
                  <c:v>61.196099999999994</c:v>
                </c:pt>
                <c:pt idx="8">
                  <c:v>85.775279999999995</c:v>
                </c:pt>
                <c:pt idx="9">
                  <c:v>88.830600000000004</c:v>
                </c:pt>
                <c:pt idx="10">
                  <c:v>98.819815559999995</c:v>
                </c:pt>
                <c:pt idx="11">
                  <c:v>98.569164779999994</c:v>
                </c:pt>
                <c:pt idx="12">
                  <c:v>83.524996799999997</c:v>
                </c:pt>
                <c:pt idx="13">
                  <c:v>98.132546579999996</c:v>
                </c:pt>
              </c:numCache>
            </c:numRef>
          </c:val>
          <c:smooth val="0"/>
          <c:extLst>
            <c:ext xmlns:c16="http://schemas.microsoft.com/office/drawing/2014/chart" uri="{C3380CC4-5D6E-409C-BE32-E72D297353CC}">
              <c16:uniqueId val="{00000002-1FAC-461E-893D-15EBE09CBBCB}"/>
            </c:ext>
          </c:extLst>
        </c:ser>
        <c:ser>
          <c:idx val="3"/>
          <c:order val="3"/>
          <c:tx>
            <c:v>Paper</c:v>
          </c:tx>
          <c:spPr>
            <a:ln w="28575" cap="rnd">
              <a:solidFill>
                <a:srgbClr val="BEBADA"/>
              </a:solidFill>
              <a:round/>
            </a:ln>
            <a:effectLst/>
          </c:spPr>
          <c:marker>
            <c:symbol val="none"/>
          </c:marker>
          <c:cat>
            <c:numRef>
              <c:f>'FOREST PRODUCTS'!$B$3:$O$3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'FOREST PRODUCTS'!$B$33:$O$33</c:f>
              <c:numCache>
                <c:formatCode>#,##0</c:formatCode>
                <c:ptCount val="14"/>
                <c:pt idx="0">
                  <c:v>80.178381999999999</c:v>
                </c:pt>
                <c:pt idx="1">
                  <c:v>71.355455000000006</c:v>
                </c:pt>
                <c:pt idx="2">
                  <c:v>75.772845000000004</c:v>
                </c:pt>
                <c:pt idx="3">
                  <c:v>76.430822000000006</c:v>
                </c:pt>
                <c:pt idx="4">
                  <c:v>74.492000000000004</c:v>
                </c:pt>
                <c:pt idx="5">
                  <c:v>71.732298</c:v>
                </c:pt>
                <c:pt idx="6">
                  <c:v>73.093000000000004</c:v>
                </c:pt>
                <c:pt idx="7">
                  <c:v>72.397000000000006</c:v>
                </c:pt>
                <c:pt idx="8">
                  <c:v>71.902238999999994</c:v>
                </c:pt>
                <c:pt idx="9">
                  <c:v>72.044539</c:v>
                </c:pt>
                <c:pt idx="10">
                  <c:v>70.891067000000007</c:v>
                </c:pt>
                <c:pt idx="11">
                  <c:v>68.156809999999993</c:v>
                </c:pt>
                <c:pt idx="12">
                  <c:v>66.239000000000004</c:v>
                </c:pt>
                <c:pt idx="13">
                  <c:v>67.475513000000007</c:v>
                </c:pt>
              </c:numCache>
            </c:numRef>
          </c:val>
          <c:smooth val="0"/>
          <c:extLst>
            <c:ext xmlns:c16="http://schemas.microsoft.com/office/drawing/2014/chart" uri="{C3380CC4-5D6E-409C-BE32-E72D297353CC}">
              <c16:uniqueId val="{00000003-1FAC-461E-893D-15EBE09CBBCB}"/>
            </c:ext>
          </c:extLst>
        </c:ser>
        <c:dLbls>
          <c:showLegendKey val="0"/>
          <c:showVal val="0"/>
          <c:showCatName val="0"/>
          <c:showSerName val="0"/>
          <c:showPercent val="0"/>
          <c:showBubbleSize val="0"/>
        </c:dLbls>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tonnes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midCat"/>
      </c:valAx>
      <c:spPr>
        <a:noFill/>
        <a:ln>
          <a:solidFill>
            <a:schemeClr val="tx1"/>
          </a:solidFill>
        </a:ln>
        <a:effectLst/>
      </c:spPr>
    </c:plotArea>
    <c:legend>
      <c:legendPos val="t"/>
      <c:layout>
        <c:manualLayout>
          <c:xMode val="edge"/>
          <c:yMode val="edge"/>
          <c:x val="0.10667872203130394"/>
          <c:y val="5.2608018345700128E-2"/>
          <c:w val="0.57135701787276594"/>
          <c:h val="5.9247320647419076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59614423197101E-2"/>
          <c:y val="3.8579213453513429E-2"/>
          <c:w val="0.88143560179977498"/>
          <c:h val="0.87825897008136433"/>
        </c:manualLayout>
      </c:layout>
      <c:lineChart>
        <c:grouping val="standard"/>
        <c:varyColors val="0"/>
        <c:ser>
          <c:idx val="7"/>
          <c:order val="0"/>
          <c:tx>
            <c:v>Wood pulp</c:v>
          </c:tx>
          <c:spPr>
            <a:ln w="28575" cap="rnd">
              <a:solidFill>
                <a:schemeClr val="accent4">
                  <a:lumMod val="40000"/>
                  <a:lumOff val="60000"/>
                </a:schemeClr>
              </a:solidFill>
              <a:round/>
            </a:ln>
            <a:effectLst/>
          </c:spPr>
          <c:marker>
            <c:symbol val="none"/>
          </c:marker>
          <c:cat>
            <c:numRef>
              <c:f>'FOREST PRODUCTS'!$B$3:$O$3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'FOREST PRODUCTS'!$B$32:$O$32</c:f>
              <c:numCache>
                <c:formatCode>#,##0</c:formatCode>
                <c:ptCount val="14"/>
                <c:pt idx="0">
                  <c:v>52.898853000000003</c:v>
                </c:pt>
                <c:pt idx="1">
                  <c:v>49.045971999999999</c:v>
                </c:pt>
                <c:pt idx="2">
                  <c:v>50.905938999999996</c:v>
                </c:pt>
                <c:pt idx="3">
                  <c:v>51.114621999999997</c:v>
                </c:pt>
                <c:pt idx="4">
                  <c:v>50.200530000000001</c:v>
                </c:pt>
                <c:pt idx="5">
                  <c:v>49.055100000000003</c:v>
                </c:pt>
                <c:pt idx="6">
                  <c:v>50.106639999999999</c:v>
                </c:pt>
                <c:pt idx="7">
                  <c:v>49.368209999999998</c:v>
                </c:pt>
                <c:pt idx="8">
                  <c:v>49.53443</c:v>
                </c:pt>
                <c:pt idx="9">
                  <c:v>49.247515999999997</c:v>
                </c:pt>
                <c:pt idx="10">
                  <c:v>53.233455999999997</c:v>
                </c:pt>
                <c:pt idx="11">
                  <c:v>52.061998000000003</c:v>
                </c:pt>
                <c:pt idx="12">
                  <c:v>50.871015</c:v>
                </c:pt>
                <c:pt idx="13">
                  <c:v>49.685000000000002</c:v>
                </c:pt>
              </c:numCache>
            </c:numRef>
          </c:val>
          <c:smooth val="0"/>
          <c:extLst>
            <c:ext xmlns:c16="http://schemas.microsoft.com/office/drawing/2014/chart" uri="{C3380CC4-5D6E-409C-BE32-E72D297353CC}">
              <c16:uniqueId val="{00000000-D713-4C8E-8AD0-3E55FD1BB1DB}"/>
            </c:ext>
          </c:extLst>
        </c:ser>
        <c:ser>
          <c:idx val="5"/>
          <c:order val="1"/>
          <c:tx>
            <c:v>Wood-based panels</c:v>
          </c:tx>
          <c:spPr>
            <a:ln w="28575" cap="rnd">
              <a:solidFill>
                <a:srgbClr val="FDB462"/>
              </a:solidFill>
              <a:round/>
            </a:ln>
            <a:effectLst/>
          </c:spPr>
          <c:marker>
            <c:symbol val="none"/>
          </c:marker>
          <c:cat>
            <c:numRef>
              <c:f>'FOREST PRODUCTS'!$B$3:$O$3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'FOREST PRODUCTS'!$B$31:$O$31</c:f>
              <c:numCache>
                <c:formatCode>0</c:formatCode>
                <c:ptCount val="14"/>
                <c:pt idx="0">
                  <c:v>45.729385000000008</c:v>
                </c:pt>
                <c:pt idx="1">
                  <c:v>44.155525700000005</c:v>
                </c:pt>
                <c:pt idx="2">
                  <c:v>41.849964</c:v>
                </c:pt>
                <c:pt idx="3">
                  <c:v>41.1447699</c:v>
                </c:pt>
                <c:pt idx="4">
                  <c:v>40.3767</c:v>
                </c:pt>
                <c:pt idx="5">
                  <c:v>42.981107000000002</c:v>
                </c:pt>
                <c:pt idx="6">
                  <c:v>45.577401999999999</c:v>
                </c:pt>
                <c:pt idx="7">
                  <c:v>45.836056499999998</c:v>
                </c:pt>
                <c:pt idx="8">
                  <c:v>46.743749000000001</c:v>
                </c:pt>
                <c:pt idx="9">
                  <c:v>69.238416000000001</c:v>
                </c:pt>
                <c:pt idx="10">
                  <c:v>67.339031500000004</c:v>
                </c:pt>
                <c:pt idx="11">
                  <c:v>67.775635199999996</c:v>
                </c:pt>
                <c:pt idx="12">
                  <c:v>66.632992400000006</c:v>
                </c:pt>
                <c:pt idx="13">
                  <c:v>67.226656899999995</c:v>
                </c:pt>
              </c:numCache>
            </c:numRef>
          </c:val>
          <c:smooth val="0"/>
          <c:extLst>
            <c:ext xmlns:c16="http://schemas.microsoft.com/office/drawing/2014/chart" uri="{C3380CC4-5D6E-409C-BE32-E72D297353CC}">
              <c16:uniqueId val="{00000001-D713-4C8E-8AD0-3E55FD1BB1DB}"/>
            </c:ext>
          </c:extLst>
        </c:ser>
        <c:ser>
          <c:idx val="0"/>
          <c:order val="2"/>
          <c:tx>
            <c:v>Wood residues</c:v>
          </c:tx>
          <c:spPr>
            <a:ln w="28575" cap="rnd">
              <a:solidFill>
                <a:srgbClr val="FCCDE5"/>
              </a:solidFill>
              <a:round/>
            </a:ln>
            <a:effectLst/>
          </c:spPr>
          <c:marker>
            <c:symbol val="none"/>
          </c:marker>
          <c:cat>
            <c:numRef>
              <c:f>'FOREST PRODUCTS'!$B$3:$O$3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'FOREST PRODUCTS'!$B$28:$O$28</c:f>
              <c:numCache>
                <c:formatCode>#,##0</c:formatCode>
                <c:ptCount val="14"/>
                <c:pt idx="0">
                  <c:v>22.805320000000002</c:v>
                </c:pt>
                <c:pt idx="1">
                  <c:v>14.364879999999999</c:v>
                </c:pt>
                <c:pt idx="2">
                  <c:v>17.400359999999999</c:v>
                </c:pt>
                <c:pt idx="3">
                  <c:v>17.247920000000001</c:v>
                </c:pt>
                <c:pt idx="4">
                  <c:v>18.245439999999999</c:v>
                </c:pt>
                <c:pt idx="5">
                  <c:v>19.53304</c:v>
                </c:pt>
                <c:pt idx="6">
                  <c:v>20.423999999999999</c:v>
                </c:pt>
                <c:pt idx="7">
                  <c:v>20.423999999999999</c:v>
                </c:pt>
                <c:pt idx="8">
                  <c:v>20.423999999999999</c:v>
                </c:pt>
                <c:pt idx="9">
                  <c:v>21.126999999999999</c:v>
                </c:pt>
                <c:pt idx="10">
                  <c:v>21.930678480000001</c:v>
                </c:pt>
                <c:pt idx="11">
                  <c:v>22.627594199999997</c:v>
                </c:pt>
                <c:pt idx="12">
                  <c:v>19.597609439999999</c:v>
                </c:pt>
                <c:pt idx="13">
                  <c:v>24.088571760000001</c:v>
                </c:pt>
              </c:numCache>
            </c:numRef>
          </c:val>
          <c:smooth val="0"/>
          <c:extLst>
            <c:ext xmlns:c16="http://schemas.microsoft.com/office/drawing/2014/chart" uri="{C3380CC4-5D6E-409C-BE32-E72D297353CC}">
              <c16:uniqueId val="{00000002-D713-4C8E-8AD0-3E55FD1BB1DB}"/>
            </c:ext>
          </c:extLst>
        </c:ser>
        <c:ser>
          <c:idx val="6"/>
          <c:order val="3"/>
          <c:tx>
            <c:v>Wood pellets</c:v>
          </c:tx>
          <c:spPr>
            <a:ln w="28575" cap="rnd">
              <a:solidFill>
                <a:srgbClr val="D9D9D9"/>
              </a:solidFill>
              <a:round/>
            </a:ln>
            <a:effectLst/>
          </c:spPr>
          <c:marker>
            <c:symbol val="none"/>
          </c:marker>
          <c:cat>
            <c:numRef>
              <c:f>'FOREST PRODUCTS'!$B$3:$O$3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'FOREST PRODUCTS'!$B$34:$O$34</c:f>
              <c:numCache>
                <c:formatCode>General</c:formatCode>
                <c:ptCount val="14"/>
                <c:pt idx="4" formatCode="#,##0">
                  <c:v>3.4740000000000002</c:v>
                </c:pt>
                <c:pt idx="5" formatCode="#,##0">
                  <c:v>4.7039999999999997</c:v>
                </c:pt>
                <c:pt idx="6" formatCode="#,##0">
                  <c:v>5.9470000000000001</c:v>
                </c:pt>
                <c:pt idx="7" formatCode="#,##0">
                  <c:v>6.5170000000000003</c:v>
                </c:pt>
                <c:pt idx="8" formatCode="#,##0">
                  <c:v>6.3929999999999998</c:v>
                </c:pt>
                <c:pt idx="9" formatCode="#,##0">
                  <c:v>6.9</c:v>
                </c:pt>
                <c:pt idx="10" formatCode="#,##0">
                  <c:v>7.4683609999999998</c:v>
                </c:pt>
                <c:pt idx="11" formatCode="#,##0">
                  <c:v>8.5927129999999998</c:v>
                </c:pt>
                <c:pt idx="12" formatCode="#,##0">
                  <c:v>8.4123590000000004</c:v>
                </c:pt>
                <c:pt idx="13" formatCode="#,##0">
                  <c:v>8.4485969999999995</c:v>
                </c:pt>
              </c:numCache>
            </c:numRef>
          </c:val>
          <c:smooth val="0"/>
          <c:extLst>
            <c:ext xmlns:c16="http://schemas.microsoft.com/office/drawing/2014/chart" uri="{C3380CC4-5D6E-409C-BE32-E72D297353CC}">
              <c16:uniqueId val="{00000003-D713-4C8E-8AD0-3E55FD1BB1DB}"/>
            </c:ext>
          </c:extLst>
        </c:ser>
        <c:dLbls>
          <c:showLegendKey val="0"/>
          <c:showVal val="0"/>
          <c:showCatName val="0"/>
          <c:showSerName val="0"/>
          <c:showPercent val="0"/>
          <c:showBubbleSize val="0"/>
        </c:dLbls>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tonnes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midCat"/>
      </c:valAx>
      <c:spPr>
        <a:noFill/>
        <a:ln>
          <a:solidFill>
            <a:schemeClr val="tx1"/>
          </a:solidFill>
        </a:ln>
        <a:effectLst/>
      </c:spPr>
    </c:plotArea>
    <c:legend>
      <c:legendPos val="t"/>
      <c:layout>
        <c:manualLayout>
          <c:xMode val="edge"/>
          <c:yMode val="edge"/>
          <c:x val="8.8821553555805524E-2"/>
          <c:y val="5.2607994313210851E-2"/>
          <c:w val="0.85052368453943261"/>
          <c:h val="5.9247320647419076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40746953433422"/>
          <c:y val="3.8579213453513429E-2"/>
          <c:w val="0.87947235224937925"/>
          <c:h val="0.87825897008136433"/>
        </c:manualLayout>
      </c:layout>
      <c:lineChart>
        <c:grouping val="standard"/>
        <c:varyColors val="0"/>
        <c:ser>
          <c:idx val="1"/>
          <c:order val="0"/>
          <c:tx>
            <c:strRef>
              <c:f>FUNDING!$A$5</c:f>
              <c:strCache>
                <c:ptCount val="1"/>
                <c:pt idx="0">
                  <c:v>Ethanol</c:v>
                </c:pt>
              </c:strCache>
            </c:strRef>
          </c:tx>
          <c:spPr>
            <a:ln w="28575" cap="rnd">
              <a:solidFill>
                <a:srgbClr val="FB9A99"/>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FUNDING!$B$5:$O$5</c:f>
              <c:numCache>
                <c:formatCode>General</c:formatCode>
                <c:ptCount val="14"/>
                <c:pt idx="0">
                  <c:v>315</c:v>
                </c:pt>
                <c:pt idx="1">
                  <c:v>307</c:v>
                </c:pt>
                <c:pt idx="2">
                  <c:v>277</c:v>
                </c:pt>
                <c:pt idx="3">
                  <c:v>199</c:v>
                </c:pt>
                <c:pt idx="4">
                  <c:v>180</c:v>
                </c:pt>
                <c:pt idx="5">
                  <c:v>184</c:v>
                </c:pt>
                <c:pt idx="6">
                  <c:v>188</c:v>
                </c:pt>
                <c:pt idx="7">
                  <c:v>190</c:v>
                </c:pt>
                <c:pt idx="8">
                  <c:v>141</c:v>
                </c:pt>
                <c:pt idx="9">
                  <c:v>145</c:v>
                </c:pt>
                <c:pt idx="10">
                  <c:v>150</c:v>
                </c:pt>
                <c:pt idx="11">
                  <c:v>153</c:v>
                </c:pt>
                <c:pt idx="12">
                  <c:v>107</c:v>
                </c:pt>
                <c:pt idx="13">
                  <c:v>125</c:v>
                </c:pt>
              </c:numCache>
            </c:numRef>
          </c:val>
          <c:smooth val="0"/>
          <c:extLst>
            <c:ext xmlns:c16="http://schemas.microsoft.com/office/drawing/2014/chart" uri="{C3380CC4-5D6E-409C-BE32-E72D297353CC}">
              <c16:uniqueId val="{00000005-1F57-43EC-B44B-965F7DDCCDE6}"/>
            </c:ext>
          </c:extLst>
        </c:ser>
        <c:ser>
          <c:idx val="0"/>
          <c:order val="1"/>
          <c:tx>
            <c:strRef>
              <c:f>FUNDING!$A$7</c:f>
              <c:strCache>
                <c:ptCount val="1"/>
                <c:pt idx="0">
                  <c:v>Biodiesel </c:v>
                </c:pt>
              </c:strCache>
            </c:strRef>
          </c:tx>
          <c:spPr>
            <a:ln w="28575" cap="rnd">
              <a:solidFill>
                <a:srgbClr val="A6CEE3"/>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FUNDING!$B$7:$O$7</c:f>
              <c:numCache>
                <c:formatCode>General</c:formatCode>
                <c:ptCount val="14"/>
                <c:pt idx="0">
                  <c:v>102</c:v>
                </c:pt>
                <c:pt idx="1">
                  <c:v>103</c:v>
                </c:pt>
                <c:pt idx="2">
                  <c:v>101</c:v>
                </c:pt>
                <c:pt idx="3">
                  <c:v>68</c:v>
                </c:pt>
                <c:pt idx="4">
                  <c:v>59</c:v>
                </c:pt>
                <c:pt idx="5">
                  <c:v>54</c:v>
                </c:pt>
                <c:pt idx="6">
                  <c:v>58</c:v>
                </c:pt>
                <c:pt idx="7">
                  <c:v>37</c:v>
                </c:pt>
                <c:pt idx="8">
                  <c:v>20</c:v>
                </c:pt>
                <c:pt idx="9">
                  <c:v>20</c:v>
                </c:pt>
                <c:pt idx="10">
                  <c:v>24</c:v>
                </c:pt>
                <c:pt idx="11">
                  <c:v>32</c:v>
                </c:pt>
                <c:pt idx="12">
                  <c:v>14</c:v>
                </c:pt>
                <c:pt idx="13">
                  <c:v>5</c:v>
                </c:pt>
              </c:numCache>
            </c:numRef>
          </c:val>
          <c:smooth val="0"/>
          <c:extLst>
            <c:ext xmlns:c16="http://schemas.microsoft.com/office/drawing/2014/chart" uri="{C3380CC4-5D6E-409C-BE32-E72D297353CC}">
              <c16:uniqueId val="{00000006-1F57-43EC-B44B-965F7DDCCDE6}"/>
            </c:ext>
          </c:extLst>
        </c:ser>
        <c:ser>
          <c:idx val="2"/>
          <c:order val="2"/>
          <c:tx>
            <c:strRef>
              <c:f>FUNDING!$A$13</c:f>
              <c:strCache>
                <c:ptCount val="1"/>
                <c:pt idx="0">
                  <c:v>Biogas</c:v>
                </c:pt>
              </c:strCache>
            </c:strRef>
          </c:tx>
          <c:spPr>
            <a:ln w="28575" cap="rnd">
              <a:solidFill>
                <a:srgbClr val="B2DF8A"/>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FUNDING!$B$13:$O$13</c:f>
              <c:numCache>
                <c:formatCode>General</c:formatCode>
                <c:ptCount val="14"/>
                <c:pt idx="0">
                  <c:v>23</c:v>
                </c:pt>
                <c:pt idx="1">
                  <c:v>25</c:v>
                </c:pt>
                <c:pt idx="2">
                  <c:v>27</c:v>
                </c:pt>
                <c:pt idx="3">
                  <c:v>23</c:v>
                </c:pt>
                <c:pt idx="4">
                  <c:v>17</c:v>
                </c:pt>
                <c:pt idx="5">
                  <c:v>18</c:v>
                </c:pt>
                <c:pt idx="6">
                  <c:v>24</c:v>
                </c:pt>
                <c:pt idx="7">
                  <c:v>19</c:v>
                </c:pt>
                <c:pt idx="8">
                  <c:v>24</c:v>
                </c:pt>
                <c:pt idx="9">
                  <c:v>16</c:v>
                </c:pt>
                <c:pt idx="10">
                  <c:v>12</c:v>
                </c:pt>
                <c:pt idx="11">
                  <c:v>21</c:v>
                </c:pt>
                <c:pt idx="12">
                  <c:v>16</c:v>
                </c:pt>
                <c:pt idx="13">
                  <c:v>7</c:v>
                </c:pt>
              </c:numCache>
            </c:numRef>
          </c:val>
          <c:smooth val="0"/>
          <c:extLst>
            <c:ext xmlns:c16="http://schemas.microsoft.com/office/drawing/2014/chart" uri="{C3380CC4-5D6E-409C-BE32-E72D297353CC}">
              <c16:uniqueId val="{00000008-1F57-43EC-B44B-965F7DDCCDE6}"/>
            </c:ext>
          </c:extLst>
        </c:ser>
        <c:ser>
          <c:idx val="3"/>
          <c:order val="3"/>
          <c:tx>
            <c:strRef>
              <c:f>FUNDING!$A$12</c:f>
              <c:strCache>
                <c:ptCount val="1"/>
                <c:pt idx="0">
                  <c:v>Waste to energy</c:v>
                </c:pt>
              </c:strCache>
            </c:strRef>
          </c:tx>
          <c:spPr>
            <a:ln w="28575" cap="rnd">
              <a:solidFill>
                <a:srgbClr val="CAB2D6"/>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FUNDING!$B$12:$O$12</c:f>
              <c:numCache>
                <c:formatCode>General</c:formatCode>
                <c:ptCount val="14"/>
                <c:pt idx="0">
                  <c:v>116</c:v>
                </c:pt>
                <c:pt idx="1">
                  <c:v>134</c:v>
                </c:pt>
                <c:pt idx="2">
                  <c:v>158</c:v>
                </c:pt>
                <c:pt idx="3">
                  <c:v>132</c:v>
                </c:pt>
                <c:pt idx="4">
                  <c:v>105</c:v>
                </c:pt>
                <c:pt idx="5">
                  <c:v>97</c:v>
                </c:pt>
                <c:pt idx="6">
                  <c:v>117</c:v>
                </c:pt>
                <c:pt idx="7">
                  <c:v>104</c:v>
                </c:pt>
                <c:pt idx="8">
                  <c:v>98</c:v>
                </c:pt>
                <c:pt idx="9">
                  <c:v>85</c:v>
                </c:pt>
                <c:pt idx="10">
                  <c:v>80</c:v>
                </c:pt>
                <c:pt idx="11">
                  <c:v>94</c:v>
                </c:pt>
                <c:pt idx="12">
                  <c:v>72</c:v>
                </c:pt>
                <c:pt idx="13">
                  <c:v>19</c:v>
                </c:pt>
              </c:numCache>
            </c:numRef>
          </c:val>
          <c:smooth val="0"/>
          <c:extLst>
            <c:ext xmlns:c16="http://schemas.microsoft.com/office/drawing/2014/chart" uri="{C3380CC4-5D6E-409C-BE32-E72D297353CC}">
              <c16:uniqueId val="{00000009-1F57-43EC-B44B-965F7DDCCDE6}"/>
            </c:ext>
          </c:extLst>
        </c:ser>
        <c:ser>
          <c:idx val="5"/>
          <c:order val="4"/>
          <c:tx>
            <c:strRef>
              <c:f>FUNDING!$A$11</c:f>
              <c:strCache>
                <c:ptCount val="1"/>
                <c:pt idx="0">
                  <c:v>Wood pellets</c:v>
                </c:pt>
              </c:strCache>
            </c:strRef>
          </c:tx>
          <c:spPr>
            <a:ln w="28575" cap="rnd">
              <a:solidFill>
                <a:srgbClr val="FDBF6F"/>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FUNDING!$B$11:$O$11</c:f>
              <c:numCache>
                <c:formatCode>General</c:formatCode>
                <c:ptCount val="14"/>
                <c:pt idx="0">
                  <c:v>9</c:v>
                </c:pt>
                <c:pt idx="1">
                  <c:v>16</c:v>
                </c:pt>
                <c:pt idx="2">
                  <c:v>21</c:v>
                </c:pt>
                <c:pt idx="3">
                  <c:v>15</c:v>
                </c:pt>
                <c:pt idx="4">
                  <c:v>19</c:v>
                </c:pt>
                <c:pt idx="5">
                  <c:v>17</c:v>
                </c:pt>
                <c:pt idx="6">
                  <c:v>19</c:v>
                </c:pt>
                <c:pt idx="7">
                  <c:v>9</c:v>
                </c:pt>
                <c:pt idx="8">
                  <c:v>16</c:v>
                </c:pt>
                <c:pt idx="9">
                  <c:v>11</c:v>
                </c:pt>
                <c:pt idx="10">
                  <c:v>8</c:v>
                </c:pt>
                <c:pt idx="11">
                  <c:v>10</c:v>
                </c:pt>
                <c:pt idx="12">
                  <c:v>5</c:v>
                </c:pt>
                <c:pt idx="13">
                  <c:v>7</c:v>
                </c:pt>
              </c:numCache>
            </c:numRef>
          </c:val>
          <c:smooth val="0"/>
          <c:extLst>
            <c:ext xmlns:c16="http://schemas.microsoft.com/office/drawing/2014/chart" uri="{C3380CC4-5D6E-409C-BE32-E72D297353CC}">
              <c16:uniqueId val="{0000000B-1F57-43EC-B44B-965F7DDCCDE6}"/>
            </c:ext>
          </c:extLst>
        </c:ser>
        <c:dLbls>
          <c:showLegendKey val="0"/>
          <c:showVal val="0"/>
          <c:showCatName val="0"/>
          <c:showSerName val="0"/>
          <c:showPercent val="0"/>
          <c:showBubbleSize val="0"/>
        </c:dLbls>
        <c:smooth val="0"/>
        <c:axId val="717164288"/>
        <c:axId val="717166256"/>
      </c:lineChart>
      <c:catAx>
        <c:axId val="71716428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max val="350"/>
          <c:min val="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projects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majorUnit val="100"/>
      </c:valAx>
      <c:spPr>
        <a:noFill/>
        <a:ln w="25400">
          <a:noFill/>
        </a:ln>
        <a:effectLst/>
      </c:spPr>
    </c:plotArea>
    <c:legend>
      <c:legendPos val="t"/>
      <c:layout>
        <c:manualLayout>
          <c:xMode val="edge"/>
          <c:yMode val="edge"/>
          <c:x val="0.10667872203130394"/>
          <c:y val="6.3129622014840153E-2"/>
          <c:w val="0.8617229096362955"/>
          <c:h val="7.1535159667541565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86949343913487"/>
          <c:y val="3.8579213453513429E-2"/>
          <c:w val="0.88001016630454831"/>
          <c:h val="0.87825897008136433"/>
        </c:manualLayout>
      </c:layout>
      <c:lineChart>
        <c:grouping val="standard"/>
        <c:varyColors val="0"/>
        <c:ser>
          <c:idx val="0"/>
          <c:order val="0"/>
          <c:tx>
            <c:strRef>
              <c:f>FUNDING!$A$17</c:f>
              <c:strCache>
                <c:ptCount val="1"/>
                <c:pt idx="0">
                  <c:v>Enzymes</c:v>
                </c:pt>
              </c:strCache>
            </c:strRef>
          </c:tx>
          <c:spPr>
            <a:ln w="28575" cap="rnd">
              <a:solidFill>
                <a:srgbClr val="FB9A99"/>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FUNDING!$B$17:$O$17</c:f>
              <c:numCache>
                <c:formatCode>General</c:formatCode>
                <c:ptCount val="14"/>
                <c:pt idx="0">
                  <c:v>343</c:v>
                </c:pt>
                <c:pt idx="1">
                  <c:v>411</c:v>
                </c:pt>
                <c:pt idx="2">
                  <c:v>345</c:v>
                </c:pt>
                <c:pt idx="3">
                  <c:v>285</c:v>
                </c:pt>
                <c:pt idx="4">
                  <c:v>246</c:v>
                </c:pt>
                <c:pt idx="5">
                  <c:v>245</c:v>
                </c:pt>
                <c:pt idx="6">
                  <c:v>304</c:v>
                </c:pt>
                <c:pt idx="7">
                  <c:v>261</c:v>
                </c:pt>
                <c:pt idx="8">
                  <c:v>258</c:v>
                </c:pt>
                <c:pt idx="9">
                  <c:v>211</c:v>
                </c:pt>
                <c:pt idx="10">
                  <c:v>260</c:v>
                </c:pt>
                <c:pt idx="11">
                  <c:v>233</c:v>
                </c:pt>
                <c:pt idx="12">
                  <c:v>169</c:v>
                </c:pt>
                <c:pt idx="13">
                  <c:v>154</c:v>
                </c:pt>
              </c:numCache>
            </c:numRef>
          </c:val>
          <c:smooth val="0"/>
          <c:extLst>
            <c:ext xmlns:c16="http://schemas.microsoft.com/office/drawing/2014/chart" uri="{C3380CC4-5D6E-409C-BE32-E72D297353CC}">
              <c16:uniqueId val="{00000009-ACE7-4A5E-817C-3C0D08626E4C}"/>
            </c:ext>
          </c:extLst>
        </c:ser>
        <c:ser>
          <c:idx val="1"/>
          <c:order val="1"/>
          <c:tx>
            <c:strRef>
              <c:f>FUNDING!$A$14</c:f>
              <c:strCache>
                <c:ptCount val="1"/>
                <c:pt idx="0">
                  <c:v>Bioproducts</c:v>
                </c:pt>
              </c:strCache>
            </c:strRef>
          </c:tx>
          <c:spPr>
            <a:ln w="28575" cap="rnd">
              <a:solidFill>
                <a:srgbClr val="A6CEE3"/>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FUNDING!$B$14:$O$14</c:f>
              <c:numCache>
                <c:formatCode>General</c:formatCode>
                <c:ptCount val="14"/>
                <c:pt idx="0">
                  <c:v>52</c:v>
                </c:pt>
                <c:pt idx="1">
                  <c:v>69</c:v>
                </c:pt>
                <c:pt idx="2">
                  <c:v>66</c:v>
                </c:pt>
                <c:pt idx="3">
                  <c:v>55</c:v>
                </c:pt>
                <c:pt idx="4">
                  <c:v>41</c:v>
                </c:pt>
                <c:pt idx="5">
                  <c:v>48</c:v>
                </c:pt>
                <c:pt idx="6">
                  <c:v>61</c:v>
                </c:pt>
                <c:pt idx="7">
                  <c:v>45</c:v>
                </c:pt>
                <c:pt idx="8">
                  <c:v>36</c:v>
                </c:pt>
                <c:pt idx="9">
                  <c:v>42</c:v>
                </c:pt>
                <c:pt idx="10">
                  <c:v>39</c:v>
                </c:pt>
                <c:pt idx="11">
                  <c:v>44</c:v>
                </c:pt>
                <c:pt idx="12">
                  <c:v>30</c:v>
                </c:pt>
                <c:pt idx="13">
                  <c:v>17</c:v>
                </c:pt>
              </c:numCache>
            </c:numRef>
          </c:val>
          <c:smooth val="0"/>
          <c:extLst>
            <c:ext xmlns:c16="http://schemas.microsoft.com/office/drawing/2014/chart" uri="{C3380CC4-5D6E-409C-BE32-E72D297353CC}">
              <c16:uniqueId val="{0000000A-ACE7-4A5E-817C-3C0D08626E4C}"/>
            </c:ext>
          </c:extLst>
        </c:ser>
        <c:ser>
          <c:idx val="2"/>
          <c:order val="2"/>
          <c:tx>
            <c:strRef>
              <c:f>FUNDING!$A$15</c:f>
              <c:strCache>
                <c:ptCount val="1"/>
                <c:pt idx="0">
                  <c:v>Bioplastics</c:v>
                </c:pt>
              </c:strCache>
            </c:strRef>
          </c:tx>
          <c:spPr>
            <a:ln w="28575" cap="rnd">
              <a:solidFill>
                <a:srgbClr val="B2DF8A"/>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FUNDING!$B$15:$O$15</c:f>
              <c:numCache>
                <c:formatCode>General</c:formatCode>
                <c:ptCount val="14"/>
                <c:pt idx="0">
                  <c:v>9</c:v>
                </c:pt>
                <c:pt idx="1">
                  <c:v>11</c:v>
                </c:pt>
                <c:pt idx="2">
                  <c:v>12</c:v>
                </c:pt>
                <c:pt idx="3">
                  <c:v>8</c:v>
                </c:pt>
                <c:pt idx="4">
                  <c:v>8</c:v>
                </c:pt>
                <c:pt idx="5">
                  <c:v>6</c:v>
                </c:pt>
                <c:pt idx="6">
                  <c:v>8</c:v>
                </c:pt>
                <c:pt idx="7">
                  <c:v>10</c:v>
                </c:pt>
                <c:pt idx="8">
                  <c:v>8</c:v>
                </c:pt>
                <c:pt idx="9">
                  <c:v>7</c:v>
                </c:pt>
                <c:pt idx="10">
                  <c:v>8</c:v>
                </c:pt>
                <c:pt idx="11">
                  <c:v>8</c:v>
                </c:pt>
                <c:pt idx="12">
                  <c:v>3</c:v>
                </c:pt>
                <c:pt idx="13">
                  <c:v>6</c:v>
                </c:pt>
              </c:numCache>
            </c:numRef>
          </c:val>
          <c:smooth val="0"/>
          <c:extLst>
            <c:ext xmlns:c16="http://schemas.microsoft.com/office/drawing/2014/chart" uri="{C3380CC4-5D6E-409C-BE32-E72D297353CC}">
              <c16:uniqueId val="{0000000B-ACE7-4A5E-817C-3C0D08626E4C}"/>
            </c:ext>
          </c:extLst>
        </c:ser>
        <c:ser>
          <c:idx val="3"/>
          <c:order val="3"/>
          <c:tx>
            <c:strRef>
              <c:f>FUNDING!$A$16</c:f>
              <c:strCache>
                <c:ptCount val="1"/>
                <c:pt idx="0">
                  <c:v>Biochemicals</c:v>
                </c:pt>
              </c:strCache>
            </c:strRef>
          </c:tx>
          <c:spPr>
            <a:ln w="28575" cap="rnd">
              <a:solidFill>
                <a:srgbClr val="CAB2D6"/>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FUNDING!$B$16:$O$16</c:f>
              <c:numCache>
                <c:formatCode>General</c:formatCode>
                <c:ptCount val="14"/>
                <c:pt idx="0">
                  <c:v>10</c:v>
                </c:pt>
                <c:pt idx="1">
                  <c:v>29</c:v>
                </c:pt>
                <c:pt idx="2">
                  <c:v>14</c:v>
                </c:pt>
                <c:pt idx="3">
                  <c:v>17</c:v>
                </c:pt>
                <c:pt idx="4">
                  <c:v>10</c:v>
                </c:pt>
                <c:pt idx="5">
                  <c:v>24</c:v>
                </c:pt>
                <c:pt idx="6">
                  <c:v>17</c:v>
                </c:pt>
                <c:pt idx="7">
                  <c:v>9</c:v>
                </c:pt>
                <c:pt idx="8">
                  <c:v>8</c:v>
                </c:pt>
                <c:pt idx="9">
                  <c:v>10</c:v>
                </c:pt>
                <c:pt idx="10">
                  <c:v>12</c:v>
                </c:pt>
                <c:pt idx="11">
                  <c:v>9</c:v>
                </c:pt>
                <c:pt idx="12">
                  <c:v>3</c:v>
                </c:pt>
                <c:pt idx="13">
                  <c:v>9</c:v>
                </c:pt>
              </c:numCache>
            </c:numRef>
          </c:val>
          <c:smooth val="0"/>
          <c:extLst>
            <c:ext xmlns:c16="http://schemas.microsoft.com/office/drawing/2014/chart" uri="{C3380CC4-5D6E-409C-BE32-E72D297353CC}">
              <c16:uniqueId val="{0000000C-ACE7-4A5E-817C-3C0D08626E4C}"/>
            </c:ext>
          </c:extLst>
        </c:ser>
        <c:dLbls>
          <c:showLegendKey val="0"/>
          <c:showVal val="0"/>
          <c:showCatName val="0"/>
          <c:showSerName val="0"/>
          <c:showPercent val="0"/>
          <c:showBubbleSize val="0"/>
        </c:dLbls>
        <c:smooth val="0"/>
        <c:axId val="717164288"/>
        <c:axId val="717166256"/>
      </c:lineChart>
      <c:catAx>
        <c:axId val="71716428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projects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majorUnit val="100"/>
      </c:valAx>
      <c:spPr>
        <a:noFill/>
        <a:ln w="25400">
          <a:noFill/>
        </a:ln>
        <a:effectLst/>
      </c:spPr>
    </c:plotArea>
    <c:legend>
      <c:legendPos val="t"/>
      <c:layout>
        <c:manualLayout>
          <c:xMode val="edge"/>
          <c:yMode val="edge"/>
          <c:x val="0.10667872203130394"/>
          <c:y val="6.3129622014840153E-2"/>
          <c:w val="0.70621422322209726"/>
          <c:h val="5.9247320647419076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539352511867788E-2"/>
          <c:y val="3.8579213453513429E-2"/>
          <c:w val="0.89334034895528514"/>
          <c:h val="0.87825897008136433"/>
        </c:manualLayout>
      </c:layout>
      <c:lineChart>
        <c:grouping val="standard"/>
        <c:varyColors val="0"/>
        <c:ser>
          <c:idx val="4"/>
          <c:order val="0"/>
          <c:tx>
            <c:strRef>
              <c:f>FUNDING!$A$6</c:f>
              <c:strCache>
                <c:ptCount val="1"/>
                <c:pt idx="0">
                  <c:v>Biobutanol</c:v>
                </c:pt>
              </c:strCache>
            </c:strRef>
          </c:tx>
          <c:spPr>
            <a:ln w="28575" cap="rnd">
              <a:solidFill>
                <a:srgbClr val="FB9A99"/>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FUNDING!$B$6:$O$6</c:f>
              <c:numCache>
                <c:formatCode>General</c:formatCode>
                <c:ptCount val="14"/>
                <c:pt idx="0">
                  <c:v>4</c:v>
                </c:pt>
                <c:pt idx="1">
                  <c:v>4</c:v>
                </c:pt>
                <c:pt idx="2">
                  <c:v>3</c:v>
                </c:pt>
                <c:pt idx="3">
                  <c:v>2</c:v>
                </c:pt>
                <c:pt idx="4">
                  <c:v>5</c:v>
                </c:pt>
                <c:pt idx="5">
                  <c:v>2</c:v>
                </c:pt>
                <c:pt idx="6">
                  <c:v>4</c:v>
                </c:pt>
                <c:pt idx="7">
                  <c:v>0</c:v>
                </c:pt>
                <c:pt idx="8">
                  <c:v>2</c:v>
                </c:pt>
                <c:pt idx="9">
                  <c:v>0</c:v>
                </c:pt>
                <c:pt idx="10">
                  <c:v>2</c:v>
                </c:pt>
                <c:pt idx="11">
                  <c:v>1</c:v>
                </c:pt>
                <c:pt idx="12">
                  <c:v>0</c:v>
                </c:pt>
                <c:pt idx="13">
                  <c:v>0</c:v>
                </c:pt>
              </c:numCache>
            </c:numRef>
          </c:val>
          <c:smooth val="0"/>
          <c:extLst>
            <c:ext xmlns:c16="http://schemas.microsoft.com/office/drawing/2014/chart" uri="{C3380CC4-5D6E-409C-BE32-E72D297353CC}">
              <c16:uniqueId val="{00000004-8BA8-4255-8C06-029D29510CAE}"/>
            </c:ext>
          </c:extLst>
        </c:ser>
        <c:ser>
          <c:idx val="6"/>
          <c:order val="1"/>
          <c:tx>
            <c:strRef>
              <c:f>FUNDING!$A$8</c:f>
              <c:strCache>
                <c:ptCount val="1"/>
                <c:pt idx="0">
                  <c:v>Renewable diesel</c:v>
                </c:pt>
              </c:strCache>
            </c:strRef>
          </c:tx>
          <c:spPr>
            <a:ln w="28575" cap="rnd">
              <a:solidFill>
                <a:srgbClr val="A6CEE3"/>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FUNDING!$B$8:$O$8</c:f>
              <c:numCache>
                <c:formatCode>General</c:formatCode>
                <c:ptCount val="14"/>
                <c:pt idx="0">
                  <c:v>15</c:v>
                </c:pt>
                <c:pt idx="1">
                  <c:v>29</c:v>
                </c:pt>
                <c:pt idx="2">
                  <c:v>21</c:v>
                </c:pt>
                <c:pt idx="3">
                  <c:v>18</c:v>
                </c:pt>
                <c:pt idx="4">
                  <c:v>20</c:v>
                </c:pt>
                <c:pt idx="5">
                  <c:v>20</c:v>
                </c:pt>
                <c:pt idx="6">
                  <c:v>14</c:v>
                </c:pt>
                <c:pt idx="7">
                  <c:v>9</c:v>
                </c:pt>
                <c:pt idx="8">
                  <c:v>6</c:v>
                </c:pt>
                <c:pt idx="9">
                  <c:v>5</c:v>
                </c:pt>
                <c:pt idx="10">
                  <c:v>7</c:v>
                </c:pt>
                <c:pt idx="11">
                  <c:v>8</c:v>
                </c:pt>
                <c:pt idx="12">
                  <c:v>3</c:v>
                </c:pt>
                <c:pt idx="13">
                  <c:v>2</c:v>
                </c:pt>
              </c:numCache>
            </c:numRef>
          </c:val>
          <c:smooth val="0"/>
          <c:extLst>
            <c:ext xmlns:c16="http://schemas.microsoft.com/office/drawing/2014/chart" uri="{C3380CC4-5D6E-409C-BE32-E72D297353CC}">
              <c16:uniqueId val="{00000006-8BA8-4255-8C06-029D29510CAE}"/>
            </c:ext>
          </c:extLst>
        </c:ser>
        <c:ser>
          <c:idx val="7"/>
          <c:order val="2"/>
          <c:tx>
            <c:strRef>
              <c:f>FUNDING!$A$9</c:f>
              <c:strCache>
                <c:ptCount val="1"/>
                <c:pt idx="0">
                  <c:v>Recycled greases</c:v>
                </c:pt>
              </c:strCache>
            </c:strRef>
          </c:tx>
          <c:spPr>
            <a:ln w="28575" cap="rnd">
              <a:solidFill>
                <a:srgbClr val="B2DF8A"/>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FUNDING!$B$9:$O$9</c:f>
              <c:numCache>
                <c:formatCode>General</c:formatCode>
                <c:ptCount val="14"/>
                <c:pt idx="0">
                  <c:v>0</c:v>
                </c:pt>
                <c:pt idx="1">
                  <c:v>0</c:v>
                </c:pt>
                <c:pt idx="2">
                  <c:v>0</c:v>
                </c:pt>
                <c:pt idx="3">
                  <c:v>0</c:v>
                </c:pt>
                <c:pt idx="4">
                  <c:v>0</c:v>
                </c:pt>
                <c:pt idx="5">
                  <c:v>0</c:v>
                </c:pt>
                <c:pt idx="6">
                  <c:v>1</c:v>
                </c:pt>
                <c:pt idx="7">
                  <c:v>0</c:v>
                </c:pt>
                <c:pt idx="8">
                  <c:v>0</c:v>
                </c:pt>
                <c:pt idx="9">
                  <c:v>1</c:v>
                </c:pt>
                <c:pt idx="10">
                  <c:v>0</c:v>
                </c:pt>
                <c:pt idx="11">
                  <c:v>0</c:v>
                </c:pt>
                <c:pt idx="12">
                  <c:v>0</c:v>
                </c:pt>
                <c:pt idx="13">
                  <c:v>0</c:v>
                </c:pt>
              </c:numCache>
            </c:numRef>
          </c:val>
          <c:smooth val="0"/>
          <c:extLst>
            <c:ext xmlns:c16="http://schemas.microsoft.com/office/drawing/2014/chart" uri="{C3380CC4-5D6E-409C-BE32-E72D297353CC}">
              <c16:uniqueId val="{00000007-8BA8-4255-8C06-029D29510CAE}"/>
            </c:ext>
          </c:extLst>
        </c:ser>
        <c:ser>
          <c:idx val="9"/>
          <c:order val="3"/>
          <c:tx>
            <c:strRef>
              <c:f>FUNDING!$A$10</c:f>
              <c:strCache>
                <c:ptCount val="1"/>
                <c:pt idx="0">
                  <c:v>Animal Fats</c:v>
                </c:pt>
              </c:strCache>
            </c:strRef>
          </c:tx>
          <c:spPr>
            <a:ln w="28575" cap="rnd">
              <a:solidFill>
                <a:srgbClr val="CAB2D6"/>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FUNDING!$B$10:$O$10</c:f>
              <c:numCache>
                <c:formatCode>General</c:formatCode>
                <c:ptCount val="14"/>
                <c:pt idx="0">
                  <c:v>15</c:v>
                </c:pt>
                <c:pt idx="1">
                  <c:v>46</c:v>
                </c:pt>
                <c:pt idx="2">
                  <c:v>22</c:v>
                </c:pt>
                <c:pt idx="3">
                  <c:v>21</c:v>
                </c:pt>
                <c:pt idx="4">
                  <c:v>16</c:v>
                </c:pt>
                <c:pt idx="5">
                  <c:v>22</c:v>
                </c:pt>
                <c:pt idx="6">
                  <c:v>27</c:v>
                </c:pt>
                <c:pt idx="7">
                  <c:v>21</c:v>
                </c:pt>
                <c:pt idx="8">
                  <c:v>15</c:v>
                </c:pt>
                <c:pt idx="9">
                  <c:v>17</c:v>
                </c:pt>
                <c:pt idx="10">
                  <c:v>10</c:v>
                </c:pt>
                <c:pt idx="11">
                  <c:v>12</c:v>
                </c:pt>
                <c:pt idx="12">
                  <c:v>5</c:v>
                </c:pt>
                <c:pt idx="13">
                  <c:v>4</c:v>
                </c:pt>
              </c:numCache>
            </c:numRef>
          </c:val>
          <c:smooth val="0"/>
          <c:extLst>
            <c:ext xmlns:c16="http://schemas.microsoft.com/office/drawing/2014/chart" uri="{C3380CC4-5D6E-409C-BE32-E72D297353CC}">
              <c16:uniqueId val="{00000008-8BA8-4255-8C06-029D29510CAE}"/>
            </c:ext>
          </c:extLst>
        </c:ser>
        <c:dLbls>
          <c:showLegendKey val="0"/>
          <c:showVal val="0"/>
          <c:showCatName val="0"/>
          <c:showSerName val="0"/>
          <c:showPercent val="0"/>
          <c:showBubbleSize val="0"/>
        </c:dLbls>
        <c:smooth val="0"/>
        <c:axId val="717164288"/>
        <c:axId val="717166256"/>
      </c:lineChart>
      <c:catAx>
        <c:axId val="71716428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projects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w="25400">
          <a:noFill/>
        </a:ln>
        <a:effectLst/>
      </c:spPr>
    </c:plotArea>
    <c:legend>
      <c:legendPos val="t"/>
      <c:layout>
        <c:manualLayout>
          <c:xMode val="edge"/>
          <c:yMode val="edge"/>
          <c:x val="0.1066787246014167"/>
          <c:y val="5.2739952960425392E-2"/>
          <c:w val="0.85378640169978748"/>
          <c:h val="5.764627077865267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9525">
              <a:solidFill>
                <a:schemeClr val="tx1"/>
              </a:solidFill>
            </a:ln>
          </c:spPr>
          <c:dPt>
            <c:idx val="0"/>
            <c:bubble3D val="0"/>
            <c:spPr>
              <a:solidFill>
                <a:srgbClr val="FB8072"/>
              </a:solidFill>
              <a:ln w="9525">
                <a:solidFill>
                  <a:schemeClr val="tx1"/>
                </a:solidFill>
              </a:ln>
              <a:effectLst/>
            </c:spPr>
            <c:extLst>
              <c:ext xmlns:c16="http://schemas.microsoft.com/office/drawing/2014/chart" uri="{C3380CC4-5D6E-409C-BE32-E72D297353CC}">
                <c16:uniqueId val="{00000001-4C92-41B7-83AD-CFD2FA24A99A}"/>
              </c:ext>
            </c:extLst>
          </c:dPt>
          <c:dPt>
            <c:idx val="1"/>
            <c:bubble3D val="0"/>
            <c:spPr>
              <a:solidFill>
                <a:srgbClr val="80B1D3"/>
              </a:solidFill>
              <a:ln w="9525">
                <a:solidFill>
                  <a:schemeClr val="tx1"/>
                </a:solidFill>
              </a:ln>
              <a:effectLst/>
            </c:spPr>
            <c:extLst>
              <c:ext xmlns:c16="http://schemas.microsoft.com/office/drawing/2014/chart" uri="{C3380CC4-5D6E-409C-BE32-E72D297353CC}">
                <c16:uniqueId val="{00000003-4C92-41B7-83AD-CFD2FA24A99A}"/>
              </c:ext>
            </c:extLst>
          </c:dPt>
          <c:dPt>
            <c:idx val="2"/>
            <c:bubble3D val="0"/>
            <c:spPr>
              <a:solidFill>
                <a:srgbClr val="B3DE69"/>
              </a:solidFill>
              <a:ln w="9525">
                <a:solidFill>
                  <a:schemeClr val="tx1"/>
                </a:solidFill>
              </a:ln>
              <a:effectLst/>
            </c:spPr>
            <c:extLst>
              <c:ext xmlns:c16="http://schemas.microsoft.com/office/drawing/2014/chart" uri="{C3380CC4-5D6E-409C-BE32-E72D297353CC}">
                <c16:uniqueId val="{00000005-4C92-41B7-83AD-CFD2FA24A99A}"/>
              </c:ext>
            </c:extLst>
          </c:dPt>
          <c:dPt>
            <c:idx val="3"/>
            <c:bubble3D val="0"/>
            <c:spPr>
              <a:solidFill>
                <a:srgbClr val="BEBADA"/>
              </a:solidFill>
              <a:ln w="9525">
                <a:solidFill>
                  <a:schemeClr val="tx1"/>
                </a:solidFill>
              </a:ln>
              <a:effectLst/>
            </c:spPr>
            <c:extLst>
              <c:ext xmlns:c16="http://schemas.microsoft.com/office/drawing/2014/chart" uri="{C3380CC4-5D6E-409C-BE32-E72D297353CC}">
                <c16:uniqueId val="{00000007-4C92-41B7-83AD-CFD2FA24A99A}"/>
              </c:ext>
            </c:extLst>
          </c:dPt>
          <c:cat>
            <c:strRef>
              <c:f>FUNDING!$A$36:$A$39</c:f>
              <c:strCache>
                <c:ptCount val="4"/>
                <c:pt idx="0">
                  <c:v>0-250K</c:v>
                </c:pt>
                <c:pt idx="1">
                  <c:v>250K-500K</c:v>
                </c:pt>
                <c:pt idx="2">
                  <c:v>500K-1M</c:v>
                </c:pt>
                <c:pt idx="3">
                  <c:v>&gt;1M</c:v>
                </c:pt>
              </c:strCache>
            </c:strRef>
          </c:cat>
          <c:val>
            <c:numRef>
              <c:f>FUNDING!$O$36:$O$39</c:f>
              <c:numCache>
                <c:formatCode>General</c:formatCode>
                <c:ptCount val="4"/>
                <c:pt idx="0">
                  <c:v>141</c:v>
                </c:pt>
                <c:pt idx="1">
                  <c:v>24</c:v>
                </c:pt>
                <c:pt idx="2">
                  <c:v>1</c:v>
                </c:pt>
                <c:pt idx="3">
                  <c:v>3</c:v>
                </c:pt>
              </c:numCache>
            </c:numRef>
          </c:val>
          <c:extLst>
            <c:ext xmlns:c16="http://schemas.microsoft.com/office/drawing/2014/chart" uri="{C3380CC4-5D6E-409C-BE32-E72D297353CC}">
              <c16:uniqueId val="{00000008-4C92-41B7-83AD-CFD2FA24A99A}"/>
            </c:ext>
          </c:extLst>
        </c:ser>
        <c:dLbls>
          <c:showLegendKey val="0"/>
          <c:showVal val="0"/>
          <c:showCatName val="0"/>
          <c:showSerName val="0"/>
          <c:showPercent val="0"/>
          <c:showBubbleSize val="0"/>
          <c:showLeaderLines val="1"/>
        </c:dLbls>
        <c:firstSliceAng val="0"/>
        <c:holeSize val="50"/>
      </c:doughnutChart>
      <c:spPr>
        <a:noFill/>
        <a:ln w="9525">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9525">
              <a:solidFill>
                <a:sysClr val="windowText" lastClr="000000"/>
              </a:solidFill>
            </a:ln>
          </c:spPr>
          <c:dPt>
            <c:idx val="0"/>
            <c:bubble3D val="0"/>
            <c:spPr>
              <a:solidFill>
                <a:srgbClr val="FB8072"/>
              </a:solidFill>
              <a:ln w="9525">
                <a:solidFill>
                  <a:sysClr val="windowText" lastClr="000000"/>
                </a:solidFill>
              </a:ln>
              <a:effectLst/>
            </c:spPr>
            <c:extLst>
              <c:ext xmlns:c16="http://schemas.microsoft.com/office/drawing/2014/chart" uri="{C3380CC4-5D6E-409C-BE32-E72D297353CC}">
                <c16:uniqueId val="{00000001-048A-4CC5-893F-5324D9244DC9}"/>
              </c:ext>
            </c:extLst>
          </c:dPt>
          <c:dPt>
            <c:idx val="1"/>
            <c:bubble3D val="0"/>
            <c:spPr>
              <a:solidFill>
                <a:srgbClr val="80B1D3"/>
              </a:solidFill>
              <a:ln w="9525">
                <a:solidFill>
                  <a:sysClr val="windowText" lastClr="000000"/>
                </a:solidFill>
              </a:ln>
              <a:effectLst/>
            </c:spPr>
            <c:extLst>
              <c:ext xmlns:c16="http://schemas.microsoft.com/office/drawing/2014/chart" uri="{C3380CC4-5D6E-409C-BE32-E72D297353CC}">
                <c16:uniqueId val="{00000003-048A-4CC5-893F-5324D9244DC9}"/>
              </c:ext>
            </c:extLst>
          </c:dPt>
          <c:dPt>
            <c:idx val="2"/>
            <c:bubble3D val="0"/>
            <c:spPr>
              <a:solidFill>
                <a:srgbClr val="BEBADA"/>
              </a:solidFill>
              <a:ln w="9525">
                <a:solidFill>
                  <a:sysClr val="windowText" lastClr="000000"/>
                </a:solidFill>
              </a:ln>
              <a:effectLst/>
            </c:spPr>
            <c:extLst>
              <c:ext xmlns:c16="http://schemas.microsoft.com/office/drawing/2014/chart" uri="{C3380CC4-5D6E-409C-BE32-E72D297353CC}">
                <c16:uniqueId val="{00000005-048A-4CC5-893F-5324D9244DC9}"/>
              </c:ext>
            </c:extLst>
          </c:dPt>
          <c:dPt>
            <c:idx val="3"/>
            <c:bubble3D val="0"/>
            <c:spPr>
              <a:solidFill>
                <a:srgbClr val="CAB2D6"/>
              </a:solidFill>
              <a:ln w="9525">
                <a:solidFill>
                  <a:sysClr val="windowText" lastClr="000000"/>
                </a:solidFill>
              </a:ln>
              <a:effectLst/>
            </c:spPr>
            <c:extLst>
              <c:ext xmlns:c16="http://schemas.microsoft.com/office/drawing/2014/chart" uri="{C3380CC4-5D6E-409C-BE32-E72D297353CC}">
                <c16:uniqueId val="{00000007-048A-4CC5-893F-5324D9244DC9}"/>
              </c:ext>
            </c:extLst>
          </c:dPt>
          <c:cat>
            <c:strRef>
              <c:f>FUNDING!$A$36:$A$39</c:f>
              <c:strCache>
                <c:ptCount val="4"/>
                <c:pt idx="0">
                  <c:v>0-250K</c:v>
                </c:pt>
                <c:pt idx="1">
                  <c:v>250K-500K</c:v>
                </c:pt>
                <c:pt idx="2">
                  <c:v>500K-1M</c:v>
                </c:pt>
                <c:pt idx="3">
                  <c:v>&gt;1M</c:v>
                </c:pt>
              </c:strCache>
            </c:strRef>
          </c:cat>
          <c:val>
            <c:numRef>
              <c:f>FUNDING!$P$36:$P$39</c:f>
              <c:numCache>
                <c:formatCode>General</c:formatCode>
                <c:ptCount val="4"/>
                <c:pt idx="0">
                  <c:v>3</c:v>
                </c:pt>
                <c:pt idx="1">
                  <c:v>1</c:v>
                </c:pt>
                <c:pt idx="2">
                  <c:v>0</c:v>
                </c:pt>
                <c:pt idx="3">
                  <c:v>1</c:v>
                </c:pt>
              </c:numCache>
            </c:numRef>
          </c:val>
          <c:extLst>
            <c:ext xmlns:c16="http://schemas.microsoft.com/office/drawing/2014/chart" uri="{C3380CC4-5D6E-409C-BE32-E72D297353CC}">
              <c16:uniqueId val="{00000008-048A-4CC5-893F-5324D9244DC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9525">
              <a:solidFill>
                <a:sysClr val="windowText" lastClr="000000"/>
              </a:solidFill>
            </a:ln>
          </c:spPr>
          <c:dPt>
            <c:idx val="0"/>
            <c:bubble3D val="0"/>
            <c:spPr>
              <a:solidFill>
                <a:srgbClr val="FB8072"/>
              </a:solidFill>
              <a:ln w="9525">
                <a:solidFill>
                  <a:sysClr val="windowText" lastClr="000000"/>
                </a:solidFill>
              </a:ln>
              <a:effectLst/>
            </c:spPr>
            <c:extLst>
              <c:ext xmlns:c16="http://schemas.microsoft.com/office/drawing/2014/chart" uri="{C3380CC4-5D6E-409C-BE32-E72D297353CC}">
                <c16:uniqueId val="{00000001-BD60-4D8A-890A-AE9496326904}"/>
              </c:ext>
            </c:extLst>
          </c:dPt>
          <c:dPt>
            <c:idx val="1"/>
            <c:bubble3D val="0"/>
            <c:spPr>
              <a:solidFill>
                <a:srgbClr val="80B1D3"/>
              </a:solidFill>
              <a:ln w="9525">
                <a:solidFill>
                  <a:sysClr val="windowText" lastClr="000000"/>
                </a:solidFill>
              </a:ln>
              <a:effectLst/>
            </c:spPr>
            <c:extLst>
              <c:ext xmlns:c16="http://schemas.microsoft.com/office/drawing/2014/chart" uri="{C3380CC4-5D6E-409C-BE32-E72D297353CC}">
                <c16:uniqueId val="{00000003-BD60-4D8A-890A-AE9496326904}"/>
              </c:ext>
            </c:extLst>
          </c:dPt>
          <c:dPt>
            <c:idx val="2"/>
            <c:bubble3D val="0"/>
            <c:spPr>
              <a:solidFill>
                <a:srgbClr val="B3DE69"/>
              </a:solidFill>
              <a:ln w="9525">
                <a:solidFill>
                  <a:sysClr val="windowText" lastClr="000000"/>
                </a:solidFill>
              </a:ln>
              <a:effectLst/>
            </c:spPr>
            <c:extLst>
              <c:ext xmlns:c16="http://schemas.microsoft.com/office/drawing/2014/chart" uri="{C3380CC4-5D6E-409C-BE32-E72D297353CC}">
                <c16:uniqueId val="{00000005-BD60-4D8A-890A-AE9496326904}"/>
              </c:ext>
            </c:extLst>
          </c:dPt>
          <c:dPt>
            <c:idx val="3"/>
            <c:bubble3D val="0"/>
            <c:spPr>
              <a:solidFill>
                <a:srgbClr val="BEBADA"/>
              </a:solidFill>
              <a:ln w="9525">
                <a:solidFill>
                  <a:sysClr val="windowText" lastClr="000000"/>
                </a:solidFill>
              </a:ln>
              <a:effectLst/>
            </c:spPr>
            <c:extLst>
              <c:ext xmlns:c16="http://schemas.microsoft.com/office/drawing/2014/chart" uri="{C3380CC4-5D6E-409C-BE32-E72D297353CC}">
                <c16:uniqueId val="{00000007-BD60-4D8A-890A-AE9496326904}"/>
              </c:ext>
            </c:extLst>
          </c:dPt>
          <c:cat>
            <c:strRef>
              <c:f>FUNDING!$A$36:$A$39</c:f>
              <c:strCache>
                <c:ptCount val="4"/>
                <c:pt idx="0">
                  <c:v>0-250K</c:v>
                </c:pt>
                <c:pt idx="1">
                  <c:v>250K-500K</c:v>
                </c:pt>
                <c:pt idx="2">
                  <c:v>500K-1M</c:v>
                </c:pt>
                <c:pt idx="3">
                  <c:v>&gt;1M</c:v>
                </c:pt>
              </c:strCache>
            </c:strRef>
          </c:cat>
          <c:val>
            <c:numRef>
              <c:f>FUNDING!$Q$36:$Q$39</c:f>
              <c:numCache>
                <c:formatCode>General</c:formatCode>
                <c:ptCount val="4"/>
                <c:pt idx="0">
                  <c:v>176</c:v>
                </c:pt>
                <c:pt idx="1">
                  <c:v>27</c:v>
                </c:pt>
                <c:pt idx="2">
                  <c:v>2</c:v>
                </c:pt>
                <c:pt idx="3">
                  <c:v>6</c:v>
                </c:pt>
              </c:numCache>
            </c:numRef>
          </c:val>
          <c:extLst>
            <c:ext xmlns:c16="http://schemas.microsoft.com/office/drawing/2014/chart" uri="{C3380CC4-5D6E-409C-BE32-E72D297353CC}">
              <c16:uniqueId val="{00000008-BD60-4D8A-890A-AE949632690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6350">
              <a:solidFill>
                <a:schemeClr val="tx1"/>
              </a:solidFill>
            </a:ln>
          </c:spPr>
          <c:dPt>
            <c:idx val="0"/>
            <c:bubble3D val="0"/>
            <c:spPr>
              <a:solidFill>
                <a:srgbClr val="FB8072"/>
              </a:solidFill>
              <a:ln w="6350">
                <a:solidFill>
                  <a:schemeClr val="tx1"/>
                </a:solidFill>
              </a:ln>
              <a:effectLst/>
            </c:spPr>
            <c:extLst>
              <c:ext xmlns:c16="http://schemas.microsoft.com/office/drawing/2014/chart" uri="{C3380CC4-5D6E-409C-BE32-E72D297353CC}">
                <c16:uniqueId val="{00000001-C5A6-405E-A24D-94838472592A}"/>
              </c:ext>
            </c:extLst>
          </c:dPt>
          <c:dPt>
            <c:idx val="1"/>
            <c:bubble3D val="0"/>
            <c:spPr>
              <a:solidFill>
                <a:srgbClr val="80B1D3"/>
              </a:solidFill>
              <a:ln w="6350">
                <a:solidFill>
                  <a:schemeClr val="tx1"/>
                </a:solidFill>
              </a:ln>
              <a:effectLst/>
            </c:spPr>
            <c:extLst>
              <c:ext xmlns:c16="http://schemas.microsoft.com/office/drawing/2014/chart" uri="{C3380CC4-5D6E-409C-BE32-E72D297353CC}">
                <c16:uniqueId val="{00000003-C5A6-405E-A24D-94838472592A}"/>
              </c:ext>
            </c:extLst>
          </c:dPt>
          <c:dPt>
            <c:idx val="2"/>
            <c:bubble3D val="0"/>
            <c:spPr>
              <a:solidFill>
                <a:srgbClr val="B3DE69"/>
              </a:solidFill>
              <a:ln w="6350">
                <a:solidFill>
                  <a:schemeClr val="tx1"/>
                </a:solidFill>
              </a:ln>
              <a:effectLst/>
            </c:spPr>
            <c:extLst>
              <c:ext xmlns:c16="http://schemas.microsoft.com/office/drawing/2014/chart" uri="{C3380CC4-5D6E-409C-BE32-E72D297353CC}">
                <c16:uniqueId val="{00000005-C5A6-405E-A24D-94838472592A}"/>
              </c:ext>
            </c:extLst>
          </c:dPt>
          <c:dPt>
            <c:idx val="3"/>
            <c:bubble3D val="0"/>
            <c:spPr>
              <a:solidFill>
                <a:srgbClr val="BEBADA"/>
              </a:solidFill>
              <a:ln w="6350">
                <a:solidFill>
                  <a:schemeClr val="tx1"/>
                </a:solidFill>
              </a:ln>
              <a:effectLst/>
            </c:spPr>
            <c:extLst>
              <c:ext xmlns:c16="http://schemas.microsoft.com/office/drawing/2014/chart" uri="{C3380CC4-5D6E-409C-BE32-E72D297353CC}">
                <c16:uniqueId val="{00000007-C5A6-405E-A24D-94838472592A}"/>
              </c:ext>
            </c:extLst>
          </c:dPt>
          <c:cat>
            <c:strRef>
              <c:f>FUNDING!$A$43:$A$46</c:f>
              <c:strCache>
                <c:ptCount val="4"/>
                <c:pt idx="0">
                  <c:v>0-250K</c:v>
                </c:pt>
                <c:pt idx="1">
                  <c:v>250K-500K</c:v>
                </c:pt>
                <c:pt idx="2">
                  <c:v>500K-1M</c:v>
                </c:pt>
                <c:pt idx="3">
                  <c:v>&gt;1M</c:v>
                </c:pt>
              </c:strCache>
            </c:strRef>
          </c:cat>
          <c:val>
            <c:numRef>
              <c:f>FUNDING!$O$43:$O$46</c:f>
              <c:numCache>
                <c:formatCode>General</c:formatCode>
                <c:ptCount val="4"/>
                <c:pt idx="0">
                  <c:v>9</c:v>
                </c:pt>
                <c:pt idx="1">
                  <c:v>13</c:v>
                </c:pt>
                <c:pt idx="2">
                  <c:v>3</c:v>
                </c:pt>
                <c:pt idx="3">
                  <c:v>0</c:v>
                </c:pt>
              </c:numCache>
            </c:numRef>
          </c:val>
          <c:extLst>
            <c:ext xmlns:c16="http://schemas.microsoft.com/office/drawing/2014/chart" uri="{C3380CC4-5D6E-409C-BE32-E72D297353CC}">
              <c16:uniqueId val="{00000008-C5A6-405E-A24D-94838472592A}"/>
            </c:ext>
          </c:extLst>
        </c:ser>
        <c:dLbls>
          <c:showLegendKey val="0"/>
          <c:showVal val="0"/>
          <c:showCatName val="0"/>
          <c:showSerName val="0"/>
          <c:showPercent val="0"/>
          <c:showBubbleSize val="0"/>
          <c:showLeaderLines val="1"/>
        </c:dLbls>
        <c:firstSliceAng val="0"/>
        <c:holeSize val="50"/>
      </c:doughnutChart>
      <c:spPr>
        <a:noFill/>
        <a:ln w="9525">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39610887390106"/>
          <c:y val="3.8579213453513429E-2"/>
          <c:w val="0.78200701822039442"/>
          <c:h val="0.87825897008136433"/>
        </c:manualLayout>
      </c:layout>
      <c:lineChart>
        <c:grouping val="standard"/>
        <c:varyColors val="0"/>
        <c:ser>
          <c:idx val="1"/>
          <c:order val="0"/>
          <c:tx>
            <c:strRef>
              <c:f>FUNDING!$A$20</c:f>
              <c:strCache>
                <c:ptCount val="1"/>
                <c:pt idx="0">
                  <c:v>Ethanol</c:v>
                </c:pt>
              </c:strCache>
            </c:strRef>
          </c:tx>
          <c:spPr>
            <a:ln w="28575" cap="rnd">
              <a:solidFill>
                <a:srgbClr val="FB8072"/>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FUNDING!$B$20:$O$20</c:f>
              <c:numCache>
                <c:formatCode>General</c:formatCode>
                <c:ptCount val="14"/>
                <c:pt idx="0">
                  <c:v>34</c:v>
                </c:pt>
                <c:pt idx="1">
                  <c:v>32</c:v>
                </c:pt>
                <c:pt idx="2">
                  <c:v>34</c:v>
                </c:pt>
                <c:pt idx="3">
                  <c:v>22</c:v>
                </c:pt>
                <c:pt idx="4">
                  <c:v>37</c:v>
                </c:pt>
                <c:pt idx="5">
                  <c:v>26</c:v>
                </c:pt>
                <c:pt idx="6">
                  <c:v>26</c:v>
                </c:pt>
                <c:pt idx="7">
                  <c:v>24</c:v>
                </c:pt>
                <c:pt idx="8">
                  <c:v>23</c:v>
                </c:pt>
                <c:pt idx="9">
                  <c:v>16</c:v>
                </c:pt>
                <c:pt idx="10">
                  <c:v>14</c:v>
                </c:pt>
                <c:pt idx="11">
                  <c:v>14</c:v>
                </c:pt>
                <c:pt idx="12">
                  <c:v>15</c:v>
                </c:pt>
                <c:pt idx="13">
                  <c:v>16</c:v>
                </c:pt>
              </c:numCache>
            </c:numRef>
          </c:val>
          <c:smooth val="0"/>
          <c:extLst>
            <c:ext xmlns:c16="http://schemas.microsoft.com/office/drawing/2014/chart" uri="{C3380CC4-5D6E-409C-BE32-E72D297353CC}">
              <c16:uniqueId val="{00000000-5983-43DC-81A7-E1D548FAF24A}"/>
            </c:ext>
          </c:extLst>
        </c:ser>
        <c:ser>
          <c:idx val="0"/>
          <c:order val="1"/>
          <c:tx>
            <c:strRef>
              <c:f>FUNDING!$A$22</c:f>
              <c:strCache>
                <c:ptCount val="1"/>
                <c:pt idx="0">
                  <c:v>Biodiesel </c:v>
                </c:pt>
              </c:strCache>
            </c:strRef>
          </c:tx>
          <c:spPr>
            <a:ln w="28575" cap="rnd">
              <a:solidFill>
                <a:srgbClr val="80B1D3"/>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FUNDING!$B$22:$O$22</c:f>
              <c:numCache>
                <c:formatCode>General</c:formatCode>
                <c:ptCount val="14"/>
                <c:pt idx="0">
                  <c:v>28</c:v>
                </c:pt>
                <c:pt idx="1">
                  <c:v>26</c:v>
                </c:pt>
                <c:pt idx="2">
                  <c:v>45</c:v>
                </c:pt>
                <c:pt idx="3">
                  <c:v>27</c:v>
                </c:pt>
                <c:pt idx="4">
                  <c:v>20</c:v>
                </c:pt>
                <c:pt idx="5">
                  <c:v>15</c:v>
                </c:pt>
                <c:pt idx="6">
                  <c:v>18</c:v>
                </c:pt>
                <c:pt idx="7">
                  <c:v>18</c:v>
                </c:pt>
                <c:pt idx="8">
                  <c:v>18</c:v>
                </c:pt>
                <c:pt idx="9">
                  <c:v>3</c:v>
                </c:pt>
                <c:pt idx="10">
                  <c:v>5</c:v>
                </c:pt>
                <c:pt idx="11">
                  <c:v>3</c:v>
                </c:pt>
                <c:pt idx="12">
                  <c:v>3</c:v>
                </c:pt>
                <c:pt idx="13">
                  <c:v>4</c:v>
                </c:pt>
              </c:numCache>
            </c:numRef>
          </c:val>
          <c:smooth val="0"/>
          <c:extLst>
            <c:ext xmlns:c16="http://schemas.microsoft.com/office/drawing/2014/chart" uri="{C3380CC4-5D6E-409C-BE32-E72D297353CC}">
              <c16:uniqueId val="{00000001-5983-43DC-81A7-E1D548FAF24A}"/>
            </c:ext>
          </c:extLst>
        </c:ser>
        <c:ser>
          <c:idx val="2"/>
          <c:order val="2"/>
          <c:tx>
            <c:strRef>
              <c:f>FUNDING!$A$28</c:f>
              <c:strCache>
                <c:ptCount val="1"/>
                <c:pt idx="0">
                  <c:v>Biogas</c:v>
                </c:pt>
              </c:strCache>
            </c:strRef>
          </c:tx>
          <c:spPr>
            <a:ln w="28575" cap="rnd">
              <a:solidFill>
                <a:srgbClr val="B3DE69"/>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FUNDING!$B$28:$O$28</c:f>
              <c:numCache>
                <c:formatCode>General</c:formatCode>
                <c:ptCount val="14"/>
                <c:pt idx="0">
                  <c:v>2</c:v>
                </c:pt>
                <c:pt idx="1">
                  <c:v>2</c:v>
                </c:pt>
                <c:pt idx="2">
                  <c:v>7</c:v>
                </c:pt>
                <c:pt idx="3">
                  <c:v>4</c:v>
                </c:pt>
                <c:pt idx="4">
                  <c:v>8</c:v>
                </c:pt>
                <c:pt idx="5">
                  <c:v>7</c:v>
                </c:pt>
                <c:pt idx="6">
                  <c:v>8</c:v>
                </c:pt>
                <c:pt idx="7">
                  <c:v>1</c:v>
                </c:pt>
                <c:pt idx="8">
                  <c:v>5</c:v>
                </c:pt>
                <c:pt idx="9">
                  <c:v>4</c:v>
                </c:pt>
                <c:pt idx="10">
                  <c:v>1</c:v>
                </c:pt>
                <c:pt idx="11">
                  <c:v>5</c:v>
                </c:pt>
                <c:pt idx="12">
                  <c:v>5</c:v>
                </c:pt>
                <c:pt idx="13">
                  <c:v>6</c:v>
                </c:pt>
              </c:numCache>
            </c:numRef>
          </c:val>
          <c:smooth val="0"/>
          <c:extLst>
            <c:ext xmlns:c16="http://schemas.microsoft.com/office/drawing/2014/chart" uri="{C3380CC4-5D6E-409C-BE32-E72D297353CC}">
              <c16:uniqueId val="{00000002-5983-43DC-81A7-E1D548FAF24A}"/>
            </c:ext>
          </c:extLst>
        </c:ser>
        <c:ser>
          <c:idx val="5"/>
          <c:order val="4"/>
          <c:tx>
            <c:strRef>
              <c:f>FUNDING!$A$26</c:f>
              <c:strCache>
                <c:ptCount val="1"/>
                <c:pt idx="0">
                  <c:v>Wood pellets</c:v>
                </c:pt>
              </c:strCache>
            </c:strRef>
          </c:tx>
          <c:spPr>
            <a:ln w="28575" cap="rnd">
              <a:solidFill>
                <a:srgbClr val="FDB462"/>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FUNDING!$B$26:$O$26</c:f>
              <c:numCache>
                <c:formatCode>General</c:formatCode>
                <c:ptCount val="14"/>
                <c:pt idx="0">
                  <c:v>216</c:v>
                </c:pt>
                <c:pt idx="1">
                  <c:v>273</c:v>
                </c:pt>
                <c:pt idx="2">
                  <c:v>334</c:v>
                </c:pt>
                <c:pt idx="3">
                  <c:v>261</c:v>
                </c:pt>
                <c:pt idx="4">
                  <c:v>265</c:v>
                </c:pt>
                <c:pt idx="5">
                  <c:v>254</c:v>
                </c:pt>
                <c:pt idx="6">
                  <c:v>230</c:v>
                </c:pt>
                <c:pt idx="7">
                  <c:v>250</c:v>
                </c:pt>
                <c:pt idx="8">
                  <c:v>246</c:v>
                </c:pt>
                <c:pt idx="9">
                  <c:v>206</c:v>
                </c:pt>
                <c:pt idx="10">
                  <c:v>215</c:v>
                </c:pt>
                <c:pt idx="11">
                  <c:v>165</c:v>
                </c:pt>
                <c:pt idx="12">
                  <c:v>154</c:v>
                </c:pt>
                <c:pt idx="13">
                  <c:v>175</c:v>
                </c:pt>
              </c:numCache>
            </c:numRef>
          </c:val>
          <c:smooth val="0"/>
          <c:extLst>
            <c:ext xmlns:c16="http://schemas.microsoft.com/office/drawing/2014/chart" uri="{C3380CC4-5D6E-409C-BE32-E72D297353CC}">
              <c16:uniqueId val="{00000004-5983-43DC-81A7-E1D548FAF24A}"/>
            </c:ext>
          </c:extLst>
        </c:ser>
        <c:dLbls>
          <c:showLegendKey val="0"/>
          <c:showVal val="0"/>
          <c:showCatName val="0"/>
          <c:showSerName val="0"/>
          <c:showPercent val="0"/>
          <c:showBubbleSize val="0"/>
        </c:dLbls>
        <c:marker val="1"/>
        <c:smooth val="0"/>
        <c:axId val="717164288"/>
        <c:axId val="717166256"/>
      </c:lineChart>
      <c:lineChart>
        <c:grouping val="standard"/>
        <c:varyColors val="0"/>
        <c:ser>
          <c:idx val="3"/>
          <c:order val="3"/>
          <c:tx>
            <c:strRef>
              <c:f>FUNDING!$A$27</c:f>
              <c:strCache>
                <c:ptCount val="1"/>
                <c:pt idx="0">
                  <c:v>Waste to energy</c:v>
                </c:pt>
              </c:strCache>
            </c:strRef>
          </c:tx>
          <c:spPr>
            <a:ln w="28575" cap="rnd">
              <a:solidFill>
                <a:srgbClr val="BEBADA"/>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FUNDING!$B$27:$O$27</c:f>
              <c:numCache>
                <c:formatCode>General</c:formatCode>
                <c:ptCount val="14"/>
                <c:pt idx="0">
                  <c:v>11597</c:v>
                </c:pt>
                <c:pt idx="1">
                  <c:v>15026</c:v>
                </c:pt>
                <c:pt idx="2">
                  <c:v>13643</c:v>
                </c:pt>
                <c:pt idx="3">
                  <c:v>11808</c:v>
                </c:pt>
                <c:pt idx="4">
                  <c:v>12194</c:v>
                </c:pt>
                <c:pt idx="5">
                  <c:v>11632</c:v>
                </c:pt>
                <c:pt idx="6">
                  <c:v>11924</c:v>
                </c:pt>
                <c:pt idx="7">
                  <c:v>12838</c:v>
                </c:pt>
                <c:pt idx="8">
                  <c:v>12867</c:v>
                </c:pt>
                <c:pt idx="9">
                  <c:v>12060</c:v>
                </c:pt>
                <c:pt idx="10">
                  <c:v>12463</c:v>
                </c:pt>
                <c:pt idx="11">
                  <c:v>12002</c:v>
                </c:pt>
                <c:pt idx="12">
                  <c:v>12630</c:v>
                </c:pt>
                <c:pt idx="13">
                  <c:v>12107</c:v>
                </c:pt>
              </c:numCache>
            </c:numRef>
          </c:val>
          <c:smooth val="0"/>
          <c:extLst>
            <c:ext xmlns:c16="http://schemas.microsoft.com/office/drawing/2014/chart" uri="{C3380CC4-5D6E-409C-BE32-E72D297353CC}">
              <c16:uniqueId val="{00000003-5983-43DC-81A7-E1D548FAF24A}"/>
            </c:ext>
          </c:extLst>
        </c:ser>
        <c:dLbls>
          <c:showLegendKey val="0"/>
          <c:showVal val="0"/>
          <c:showCatName val="0"/>
          <c:showSerName val="0"/>
          <c:showPercent val="0"/>
          <c:showBubbleSize val="0"/>
        </c:dLbls>
        <c:marker val="1"/>
        <c:smooth val="0"/>
        <c:axId val="1095469871"/>
        <c:axId val="1095476527"/>
      </c:lineChart>
      <c:catAx>
        <c:axId val="71716428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projects </a:t>
                </a:r>
              </a:p>
              <a:p>
                <a:pPr>
                  <a:defRPr>
                    <a:solidFill>
                      <a:sysClr val="windowText" lastClr="000000"/>
                    </a:solidFill>
                  </a:defRPr>
                </a:pPr>
                <a:r>
                  <a:rPr lang="en-US" sz="1000">
                    <a:solidFill>
                      <a:sysClr val="windowText" lastClr="000000"/>
                    </a:solidFill>
                  </a:rPr>
                  <a:t>(Ethanol,</a:t>
                </a:r>
                <a:r>
                  <a:rPr lang="en-US" sz="1000" baseline="0">
                    <a:solidFill>
                      <a:sysClr val="windowText" lastClr="000000"/>
                    </a:solidFill>
                  </a:rPr>
                  <a:t> Biodiesel, Biogas, Wood pellets)</a:t>
                </a:r>
                <a:endParaRPr lang="en-US" sz="1000">
                  <a:solidFill>
                    <a:sysClr val="windowText" lastClr="000000"/>
                  </a:solidFill>
                </a:endParaRPr>
              </a:p>
            </c:rich>
          </c:tx>
          <c:layout>
            <c:manualLayout>
              <c:xMode val="edge"/>
              <c:yMode val="edge"/>
              <c:x val="1.1666613863677375E-2"/>
              <c:y val="9.8949181739879405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valAx>
        <c:axId val="1095476527"/>
        <c:scaling>
          <c:orientation val="minMax"/>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rPr>
                  <a:t>Number of projects </a:t>
                </a:r>
              </a:p>
              <a:p>
                <a:pPr>
                  <a:defRPr>
                    <a:solidFill>
                      <a:sysClr val="windowText" lastClr="000000"/>
                    </a:solidFill>
                  </a:defRPr>
                </a:pPr>
                <a:r>
                  <a:rPr lang="en-US">
                    <a:solidFill>
                      <a:sysClr val="windowText" lastClr="000000"/>
                    </a:solidFill>
                  </a:rPr>
                  <a:t>(Waste</a:t>
                </a:r>
                <a:r>
                  <a:rPr lang="en-US" baseline="0">
                    <a:solidFill>
                      <a:sysClr val="windowText" lastClr="000000"/>
                    </a:solidFill>
                  </a:rPr>
                  <a:t> to energy)</a:t>
                </a:r>
                <a:endParaRPr lang="en-US">
                  <a:solidFill>
                    <a:sysClr val="windowText" lastClr="000000"/>
                  </a:solidFill>
                </a:endParaRPr>
              </a:p>
            </c:rich>
          </c:tx>
          <c:layout>
            <c:manualLayout>
              <c:xMode val="edge"/>
              <c:yMode val="edge"/>
              <c:x val="0.95381750465549353"/>
              <c:y val="0.276640691231425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1095469871"/>
        <c:crosses val="max"/>
        <c:crossBetween val="between"/>
      </c:valAx>
      <c:catAx>
        <c:axId val="1095469871"/>
        <c:scaling>
          <c:orientation val="minMax"/>
        </c:scaling>
        <c:delete val="1"/>
        <c:axPos val="b"/>
        <c:numFmt formatCode="General" sourceLinked="1"/>
        <c:majorTickMark val="out"/>
        <c:minorTickMark val="none"/>
        <c:tickLblPos val="nextTo"/>
        <c:crossAx val="1095476527"/>
        <c:crosses val="autoZero"/>
        <c:auto val="1"/>
        <c:lblAlgn val="ctr"/>
        <c:lblOffset val="100"/>
        <c:noMultiLvlLbl val="0"/>
      </c:catAx>
      <c:spPr>
        <a:noFill/>
        <a:ln w="25400">
          <a:noFill/>
        </a:ln>
        <a:effectLst/>
      </c:spPr>
    </c:plotArea>
    <c:legend>
      <c:legendPos val="t"/>
      <c:layout>
        <c:manualLayout>
          <c:xMode val="edge"/>
          <c:yMode val="edge"/>
          <c:x val="8.5913400489743247E-2"/>
          <c:y val="1.8152149585952917E-2"/>
          <c:w val="0.84453516336397905"/>
          <c:h val="7.1535159667541565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155011754081326E-2"/>
          <c:y val="3.8579213453513429E-2"/>
          <c:w val="0.88572463412882696"/>
          <c:h val="0.87825897008136433"/>
        </c:manualLayout>
      </c:layout>
      <c:lineChart>
        <c:grouping val="standard"/>
        <c:varyColors val="0"/>
        <c:ser>
          <c:idx val="3"/>
          <c:order val="0"/>
          <c:tx>
            <c:strRef>
              <c:f>FUNDING!$A$31</c:f>
              <c:strCache>
                <c:ptCount val="1"/>
                <c:pt idx="0">
                  <c:v>Biochemicals</c:v>
                </c:pt>
              </c:strCache>
            </c:strRef>
          </c:tx>
          <c:spPr>
            <a:ln w="28575" cap="rnd">
              <a:solidFill>
                <a:srgbClr val="BEBADA"/>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FUNDING!$B$31:$O$31</c:f>
              <c:numCache>
                <c:formatCode>General</c:formatCode>
                <c:ptCount val="14"/>
                <c:pt idx="0">
                  <c:v>256</c:v>
                </c:pt>
                <c:pt idx="1">
                  <c:v>328</c:v>
                </c:pt>
                <c:pt idx="2">
                  <c:v>264</c:v>
                </c:pt>
                <c:pt idx="3">
                  <c:v>253</c:v>
                </c:pt>
                <c:pt idx="4">
                  <c:v>268</c:v>
                </c:pt>
                <c:pt idx="5">
                  <c:v>254</c:v>
                </c:pt>
                <c:pt idx="6">
                  <c:v>285</c:v>
                </c:pt>
                <c:pt idx="7">
                  <c:v>285</c:v>
                </c:pt>
                <c:pt idx="8">
                  <c:v>283</c:v>
                </c:pt>
                <c:pt idx="9">
                  <c:v>230</c:v>
                </c:pt>
                <c:pt idx="10">
                  <c:v>243</c:v>
                </c:pt>
                <c:pt idx="11">
                  <c:v>214</c:v>
                </c:pt>
                <c:pt idx="12">
                  <c:v>240</c:v>
                </c:pt>
                <c:pt idx="13">
                  <c:v>232</c:v>
                </c:pt>
              </c:numCache>
            </c:numRef>
          </c:val>
          <c:smooth val="0"/>
          <c:extLst>
            <c:ext xmlns:c16="http://schemas.microsoft.com/office/drawing/2014/chart" uri="{C3380CC4-5D6E-409C-BE32-E72D297353CC}">
              <c16:uniqueId val="{00000003-213D-49A7-A6AE-A80FE8A901AC}"/>
            </c:ext>
          </c:extLst>
        </c:ser>
        <c:ser>
          <c:idx val="0"/>
          <c:order val="1"/>
          <c:tx>
            <c:strRef>
              <c:f>FUNDING!$A$32</c:f>
              <c:strCache>
                <c:ptCount val="1"/>
                <c:pt idx="0">
                  <c:v>Enzymes</c:v>
                </c:pt>
              </c:strCache>
            </c:strRef>
          </c:tx>
          <c:spPr>
            <a:ln w="28575" cap="rnd">
              <a:solidFill>
                <a:srgbClr val="FB8072"/>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FUNDING!$B$32:$O$32</c:f>
              <c:numCache>
                <c:formatCode>General</c:formatCode>
                <c:ptCount val="14"/>
                <c:pt idx="0">
                  <c:v>176</c:v>
                </c:pt>
                <c:pt idx="1">
                  <c:v>225</c:v>
                </c:pt>
                <c:pt idx="2">
                  <c:v>215</c:v>
                </c:pt>
                <c:pt idx="3">
                  <c:v>198</c:v>
                </c:pt>
                <c:pt idx="4">
                  <c:v>198</c:v>
                </c:pt>
                <c:pt idx="5">
                  <c:v>205</c:v>
                </c:pt>
                <c:pt idx="6">
                  <c:v>206</c:v>
                </c:pt>
                <c:pt idx="7">
                  <c:v>191</c:v>
                </c:pt>
                <c:pt idx="8">
                  <c:v>206</c:v>
                </c:pt>
                <c:pt idx="9">
                  <c:v>212</c:v>
                </c:pt>
                <c:pt idx="10">
                  <c:v>212</c:v>
                </c:pt>
                <c:pt idx="11">
                  <c:v>227</c:v>
                </c:pt>
                <c:pt idx="12">
                  <c:v>208</c:v>
                </c:pt>
                <c:pt idx="13">
                  <c:v>194</c:v>
                </c:pt>
              </c:numCache>
            </c:numRef>
          </c:val>
          <c:smooth val="0"/>
          <c:extLst>
            <c:ext xmlns:c16="http://schemas.microsoft.com/office/drawing/2014/chart" uri="{C3380CC4-5D6E-409C-BE32-E72D297353CC}">
              <c16:uniqueId val="{00000000-213D-49A7-A6AE-A80FE8A901AC}"/>
            </c:ext>
          </c:extLst>
        </c:ser>
        <c:ser>
          <c:idx val="1"/>
          <c:order val="2"/>
          <c:tx>
            <c:strRef>
              <c:f>FUNDING!$A$29</c:f>
              <c:strCache>
                <c:ptCount val="1"/>
                <c:pt idx="0">
                  <c:v>Bioproducts</c:v>
                </c:pt>
              </c:strCache>
            </c:strRef>
          </c:tx>
          <c:spPr>
            <a:ln w="28575" cap="rnd">
              <a:solidFill>
                <a:srgbClr val="80B1D3"/>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FUNDING!$B$29:$O$29</c:f>
              <c:numCache>
                <c:formatCode>General</c:formatCode>
                <c:ptCount val="14"/>
                <c:pt idx="0">
                  <c:v>4</c:v>
                </c:pt>
                <c:pt idx="1">
                  <c:v>6</c:v>
                </c:pt>
                <c:pt idx="2">
                  <c:v>3</c:v>
                </c:pt>
                <c:pt idx="3">
                  <c:v>8</c:v>
                </c:pt>
                <c:pt idx="4">
                  <c:v>9</c:v>
                </c:pt>
                <c:pt idx="5">
                  <c:v>10</c:v>
                </c:pt>
                <c:pt idx="6">
                  <c:v>4</c:v>
                </c:pt>
                <c:pt idx="7">
                  <c:v>12</c:v>
                </c:pt>
                <c:pt idx="8">
                  <c:v>11</c:v>
                </c:pt>
                <c:pt idx="9">
                  <c:v>10</c:v>
                </c:pt>
                <c:pt idx="10">
                  <c:v>9</c:v>
                </c:pt>
                <c:pt idx="11">
                  <c:v>7</c:v>
                </c:pt>
                <c:pt idx="12">
                  <c:v>9</c:v>
                </c:pt>
                <c:pt idx="13">
                  <c:v>15</c:v>
                </c:pt>
              </c:numCache>
            </c:numRef>
          </c:val>
          <c:smooth val="0"/>
          <c:extLst>
            <c:ext xmlns:c16="http://schemas.microsoft.com/office/drawing/2014/chart" uri="{C3380CC4-5D6E-409C-BE32-E72D297353CC}">
              <c16:uniqueId val="{00000001-213D-49A7-A6AE-A80FE8A901AC}"/>
            </c:ext>
          </c:extLst>
        </c:ser>
        <c:ser>
          <c:idx val="2"/>
          <c:order val="3"/>
          <c:tx>
            <c:strRef>
              <c:f>FUNDING!$A$30</c:f>
              <c:strCache>
                <c:ptCount val="1"/>
                <c:pt idx="0">
                  <c:v>Bioplastics</c:v>
                </c:pt>
              </c:strCache>
            </c:strRef>
          </c:tx>
          <c:spPr>
            <a:ln w="28575" cap="rnd">
              <a:solidFill>
                <a:srgbClr val="B3DE69"/>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FUNDING!$B$30:$O$30</c:f>
              <c:numCache>
                <c:formatCode>General</c:formatCode>
                <c:ptCount val="14"/>
                <c:pt idx="0">
                  <c:v>2</c:v>
                </c:pt>
                <c:pt idx="1">
                  <c:v>1</c:v>
                </c:pt>
                <c:pt idx="2">
                  <c:v>4</c:v>
                </c:pt>
                <c:pt idx="3">
                  <c:v>1</c:v>
                </c:pt>
                <c:pt idx="4">
                  <c:v>6</c:v>
                </c:pt>
                <c:pt idx="5">
                  <c:v>10</c:v>
                </c:pt>
                <c:pt idx="6">
                  <c:v>8</c:v>
                </c:pt>
                <c:pt idx="7">
                  <c:v>2</c:v>
                </c:pt>
                <c:pt idx="8">
                  <c:v>3</c:v>
                </c:pt>
                <c:pt idx="9">
                  <c:v>4</c:v>
                </c:pt>
                <c:pt idx="10">
                  <c:v>6</c:v>
                </c:pt>
                <c:pt idx="11">
                  <c:v>4</c:v>
                </c:pt>
                <c:pt idx="12">
                  <c:v>4</c:v>
                </c:pt>
                <c:pt idx="13">
                  <c:v>10</c:v>
                </c:pt>
              </c:numCache>
            </c:numRef>
          </c:val>
          <c:smooth val="0"/>
          <c:extLst>
            <c:ext xmlns:c16="http://schemas.microsoft.com/office/drawing/2014/chart" uri="{C3380CC4-5D6E-409C-BE32-E72D297353CC}">
              <c16:uniqueId val="{00000002-213D-49A7-A6AE-A80FE8A901AC}"/>
            </c:ext>
          </c:extLst>
        </c:ser>
        <c:dLbls>
          <c:showLegendKey val="0"/>
          <c:showVal val="0"/>
          <c:showCatName val="0"/>
          <c:showSerName val="0"/>
          <c:showPercent val="0"/>
          <c:showBubbleSize val="0"/>
        </c:dLbls>
        <c:smooth val="0"/>
        <c:axId val="717164288"/>
        <c:axId val="717166256"/>
      </c:lineChart>
      <c:catAx>
        <c:axId val="71716428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projects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majorUnit val="100"/>
      </c:valAx>
      <c:spPr>
        <a:noFill/>
        <a:ln w="25400">
          <a:noFill/>
        </a:ln>
        <a:effectLst/>
      </c:spPr>
    </c:plotArea>
    <c:legend>
      <c:legendPos val="t"/>
      <c:layout>
        <c:manualLayout>
          <c:xMode val="edge"/>
          <c:yMode val="edge"/>
          <c:x val="0.10667872203130394"/>
          <c:y val="6.3129622014840153E-2"/>
          <c:w val="0.70621422322209726"/>
          <c:h val="5.9247320647419076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37929130740107"/>
          <c:y val="3.8579213453513429E-2"/>
          <c:w val="0.86550040778908377"/>
          <c:h val="0.87825897008136433"/>
        </c:manualLayout>
      </c:layout>
      <c:lineChart>
        <c:grouping val="standard"/>
        <c:varyColors val="0"/>
        <c:ser>
          <c:idx val="4"/>
          <c:order val="0"/>
          <c:tx>
            <c:strRef>
              <c:f>FUNDING!$A$21</c:f>
              <c:strCache>
                <c:ptCount val="1"/>
                <c:pt idx="0">
                  <c:v>Biobutanol</c:v>
                </c:pt>
              </c:strCache>
            </c:strRef>
          </c:tx>
          <c:spPr>
            <a:ln w="28575" cap="rnd">
              <a:solidFill>
                <a:srgbClr val="FB8072"/>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FUNDING!$B$21:$M$21</c:f>
              <c:numCache>
                <c:formatCode>General</c:formatCode>
                <c:ptCount val="12"/>
                <c:pt idx="0">
                  <c:v>1</c:v>
                </c:pt>
                <c:pt idx="1">
                  <c:v>0</c:v>
                </c:pt>
                <c:pt idx="2">
                  <c:v>2</c:v>
                </c:pt>
                <c:pt idx="3">
                  <c:v>1</c:v>
                </c:pt>
                <c:pt idx="4">
                  <c:v>1</c:v>
                </c:pt>
                <c:pt idx="5">
                  <c:v>0</c:v>
                </c:pt>
                <c:pt idx="6">
                  <c:v>1</c:v>
                </c:pt>
                <c:pt idx="7">
                  <c:v>0</c:v>
                </c:pt>
                <c:pt idx="8">
                  <c:v>0</c:v>
                </c:pt>
                <c:pt idx="9">
                  <c:v>0</c:v>
                </c:pt>
                <c:pt idx="10">
                  <c:v>0</c:v>
                </c:pt>
                <c:pt idx="11">
                  <c:v>0</c:v>
                </c:pt>
              </c:numCache>
            </c:numRef>
          </c:val>
          <c:smooth val="0"/>
          <c:extLst>
            <c:ext xmlns:c16="http://schemas.microsoft.com/office/drawing/2014/chart" uri="{C3380CC4-5D6E-409C-BE32-E72D297353CC}">
              <c16:uniqueId val="{00000000-5208-4050-A20C-FEE49A8C42D2}"/>
            </c:ext>
          </c:extLst>
        </c:ser>
        <c:ser>
          <c:idx val="6"/>
          <c:order val="1"/>
          <c:tx>
            <c:strRef>
              <c:f>FUNDING!$A$23</c:f>
              <c:strCache>
                <c:ptCount val="1"/>
                <c:pt idx="0">
                  <c:v>Renewable diesel</c:v>
                </c:pt>
              </c:strCache>
            </c:strRef>
          </c:tx>
          <c:spPr>
            <a:ln w="28575" cap="rnd">
              <a:solidFill>
                <a:srgbClr val="80B1D3"/>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FUNDING!$B$23:$O$23</c:f>
              <c:numCache>
                <c:formatCode>General</c:formatCode>
                <c:ptCount val="14"/>
                <c:pt idx="0">
                  <c:v>344</c:v>
                </c:pt>
                <c:pt idx="1">
                  <c:v>407</c:v>
                </c:pt>
                <c:pt idx="2">
                  <c:v>601</c:v>
                </c:pt>
                <c:pt idx="3">
                  <c:v>522</c:v>
                </c:pt>
                <c:pt idx="4">
                  <c:v>602</c:v>
                </c:pt>
                <c:pt idx="5">
                  <c:v>533</c:v>
                </c:pt>
                <c:pt idx="6">
                  <c:v>551</c:v>
                </c:pt>
                <c:pt idx="7">
                  <c:v>542</c:v>
                </c:pt>
                <c:pt idx="8">
                  <c:v>583</c:v>
                </c:pt>
                <c:pt idx="9">
                  <c:v>437</c:v>
                </c:pt>
                <c:pt idx="10">
                  <c:v>455</c:v>
                </c:pt>
                <c:pt idx="11">
                  <c:v>393</c:v>
                </c:pt>
                <c:pt idx="12">
                  <c:v>383</c:v>
                </c:pt>
                <c:pt idx="13">
                  <c:v>386</c:v>
                </c:pt>
              </c:numCache>
            </c:numRef>
          </c:val>
          <c:smooth val="0"/>
          <c:extLst>
            <c:ext xmlns:c16="http://schemas.microsoft.com/office/drawing/2014/chart" uri="{C3380CC4-5D6E-409C-BE32-E72D297353CC}">
              <c16:uniqueId val="{00000001-5208-4050-A20C-FEE49A8C42D2}"/>
            </c:ext>
          </c:extLst>
        </c:ser>
        <c:ser>
          <c:idx val="7"/>
          <c:order val="2"/>
          <c:tx>
            <c:strRef>
              <c:f>FUNDING!$A$24</c:f>
              <c:strCache>
                <c:ptCount val="1"/>
                <c:pt idx="0">
                  <c:v>Recycled greases</c:v>
                </c:pt>
              </c:strCache>
            </c:strRef>
          </c:tx>
          <c:spPr>
            <a:ln w="28575" cap="rnd">
              <a:solidFill>
                <a:srgbClr val="B3DE69"/>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FUNDING!$B$24:$O$24</c:f>
              <c:numCache>
                <c:formatCode>General</c:formatCode>
                <c:ptCount val="14"/>
                <c:pt idx="0">
                  <c:v>96</c:v>
                </c:pt>
                <c:pt idx="1">
                  <c:v>116</c:v>
                </c:pt>
                <c:pt idx="2">
                  <c:v>201</c:v>
                </c:pt>
                <c:pt idx="3">
                  <c:v>167</c:v>
                </c:pt>
                <c:pt idx="4">
                  <c:v>175</c:v>
                </c:pt>
                <c:pt idx="5">
                  <c:v>177</c:v>
                </c:pt>
                <c:pt idx="6">
                  <c:v>153</c:v>
                </c:pt>
                <c:pt idx="7">
                  <c:v>197</c:v>
                </c:pt>
                <c:pt idx="8">
                  <c:v>194</c:v>
                </c:pt>
                <c:pt idx="9">
                  <c:v>150</c:v>
                </c:pt>
                <c:pt idx="10">
                  <c:v>143</c:v>
                </c:pt>
                <c:pt idx="11">
                  <c:v>156</c:v>
                </c:pt>
                <c:pt idx="12">
                  <c:v>134</c:v>
                </c:pt>
                <c:pt idx="13">
                  <c:v>174</c:v>
                </c:pt>
              </c:numCache>
            </c:numRef>
          </c:val>
          <c:smooth val="0"/>
          <c:extLst>
            <c:ext xmlns:c16="http://schemas.microsoft.com/office/drawing/2014/chart" uri="{C3380CC4-5D6E-409C-BE32-E72D297353CC}">
              <c16:uniqueId val="{00000002-5208-4050-A20C-FEE49A8C42D2}"/>
            </c:ext>
          </c:extLst>
        </c:ser>
        <c:ser>
          <c:idx val="9"/>
          <c:order val="3"/>
          <c:tx>
            <c:strRef>
              <c:f>FUNDING!$A$25</c:f>
              <c:strCache>
                <c:ptCount val="1"/>
                <c:pt idx="0">
                  <c:v>Animal Fats</c:v>
                </c:pt>
              </c:strCache>
            </c:strRef>
          </c:tx>
          <c:spPr>
            <a:ln w="28575" cap="rnd">
              <a:solidFill>
                <a:srgbClr val="BEBADA"/>
              </a:solidFill>
              <a:round/>
            </a:ln>
            <a:effectLst/>
          </c:spPr>
          <c:marker>
            <c:symbol val="none"/>
          </c:marker>
          <c:cat>
            <c:numRef>
              <c:f>FUNDING!$B$3:$O$3</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FUNDING!$B$25:$O$25</c:f>
              <c:numCache>
                <c:formatCode>General</c:formatCode>
                <c:ptCount val="14"/>
                <c:pt idx="0">
                  <c:v>768</c:v>
                </c:pt>
                <c:pt idx="1">
                  <c:v>989</c:v>
                </c:pt>
                <c:pt idx="2">
                  <c:v>1152</c:v>
                </c:pt>
                <c:pt idx="3">
                  <c:v>1057</c:v>
                </c:pt>
                <c:pt idx="4">
                  <c:v>925</c:v>
                </c:pt>
                <c:pt idx="5">
                  <c:v>1004</c:v>
                </c:pt>
                <c:pt idx="6">
                  <c:v>1087</c:v>
                </c:pt>
                <c:pt idx="7">
                  <c:v>1143</c:v>
                </c:pt>
                <c:pt idx="8">
                  <c:v>1046</c:v>
                </c:pt>
                <c:pt idx="9">
                  <c:v>948</c:v>
                </c:pt>
                <c:pt idx="10">
                  <c:v>870</c:v>
                </c:pt>
                <c:pt idx="11">
                  <c:v>784</c:v>
                </c:pt>
                <c:pt idx="12">
                  <c:v>777</c:v>
                </c:pt>
                <c:pt idx="13">
                  <c:v>742</c:v>
                </c:pt>
              </c:numCache>
            </c:numRef>
          </c:val>
          <c:smooth val="0"/>
          <c:extLst>
            <c:ext xmlns:c16="http://schemas.microsoft.com/office/drawing/2014/chart" uri="{C3380CC4-5D6E-409C-BE32-E72D297353CC}">
              <c16:uniqueId val="{00000003-5208-4050-A20C-FEE49A8C42D2}"/>
            </c:ext>
          </c:extLst>
        </c:ser>
        <c:dLbls>
          <c:showLegendKey val="0"/>
          <c:showVal val="0"/>
          <c:showCatName val="0"/>
          <c:showSerName val="0"/>
          <c:showPercent val="0"/>
          <c:showBubbleSize val="0"/>
        </c:dLbls>
        <c:smooth val="0"/>
        <c:axId val="717164288"/>
        <c:axId val="717166256"/>
      </c:lineChart>
      <c:catAx>
        <c:axId val="71716428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projects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title>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717164288"/>
        <c:crosses val="autoZero"/>
        <c:crossBetween val="between"/>
      </c:valAx>
      <c:spPr>
        <a:noFill/>
        <a:ln w="25400">
          <a:noFill/>
        </a:ln>
        <a:effectLst/>
      </c:spPr>
    </c:plotArea>
    <c:legend>
      <c:legendPos val="t"/>
      <c:layout>
        <c:manualLayout>
          <c:xMode val="edge"/>
          <c:yMode val="edge"/>
          <c:x val="0.10667872203130394"/>
          <c:y val="6.3129622014840153E-2"/>
          <c:w val="0.85378640169978748"/>
          <c:h val="5.764627077865267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6350">
              <a:solidFill>
                <a:schemeClr val="tx1"/>
              </a:solidFill>
            </a:ln>
          </c:spPr>
          <c:dPt>
            <c:idx val="0"/>
            <c:bubble3D val="0"/>
            <c:spPr>
              <a:solidFill>
                <a:srgbClr val="FB8072"/>
              </a:solidFill>
              <a:ln w="6350">
                <a:solidFill>
                  <a:schemeClr val="tx1"/>
                </a:solidFill>
              </a:ln>
              <a:effectLst/>
            </c:spPr>
            <c:extLst>
              <c:ext xmlns:c16="http://schemas.microsoft.com/office/drawing/2014/chart" uri="{C3380CC4-5D6E-409C-BE32-E72D297353CC}">
                <c16:uniqueId val="{00000001-BCB3-4A7A-8631-650B1717BAD8}"/>
              </c:ext>
            </c:extLst>
          </c:dPt>
          <c:dPt>
            <c:idx val="1"/>
            <c:bubble3D val="0"/>
            <c:spPr>
              <a:solidFill>
                <a:srgbClr val="80B1D3"/>
              </a:solidFill>
              <a:ln w="6350">
                <a:solidFill>
                  <a:schemeClr val="tx1"/>
                </a:solidFill>
              </a:ln>
              <a:effectLst/>
            </c:spPr>
            <c:extLst>
              <c:ext xmlns:c16="http://schemas.microsoft.com/office/drawing/2014/chart" uri="{C3380CC4-5D6E-409C-BE32-E72D297353CC}">
                <c16:uniqueId val="{00000003-BCB3-4A7A-8631-650B1717BAD8}"/>
              </c:ext>
            </c:extLst>
          </c:dPt>
          <c:dPt>
            <c:idx val="2"/>
            <c:bubble3D val="0"/>
            <c:spPr>
              <a:solidFill>
                <a:srgbClr val="B3DE69"/>
              </a:solidFill>
              <a:ln w="6350">
                <a:solidFill>
                  <a:schemeClr val="tx1"/>
                </a:solidFill>
              </a:ln>
              <a:effectLst/>
            </c:spPr>
            <c:extLst>
              <c:ext xmlns:c16="http://schemas.microsoft.com/office/drawing/2014/chart" uri="{C3380CC4-5D6E-409C-BE32-E72D297353CC}">
                <c16:uniqueId val="{00000005-BCB3-4A7A-8631-650B1717BAD8}"/>
              </c:ext>
            </c:extLst>
          </c:dPt>
          <c:dPt>
            <c:idx val="3"/>
            <c:bubble3D val="0"/>
            <c:spPr>
              <a:solidFill>
                <a:srgbClr val="BEBADA"/>
              </a:solidFill>
              <a:ln w="6350">
                <a:solidFill>
                  <a:schemeClr val="tx1"/>
                </a:solidFill>
              </a:ln>
              <a:effectLst/>
            </c:spPr>
            <c:extLst>
              <c:ext xmlns:c16="http://schemas.microsoft.com/office/drawing/2014/chart" uri="{C3380CC4-5D6E-409C-BE32-E72D297353CC}">
                <c16:uniqueId val="{00000007-BCB3-4A7A-8631-650B1717BAD8}"/>
              </c:ext>
            </c:extLst>
          </c:dPt>
          <c:cat>
            <c:strRef>
              <c:f>FUNDING!$A$43:$A$46</c:f>
              <c:strCache>
                <c:ptCount val="4"/>
                <c:pt idx="0">
                  <c:v>0-250K</c:v>
                </c:pt>
                <c:pt idx="1">
                  <c:v>250K-500K</c:v>
                </c:pt>
                <c:pt idx="2">
                  <c:v>500K-1M</c:v>
                </c:pt>
                <c:pt idx="3">
                  <c:v>&gt;1M</c:v>
                </c:pt>
              </c:strCache>
            </c:strRef>
          </c:cat>
          <c:val>
            <c:numRef>
              <c:f>FUNDING!$Q$43:$Q$46</c:f>
              <c:numCache>
                <c:formatCode>General</c:formatCode>
                <c:ptCount val="4"/>
                <c:pt idx="0">
                  <c:v>92</c:v>
                </c:pt>
                <c:pt idx="1">
                  <c:v>200</c:v>
                </c:pt>
                <c:pt idx="2">
                  <c:v>136</c:v>
                </c:pt>
                <c:pt idx="3">
                  <c:v>24</c:v>
                </c:pt>
              </c:numCache>
            </c:numRef>
          </c:val>
          <c:extLst>
            <c:ext xmlns:c16="http://schemas.microsoft.com/office/drawing/2014/chart" uri="{C3380CC4-5D6E-409C-BE32-E72D297353CC}">
              <c16:uniqueId val="{00000008-BCB3-4A7A-8631-650B1717BAD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47584676915387"/>
          <c:y val="4.0989720034995618E-2"/>
          <c:w val="0.8215558992625922"/>
          <c:h val="0.82090277777777776"/>
        </c:manualLayout>
      </c:layout>
      <c:barChart>
        <c:barDir val="bar"/>
        <c:grouping val="clustered"/>
        <c:varyColors val="0"/>
        <c:ser>
          <c:idx val="1"/>
          <c:order val="0"/>
          <c:tx>
            <c:strRef>
              <c:f>FUNDING!$A$129</c:f>
              <c:strCache>
                <c:ptCount val="1"/>
                <c:pt idx="0">
                  <c:v>China</c:v>
                </c:pt>
              </c:strCache>
            </c:strRef>
          </c:tx>
          <c:spPr>
            <a:solidFill>
              <a:srgbClr val="B3DE69"/>
            </a:solidFill>
            <a:ln>
              <a:solidFill>
                <a:schemeClr val="tx1"/>
              </a:solid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FUNDING!$B$127:$C$127</c:f>
              <c:strCache>
                <c:ptCount val="2"/>
                <c:pt idx="0">
                  <c:v>Renewable
Power</c:v>
                </c:pt>
                <c:pt idx="1">
                  <c:v>Renewable of
Transport</c:v>
                </c:pt>
              </c:strCache>
            </c:strRef>
          </c:cat>
          <c:val>
            <c:numRef>
              <c:f>FUNDING!$B$129:$C$129</c:f>
              <c:numCache>
                <c:formatCode>"$"#,##0.00</c:formatCode>
                <c:ptCount val="2"/>
                <c:pt idx="0">
                  <c:v>92</c:v>
                </c:pt>
                <c:pt idx="1">
                  <c:v>12</c:v>
                </c:pt>
              </c:numCache>
            </c:numRef>
          </c:val>
          <c:extLst>
            <c:ext xmlns:c16="http://schemas.microsoft.com/office/drawing/2014/chart" uri="{C3380CC4-5D6E-409C-BE32-E72D297353CC}">
              <c16:uniqueId val="{00000001-D3F4-4B2F-B1FE-979923647EE8}"/>
            </c:ext>
          </c:extLst>
        </c:ser>
        <c:ser>
          <c:idx val="0"/>
          <c:order val="1"/>
          <c:tx>
            <c:strRef>
              <c:f>FUNDING!$A$128</c:f>
              <c:strCache>
                <c:ptCount val="1"/>
                <c:pt idx="0">
                  <c:v>United States</c:v>
                </c:pt>
              </c:strCache>
            </c:strRef>
          </c:tx>
          <c:spPr>
            <a:solidFill>
              <a:srgbClr val="A6CEE3"/>
            </a:solidFill>
            <a:ln>
              <a:solidFill>
                <a:schemeClr val="tx1"/>
              </a:solid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FUNDING!$B$127:$C$127</c:f>
              <c:strCache>
                <c:ptCount val="2"/>
                <c:pt idx="0">
                  <c:v>Renewable
Power</c:v>
                </c:pt>
                <c:pt idx="1">
                  <c:v>Renewable of
Transport</c:v>
                </c:pt>
              </c:strCache>
            </c:strRef>
          </c:cat>
          <c:val>
            <c:numRef>
              <c:f>FUNDING!$B$128:$C$128</c:f>
              <c:numCache>
                <c:formatCode>"$"#,##0.00</c:formatCode>
                <c:ptCount val="2"/>
                <c:pt idx="0">
                  <c:v>46</c:v>
                </c:pt>
                <c:pt idx="1">
                  <c:v>2</c:v>
                </c:pt>
              </c:numCache>
            </c:numRef>
          </c:val>
          <c:extLst>
            <c:ext xmlns:c16="http://schemas.microsoft.com/office/drawing/2014/chart" uri="{C3380CC4-5D6E-409C-BE32-E72D297353CC}">
              <c16:uniqueId val="{00000000-D3F4-4B2F-B1FE-979923647EE8}"/>
            </c:ext>
          </c:extLst>
        </c:ser>
        <c:dLbls>
          <c:dLblPos val="outEnd"/>
          <c:showLegendKey val="0"/>
          <c:showVal val="1"/>
          <c:showCatName val="0"/>
          <c:showSerName val="0"/>
          <c:showPercent val="0"/>
          <c:showBubbleSize val="0"/>
        </c:dLbls>
        <c:gapWidth val="182"/>
        <c:axId val="508228680"/>
        <c:axId val="508229336"/>
      </c:barChart>
      <c:catAx>
        <c:axId val="508228680"/>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508229336"/>
        <c:crosses val="autoZero"/>
        <c:auto val="1"/>
        <c:lblAlgn val="ctr"/>
        <c:lblOffset val="100"/>
        <c:noMultiLvlLbl val="0"/>
      </c:catAx>
      <c:valAx>
        <c:axId val="508229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a:t>US Billion dollars</a:t>
                </a:r>
              </a:p>
            </c:rich>
          </c:tx>
          <c:layout>
            <c:manualLayout>
              <c:xMode val="edge"/>
              <c:yMode val="edge"/>
              <c:x val="0.45448990751156104"/>
              <c:y val="0.923391568241469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title>
        <c:numFmt formatCode="&quot;$&quot;#,##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508228680"/>
        <c:crosses val="autoZero"/>
        <c:crossBetween val="between"/>
      </c:valAx>
      <c:spPr>
        <a:noFill/>
        <a:ln>
          <a:solidFill>
            <a:schemeClr val="tx1"/>
          </a:solidFill>
        </a:ln>
        <a:effectLst/>
      </c:spPr>
    </c:plotArea>
    <c:legend>
      <c:legendPos val="b"/>
      <c:layout>
        <c:manualLayout>
          <c:xMode val="edge"/>
          <c:yMode val="edge"/>
          <c:x val="0.15920838020247466"/>
          <c:y val="5.533601268591426E-2"/>
          <c:w val="0.25301181102362202"/>
          <c:h val="5.924732064741907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a:solidFill>
            <a:schemeClr val="tx1"/>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840926134233245E-2"/>
          <c:y val="4.0989720034995618E-2"/>
          <c:w val="0.88107970878640174"/>
          <c:h val="0.87298611111111102"/>
        </c:manualLayout>
      </c:layout>
      <c:barChart>
        <c:barDir val="col"/>
        <c:grouping val="stacked"/>
        <c:varyColors val="0"/>
        <c:ser>
          <c:idx val="0"/>
          <c:order val="0"/>
          <c:tx>
            <c:strRef>
              <c:f>FUNDING!$A$146</c:f>
              <c:strCache>
                <c:ptCount val="1"/>
                <c:pt idx="0">
                  <c:v>Biochemicals</c:v>
                </c:pt>
              </c:strCache>
            </c:strRef>
          </c:tx>
          <c:spPr>
            <a:solidFill>
              <a:srgbClr val="B3DE69"/>
            </a:solidFill>
            <a:ln>
              <a:solidFill>
                <a:schemeClr val="tx1"/>
              </a:solid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FUNDING!$B$145:$F$145</c:f>
              <c:numCache>
                <c:formatCode>General</c:formatCode>
                <c:ptCount val="5"/>
                <c:pt idx="0">
                  <c:v>2015</c:v>
                </c:pt>
                <c:pt idx="1">
                  <c:v>2016</c:v>
                </c:pt>
                <c:pt idx="2">
                  <c:v>2017</c:v>
                </c:pt>
                <c:pt idx="3">
                  <c:v>2018</c:v>
                </c:pt>
                <c:pt idx="4">
                  <c:v>2019</c:v>
                </c:pt>
              </c:numCache>
            </c:numRef>
          </c:cat>
          <c:val>
            <c:numRef>
              <c:f>FUNDING!$B$146:$F$146</c:f>
              <c:numCache>
                <c:formatCode>General</c:formatCode>
                <c:ptCount val="5"/>
                <c:pt idx="0">
                  <c:v>261</c:v>
                </c:pt>
                <c:pt idx="1">
                  <c:v>109</c:v>
                </c:pt>
                <c:pt idx="2">
                  <c:v>148</c:v>
                </c:pt>
                <c:pt idx="3">
                  <c:v>89</c:v>
                </c:pt>
                <c:pt idx="4">
                  <c:v>414</c:v>
                </c:pt>
              </c:numCache>
            </c:numRef>
          </c:val>
          <c:extLst>
            <c:ext xmlns:c16="http://schemas.microsoft.com/office/drawing/2014/chart" uri="{C3380CC4-5D6E-409C-BE32-E72D297353CC}">
              <c16:uniqueId val="{00000001-2F66-45E3-9371-9C032D9B6322}"/>
            </c:ext>
          </c:extLst>
        </c:ser>
        <c:ser>
          <c:idx val="1"/>
          <c:order val="1"/>
          <c:tx>
            <c:strRef>
              <c:f>FUNDING!$A$147</c:f>
              <c:strCache>
                <c:ptCount val="1"/>
                <c:pt idx="0">
                  <c:v>Bioplastics</c:v>
                </c:pt>
              </c:strCache>
            </c:strRef>
          </c:tx>
          <c:spPr>
            <a:solidFill>
              <a:srgbClr val="A6CEE3"/>
            </a:solidFill>
            <a:ln>
              <a:solidFill>
                <a:schemeClr val="tx1"/>
              </a:solid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FUNDING!$B$145:$F$145</c:f>
              <c:numCache>
                <c:formatCode>General</c:formatCode>
                <c:ptCount val="5"/>
                <c:pt idx="0">
                  <c:v>2015</c:v>
                </c:pt>
                <c:pt idx="1">
                  <c:v>2016</c:v>
                </c:pt>
                <c:pt idx="2">
                  <c:v>2017</c:v>
                </c:pt>
                <c:pt idx="3">
                  <c:v>2018</c:v>
                </c:pt>
                <c:pt idx="4">
                  <c:v>2019</c:v>
                </c:pt>
              </c:numCache>
            </c:numRef>
          </c:cat>
          <c:val>
            <c:numRef>
              <c:f>FUNDING!$B$147:$F$147</c:f>
              <c:numCache>
                <c:formatCode>General</c:formatCode>
                <c:ptCount val="5"/>
                <c:pt idx="0">
                  <c:v>151</c:v>
                </c:pt>
                <c:pt idx="1">
                  <c:v>33</c:v>
                </c:pt>
                <c:pt idx="2">
                  <c:v>59</c:v>
                </c:pt>
                <c:pt idx="3">
                  <c:v>115</c:v>
                </c:pt>
                <c:pt idx="4">
                  <c:v>48</c:v>
                </c:pt>
              </c:numCache>
            </c:numRef>
          </c:val>
          <c:extLst>
            <c:ext xmlns:c16="http://schemas.microsoft.com/office/drawing/2014/chart" uri="{C3380CC4-5D6E-409C-BE32-E72D297353CC}">
              <c16:uniqueId val="{00000000-2F66-45E3-9371-9C032D9B6322}"/>
            </c:ext>
          </c:extLst>
        </c:ser>
        <c:dLbls>
          <c:showLegendKey val="0"/>
          <c:showVal val="1"/>
          <c:showCatName val="0"/>
          <c:showSerName val="0"/>
          <c:showPercent val="0"/>
          <c:showBubbleSize val="0"/>
        </c:dLbls>
        <c:gapWidth val="182"/>
        <c:overlap val="100"/>
        <c:axId val="508228680"/>
        <c:axId val="508229336"/>
      </c:barChart>
      <c:catAx>
        <c:axId val="508228680"/>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508229336"/>
        <c:crosses val="autoZero"/>
        <c:auto val="1"/>
        <c:lblAlgn val="ctr"/>
        <c:lblOffset val="100"/>
        <c:noMultiLvlLbl val="0"/>
      </c:catAx>
      <c:valAx>
        <c:axId val="5082293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a:t>Million Dollars</a:t>
                </a:r>
              </a:p>
            </c:rich>
          </c:tx>
          <c:layout>
            <c:manualLayout>
              <c:xMode val="edge"/>
              <c:yMode val="edge"/>
              <c:x val="1.4940476190476193E-2"/>
              <c:y val="0.3590452755905511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title>
        <c:numFmt formatCode="General"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508228680"/>
        <c:crosses val="autoZero"/>
        <c:crossBetween val="between"/>
      </c:valAx>
      <c:spPr>
        <a:noFill/>
        <a:ln>
          <a:solidFill>
            <a:schemeClr val="tx1"/>
          </a:solidFill>
        </a:ln>
        <a:effectLst/>
      </c:spPr>
    </c:plotArea>
    <c:legend>
      <c:legendPos val="b"/>
      <c:layout>
        <c:manualLayout>
          <c:xMode val="edge"/>
          <c:yMode val="edge"/>
          <c:x val="0.11555758655168102"/>
          <c:y val="5.8808234908136484E-2"/>
          <c:w val="0.30191647919010123"/>
          <c:h val="5.924732064741907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a:solidFill>
            <a:schemeClr val="tx1"/>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6E-4633-B22E-D956DBF826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6E-4633-B22E-D956DBF826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6E-4633-B22E-D956DBF826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6E-4633-B22E-D956DBF82677}"/>
              </c:ext>
            </c:extLst>
          </c:dPt>
          <c:cat>
            <c:strRef>
              <c:f>FUNDING!$A$50:$A$53</c:f>
              <c:strCache>
                <c:ptCount val="4"/>
                <c:pt idx="0">
                  <c:v>0-250K</c:v>
                </c:pt>
                <c:pt idx="1">
                  <c:v>250K-500K</c:v>
                </c:pt>
                <c:pt idx="2">
                  <c:v>500K-1M</c:v>
                </c:pt>
                <c:pt idx="3">
                  <c:v>&gt;1M</c:v>
                </c:pt>
              </c:strCache>
            </c:strRef>
          </c:cat>
          <c:val>
            <c:numRef>
              <c:f>FUNDING!$T$50:$T$53</c:f>
              <c:numCache>
                <c:formatCode>General</c:formatCode>
                <c:ptCount val="4"/>
                <c:pt idx="0">
                  <c:v>269</c:v>
                </c:pt>
                <c:pt idx="1">
                  <c:v>22</c:v>
                </c:pt>
                <c:pt idx="2">
                  <c:v>11</c:v>
                </c:pt>
                <c:pt idx="3">
                  <c:v>7</c:v>
                </c:pt>
              </c:numCache>
            </c:numRef>
          </c:val>
          <c:extLst>
            <c:ext xmlns:c16="http://schemas.microsoft.com/office/drawing/2014/chart" uri="{C3380CC4-5D6E-409C-BE32-E72D297353CC}">
              <c16:uniqueId val="{00000008-F76E-4633-B22E-D956DBF82677}"/>
            </c:ext>
          </c:extLst>
        </c:ser>
        <c:dLbls>
          <c:showLegendKey val="0"/>
          <c:showVal val="0"/>
          <c:showCatName val="0"/>
          <c:showSerName val="0"/>
          <c:showPercent val="0"/>
          <c:showBubbleSize val="0"/>
          <c:showLeaderLines val="1"/>
        </c:dLbls>
        <c:firstSliceAng val="0"/>
        <c:holeSize val="50"/>
      </c:doughnutChart>
      <c:spPr>
        <a:noFill/>
        <a:ln w="9525">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19-4528-8D08-DF2EBD4E8C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19-4528-8D08-DF2EBD4E8C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19-4528-8D08-DF2EBD4E8CF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19-4528-8D08-DF2EBD4E8CF2}"/>
              </c:ext>
            </c:extLst>
          </c:dPt>
          <c:cat>
            <c:strRef>
              <c:f>FUNDING!$A$50:$A$53</c:f>
              <c:strCache>
                <c:ptCount val="4"/>
                <c:pt idx="0">
                  <c:v>0-250K</c:v>
                </c:pt>
                <c:pt idx="1">
                  <c:v>250K-500K</c:v>
                </c:pt>
                <c:pt idx="2">
                  <c:v>500K-1M</c:v>
                </c:pt>
                <c:pt idx="3">
                  <c:v>&gt;1M</c:v>
                </c:pt>
              </c:strCache>
            </c:strRef>
          </c:cat>
          <c:val>
            <c:numRef>
              <c:f>FUNDING!$U$50:$U$53</c:f>
              <c:numCache>
                <c:formatCode>General</c:formatCode>
                <c:ptCount val="4"/>
                <c:pt idx="0">
                  <c:v>15</c:v>
                </c:pt>
                <c:pt idx="1">
                  <c:v>4</c:v>
                </c:pt>
                <c:pt idx="2">
                  <c:v>1</c:v>
                </c:pt>
                <c:pt idx="3">
                  <c:v>1</c:v>
                </c:pt>
              </c:numCache>
            </c:numRef>
          </c:val>
          <c:extLst>
            <c:ext xmlns:c16="http://schemas.microsoft.com/office/drawing/2014/chart" uri="{C3380CC4-5D6E-409C-BE32-E72D297353CC}">
              <c16:uniqueId val="{00000008-F019-4528-8D08-DF2EBD4E8CF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BC-403F-AE6C-368F9D175A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BC-403F-AE6C-368F9D175A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BC-403F-AE6C-368F9D175A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2BC-403F-AE6C-368F9D175A85}"/>
              </c:ext>
            </c:extLst>
          </c:dPt>
          <c:cat>
            <c:strRef>
              <c:f>FUNDING!$A$50:$A$53</c:f>
              <c:strCache>
                <c:ptCount val="4"/>
                <c:pt idx="0">
                  <c:v>0-250K</c:v>
                </c:pt>
                <c:pt idx="1">
                  <c:v>250K-500K</c:v>
                </c:pt>
                <c:pt idx="2">
                  <c:v>500K-1M</c:v>
                </c:pt>
                <c:pt idx="3">
                  <c:v>&gt;1M</c:v>
                </c:pt>
              </c:strCache>
            </c:strRef>
          </c:cat>
          <c:val>
            <c:numRef>
              <c:f>FUNDING!$V$50:$V$53</c:f>
              <c:numCache>
                <c:formatCode>General</c:formatCode>
                <c:ptCount val="4"/>
                <c:pt idx="0">
                  <c:v>245</c:v>
                </c:pt>
                <c:pt idx="1">
                  <c:v>36</c:v>
                </c:pt>
                <c:pt idx="2">
                  <c:v>5</c:v>
                </c:pt>
                <c:pt idx="3">
                  <c:v>8</c:v>
                </c:pt>
              </c:numCache>
            </c:numRef>
          </c:val>
          <c:extLst>
            <c:ext xmlns:c16="http://schemas.microsoft.com/office/drawing/2014/chart" uri="{C3380CC4-5D6E-409C-BE32-E72D297353CC}">
              <c16:uniqueId val="{00000008-62BC-403F-AE6C-368F9D175A8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9A-4831-B177-834452F70C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9A-4831-B177-834452F70C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9A-4831-B177-834452F70CF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9A-4831-B177-834452F70CF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2CD-4507-AF31-83D0943CAFCD}"/>
              </c:ext>
            </c:extLst>
          </c:dPt>
          <c:cat>
            <c:strRef>
              <c:f>FUNDING!$A$55:$A$59</c:f>
              <c:strCache>
                <c:ptCount val="5"/>
                <c:pt idx="0">
                  <c:v>&lt;50K</c:v>
                </c:pt>
                <c:pt idx="1">
                  <c:v>50K-100K</c:v>
                </c:pt>
                <c:pt idx="2">
                  <c:v>100K-500K</c:v>
                </c:pt>
                <c:pt idx="3">
                  <c:v>500K-1M</c:v>
                </c:pt>
                <c:pt idx="4">
                  <c:v>&gt;1M</c:v>
                </c:pt>
              </c:strCache>
            </c:strRef>
          </c:cat>
          <c:val>
            <c:numRef>
              <c:f>FUNDING!$V$55:$V$59</c:f>
              <c:numCache>
                <c:formatCode>General</c:formatCode>
                <c:ptCount val="5"/>
                <c:pt idx="0">
                  <c:v>17</c:v>
                </c:pt>
                <c:pt idx="1">
                  <c:v>13</c:v>
                </c:pt>
                <c:pt idx="2">
                  <c:v>238</c:v>
                </c:pt>
                <c:pt idx="3">
                  <c:v>152</c:v>
                </c:pt>
                <c:pt idx="4">
                  <c:v>32</c:v>
                </c:pt>
              </c:numCache>
            </c:numRef>
          </c:val>
          <c:extLst>
            <c:ext xmlns:c16="http://schemas.microsoft.com/office/drawing/2014/chart" uri="{C3380CC4-5D6E-409C-BE32-E72D297353CC}">
              <c16:uniqueId val="{00000008-B69A-4831-B177-834452F70CF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FUNDING!$AB$49</c:f>
              <c:strCache>
                <c:ptCount val="1"/>
                <c:pt idx="0">
                  <c:v>Traditional biofuel</c:v>
                </c:pt>
              </c:strCache>
            </c:strRef>
          </c:tx>
          <c:spPr>
            <a:solidFill>
              <a:srgbClr val="80B1D3"/>
            </a:solidFill>
            <a:ln>
              <a:solidFill>
                <a:schemeClr val="tx1"/>
              </a:solidFill>
            </a:ln>
            <a:effectLst/>
          </c:spPr>
          <c:invertIfNegative val="0"/>
          <c:cat>
            <c:multiLvlStrRef>
              <c:f>FUNDING!$Z$50:$AA$63</c:f>
              <c:multiLvlStrCache>
                <c:ptCount val="14"/>
                <c:lvl>
                  <c:pt idx="0">
                    <c:v>0-250K</c:v>
                  </c:pt>
                  <c:pt idx="1">
                    <c:v>250K-500K</c:v>
                  </c:pt>
                  <c:pt idx="2">
                    <c:v>500K-1M</c:v>
                  </c:pt>
                  <c:pt idx="3">
                    <c:v>&gt;1M</c:v>
                  </c:pt>
                  <c:pt idx="5">
                    <c:v>0-250K</c:v>
                  </c:pt>
                  <c:pt idx="6">
                    <c:v>250K-500K</c:v>
                  </c:pt>
                  <c:pt idx="7">
                    <c:v>500K-1M</c:v>
                  </c:pt>
                  <c:pt idx="8">
                    <c:v>&gt;1M</c:v>
                  </c:pt>
                  <c:pt idx="10">
                    <c:v>0-250K</c:v>
                  </c:pt>
                  <c:pt idx="11">
                    <c:v>250K-500K</c:v>
                  </c:pt>
                  <c:pt idx="12">
                    <c:v>500K-1M</c:v>
                  </c:pt>
                  <c:pt idx="13">
                    <c:v>&gt;1M</c:v>
                  </c:pt>
                </c:lvl>
                <c:lvl>
                  <c:pt idx="0">
                    <c:v>Amount awarded 2019 NIFA</c:v>
                  </c:pt>
                  <c:pt idx="5">
                    <c:v>Amount awarded 2020 NIFA</c:v>
                  </c:pt>
                  <c:pt idx="10">
                    <c:v>Amount awarded 2021 NIFA</c:v>
                  </c:pt>
                </c:lvl>
              </c:multiLvlStrCache>
            </c:multiLvlStrRef>
          </c:cat>
          <c:val>
            <c:numRef>
              <c:f>FUNDING!$AB$50:$AB$63</c:f>
              <c:numCache>
                <c:formatCode>General</c:formatCode>
                <c:ptCount val="14"/>
                <c:pt idx="0">
                  <c:v>269</c:v>
                </c:pt>
                <c:pt idx="1">
                  <c:v>22</c:v>
                </c:pt>
                <c:pt idx="2">
                  <c:v>11</c:v>
                </c:pt>
                <c:pt idx="3">
                  <c:v>7</c:v>
                </c:pt>
                <c:pt idx="5">
                  <c:v>163</c:v>
                </c:pt>
                <c:pt idx="6">
                  <c:v>32</c:v>
                </c:pt>
                <c:pt idx="7">
                  <c:v>11</c:v>
                </c:pt>
                <c:pt idx="8">
                  <c:v>8</c:v>
                </c:pt>
                <c:pt idx="10">
                  <c:v>111</c:v>
                </c:pt>
                <c:pt idx="11">
                  <c:v>44</c:v>
                </c:pt>
                <c:pt idx="12">
                  <c:v>7</c:v>
                </c:pt>
                <c:pt idx="13">
                  <c:v>1</c:v>
                </c:pt>
              </c:numCache>
            </c:numRef>
          </c:val>
          <c:extLst>
            <c:ext xmlns:c16="http://schemas.microsoft.com/office/drawing/2014/chart" uri="{C3380CC4-5D6E-409C-BE32-E72D297353CC}">
              <c16:uniqueId val="{00000000-9809-4F69-AE5B-3884743E4BF6}"/>
            </c:ext>
          </c:extLst>
        </c:ser>
        <c:ser>
          <c:idx val="1"/>
          <c:order val="1"/>
          <c:tx>
            <c:strRef>
              <c:f>FUNDING!$AC$49</c:f>
              <c:strCache>
                <c:ptCount val="1"/>
                <c:pt idx="0">
                  <c:v>Emergent biofuel</c:v>
                </c:pt>
              </c:strCache>
            </c:strRef>
          </c:tx>
          <c:spPr>
            <a:solidFill>
              <a:srgbClr val="FB8072"/>
            </a:solidFill>
            <a:ln>
              <a:solidFill>
                <a:schemeClr val="tx1"/>
              </a:solidFill>
            </a:ln>
            <a:effectLst/>
          </c:spPr>
          <c:invertIfNegative val="0"/>
          <c:cat>
            <c:multiLvlStrRef>
              <c:f>FUNDING!$Z$50:$AA$63</c:f>
              <c:multiLvlStrCache>
                <c:ptCount val="14"/>
                <c:lvl>
                  <c:pt idx="0">
                    <c:v>0-250K</c:v>
                  </c:pt>
                  <c:pt idx="1">
                    <c:v>250K-500K</c:v>
                  </c:pt>
                  <c:pt idx="2">
                    <c:v>500K-1M</c:v>
                  </c:pt>
                  <c:pt idx="3">
                    <c:v>&gt;1M</c:v>
                  </c:pt>
                  <c:pt idx="5">
                    <c:v>0-250K</c:v>
                  </c:pt>
                  <c:pt idx="6">
                    <c:v>250K-500K</c:v>
                  </c:pt>
                  <c:pt idx="7">
                    <c:v>500K-1M</c:v>
                  </c:pt>
                  <c:pt idx="8">
                    <c:v>&gt;1M</c:v>
                  </c:pt>
                  <c:pt idx="10">
                    <c:v>0-250K</c:v>
                  </c:pt>
                  <c:pt idx="11">
                    <c:v>250K-500K</c:v>
                  </c:pt>
                  <c:pt idx="12">
                    <c:v>500K-1M</c:v>
                  </c:pt>
                  <c:pt idx="13">
                    <c:v>&gt;1M</c:v>
                  </c:pt>
                </c:lvl>
                <c:lvl>
                  <c:pt idx="0">
                    <c:v>Amount awarded 2019 NIFA</c:v>
                  </c:pt>
                  <c:pt idx="5">
                    <c:v>Amount awarded 2020 NIFA</c:v>
                  </c:pt>
                  <c:pt idx="10">
                    <c:v>Amount awarded 2021 NIFA</c:v>
                  </c:pt>
                </c:lvl>
              </c:multiLvlStrCache>
            </c:multiLvlStrRef>
          </c:cat>
          <c:val>
            <c:numRef>
              <c:f>FUNDING!$AC$50:$AC$63</c:f>
              <c:numCache>
                <c:formatCode>General</c:formatCode>
                <c:ptCount val="14"/>
                <c:pt idx="0">
                  <c:v>15</c:v>
                </c:pt>
                <c:pt idx="1">
                  <c:v>4</c:v>
                </c:pt>
                <c:pt idx="2">
                  <c:v>1</c:v>
                </c:pt>
                <c:pt idx="3">
                  <c:v>1</c:v>
                </c:pt>
                <c:pt idx="5">
                  <c:v>5</c:v>
                </c:pt>
                <c:pt idx="6">
                  <c:v>3</c:v>
                </c:pt>
                <c:pt idx="7">
                  <c:v>0</c:v>
                </c:pt>
                <c:pt idx="8">
                  <c:v>0</c:v>
                </c:pt>
                <c:pt idx="10">
                  <c:v>5</c:v>
                </c:pt>
                <c:pt idx="11">
                  <c:v>1</c:v>
                </c:pt>
                <c:pt idx="12">
                  <c:v>0</c:v>
                </c:pt>
                <c:pt idx="13">
                  <c:v>0</c:v>
                </c:pt>
              </c:numCache>
            </c:numRef>
          </c:val>
          <c:extLst>
            <c:ext xmlns:c16="http://schemas.microsoft.com/office/drawing/2014/chart" uri="{C3380CC4-5D6E-409C-BE32-E72D297353CC}">
              <c16:uniqueId val="{00000001-9809-4F69-AE5B-3884743E4BF6}"/>
            </c:ext>
          </c:extLst>
        </c:ser>
        <c:ser>
          <c:idx val="2"/>
          <c:order val="2"/>
          <c:tx>
            <c:strRef>
              <c:f>FUNDING!$AD$49</c:f>
              <c:strCache>
                <c:ptCount val="1"/>
                <c:pt idx="0">
                  <c:v>Bioproducts</c:v>
                </c:pt>
              </c:strCache>
            </c:strRef>
          </c:tx>
          <c:spPr>
            <a:solidFill>
              <a:srgbClr val="BFBFBF"/>
            </a:solidFill>
            <a:ln>
              <a:solidFill>
                <a:schemeClr val="tx1"/>
              </a:solidFill>
            </a:ln>
            <a:effectLst/>
          </c:spPr>
          <c:invertIfNegative val="0"/>
          <c:cat>
            <c:multiLvlStrRef>
              <c:f>FUNDING!$Z$50:$AA$63</c:f>
              <c:multiLvlStrCache>
                <c:ptCount val="14"/>
                <c:lvl>
                  <c:pt idx="0">
                    <c:v>0-250K</c:v>
                  </c:pt>
                  <c:pt idx="1">
                    <c:v>250K-500K</c:v>
                  </c:pt>
                  <c:pt idx="2">
                    <c:v>500K-1M</c:v>
                  </c:pt>
                  <c:pt idx="3">
                    <c:v>&gt;1M</c:v>
                  </c:pt>
                  <c:pt idx="5">
                    <c:v>0-250K</c:v>
                  </c:pt>
                  <c:pt idx="6">
                    <c:v>250K-500K</c:v>
                  </c:pt>
                  <c:pt idx="7">
                    <c:v>500K-1M</c:v>
                  </c:pt>
                  <c:pt idx="8">
                    <c:v>&gt;1M</c:v>
                  </c:pt>
                  <c:pt idx="10">
                    <c:v>0-250K</c:v>
                  </c:pt>
                  <c:pt idx="11">
                    <c:v>250K-500K</c:v>
                  </c:pt>
                  <c:pt idx="12">
                    <c:v>500K-1M</c:v>
                  </c:pt>
                  <c:pt idx="13">
                    <c:v>&gt;1M</c:v>
                  </c:pt>
                </c:lvl>
                <c:lvl>
                  <c:pt idx="0">
                    <c:v>Amount awarded 2019 NIFA</c:v>
                  </c:pt>
                  <c:pt idx="5">
                    <c:v>Amount awarded 2020 NIFA</c:v>
                  </c:pt>
                  <c:pt idx="10">
                    <c:v>Amount awarded 2021 NIFA</c:v>
                  </c:pt>
                </c:lvl>
              </c:multiLvlStrCache>
            </c:multiLvlStrRef>
          </c:cat>
          <c:val>
            <c:numRef>
              <c:f>FUNDING!$AD$50:$AD$63</c:f>
              <c:numCache>
                <c:formatCode>General</c:formatCode>
                <c:ptCount val="14"/>
                <c:pt idx="0">
                  <c:v>245</c:v>
                </c:pt>
                <c:pt idx="1">
                  <c:v>36</c:v>
                </c:pt>
                <c:pt idx="2">
                  <c:v>5</c:v>
                </c:pt>
                <c:pt idx="3">
                  <c:v>8</c:v>
                </c:pt>
                <c:pt idx="5">
                  <c:v>130</c:v>
                </c:pt>
                <c:pt idx="6">
                  <c:v>38</c:v>
                </c:pt>
                <c:pt idx="7">
                  <c:v>4</c:v>
                </c:pt>
                <c:pt idx="8">
                  <c:v>7</c:v>
                </c:pt>
                <c:pt idx="10">
                  <c:v>118</c:v>
                </c:pt>
                <c:pt idx="11">
                  <c:v>38</c:v>
                </c:pt>
                <c:pt idx="12">
                  <c:v>8</c:v>
                </c:pt>
                <c:pt idx="13">
                  <c:v>0</c:v>
                </c:pt>
              </c:numCache>
            </c:numRef>
          </c:val>
          <c:extLst>
            <c:ext xmlns:c16="http://schemas.microsoft.com/office/drawing/2014/chart" uri="{C3380CC4-5D6E-409C-BE32-E72D297353CC}">
              <c16:uniqueId val="{00000002-9809-4F69-AE5B-3884743E4BF6}"/>
            </c:ext>
          </c:extLst>
        </c:ser>
        <c:dLbls>
          <c:showLegendKey val="0"/>
          <c:showVal val="0"/>
          <c:showCatName val="0"/>
          <c:showSerName val="0"/>
          <c:showPercent val="0"/>
          <c:showBubbleSize val="0"/>
        </c:dLbls>
        <c:gapWidth val="219"/>
        <c:axId val="1193186144"/>
        <c:axId val="1193193216"/>
      </c:barChart>
      <c:catAx>
        <c:axId val="1193186144"/>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ES"/>
          </a:p>
        </c:txPr>
        <c:crossAx val="1193193216"/>
        <c:crosses val="autoZero"/>
        <c:auto val="1"/>
        <c:lblAlgn val="ctr"/>
        <c:lblOffset val="100"/>
        <c:noMultiLvlLbl val="0"/>
      </c:catAx>
      <c:valAx>
        <c:axId val="119319321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Number of projects</a:t>
                </a:r>
              </a:p>
            </c:rich>
          </c:tx>
          <c:layout>
            <c:manualLayout>
              <c:xMode val="edge"/>
              <c:yMode val="edge"/>
              <c:x val="1.1985018726591761E-2"/>
              <c:y val="0.3335986237057045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ES"/>
          </a:p>
        </c:txPr>
        <c:crossAx val="1193186144"/>
        <c:crosses val="autoZero"/>
        <c:crossBetween val="between"/>
      </c:valAx>
      <c:spPr>
        <a:noFill/>
        <a:ln>
          <a:solidFill>
            <a:schemeClr val="tx1"/>
          </a:solidFill>
        </a:ln>
        <a:effectLst/>
      </c:spPr>
    </c:plotArea>
    <c:legend>
      <c:legendPos val="t"/>
      <c:layout>
        <c:manualLayout>
          <c:xMode val="edge"/>
          <c:yMode val="edge"/>
          <c:x val="0.16064820549116754"/>
          <c:y val="9.3462568155334824E-2"/>
          <c:w val="0.36709310212627916"/>
          <c:h val="3.355727396823995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s-E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FUNDING!$AB$66</c:f>
              <c:strCache>
                <c:ptCount val="1"/>
                <c:pt idx="0">
                  <c:v>Traditional biofuel</c:v>
                </c:pt>
              </c:strCache>
            </c:strRef>
          </c:tx>
          <c:spPr>
            <a:solidFill>
              <a:srgbClr val="80B1D3"/>
            </a:solidFill>
            <a:ln>
              <a:solidFill>
                <a:schemeClr val="tx1"/>
              </a:solidFill>
            </a:ln>
            <a:effectLst/>
          </c:spPr>
          <c:invertIfNegative val="0"/>
          <c:cat>
            <c:multiLvlStrRef>
              <c:f>FUNDING!$Z$67:$AA$83</c:f>
              <c:multiLvlStrCache>
                <c:ptCount val="17"/>
                <c:lvl>
                  <c:pt idx="0">
                    <c:v>&lt;50K</c:v>
                  </c:pt>
                  <c:pt idx="1">
                    <c:v>50K-100K</c:v>
                  </c:pt>
                  <c:pt idx="2">
                    <c:v>100K-500K</c:v>
                  </c:pt>
                  <c:pt idx="3">
                    <c:v>500K-1M</c:v>
                  </c:pt>
                  <c:pt idx="4">
                    <c:v>&gt;1M</c:v>
                  </c:pt>
                  <c:pt idx="6">
                    <c:v>&lt;50K</c:v>
                  </c:pt>
                  <c:pt idx="7">
                    <c:v>50K-100K</c:v>
                  </c:pt>
                  <c:pt idx="8">
                    <c:v>100K-500K</c:v>
                  </c:pt>
                  <c:pt idx="9">
                    <c:v>500K-1M</c:v>
                  </c:pt>
                  <c:pt idx="10">
                    <c:v>&gt;1M</c:v>
                  </c:pt>
                  <c:pt idx="12">
                    <c:v>&lt;50K</c:v>
                  </c:pt>
                  <c:pt idx="13">
                    <c:v>50K-100K</c:v>
                  </c:pt>
                  <c:pt idx="14">
                    <c:v>100K-500K</c:v>
                  </c:pt>
                  <c:pt idx="15">
                    <c:v>500K-1M</c:v>
                  </c:pt>
                  <c:pt idx="16">
                    <c:v>&gt;1M</c:v>
                  </c:pt>
                </c:lvl>
                <c:lvl>
                  <c:pt idx="0">
                    <c:v>Amount awarded 2019 NSF</c:v>
                  </c:pt>
                  <c:pt idx="6">
                    <c:v>Amount awarded 2020 NSF</c:v>
                  </c:pt>
                  <c:pt idx="12">
                    <c:v>Amount awarded 2021 NSF</c:v>
                  </c:pt>
                </c:lvl>
              </c:multiLvlStrCache>
            </c:multiLvlStrRef>
          </c:cat>
          <c:val>
            <c:numRef>
              <c:f>FUNDING!$AB$67:$AB$83</c:f>
              <c:numCache>
                <c:formatCode>General</c:formatCode>
                <c:ptCount val="17"/>
                <c:pt idx="0">
                  <c:v>1613</c:v>
                </c:pt>
                <c:pt idx="1">
                  <c:v>636</c:v>
                </c:pt>
                <c:pt idx="2">
                  <c:v>6860</c:v>
                </c:pt>
                <c:pt idx="3">
                  <c:v>2121</c:v>
                </c:pt>
                <c:pt idx="4">
                  <c:v>959</c:v>
                </c:pt>
                <c:pt idx="6">
                  <c:v>1321</c:v>
                </c:pt>
                <c:pt idx="7">
                  <c:v>815</c:v>
                </c:pt>
                <c:pt idx="8">
                  <c:v>7752</c:v>
                </c:pt>
                <c:pt idx="9">
                  <c:v>2087</c:v>
                </c:pt>
                <c:pt idx="10">
                  <c:v>832</c:v>
                </c:pt>
                <c:pt idx="12">
                  <c:v>1020</c:v>
                </c:pt>
                <c:pt idx="13">
                  <c:v>652</c:v>
                </c:pt>
                <c:pt idx="14">
                  <c:v>7624</c:v>
                </c:pt>
                <c:pt idx="15">
                  <c:v>2136</c:v>
                </c:pt>
                <c:pt idx="16">
                  <c:v>876</c:v>
                </c:pt>
              </c:numCache>
            </c:numRef>
          </c:val>
          <c:extLst>
            <c:ext xmlns:c16="http://schemas.microsoft.com/office/drawing/2014/chart" uri="{C3380CC4-5D6E-409C-BE32-E72D297353CC}">
              <c16:uniqueId val="{00000000-EF1D-4919-8F57-EA50E387F5D3}"/>
            </c:ext>
          </c:extLst>
        </c:ser>
        <c:ser>
          <c:idx val="1"/>
          <c:order val="1"/>
          <c:tx>
            <c:strRef>
              <c:f>FUNDING!$AC$66</c:f>
              <c:strCache>
                <c:ptCount val="1"/>
                <c:pt idx="0">
                  <c:v>Emergent biofuel</c:v>
                </c:pt>
              </c:strCache>
            </c:strRef>
          </c:tx>
          <c:spPr>
            <a:solidFill>
              <a:srgbClr val="FB8072"/>
            </a:solidFill>
            <a:ln>
              <a:solidFill>
                <a:schemeClr val="tx1"/>
              </a:solidFill>
            </a:ln>
            <a:effectLst/>
          </c:spPr>
          <c:invertIfNegative val="0"/>
          <c:cat>
            <c:multiLvlStrRef>
              <c:f>FUNDING!$Z$67:$AA$83</c:f>
              <c:multiLvlStrCache>
                <c:ptCount val="17"/>
                <c:lvl>
                  <c:pt idx="0">
                    <c:v>&lt;50K</c:v>
                  </c:pt>
                  <c:pt idx="1">
                    <c:v>50K-100K</c:v>
                  </c:pt>
                  <c:pt idx="2">
                    <c:v>100K-500K</c:v>
                  </c:pt>
                  <c:pt idx="3">
                    <c:v>500K-1M</c:v>
                  </c:pt>
                  <c:pt idx="4">
                    <c:v>&gt;1M</c:v>
                  </c:pt>
                  <c:pt idx="6">
                    <c:v>&lt;50K</c:v>
                  </c:pt>
                  <c:pt idx="7">
                    <c:v>50K-100K</c:v>
                  </c:pt>
                  <c:pt idx="8">
                    <c:v>100K-500K</c:v>
                  </c:pt>
                  <c:pt idx="9">
                    <c:v>500K-1M</c:v>
                  </c:pt>
                  <c:pt idx="10">
                    <c:v>&gt;1M</c:v>
                  </c:pt>
                  <c:pt idx="12">
                    <c:v>&lt;50K</c:v>
                  </c:pt>
                  <c:pt idx="13">
                    <c:v>50K-100K</c:v>
                  </c:pt>
                  <c:pt idx="14">
                    <c:v>100K-500K</c:v>
                  </c:pt>
                  <c:pt idx="15">
                    <c:v>500K-1M</c:v>
                  </c:pt>
                  <c:pt idx="16">
                    <c:v>&gt;1M</c:v>
                  </c:pt>
                </c:lvl>
                <c:lvl>
                  <c:pt idx="0">
                    <c:v>Amount awarded 2019 NSF</c:v>
                  </c:pt>
                  <c:pt idx="6">
                    <c:v>Amount awarded 2020 NSF</c:v>
                  </c:pt>
                  <c:pt idx="12">
                    <c:v>Amount awarded 2021 NSF</c:v>
                  </c:pt>
                </c:lvl>
              </c:multiLvlStrCache>
            </c:multiLvlStrRef>
          </c:cat>
          <c:val>
            <c:numRef>
              <c:f>FUNDING!$AC$67:$AC$83</c:f>
              <c:numCache>
                <c:formatCode>General</c:formatCode>
                <c:ptCount val="17"/>
                <c:pt idx="0">
                  <c:v>170</c:v>
                </c:pt>
                <c:pt idx="1">
                  <c:v>75</c:v>
                </c:pt>
                <c:pt idx="2">
                  <c:v>708</c:v>
                </c:pt>
                <c:pt idx="3">
                  <c:v>265</c:v>
                </c:pt>
                <c:pt idx="4">
                  <c:v>115</c:v>
                </c:pt>
                <c:pt idx="6">
                  <c:v>118</c:v>
                </c:pt>
                <c:pt idx="7">
                  <c:v>65</c:v>
                </c:pt>
                <c:pt idx="8">
                  <c:v>736</c:v>
                </c:pt>
                <c:pt idx="9">
                  <c:v>279</c:v>
                </c:pt>
                <c:pt idx="10">
                  <c:v>96</c:v>
                </c:pt>
                <c:pt idx="12">
                  <c:v>114</c:v>
                </c:pt>
                <c:pt idx="13">
                  <c:v>58</c:v>
                </c:pt>
                <c:pt idx="14">
                  <c:v>729</c:v>
                </c:pt>
                <c:pt idx="15">
                  <c:v>285</c:v>
                </c:pt>
                <c:pt idx="16">
                  <c:v>117</c:v>
                </c:pt>
              </c:numCache>
            </c:numRef>
          </c:val>
          <c:extLst>
            <c:ext xmlns:c16="http://schemas.microsoft.com/office/drawing/2014/chart" uri="{C3380CC4-5D6E-409C-BE32-E72D297353CC}">
              <c16:uniqueId val="{00000001-EF1D-4919-8F57-EA50E387F5D3}"/>
            </c:ext>
          </c:extLst>
        </c:ser>
        <c:ser>
          <c:idx val="2"/>
          <c:order val="2"/>
          <c:tx>
            <c:strRef>
              <c:f>FUNDING!$AD$66</c:f>
              <c:strCache>
                <c:ptCount val="1"/>
                <c:pt idx="0">
                  <c:v>Bioproducts</c:v>
                </c:pt>
              </c:strCache>
            </c:strRef>
          </c:tx>
          <c:spPr>
            <a:solidFill>
              <a:srgbClr val="BFBFBF"/>
            </a:solidFill>
            <a:ln>
              <a:solidFill>
                <a:schemeClr val="tx1"/>
              </a:solidFill>
            </a:ln>
            <a:effectLst/>
          </c:spPr>
          <c:invertIfNegative val="0"/>
          <c:cat>
            <c:multiLvlStrRef>
              <c:f>FUNDING!$Z$67:$AA$83</c:f>
              <c:multiLvlStrCache>
                <c:ptCount val="17"/>
                <c:lvl>
                  <c:pt idx="0">
                    <c:v>&lt;50K</c:v>
                  </c:pt>
                  <c:pt idx="1">
                    <c:v>50K-100K</c:v>
                  </c:pt>
                  <c:pt idx="2">
                    <c:v>100K-500K</c:v>
                  </c:pt>
                  <c:pt idx="3">
                    <c:v>500K-1M</c:v>
                  </c:pt>
                  <c:pt idx="4">
                    <c:v>&gt;1M</c:v>
                  </c:pt>
                  <c:pt idx="6">
                    <c:v>&lt;50K</c:v>
                  </c:pt>
                  <c:pt idx="7">
                    <c:v>50K-100K</c:v>
                  </c:pt>
                  <c:pt idx="8">
                    <c:v>100K-500K</c:v>
                  </c:pt>
                  <c:pt idx="9">
                    <c:v>500K-1M</c:v>
                  </c:pt>
                  <c:pt idx="10">
                    <c:v>&gt;1M</c:v>
                  </c:pt>
                  <c:pt idx="12">
                    <c:v>&lt;50K</c:v>
                  </c:pt>
                  <c:pt idx="13">
                    <c:v>50K-100K</c:v>
                  </c:pt>
                  <c:pt idx="14">
                    <c:v>100K-500K</c:v>
                  </c:pt>
                  <c:pt idx="15">
                    <c:v>500K-1M</c:v>
                  </c:pt>
                  <c:pt idx="16">
                    <c:v>&gt;1M</c:v>
                  </c:pt>
                </c:lvl>
                <c:lvl>
                  <c:pt idx="0">
                    <c:v>Amount awarded 2019 NSF</c:v>
                  </c:pt>
                  <c:pt idx="6">
                    <c:v>Amount awarded 2020 NSF</c:v>
                  </c:pt>
                  <c:pt idx="12">
                    <c:v>Amount awarded 2021 NSF</c:v>
                  </c:pt>
                </c:lvl>
              </c:multiLvlStrCache>
            </c:multiLvlStrRef>
          </c:cat>
          <c:val>
            <c:numRef>
              <c:f>FUNDING!$AD$67:$AD$83</c:f>
              <c:numCache>
                <c:formatCode>General</c:formatCode>
                <c:ptCount val="17"/>
                <c:pt idx="0">
                  <c:v>17</c:v>
                </c:pt>
                <c:pt idx="1">
                  <c:v>13</c:v>
                </c:pt>
                <c:pt idx="2">
                  <c:v>238</c:v>
                </c:pt>
                <c:pt idx="3">
                  <c:v>152</c:v>
                </c:pt>
                <c:pt idx="4">
                  <c:v>32</c:v>
                </c:pt>
                <c:pt idx="6">
                  <c:v>25</c:v>
                </c:pt>
                <c:pt idx="7">
                  <c:v>6</c:v>
                </c:pt>
                <c:pt idx="8">
                  <c:v>262</c:v>
                </c:pt>
                <c:pt idx="9">
                  <c:v>129</c:v>
                </c:pt>
                <c:pt idx="10">
                  <c:v>39</c:v>
                </c:pt>
                <c:pt idx="12">
                  <c:v>11</c:v>
                </c:pt>
                <c:pt idx="13">
                  <c:v>11</c:v>
                </c:pt>
                <c:pt idx="14">
                  <c:v>249</c:v>
                </c:pt>
                <c:pt idx="15">
                  <c:v>149</c:v>
                </c:pt>
                <c:pt idx="16">
                  <c:v>31</c:v>
                </c:pt>
              </c:numCache>
            </c:numRef>
          </c:val>
          <c:extLst>
            <c:ext xmlns:c16="http://schemas.microsoft.com/office/drawing/2014/chart" uri="{C3380CC4-5D6E-409C-BE32-E72D297353CC}">
              <c16:uniqueId val="{00000002-EF1D-4919-8F57-EA50E387F5D3}"/>
            </c:ext>
          </c:extLst>
        </c:ser>
        <c:dLbls>
          <c:showLegendKey val="0"/>
          <c:showVal val="0"/>
          <c:showCatName val="0"/>
          <c:showSerName val="0"/>
          <c:showPercent val="0"/>
          <c:showBubbleSize val="0"/>
        </c:dLbls>
        <c:gapWidth val="219"/>
        <c:axId val="1015798320"/>
        <c:axId val="1015794992"/>
      </c:barChart>
      <c:catAx>
        <c:axId val="1015798320"/>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ES"/>
          </a:p>
        </c:txPr>
        <c:crossAx val="1015794992"/>
        <c:crosses val="autoZero"/>
        <c:auto val="1"/>
        <c:lblAlgn val="ctr"/>
        <c:lblOffset val="100"/>
        <c:noMultiLvlLbl val="0"/>
      </c:catAx>
      <c:valAx>
        <c:axId val="1015794992"/>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Number of projects</a:t>
                </a:r>
              </a:p>
            </c:rich>
          </c:tx>
          <c:layout>
            <c:manualLayout>
              <c:xMode val="edge"/>
              <c:yMode val="edge"/>
              <c:x val="1.2618296529968454E-2"/>
              <c:y val="0.347144048160691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E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ES"/>
          </a:p>
        </c:txPr>
        <c:crossAx val="1015798320"/>
        <c:crosses val="autoZero"/>
        <c:crossBetween val="between"/>
      </c:valAx>
      <c:spPr>
        <a:noFill/>
        <a:ln>
          <a:solidFill>
            <a:sysClr val="windowText" lastClr="000000"/>
          </a:solidFill>
        </a:ln>
        <a:effectLst/>
      </c:spPr>
    </c:plotArea>
    <c:legend>
      <c:legendPos val="t"/>
      <c:layout>
        <c:manualLayout>
          <c:xMode val="edge"/>
          <c:yMode val="edge"/>
          <c:x val="0.13845148602799812"/>
          <c:y val="0.1028277542454458"/>
          <c:w val="0.3651552355269912"/>
          <c:h val="3.856067773116093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s-E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86-4B1D-968F-CA7575A96D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86-4B1D-968F-CA7575A96D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486-4B1D-968F-CA7575A96D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486-4B1D-968F-CA7575A96DA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38A-486F-8504-107437A85F9A}"/>
              </c:ext>
            </c:extLst>
          </c:dPt>
          <c:cat>
            <c:strRef>
              <c:f>FUNDING!$A$55:$A$59</c:f>
              <c:strCache>
                <c:ptCount val="5"/>
                <c:pt idx="0">
                  <c:v>&lt;50K</c:v>
                </c:pt>
                <c:pt idx="1">
                  <c:v>50K-100K</c:v>
                </c:pt>
                <c:pt idx="2">
                  <c:v>100K-500K</c:v>
                </c:pt>
                <c:pt idx="3">
                  <c:v>500K-1M</c:v>
                </c:pt>
                <c:pt idx="4">
                  <c:v>&gt;1M</c:v>
                </c:pt>
              </c:strCache>
            </c:strRef>
          </c:cat>
          <c:val>
            <c:numRef>
              <c:f>FUNDING!$U$55:$U$59</c:f>
              <c:numCache>
                <c:formatCode>General</c:formatCode>
                <c:ptCount val="5"/>
                <c:pt idx="0">
                  <c:v>170</c:v>
                </c:pt>
                <c:pt idx="1">
                  <c:v>75</c:v>
                </c:pt>
                <c:pt idx="2">
                  <c:v>708</c:v>
                </c:pt>
                <c:pt idx="3">
                  <c:v>265</c:v>
                </c:pt>
                <c:pt idx="4">
                  <c:v>115</c:v>
                </c:pt>
              </c:numCache>
            </c:numRef>
          </c:val>
          <c:extLst>
            <c:ext xmlns:c16="http://schemas.microsoft.com/office/drawing/2014/chart" uri="{C3380CC4-5D6E-409C-BE32-E72D297353CC}">
              <c16:uniqueId val="{00000008-6486-4B1D-968F-CA7575A96DA7}"/>
            </c:ext>
          </c:extLst>
        </c:ser>
        <c:dLbls>
          <c:showLegendKey val="0"/>
          <c:showVal val="0"/>
          <c:showCatName val="0"/>
          <c:showSerName val="0"/>
          <c:showPercent val="0"/>
          <c:showBubbleSize val="0"/>
          <c:showLeaderLines val="1"/>
        </c:dLbls>
        <c:firstSliceAng val="0"/>
        <c:holeSize val="50"/>
      </c:doughnutChart>
      <c:spPr>
        <a:noFill/>
        <a:ln w="9525">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67-483A-8842-958EBD8E2C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67-483A-8842-958EBD8E2C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67-483A-8842-958EBD8E2C7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67-483A-8842-958EBD8E2C7A}"/>
              </c:ext>
            </c:extLst>
          </c:dPt>
          <c:cat>
            <c:strRef>
              <c:f>FUNDING!$A$50:$A$53</c:f>
              <c:strCache>
                <c:ptCount val="4"/>
                <c:pt idx="0">
                  <c:v>0-250K</c:v>
                </c:pt>
                <c:pt idx="1">
                  <c:v>250K-500K</c:v>
                </c:pt>
                <c:pt idx="2">
                  <c:v>500K-1M</c:v>
                </c:pt>
                <c:pt idx="3">
                  <c:v>&gt;1M</c:v>
                </c:pt>
              </c:strCache>
            </c:strRef>
          </c:cat>
          <c:val>
            <c:numRef>
              <c:f>FUNDING!$T$63:$T$66</c:f>
              <c:numCache>
                <c:formatCode>General</c:formatCode>
                <c:ptCount val="4"/>
                <c:pt idx="0">
                  <c:v>163</c:v>
                </c:pt>
                <c:pt idx="1">
                  <c:v>32</c:v>
                </c:pt>
                <c:pt idx="2">
                  <c:v>11</c:v>
                </c:pt>
                <c:pt idx="3">
                  <c:v>8</c:v>
                </c:pt>
              </c:numCache>
            </c:numRef>
          </c:val>
          <c:extLst>
            <c:ext xmlns:c16="http://schemas.microsoft.com/office/drawing/2014/chart" uri="{C3380CC4-5D6E-409C-BE32-E72D297353CC}">
              <c16:uniqueId val="{00000008-1C67-483A-8842-958EBD8E2C7A}"/>
            </c:ext>
          </c:extLst>
        </c:ser>
        <c:dLbls>
          <c:showLegendKey val="0"/>
          <c:showVal val="0"/>
          <c:showCatName val="0"/>
          <c:showSerName val="0"/>
          <c:showPercent val="0"/>
          <c:showBubbleSize val="0"/>
          <c:showLeaderLines val="1"/>
        </c:dLbls>
        <c:firstSliceAng val="0"/>
        <c:holeSize val="50"/>
      </c:doughnutChart>
      <c:spPr>
        <a:noFill/>
        <a:ln w="9525">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A0-491D-BFED-A5943EA181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A0-491D-BFED-A5943EA181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A0-491D-BFED-A5943EA1817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A0-491D-BFED-A5943EA1817C}"/>
              </c:ext>
            </c:extLst>
          </c:dPt>
          <c:cat>
            <c:strRef>
              <c:f>FUNDING!$A$50:$A$53</c:f>
              <c:strCache>
                <c:ptCount val="4"/>
                <c:pt idx="0">
                  <c:v>0-250K</c:v>
                </c:pt>
                <c:pt idx="1">
                  <c:v>250K-500K</c:v>
                </c:pt>
                <c:pt idx="2">
                  <c:v>500K-1M</c:v>
                </c:pt>
                <c:pt idx="3">
                  <c:v>&gt;1M</c:v>
                </c:pt>
              </c:strCache>
            </c:strRef>
          </c:cat>
          <c:val>
            <c:numRef>
              <c:f>FUNDING!$U$63:$U$66</c:f>
              <c:numCache>
                <c:formatCode>General</c:formatCode>
                <c:ptCount val="4"/>
                <c:pt idx="0">
                  <c:v>5</c:v>
                </c:pt>
                <c:pt idx="1">
                  <c:v>3</c:v>
                </c:pt>
                <c:pt idx="2">
                  <c:v>0</c:v>
                </c:pt>
                <c:pt idx="3">
                  <c:v>0</c:v>
                </c:pt>
              </c:numCache>
            </c:numRef>
          </c:val>
          <c:extLst>
            <c:ext xmlns:c16="http://schemas.microsoft.com/office/drawing/2014/chart" uri="{C3380CC4-5D6E-409C-BE32-E72D297353CC}">
              <c16:uniqueId val="{00000008-21A0-491D-BFED-A5943EA1817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02-4224-8894-F41C1EB6A5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02-4224-8894-F41C1EB6A5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02-4224-8894-F41C1EB6A5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02-4224-8894-F41C1EB6A5D3}"/>
              </c:ext>
            </c:extLst>
          </c:dPt>
          <c:cat>
            <c:strRef>
              <c:f>FUNDING!$A$50:$A$53</c:f>
              <c:strCache>
                <c:ptCount val="4"/>
                <c:pt idx="0">
                  <c:v>0-250K</c:v>
                </c:pt>
                <c:pt idx="1">
                  <c:v>250K-500K</c:v>
                </c:pt>
                <c:pt idx="2">
                  <c:v>500K-1M</c:v>
                </c:pt>
                <c:pt idx="3">
                  <c:v>&gt;1M</c:v>
                </c:pt>
              </c:strCache>
            </c:strRef>
          </c:cat>
          <c:val>
            <c:numRef>
              <c:f>FUNDING!$V$63:$V$66</c:f>
              <c:numCache>
                <c:formatCode>General</c:formatCode>
                <c:ptCount val="4"/>
                <c:pt idx="0">
                  <c:v>130</c:v>
                </c:pt>
                <c:pt idx="1">
                  <c:v>38</c:v>
                </c:pt>
                <c:pt idx="2">
                  <c:v>4</c:v>
                </c:pt>
                <c:pt idx="3">
                  <c:v>7</c:v>
                </c:pt>
              </c:numCache>
            </c:numRef>
          </c:val>
          <c:extLst>
            <c:ext xmlns:c16="http://schemas.microsoft.com/office/drawing/2014/chart" uri="{C3380CC4-5D6E-409C-BE32-E72D297353CC}">
              <c16:uniqueId val="{00000008-4E02-4224-8894-F41C1EB6A5D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89-471C-AA49-B44DA85C38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89-471C-AA49-B44DA85C38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89-471C-AA49-B44DA85C38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089-471C-AA49-B44DA85C38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089-471C-AA49-B44DA85C38C6}"/>
              </c:ext>
            </c:extLst>
          </c:dPt>
          <c:cat>
            <c:strRef>
              <c:f>FUNDING!$A$68:$A$72</c:f>
              <c:strCache>
                <c:ptCount val="5"/>
                <c:pt idx="0">
                  <c:v>&lt;50K</c:v>
                </c:pt>
                <c:pt idx="1">
                  <c:v>50K-100K</c:v>
                </c:pt>
                <c:pt idx="2">
                  <c:v>100K-500K</c:v>
                </c:pt>
                <c:pt idx="3">
                  <c:v>500K-1M</c:v>
                </c:pt>
                <c:pt idx="4">
                  <c:v>&gt;1M</c:v>
                </c:pt>
              </c:strCache>
            </c:strRef>
          </c:cat>
          <c:val>
            <c:numRef>
              <c:f>FUNDING!$T$68:$T$72</c:f>
              <c:numCache>
                <c:formatCode>General</c:formatCode>
                <c:ptCount val="5"/>
                <c:pt idx="0">
                  <c:v>1321</c:v>
                </c:pt>
                <c:pt idx="1">
                  <c:v>815</c:v>
                </c:pt>
                <c:pt idx="2">
                  <c:v>7752</c:v>
                </c:pt>
                <c:pt idx="3">
                  <c:v>2087</c:v>
                </c:pt>
                <c:pt idx="4">
                  <c:v>832</c:v>
                </c:pt>
              </c:numCache>
            </c:numRef>
          </c:val>
          <c:extLst>
            <c:ext xmlns:c16="http://schemas.microsoft.com/office/drawing/2014/chart" uri="{C3380CC4-5D6E-409C-BE32-E72D297353CC}">
              <c16:uniqueId val="{0000000A-C089-471C-AA49-B44DA85C38C6}"/>
            </c:ext>
          </c:extLst>
        </c:ser>
        <c:dLbls>
          <c:showLegendKey val="0"/>
          <c:showVal val="0"/>
          <c:showCatName val="0"/>
          <c:showSerName val="0"/>
          <c:showPercent val="0"/>
          <c:showBubbleSize val="0"/>
          <c:showLeaderLines val="1"/>
        </c:dLbls>
        <c:firstSliceAng val="0"/>
        <c:holeSize val="50"/>
      </c:doughnutChart>
      <c:spPr>
        <a:noFill/>
        <a:ln w="9525">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52-4094-A179-3CFE7C49DC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52-4094-A179-3CFE7C49DC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52-4094-A179-3CFE7C49DC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252-4094-A179-3CFE7C49DCE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252-4094-A179-3CFE7C49DCEA}"/>
              </c:ext>
            </c:extLst>
          </c:dPt>
          <c:cat>
            <c:strRef>
              <c:f>FUNDING!$A$55:$A$59</c:f>
              <c:strCache>
                <c:ptCount val="5"/>
                <c:pt idx="0">
                  <c:v>&lt;50K</c:v>
                </c:pt>
                <c:pt idx="1">
                  <c:v>50K-100K</c:v>
                </c:pt>
                <c:pt idx="2">
                  <c:v>100K-500K</c:v>
                </c:pt>
                <c:pt idx="3">
                  <c:v>500K-1M</c:v>
                </c:pt>
                <c:pt idx="4">
                  <c:v>&gt;1M</c:v>
                </c:pt>
              </c:strCache>
            </c:strRef>
          </c:cat>
          <c:val>
            <c:numRef>
              <c:f>FUNDING!$V$68:$V$72</c:f>
              <c:numCache>
                <c:formatCode>General</c:formatCode>
                <c:ptCount val="5"/>
                <c:pt idx="0">
                  <c:v>25</c:v>
                </c:pt>
                <c:pt idx="1">
                  <c:v>6</c:v>
                </c:pt>
                <c:pt idx="2">
                  <c:v>262</c:v>
                </c:pt>
                <c:pt idx="3">
                  <c:v>129</c:v>
                </c:pt>
                <c:pt idx="4">
                  <c:v>39</c:v>
                </c:pt>
              </c:numCache>
            </c:numRef>
          </c:val>
          <c:extLst>
            <c:ext xmlns:c16="http://schemas.microsoft.com/office/drawing/2014/chart" uri="{C3380CC4-5D6E-409C-BE32-E72D297353CC}">
              <c16:uniqueId val="{0000000A-1252-4094-A179-3CFE7C49DCE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B7-4496-B861-7CF2204D06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B7-4496-B861-7CF2204D06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B7-4496-B861-7CF2204D06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7B7-4496-B861-7CF2204D065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7B7-4496-B861-7CF2204D065C}"/>
              </c:ext>
            </c:extLst>
          </c:dPt>
          <c:cat>
            <c:strRef>
              <c:f>FUNDING!$A$55:$A$59</c:f>
              <c:strCache>
                <c:ptCount val="5"/>
                <c:pt idx="0">
                  <c:v>&lt;50K</c:v>
                </c:pt>
                <c:pt idx="1">
                  <c:v>50K-100K</c:v>
                </c:pt>
                <c:pt idx="2">
                  <c:v>100K-500K</c:v>
                </c:pt>
                <c:pt idx="3">
                  <c:v>500K-1M</c:v>
                </c:pt>
                <c:pt idx="4">
                  <c:v>&gt;1M</c:v>
                </c:pt>
              </c:strCache>
            </c:strRef>
          </c:cat>
          <c:val>
            <c:numRef>
              <c:f>FUNDING!$U$68:$U$72</c:f>
              <c:numCache>
                <c:formatCode>General</c:formatCode>
                <c:ptCount val="5"/>
                <c:pt idx="0">
                  <c:v>118</c:v>
                </c:pt>
                <c:pt idx="1">
                  <c:v>65</c:v>
                </c:pt>
                <c:pt idx="2">
                  <c:v>736</c:v>
                </c:pt>
                <c:pt idx="3">
                  <c:v>279</c:v>
                </c:pt>
                <c:pt idx="4">
                  <c:v>96</c:v>
                </c:pt>
              </c:numCache>
            </c:numRef>
          </c:val>
          <c:extLst>
            <c:ext xmlns:c16="http://schemas.microsoft.com/office/drawing/2014/chart" uri="{C3380CC4-5D6E-409C-BE32-E72D297353CC}">
              <c16:uniqueId val="{0000000A-57B7-4496-B861-7CF2204D065C}"/>
            </c:ext>
          </c:extLst>
        </c:ser>
        <c:dLbls>
          <c:showLegendKey val="0"/>
          <c:showVal val="0"/>
          <c:showCatName val="0"/>
          <c:showSerName val="0"/>
          <c:showPercent val="0"/>
          <c:showBubbleSize val="0"/>
          <c:showLeaderLines val="1"/>
        </c:dLbls>
        <c:firstSliceAng val="0"/>
        <c:holeSize val="50"/>
      </c:doughnutChart>
      <c:spPr>
        <a:noFill/>
        <a:ln w="9525">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F8-41E1-9A16-9CAEC7798F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F8-41E1-9A16-9CAEC7798F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F8-41E1-9A16-9CAEC7798F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F8-41E1-9A16-9CAEC7798FA7}"/>
              </c:ext>
            </c:extLst>
          </c:dPt>
          <c:cat>
            <c:strRef>
              <c:f>FUNDING!$A$50:$A$53</c:f>
              <c:strCache>
                <c:ptCount val="4"/>
                <c:pt idx="0">
                  <c:v>0-250K</c:v>
                </c:pt>
                <c:pt idx="1">
                  <c:v>250K-500K</c:v>
                </c:pt>
                <c:pt idx="2">
                  <c:v>500K-1M</c:v>
                </c:pt>
                <c:pt idx="3">
                  <c:v>&gt;1M</c:v>
                </c:pt>
              </c:strCache>
            </c:strRef>
          </c:cat>
          <c:val>
            <c:numRef>
              <c:f>FUNDING!$T$76:$T$79</c:f>
              <c:numCache>
                <c:formatCode>General</c:formatCode>
                <c:ptCount val="4"/>
                <c:pt idx="0">
                  <c:v>111</c:v>
                </c:pt>
                <c:pt idx="1">
                  <c:v>44</c:v>
                </c:pt>
                <c:pt idx="2">
                  <c:v>7</c:v>
                </c:pt>
                <c:pt idx="3">
                  <c:v>1</c:v>
                </c:pt>
              </c:numCache>
            </c:numRef>
          </c:val>
          <c:extLst>
            <c:ext xmlns:c16="http://schemas.microsoft.com/office/drawing/2014/chart" uri="{C3380CC4-5D6E-409C-BE32-E72D297353CC}">
              <c16:uniqueId val="{00000008-85F8-41E1-9A16-9CAEC7798FA7}"/>
            </c:ext>
          </c:extLst>
        </c:ser>
        <c:dLbls>
          <c:showLegendKey val="0"/>
          <c:showVal val="0"/>
          <c:showCatName val="0"/>
          <c:showSerName val="0"/>
          <c:showPercent val="0"/>
          <c:showBubbleSize val="0"/>
          <c:showLeaderLines val="1"/>
        </c:dLbls>
        <c:firstSliceAng val="0"/>
        <c:holeSize val="50"/>
      </c:doughnutChart>
      <c:spPr>
        <a:noFill/>
        <a:ln w="9525">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36-49A7-8574-71B2613FD1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36-49A7-8574-71B2613FD1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A36-49A7-8574-71B2613FD1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A36-49A7-8574-71B2613FD13D}"/>
              </c:ext>
            </c:extLst>
          </c:dPt>
          <c:cat>
            <c:strRef>
              <c:f>FUNDING!$A$50:$A$53</c:f>
              <c:strCache>
                <c:ptCount val="4"/>
                <c:pt idx="0">
                  <c:v>0-250K</c:v>
                </c:pt>
                <c:pt idx="1">
                  <c:v>250K-500K</c:v>
                </c:pt>
                <c:pt idx="2">
                  <c:v>500K-1M</c:v>
                </c:pt>
                <c:pt idx="3">
                  <c:v>&gt;1M</c:v>
                </c:pt>
              </c:strCache>
            </c:strRef>
          </c:cat>
          <c:val>
            <c:numRef>
              <c:f>FUNDING!$U$76:$U$79</c:f>
              <c:numCache>
                <c:formatCode>General</c:formatCode>
                <c:ptCount val="4"/>
                <c:pt idx="0">
                  <c:v>5</c:v>
                </c:pt>
                <c:pt idx="1">
                  <c:v>1</c:v>
                </c:pt>
                <c:pt idx="2">
                  <c:v>0</c:v>
                </c:pt>
                <c:pt idx="3">
                  <c:v>0</c:v>
                </c:pt>
              </c:numCache>
            </c:numRef>
          </c:val>
          <c:extLst>
            <c:ext xmlns:c16="http://schemas.microsoft.com/office/drawing/2014/chart" uri="{C3380CC4-5D6E-409C-BE32-E72D297353CC}">
              <c16:uniqueId val="{00000008-3A36-49A7-8574-71B2613FD13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FE-40FE-8722-0177AE4521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FE-40FE-8722-0177AE4521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FE-40FE-8722-0177AE4521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9FE-40FE-8722-0177AE4521BE}"/>
              </c:ext>
            </c:extLst>
          </c:dPt>
          <c:cat>
            <c:strRef>
              <c:f>FUNDING!$A$50:$A$53</c:f>
              <c:strCache>
                <c:ptCount val="4"/>
                <c:pt idx="0">
                  <c:v>0-250K</c:v>
                </c:pt>
                <c:pt idx="1">
                  <c:v>250K-500K</c:v>
                </c:pt>
                <c:pt idx="2">
                  <c:v>500K-1M</c:v>
                </c:pt>
                <c:pt idx="3">
                  <c:v>&gt;1M</c:v>
                </c:pt>
              </c:strCache>
            </c:strRef>
          </c:cat>
          <c:val>
            <c:numRef>
              <c:f>FUNDING!$V$76:$V$79</c:f>
              <c:numCache>
                <c:formatCode>General</c:formatCode>
                <c:ptCount val="4"/>
                <c:pt idx="0">
                  <c:v>118</c:v>
                </c:pt>
                <c:pt idx="1">
                  <c:v>38</c:v>
                </c:pt>
                <c:pt idx="2">
                  <c:v>8</c:v>
                </c:pt>
                <c:pt idx="3">
                  <c:v>0</c:v>
                </c:pt>
              </c:numCache>
            </c:numRef>
          </c:val>
          <c:extLst>
            <c:ext xmlns:c16="http://schemas.microsoft.com/office/drawing/2014/chart" uri="{C3380CC4-5D6E-409C-BE32-E72D297353CC}">
              <c16:uniqueId val="{00000008-D9FE-40FE-8722-0177AE4521B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94-4A5B-B8D8-8EFD84339D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94-4A5B-B8D8-8EFD84339D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94-4A5B-B8D8-8EFD84339D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94-4A5B-B8D8-8EFD84339D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B94-4A5B-B8D8-8EFD84339D2E}"/>
              </c:ext>
            </c:extLst>
          </c:dPt>
          <c:cat>
            <c:strRef>
              <c:f>FUNDING!$A$68:$A$72</c:f>
              <c:strCache>
                <c:ptCount val="5"/>
                <c:pt idx="0">
                  <c:v>&lt;50K</c:v>
                </c:pt>
                <c:pt idx="1">
                  <c:v>50K-100K</c:v>
                </c:pt>
                <c:pt idx="2">
                  <c:v>100K-500K</c:v>
                </c:pt>
                <c:pt idx="3">
                  <c:v>500K-1M</c:v>
                </c:pt>
                <c:pt idx="4">
                  <c:v>&gt;1M</c:v>
                </c:pt>
              </c:strCache>
            </c:strRef>
          </c:cat>
          <c:val>
            <c:numRef>
              <c:f>FUNDING!$T$81:$T$85</c:f>
              <c:numCache>
                <c:formatCode>General</c:formatCode>
                <c:ptCount val="5"/>
                <c:pt idx="0">
                  <c:v>1020</c:v>
                </c:pt>
                <c:pt idx="1">
                  <c:v>652</c:v>
                </c:pt>
                <c:pt idx="2">
                  <c:v>7624</c:v>
                </c:pt>
                <c:pt idx="3">
                  <c:v>2136</c:v>
                </c:pt>
                <c:pt idx="4">
                  <c:v>876</c:v>
                </c:pt>
              </c:numCache>
            </c:numRef>
          </c:val>
          <c:extLst>
            <c:ext xmlns:c16="http://schemas.microsoft.com/office/drawing/2014/chart" uri="{C3380CC4-5D6E-409C-BE32-E72D297353CC}">
              <c16:uniqueId val="{0000000A-8B94-4A5B-B8D8-8EFD84339D2E}"/>
            </c:ext>
          </c:extLst>
        </c:ser>
        <c:dLbls>
          <c:showLegendKey val="0"/>
          <c:showVal val="0"/>
          <c:showCatName val="0"/>
          <c:showSerName val="0"/>
          <c:showPercent val="0"/>
          <c:showBubbleSize val="0"/>
          <c:showLeaderLines val="1"/>
        </c:dLbls>
        <c:firstSliceAng val="0"/>
        <c:holeSize val="50"/>
      </c:doughnutChart>
      <c:spPr>
        <a:noFill/>
        <a:ln w="9525">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1E-47B9-9DC1-FA00AFCC01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1E-47B9-9DC1-FA00AFCC01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1E-47B9-9DC1-FA00AFCC01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1E-47B9-9DC1-FA00AFCC01E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31E-47B9-9DC1-FA00AFCC01EA}"/>
              </c:ext>
            </c:extLst>
          </c:dPt>
          <c:cat>
            <c:strRef>
              <c:f>FUNDING!$A$55:$A$59</c:f>
              <c:strCache>
                <c:ptCount val="5"/>
                <c:pt idx="0">
                  <c:v>&lt;50K</c:v>
                </c:pt>
                <c:pt idx="1">
                  <c:v>50K-100K</c:v>
                </c:pt>
                <c:pt idx="2">
                  <c:v>100K-500K</c:v>
                </c:pt>
                <c:pt idx="3">
                  <c:v>500K-1M</c:v>
                </c:pt>
                <c:pt idx="4">
                  <c:v>&gt;1M</c:v>
                </c:pt>
              </c:strCache>
            </c:strRef>
          </c:cat>
          <c:val>
            <c:numRef>
              <c:f>FUNDING!$V$81:$V$85</c:f>
              <c:numCache>
                <c:formatCode>General</c:formatCode>
                <c:ptCount val="5"/>
                <c:pt idx="0">
                  <c:v>11</c:v>
                </c:pt>
                <c:pt idx="1">
                  <c:v>11</c:v>
                </c:pt>
                <c:pt idx="2">
                  <c:v>249</c:v>
                </c:pt>
                <c:pt idx="3">
                  <c:v>149</c:v>
                </c:pt>
                <c:pt idx="4">
                  <c:v>31</c:v>
                </c:pt>
              </c:numCache>
            </c:numRef>
          </c:val>
          <c:extLst>
            <c:ext xmlns:c16="http://schemas.microsoft.com/office/drawing/2014/chart" uri="{C3380CC4-5D6E-409C-BE32-E72D297353CC}">
              <c16:uniqueId val="{0000000A-F31E-47B9-9DC1-FA00AFCC01E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9C-4C91-B0FA-CBBD588028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9C-4C91-B0FA-CBBD588028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9C-4C91-B0FA-CBBD588028F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9C-4C91-B0FA-CBBD588028F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9C-4C91-B0FA-CBBD588028FF}"/>
              </c:ext>
            </c:extLst>
          </c:dPt>
          <c:cat>
            <c:strRef>
              <c:f>FUNDING!$A$55:$A$59</c:f>
              <c:strCache>
                <c:ptCount val="5"/>
                <c:pt idx="0">
                  <c:v>&lt;50K</c:v>
                </c:pt>
                <c:pt idx="1">
                  <c:v>50K-100K</c:v>
                </c:pt>
                <c:pt idx="2">
                  <c:v>100K-500K</c:v>
                </c:pt>
                <c:pt idx="3">
                  <c:v>500K-1M</c:v>
                </c:pt>
                <c:pt idx="4">
                  <c:v>&gt;1M</c:v>
                </c:pt>
              </c:strCache>
            </c:strRef>
          </c:cat>
          <c:val>
            <c:numRef>
              <c:f>FUNDING!$U$81:$U$85</c:f>
              <c:numCache>
                <c:formatCode>General</c:formatCode>
                <c:ptCount val="5"/>
                <c:pt idx="0">
                  <c:v>114</c:v>
                </c:pt>
                <c:pt idx="1">
                  <c:v>58</c:v>
                </c:pt>
                <c:pt idx="2">
                  <c:v>729</c:v>
                </c:pt>
                <c:pt idx="3">
                  <c:v>285</c:v>
                </c:pt>
                <c:pt idx="4">
                  <c:v>117</c:v>
                </c:pt>
              </c:numCache>
            </c:numRef>
          </c:val>
          <c:extLst>
            <c:ext xmlns:c16="http://schemas.microsoft.com/office/drawing/2014/chart" uri="{C3380CC4-5D6E-409C-BE32-E72D297353CC}">
              <c16:uniqueId val="{0000000A-F29C-4C91-B0FA-CBBD588028FF}"/>
            </c:ext>
          </c:extLst>
        </c:ser>
        <c:dLbls>
          <c:showLegendKey val="0"/>
          <c:showVal val="0"/>
          <c:showCatName val="0"/>
          <c:showSerName val="0"/>
          <c:showPercent val="0"/>
          <c:showBubbleSize val="0"/>
          <c:showLeaderLines val="1"/>
        </c:dLbls>
        <c:firstSliceAng val="0"/>
        <c:holeSize val="50"/>
      </c:doughnutChart>
      <c:spPr>
        <a:noFill/>
        <a:ln w="9525">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BA-4F44-BB07-FB9D2B41AB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BA-4F44-BB07-FB9D2B41AB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BA-4F44-BB07-FB9D2B41AB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7BA-4F44-BB07-FB9D2B41AB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777-40DA-983B-512BA9B59BBA}"/>
              </c:ext>
            </c:extLst>
          </c:dPt>
          <c:cat>
            <c:strRef>
              <c:f>FUNDING!$A$55:$A$59</c:f>
              <c:strCache>
                <c:ptCount val="5"/>
                <c:pt idx="0">
                  <c:v>&lt;50K</c:v>
                </c:pt>
                <c:pt idx="1">
                  <c:v>50K-100K</c:v>
                </c:pt>
                <c:pt idx="2">
                  <c:v>100K-500K</c:v>
                </c:pt>
                <c:pt idx="3">
                  <c:v>500K-1M</c:v>
                </c:pt>
                <c:pt idx="4">
                  <c:v>&gt;1M</c:v>
                </c:pt>
              </c:strCache>
            </c:strRef>
          </c:cat>
          <c:val>
            <c:numRef>
              <c:f>FUNDING!$T$55:$T$59</c:f>
              <c:numCache>
                <c:formatCode>General</c:formatCode>
                <c:ptCount val="5"/>
                <c:pt idx="0">
                  <c:v>1613</c:v>
                </c:pt>
                <c:pt idx="1">
                  <c:v>636</c:v>
                </c:pt>
                <c:pt idx="2">
                  <c:v>6860</c:v>
                </c:pt>
                <c:pt idx="3">
                  <c:v>2121</c:v>
                </c:pt>
                <c:pt idx="4">
                  <c:v>959</c:v>
                </c:pt>
              </c:numCache>
            </c:numRef>
          </c:val>
          <c:extLst>
            <c:ext xmlns:c16="http://schemas.microsoft.com/office/drawing/2014/chart" uri="{C3380CC4-5D6E-409C-BE32-E72D297353CC}">
              <c16:uniqueId val="{00000008-A7BA-4F44-BB07-FB9D2B41AB65}"/>
            </c:ext>
          </c:extLst>
        </c:ser>
        <c:dLbls>
          <c:showLegendKey val="0"/>
          <c:showVal val="0"/>
          <c:showCatName val="0"/>
          <c:showSerName val="0"/>
          <c:showPercent val="0"/>
          <c:showBubbleSize val="0"/>
          <c:showLeaderLines val="1"/>
        </c:dLbls>
        <c:firstSliceAng val="0"/>
        <c:holeSize val="50"/>
      </c:doughnutChart>
      <c:spPr>
        <a:noFill/>
        <a:ln w="9525">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 Id="rId9" Type="http://schemas.openxmlformats.org/officeDocument/2006/relationships/chart" Target="../charts/chart2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30.xml"/><Relationship Id="rId3" Type="http://schemas.openxmlformats.org/officeDocument/2006/relationships/chart" Target="../charts/chart25.xml"/><Relationship Id="rId7" Type="http://schemas.openxmlformats.org/officeDocument/2006/relationships/chart" Target="../charts/chart29.xml"/><Relationship Id="rId2" Type="http://schemas.openxmlformats.org/officeDocument/2006/relationships/chart" Target="../charts/chart24.xml"/><Relationship Id="rId1" Type="http://schemas.openxmlformats.org/officeDocument/2006/relationships/chart" Target="../charts/chart23.xml"/><Relationship Id="rId6" Type="http://schemas.openxmlformats.org/officeDocument/2006/relationships/chart" Target="../charts/chart28.xml"/><Relationship Id="rId5" Type="http://schemas.openxmlformats.org/officeDocument/2006/relationships/chart" Target="../charts/chart27.xml"/><Relationship Id="rId4" Type="http://schemas.openxmlformats.org/officeDocument/2006/relationships/chart" Target="../charts/chart2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7.xml.rels><?xml version="1.0" encoding="UTF-8" standalone="yes"?>
<Relationships xmlns="http://schemas.openxmlformats.org/package/2006/relationships"><Relationship Id="rId8" Type="http://schemas.openxmlformats.org/officeDocument/2006/relationships/chart" Target="../charts/chart42.xml"/><Relationship Id="rId3" Type="http://schemas.openxmlformats.org/officeDocument/2006/relationships/chart" Target="../charts/chart37.xml"/><Relationship Id="rId7" Type="http://schemas.openxmlformats.org/officeDocument/2006/relationships/chart" Target="../charts/chart41.xml"/><Relationship Id="rId2" Type="http://schemas.openxmlformats.org/officeDocument/2006/relationships/chart" Target="../charts/chart36.xml"/><Relationship Id="rId1" Type="http://schemas.openxmlformats.org/officeDocument/2006/relationships/chart" Target="../charts/chart35.xml"/><Relationship Id="rId6" Type="http://schemas.openxmlformats.org/officeDocument/2006/relationships/chart" Target="../charts/chart40.xml"/><Relationship Id="rId5" Type="http://schemas.openxmlformats.org/officeDocument/2006/relationships/chart" Target="../charts/chart39.xml"/><Relationship Id="rId4" Type="http://schemas.openxmlformats.org/officeDocument/2006/relationships/chart" Target="../charts/chart3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5.xml"/><Relationship Id="rId7" Type="http://schemas.openxmlformats.org/officeDocument/2006/relationships/chart" Target="../charts/chart49.xml"/><Relationship Id="rId2" Type="http://schemas.openxmlformats.org/officeDocument/2006/relationships/chart" Target="../charts/chart44.xml"/><Relationship Id="rId1" Type="http://schemas.openxmlformats.org/officeDocument/2006/relationships/chart" Target="../charts/chart43.xml"/><Relationship Id="rId6" Type="http://schemas.openxmlformats.org/officeDocument/2006/relationships/chart" Target="../charts/chart48.xml"/><Relationship Id="rId5" Type="http://schemas.openxmlformats.org/officeDocument/2006/relationships/chart" Target="../charts/chart47.xml"/><Relationship Id="rId4" Type="http://schemas.openxmlformats.org/officeDocument/2006/relationships/chart" Target="../charts/chart46.xml"/></Relationships>
</file>

<file path=xl/drawings/_rels/drawing9.xml.rels><?xml version="1.0" encoding="UTF-8" standalone="yes"?>
<Relationships xmlns="http://schemas.openxmlformats.org/package/2006/relationships"><Relationship Id="rId8" Type="http://schemas.openxmlformats.org/officeDocument/2006/relationships/chart" Target="../charts/chart57.xml"/><Relationship Id="rId3" Type="http://schemas.openxmlformats.org/officeDocument/2006/relationships/chart" Target="../charts/chart52.xml"/><Relationship Id="rId7" Type="http://schemas.openxmlformats.org/officeDocument/2006/relationships/chart" Target="../charts/chart56.xml"/><Relationship Id="rId2" Type="http://schemas.openxmlformats.org/officeDocument/2006/relationships/chart" Target="../charts/chart51.xml"/><Relationship Id="rId1" Type="http://schemas.openxmlformats.org/officeDocument/2006/relationships/chart" Target="../charts/chart50.xml"/><Relationship Id="rId6" Type="http://schemas.openxmlformats.org/officeDocument/2006/relationships/chart" Target="../charts/chart55.xml"/><Relationship Id="rId11" Type="http://schemas.openxmlformats.org/officeDocument/2006/relationships/chart" Target="../charts/chart60.xml"/><Relationship Id="rId5" Type="http://schemas.openxmlformats.org/officeDocument/2006/relationships/chart" Target="../charts/chart54.xml"/><Relationship Id="rId10" Type="http://schemas.openxmlformats.org/officeDocument/2006/relationships/chart" Target="../charts/chart59.xml"/><Relationship Id="rId4" Type="http://schemas.openxmlformats.org/officeDocument/2006/relationships/chart" Target="../charts/chart53.xml"/><Relationship Id="rId9" Type="http://schemas.openxmlformats.org/officeDocument/2006/relationships/chart" Target="../charts/chart58.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chart" Target="../charts/chart62.xml"/><Relationship Id="rId1" Type="http://schemas.openxmlformats.org/officeDocument/2006/relationships/chart" Target="../charts/chart61.xml"/><Relationship Id="rId4" Type="http://schemas.openxmlformats.org/officeDocument/2006/relationships/chart" Target="../charts/chart64.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72.xml"/><Relationship Id="rId3" Type="http://schemas.openxmlformats.org/officeDocument/2006/relationships/chart" Target="../charts/chart67.xml"/><Relationship Id="rId7" Type="http://schemas.openxmlformats.org/officeDocument/2006/relationships/chart" Target="../charts/chart71.xml"/><Relationship Id="rId2" Type="http://schemas.openxmlformats.org/officeDocument/2006/relationships/chart" Target="../charts/chart66.xml"/><Relationship Id="rId1" Type="http://schemas.openxmlformats.org/officeDocument/2006/relationships/chart" Target="../charts/chart65.xml"/><Relationship Id="rId6" Type="http://schemas.openxmlformats.org/officeDocument/2006/relationships/chart" Target="../charts/chart70.xml"/><Relationship Id="rId5" Type="http://schemas.openxmlformats.org/officeDocument/2006/relationships/chart" Target="../charts/chart69.xml"/><Relationship Id="rId4" Type="http://schemas.openxmlformats.org/officeDocument/2006/relationships/chart" Target="../charts/chart68.xml"/><Relationship Id="rId9" Type="http://schemas.openxmlformats.org/officeDocument/2006/relationships/chart" Target="../charts/chart73.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75.xml"/><Relationship Id="rId1" Type="http://schemas.openxmlformats.org/officeDocument/2006/relationships/chart" Target="../charts/chart74.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78.xml"/><Relationship Id="rId2" Type="http://schemas.openxmlformats.org/officeDocument/2006/relationships/chart" Target="../charts/chart77.xml"/><Relationship Id="rId1" Type="http://schemas.openxmlformats.org/officeDocument/2006/relationships/chart" Target="../charts/chart76.xml"/></Relationships>
</file>

<file path=xl/drawings/_rels/drawing14.xml.rels><?xml version="1.0" encoding="UTF-8" standalone="yes"?>
<Relationships xmlns="http://schemas.openxmlformats.org/package/2006/relationships"><Relationship Id="rId13" Type="http://schemas.openxmlformats.org/officeDocument/2006/relationships/chart" Target="../charts/chart91.xml"/><Relationship Id="rId18" Type="http://schemas.openxmlformats.org/officeDocument/2006/relationships/chart" Target="../charts/chart96.xml"/><Relationship Id="rId26" Type="http://schemas.openxmlformats.org/officeDocument/2006/relationships/chart" Target="../charts/chart104.xml"/><Relationship Id="rId3" Type="http://schemas.openxmlformats.org/officeDocument/2006/relationships/chart" Target="../charts/chart81.xml"/><Relationship Id="rId21" Type="http://schemas.openxmlformats.org/officeDocument/2006/relationships/chart" Target="../charts/chart99.xml"/><Relationship Id="rId7" Type="http://schemas.openxmlformats.org/officeDocument/2006/relationships/chart" Target="../charts/chart85.xml"/><Relationship Id="rId12" Type="http://schemas.openxmlformats.org/officeDocument/2006/relationships/chart" Target="../charts/chart90.xml"/><Relationship Id="rId17" Type="http://schemas.openxmlformats.org/officeDocument/2006/relationships/chart" Target="../charts/chart95.xml"/><Relationship Id="rId25" Type="http://schemas.openxmlformats.org/officeDocument/2006/relationships/chart" Target="../charts/chart103.xml"/><Relationship Id="rId33" Type="http://schemas.openxmlformats.org/officeDocument/2006/relationships/chart" Target="../charts/chart111.xml"/><Relationship Id="rId2" Type="http://schemas.openxmlformats.org/officeDocument/2006/relationships/chart" Target="../charts/chart80.xml"/><Relationship Id="rId16" Type="http://schemas.openxmlformats.org/officeDocument/2006/relationships/chart" Target="../charts/chart94.xml"/><Relationship Id="rId20" Type="http://schemas.openxmlformats.org/officeDocument/2006/relationships/chart" Target="../charts/chart98.xml"/><Relationship Id="rId29" Type="http://schemas.openxmlformats.org/officeDocument/2006/relationships/chart" Target="../charts/chart107.xml"/><Relationship Id="rId1" Type="http://schemas.openxmlformats.org/officeDocument/2006/relationships/chart" Target="../charts/chart79.xml"/><Relationship Id="rId6" Type="http://schemas.openxmlformats.org/officeDocument/2006/relationships/chart" Target="../charts/chart84.xml"/><Relationship Id="rId11" Type="http://schemas.openxmlformats.org/officeDocument/2006/relationships/chart" Target="../charts/chart89.xml"/><Relationship Id="rId24" Type="http://schemas.openxmlformats.org/officeDocument/2006/relationships/chart" Target="../charts/chart102.xml"/><Relationship Id="rId32" Type="http://schemas.openxmlformats.org/officeDocument/2006/relationships/chart" Target="../charts/chart110.xml"/><Relationship Id="rId5" Type="http://schemas.openxmlformats.org/officeDocument/2006/relationships/chart" Target="../charts/chart83.xml"/><Relationship Id="rId15" Type="http://schemas.openxmlformats.org/officeDocument/2006/relationships/chart" Target="../charts/chart93.xml"/><Relationship Id="rId23" Type="http://schemas.openxmlformats.org/officeDocument/2006/relationships/chart" Target="../charts/chart101.xml"/><Relationship Id="rId28" Type="http://schemas.openxmlformats.org/officeDocument/2006/relationships/chart" Target="../charts/chart106.xml"/><Relationship Id="rId10" Type="http://schemas.openxmlformats.org/officeDocument/2006/relationships/chart" Target="../charts/chart88.xml"/><Relationship Id="rId19" Type="http://schemas.openxmlformats.org/officeDocument/2006/relationships/chart" Target="../charts/chart97.xml"/><Relationship Id="rId31" Type="http://schemas.openxmlformats.org/officeDocument/2006/relationships/chart" Target="../charts/chart109.xml"/><Relationship Id="rId4" Type="http://schemas.openxmlformats.org/officeDocument/2006/relationships/chart" Target="../charts/chart82.xml"/><Relationship Id="rId9" Type="http://schemas.openxmlformats.org/officeDocument/2006/relationships/chart" Target="../charts/chart87.xml"/><Relationship Id="rId14" Type="http://schemas.openxmlformats.org/officeDocument/2006/relationships/chart" Target="../charts/chart92.xml"/><Relationship Id="rId22" Type="http://schemas.openxmlformats.org/officeDocument/2006/relationships/chart" Target="../charts/chart100.xml"/><Relationship Id="rId27" Type="http://schemas.openxmlformats.org/officeDocument/2006/relationships/chart" Target="../charts/chart105.xml"/><Relationship Id="rId30" Type="http://schemas.openxmlformats.org/officeDocument/2006/relationships/chart" Target="../charts/chart108.xml"/><Relationship Id="rId8" Type="http://schemas.openxmlformats.org/officeDocument/2006/relationships/chart" Target="../charts/chart86.xml"/></Relationships>
</file>

<file path=xl/drawings/drawing1.xml><?xml version="1.0" encoding="utf-8"?>
<xdr:wsDr xmlns:xdr="http://schemas.openxmlformats.org/drawingml/2006/spreadsheetDrawing" xmlns:a="http://schemas.openxmlformats.org/drawingml/2006/main">
  <xdr:twoCellAnchor>
    <xdr:from>
      <xdr:col>1</xdr:col>
      <xdr:colOff>68892</xdr:colOff>
      <xdr:row>96</xdr:row>
      <xdr:rowOff>34430</xdr:rowOff>
    </xdr:from>
    <xdr:to>
      <xdr:col>9</xdr:col>
      <xdr:colOff>183192</xdr:colOff>
      <xdr:row>115</xdr:row>
      <xdr:rowOff>72530</xdr:rowOff>
    </xdr:to>
    <xdr:graphicFrame macro="">
      <xdr:nvGraphicFramePr>
        <xdr:cNvPr id="11" name="Chart 10">
          <a:extLst>
            <a:ext uri="{FF2B5EF4-FFF2-40B4-BE49-F238E27FC236}">
              <a16:creationId xmlns:a16="http://schemas.microsoft.com/office/drawing/2014/main" id="{D0BDA536-2EB4-441B-BDE8-C00CBE23F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90858</xdr:colOff>
      <xdr:row>76</xdr:row>
      <xdr:rowOff>27025</xdr:rowOff>
    </xdr:from>
    <xdr:to>
      <xdr:col>9</xdr:col>
      <xdr:colOff>205158</xdr:colOff>
      <xdr:row>95</xdr:row>
      <xdr:rowOff>65125</xdr:rowOff>
    </xdr:to>
    <xdr:graphicFrame macro="">
      <xdr:nvGraphicFramePr>
        <xdr:cNvPr id="12" name="Chart 11">
          <a:extLst>
            <a:ext uri="{FF2B5EF4-FFF2-40B4-BE49-F238E27FC236}">
              <a16:creationId xmlns:a16="http://schemas.microsoft.com/office/drawing/2014/main" id="{B44D28AE-70F2-4BCB-8514-8D7BA6AD6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635774</xdr:colOff>
      <xdr:row>38</xdr:row>
      <xdr:rowOff>8885</xdr:rowOff>
    </xdr:from>
    <xdr:to>
      <xdr:col>27</xdr:col>
      <xdr:colOff>299196</xdr:colOff>
      <xdr:row>51</xdr:row>
      <xdr:rowOff>74816</xdr:rowOff>
    </xdr:to>
    <xdr:graphicFrame macro="">
      <xdr:nvGraphicFramePr>
        <xdr:cNvPr id="17" name="Chart 16">
          <a:extLst>
            <a:ext uri="{FF2B5EF4-FFF2-40B4-BE49-F238E27FC236}">
              <a16:creationId xmlns:a16="http://schemas.microsoft.com/office/drawing/2014/main" id="{A846D0CD-775A-482F-96F1-58E2EAFE5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66673</xdr:colOff>
      <xdr:row>56</xdr:row>
      <xdr:rowOff>76199</xdr:rowOff>
    </xdr:from>
    <xdr:to>
      <xdr:col>8</xdr:col>
      <xdr:colOff>50985</xdr:colOff>
      <xdr:row>75</xdr:row>
      <xdr:rowOff>114299</xdr:rowOff>
    </xdr:to>
    <xdr:graphicFrame macro="">
      <xdr:nvGraphicFramePr>
        <xdr:cNvPr id="19" name="Chart 18">
          <a:extLst>
            <a:ext uri="{FF2B5EF4-FFF2-40B4-BE49-F238E27FC236}">
              <a16:creationId xmlns:a16="http://schemas.microsoft.com/office/drawing/2014/main" id="{18B1D11E-4BFF-45BF-A2E8-53AD0F9FD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784411</xdr:colOff>
      <xdr:row>56</xdr:row>
      <xdr:rowOff>76199</xdr:rowOff>
    </xdr:from>
    <xdr:to>
      <xdr:col>15</xdr:col>
      <xdr:colOff>795618</xdr:colOff>
      <xdr:row>75</xdr:row>
      <xdr:rowOff>114299</xdr:rowOff>
    </xdr:to>
    <xdr:graphicFrame macro="">
      <xdr:nvGraphicFramePr>
        <xdr:cNvPr id="20" name="Chart 19">
          <a:extLst>
            <a:ext uri="{FF2B5EF4-FFF2-40B4-BE49-F238E27FC236}">
              <a16:creationId xmlns:a16="http://schemas.microsoft.com/office/drawing/2014/main" id="{22A262B3-83BA-42DB-8057-B6E556D4B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4080</xdr:colOff>
      <xdr:row>76</xdr:row>
      <xdr:rowOff>56029</xdr:rowOff>
    </xdr:from>
    <xdr:to>
      <xdr:col>15</xdr:col>
      <xdr:colOff>1098175</xdr:colOff>
      <xdr:row>95</xdr:row>
      <xdr:rowOff>94129</xdr:rowOff>
    </xdr:to>
    <xdr:graphicFrame macro="">
      <xdr:nvGraphicFramePr>
        <xdr:cNvPr id="21" name="Chart 20">
          <a:extLst>
            <a:ext uri="{FF2B5EF4-FFF2-40B4-BE49-F238E27FC236}">
              <a16:creationId xmlns:a16="http://schemas.microsoft.com/office/drawing/2014/main" id="{ADB073B5-D2F5-44AF-AB1F-75754DF1B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53624</xdr:colOff>
      <xdr:row>36</xdr:row>
      <xdr:rowOff>97117</xdr:rowOff>
    </xdr:from>
    <xdr:to>
      <xdr:col>9</xdr:col>
      <xdr:colOff>167924</xdr:colOff>
      <xdr:row>55</xdr:row>
      <xdr:rowOff>135217</xdr:rowOff>
    </xdr:to>
    <xdr:graphicFrame macro="">
      <xdr:nvGraphicFramePr>
        <xdr:cNvPr id="13" name="Chart 12">
          <a:extLst>
            <a:ext uri="{FF2B5EF4-FFF2-40B4-BE49-F238E27FC236}">
              <a16:creationId xmlns:a16="http://schemas.microsoft.com/office/drawing/2014/main" id="{965C97B9-3D18-4C42-8044-37E5BE8C2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627530</xdr:colOff>
      <xdr:row>38</xdr:row>
      <xdr:rowOff>43702</xdr:rowOff>
    </xdr:from>
    <xdr:to>
      <xdr:col>14</xdr:col>
      <xdr:colOff>840442</xdr:colOff>
      <xdr:row>52</xdr:row>
      <xdr:rowOff>119902</xdr:rowOff>
    </xdr:to>
    <xdr:graphicFrame macro="">
      <xdr:nvGraphicFramePr>
        <xdr:cNvPr id="16" name="Chart 15">
          <a:extLst>
            <a:ext uri="{FF2B5EF4-FFF2-40B4-BE49-F238E27FC236}">
              <a16:creationId xmlns:a16="http://schemas.microsoft.com/office/drawing/2014/main" id="{4E03CDE0-7D37-469F-BB34-DD49145C1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4411116</xdr:colOff>
      <xdr:row>37</xdr:row>
      <xdr:rowOff>13606</xdr:rowOff>
    </xdr:from>
    <xdr:to>
      <xdr:col>22</xdr:col>
      <xdr:colOff>278386</xdr:colOff>
      <xdr:row>56</xdr:row>
      <xdr:rowOff>51706</xdr:rowOff>
    </xdr:to>
    <xdr:graphicFrame macro="">
      <xdr:nvGraphicFramePr>
        <xdr:cNvPr id="18" name="Chart 17">
          <a:extLst>
            <a:ext uri="{FF2B5EF4-FFF2-40B4-BE49-F238E27FC236}">
              <a16:creationId xmlns:a16="http://schemas.microsoft.com/office/drawing/2014/main" id="{DC53A906-1EC6-430F-99B5-CAA9CAAD4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369793</xdr:colOff>
      <xdr:row>38</xdr:row>
      <xdr:rowOff>75239</xdr:rowOff>
    </xdr:from>
    <xdr:to>
      <xdr:col>15</xdr:col>
      <xdr:colOff>3112993</xdr:colOff>
      <xdr:row>52</xdr:row>
      <xdr:rowOff>151439</xdr:rowOff>
    </xdr:to>
    <xdr:graphicFrame macro="">
      <xdr:nvGraphicFramePr>
        <xdr:cNvPr id="14" name="Chart 13">
          <a:extLst>
            <a:ext uri="{FF2B5EF4-FFF2-40B4-BE49-F238E27FC236}">
              <a16:creationId xmlns:a16="http://schemas.microsoft.com/office/drawing/2014/main" id="{F7FB7E52-20D2-4FC4-AB69-10BB28D5A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4303059</xdr:colOff>
      <xdr:row>57</xdr:row>
      <xdr:rowOff>44823</xdr:rowOff>
    </xdr:from>
    <xdr:to>
      <xdr:col>22</xdr:col>
      <xdr:colOff>170329</xdr:colOff>
      <xdr:row>76</xdr:row>
      <xdr:rowOff>82923</xdr:rowOff>
    </xdr:to>
    <xdr:graphicFrame macro="">
      <xdr:nvGraphicFramePr>
        <xdr:cNvPr id="22" name="Chart 21">
          <a:extLst>
            <a:ext uri="{FF2B5EF4-FFF2-40B4-BE49-F238E27FC236}">
              <a16:creationId xmlns:a16="http://schemas.microsoft.com/office/drawing/2014/main" id="{39E60077-B1A1-4996-8315-8E8DB1B52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89646</xdr:colOff>
      <xdr:row>95</xdr:row>
      <xdr:rowOff>123265</xdr:rowOff>
    </xdr:from>
    <xdr:to>
      <xdr:col>15</xdr:col>
      <xdr:colOff>1537446</xdr:colOff>
      <xdr:row>114</xdr:row>
      <xdr:rowOff>161365</xdr:rowOff>
    </xdr:to>
    <xdr:graphicFrame macro="">
      <xdr:nvGraphicFramePr>
        <xdr:cNvPr id="2" name="Chart 1">
          <a:extLst>
            <a:ext uri="{FF2B5EF4-FFF2-40B4-BE49-F238E27FC236}">
              <a16:creationId xmlns:a16="http://schemas.microsoft.com/office/drawing/2014/main" id="{9D80B8A3-CB58-4E13-AD16-B713D5072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4526429</xdr:colOff>
      <xdr:row>5</xdr:row>
      <xdr:rowOff>184149</xdr:rowOff>
    </xdr:from>
    <xdr:to>
      <xdr:col>10</xdr:col>
      <xdr:colOff>427317</xdr:colOff>
      <xdr:row>25</xdr:row>
      <xdr:rowOff>31749</xdr:rowOff>
    </xdr:to>
    <xdr:graphicFrame macro="">
      <xdr:nvGraphicFramePr>
        <xdr:cNvPr id="2" name="Chart 1">
          <a:extLst>
            <a:ext uri="{FF2B5EF4-FFF2-40B4-BE49-F238E27FC236}">
              <a16:creationId xmlns:a16="http://schemas.microsoft.com/office/drawing/2014/main" id="{4A71D6BB-11CF-40C3-B5F9-1B1723604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801</xdr:colOff>
      <xdr:row>74</xdr:row>
      <xdr:rowOff>96849</xdr:rowOff>
    </xdr:from>
    <xdr:to>
      <xdr:col>15</xdr:col>
      <xdr:colOff>6401601</xdr:colOff>
      <xdr:row>93</xdr:row>
      <xdr:rowOff>134949</xdr:rowOff>
    </xdr:to>
    <xdr:graphicFrame macro="">
      <xdr:nvGraphicFramePr>
        <xdr:cNvPr id="11" name="Chart 10">
          <a:extLst>
            <a:ext uri="{FF2B5EF4-FFF2-40B4-BE49-F238E27FC236}">
              <a16:creationId xmlns:a16="http://schemas.microsoft.com/office/drawing/2014/main" id="{E8C4CA4A-194E-415D-A6DD-F6AA58E94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13604</xdr:colOff>
      <xdr:row>33</xdr:row>
      <xdr:rowOff>176892</xdr:rowOff>
    </xdr:from>
    <xdr:to>
      <xdr:col>9</xdr:col>
      <xdr:colOff>139110</xdr:colOff>
      <xdr:row>53</xdr:row>
      <xdr:rowOff>24492</xdr:rowOff>
    </xdr:to>
    <xdr:graphicFrame macro="">
      <xdr:nvGraphicFramePr>
        <xdr:cNvPr id="10" name="Chart 9">
          <a:extLst>
            <a:ext uri="{FF2B5EF4-FFF2-40B4-BE49-F238E27FC236}">
              <a16:creationId xmlns:a16="http://schemas.microsoft.com/office/drawing/2014/main" id="{B4DA2035-CFA7-4811-BBDC-723487AC7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107017</xdr:colOff>
      <xdr:row>36</xdr:row>
      <xdr:rowOff>188</xdr:rowOff>
    </xdr:from>
    <xdr:to>
      <xdr:col>12</xdr:col>
      <xdr:colOff>493060</xdr:colOff>
      <xdr:row>49</xdr:row>
      <xdr:rowOff>82395</xdr:rowOff>
    </xdr:to>
    <xdr:graphicFrame macro="">
      <xdr:nvGraphicFramePr>
        <xdr:cNvPr id="7" name="Chart 6">
          <a:extLst>
            <a:ext uri="{FF2B5EF4-FFF2-40B4-BE49-F238E27FC236}">
              <a16:creationId xmlns:a16="http://schemas.microsoft.com/office/drawing/2014/main" id="{3B71A3E3-DEA6-4129-8AF6-055F96152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941293</xdr:colOff>
      <xdr:row>33</xdr:row>
      <xdr:rowOff>179293</xdr:rowOff>
    </xdr:from>
    <xdr:to>
      <xdr:col>16</xdr:col>
      <xdr:colOff>259976</xdr:colOff>
      <xdr:row>53</xdr:row>
      <xdr:rowOff>26893</xdr:rowOff>
    </xdr:to>
    <xdr:graphicFrame macro="">
      <xdr:nvGraphicFramePr>
        <xdr:cNvPr id="14" name="Chart 13">
          <a:extLst>
            <a:ext uri="{FF2B5EF4-FFF2-40B4-BE49-F238E27FC236}">
              <a16:creationId xmlns:a16="http://schemas.microsoft.com/office/drawing/2014/main" id="{F12A5475-777A-48A8-B597-C41407AF6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4090146</xdr:colOff>
      <xdr:row>73</xdr:row>
      <xdr:rowOff>184149</xdr:rowOff>
    </xdr:from>
    <xdr:to>
      <xdr:col>9</xdr:col>
      <xdr:colOff>125505</xdr:colOff>
      <xdr:row>93</xdr:row>
      <xdr:rowOff>31749</xdr:rowOff>
    </xdr:to>
    <xdr:graphicFrame macro="">
      <xdr:nvGraphicFramePr>
        <xdr:cNvPr id="18" name="Chart 17">
          <a:extLst>
            <a:ext uri="{FF2B5EF4-FFF2-40B4-BE49-F238E27FC236}">
              <a16:creationId xmlns:a16="http://schemas.microsoft.com/office/drawing/2014/main" id="{D982C2D9-BC1E-44B6-9944-EF5E7851B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392206</xdr:colOff>
      <xdr:row>54</xdr:row>
      <xdr:rowOff>0</xdr:rowOff>
    </xdr:from>
    <xdr:to>
      <xdr:col>9</xdr:col>
      <xdr:colOff>517712</xdr:colOff>
      <xdr:row>73</xdr:row>
      <xdr:rowOff>38100</xdr:rowOff>
    </xdr:to>
    <xdr:graphicFrame macro="">
      <xdr:nvGraphicFramePr>
        <xdr:cNvPr id="12" name="Chart 11">
          <a:extLst>
            <a:ext uri="{FF2B5EF4-FFF2-40B4-BE49-F238E27FC236}">
              <a16:creationId xmlns:a16="http://schemas.microsoft.com/office/drawing/2014/main" id="{BD007805-0C4A-4ECB-834B-172F4D554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840442</xdr:colOff>
      <xdr:row>54</xdr:row>
      <xdr:rowOff>22412</xdr:rowOff>
    </xdr:from>
    <xdr:to>
      <xdr:col>16</xdr:col>
      <xdr:colOff>159125</xdr:colOff>
      <xdr:row>73</xdr:row>
      <xdr:rowOff>60512</xdr:rowOff>
    </xdr:to>
    <xdr:graphicFrame macro="">
      <xdr:nvGraphicFramePr>
        <xdr:cNvPr id="15" name="Chart 14">
          <a:extLst>
            <a:ext uri="{FF2B5EF4-FFF2-40B4-BE49-F238E27FC236}">
              <a16:creationId xmlns:a16="http://schemas.microsoft.com/office/drawing/2014/main" id="{9AD845C6-D129-4ED5-9BE1-B427F6D58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11207</xdr:colOff>
      <xdr:row>95</xdr:row>
      <xdr:rowOff>190499</xdr:rowOff>
    </xdr:from>
    <xdr:to>
      <xdr:col>15</xdr:col>
      <xdr:colOff>2935941</xdr:colOff>
      <xdr:row>115</xdr:row>
      <xdr:rowOff>38099</xdr:rowOff>
    </xdr:to>
    <xdr:graphicFrame macro="">
      <xdr:nvGraphicFramePr>
        <xdr:cNvPr id="9" name="Chart 8">
          <a:extLst>
            <a:ext uri="{FF2B5EF4-FFF2-40B4-BE49-F238E27FC236}">
              <a16:creationId xmlns:a16="http://schemas.microsoft.com/office/drawing/2014/main" id="{21686000-C57D-4365-B1DA-B4BAA4113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96</xdr:row>
      <xdr:rowOff>0</xdr:rowOff>
    </xdr:from>
    <xdr:to>
      <xdr:col>9</xdr:col>
      <xdr:colOff>125506</xdr:colOff>
      <xdr:row>115</xdr:row>
      <xdr:rowOff>38100</xdr:rowOff>
    </xdr:to>
    <xdr:graphicFrame macro="">
      <xdr:nvGraphicFramePr>
        <xdr:cNvPr id="2" name="Chart 1">
          <a:extLst>
            <a:ext uri="{FF2B5EF4-FFF2-40B4-BE49-F238E27FC236}">
              <a16:creationId xmlns:a16="http://schemas.microsoft.com/office/drawing/2014/main" id="{7AD5278F-35D0-4AAC-80BD-D8C5E4200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2882355</xdr:colOff>
      <xdr:row>44</xdr:row>
      <xdr:rowOff>179294</xdr:rowOff>
    </xdr:from>
    <xdr:to>
      <xdr:col>11</xdr:col>
      <xdr:colOff>561854</xdr:colOff>
      <xdr:row>64</xdr:row>
      <xdr:rowOff>136576</xdr:rowOff>
    </xdr:to>
    <xdr:graphicFrame macro="">
      <xdr:nvGraphicFramePr>
        <xdr:cNvPr id="2" name="Chart 1">
          <a:extLst>
            <a:ext uri="{FF2B5EF4-FFF2-40B4-BE49-F238E27FC236}">
              <a16:creationId xmlns:a16="http://schemas.microsoft.com/office/drawing/2014/main" id="{591C878B-3F70-4140-B547-84DC8D8E2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2711822</xdr:colOff>
      <xdr:row>65</xdr:row>
      <xdr:rowOff>153145</xdr:rowOff>
    </xdr:from>
    <xdr:to>
      <xdr:col>11</xdr:col>
      <xdr:colOff>393766</xdr:colOff>
      <xdr:row>85</xdr:row>
      <xdr:rowOff>110426</xdr:rowOff>
    </xdr:to>
    <xdr:graphicFrame macro="">
      <xdr:nvGraphicFramePr>
        <xdr:cNvPr id="3" name="Chart 2">
          <a:extLst>
            <a:ext uri="{FF2B5EF4-FFF2-40B4-BE49-F238E27FC236}">
              <a16:creationId xmlns:a16="http://schemas.microsoft.com/office/drawing/2014/main" id="{FAB4C1E2-4392-46D9-A856-C597D949B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171825</xdr:colOff>
      <xdr:row>66</xdr:row>
      <xdr:rowOff>37352</xdr:rowOff>
    </xdr:from>
    <xdr:to>
      <xdr:col>17</xdr:col>
      <xdr:colOff>134471</xdr:colOff>
      <xdr:row>86</xdr:row>
      <xdr:rowOff>406</xdr:rowOff>
    </xdr:to>
    <xdr:graphicFrame macro="">
      <xdr:nvGraphicFramePr>
        <xdr:cNvPr id="4" name="Chart 3">
          <a:extLst>
            <a:ext uri="{FF2B5EF4-FFF2-40B4-BE49-F238E27FC236}">
              <a16:creationId xmlns:a16="http://schemas.microsoft.com/office/drawing/2014/main" id="{5037D23F-6FCC-40C8-A178-E6BF00BCD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56030</xdr:colOff>
      <xdr:row>45</xdr:row>
      <xdr:rowOff>0</xdr:rowOff>
    </xdr:from>
    <xdr:to>
      <xdr:col>16</xdr:col>
      <xdr:colOff>6555441</xdr:colOff>
      <xdr:row>64</xdr:row>
      <xdr:rowOff>147782</xdr:rowOff>
    </xdr:to>
    <xdr:graphicFrame macro="">
      <xdr:nvGraphicFramePr>
        <xdr:cNvPr id="5" name="Chart 4">
          <a:extLst>
            <a:ext uri="{FF2B5EF4-FFF2-40B4-BE49-F238E27FC236}">
              <a16:creationId xmlns:a16="http://schemas.microsoft.com/office/drawing/2014/main" id="{5E58925D-0E09-4F93-B1A6-6A524BC29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2445</xdr:colOff>
      <xdr:row>88</xdr:row>
      <xdr:rowOff>0</xdr:rowOff>
    </xdr:from>
    <xdr:to>
      <xdr:col>14</xdr:col>
      <xdr:colOff>1</xdr:colOff>
      <xdr:row>107</xdr:row>
      <xdr:rowOff>147781</xdr:rowOff>
    </xdr:to>
    <xdr:graphicFrame macro="">
      <xdr:nvGraphicFramePr>
        <xdr:cNvPr id="6" name="Chart 5">
          <a:extLst>
            <a:ext uri="{FF2B5EF4-FFF2-40B4-BE49-F238E27FC236}">
              <a16:creationId xmlns:a16="http://schemas.microsoft.com/office/drawing/2014/main" id="{2CDD4D93-DCFD-4804-AD24-AFC8ED90B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88</xdr:row>
      <xdr:rowOff>0</xdr:rowOff>
    </xdr:from>
    <xdr:to>
      <xdr:col>17</xdr:col>
      <xdr:colOff>67235</xdr:colOff>
      <xdr:row>107</xdr:row>
      <xdr:rowOff>147781</xdr:rowOff>
    </xdr:to>
    <xdr:graphicFrame macro="">
      <xdr:nvGraphicFramePr>
        <xdr:cNvPr id="7" name="Chart 6">
          <a:extLst>
            <a:ext uri="{FF2B5EF4-FFF2-40B4-BE49-F238E27FC236}">
              <a16:creationId xmlns:a16="http://schemas.microsoft.com/office/drawing/2014/main" id="{BF4D9EE4-37D5-4979-BAC7-3D18CCD8C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108</xdr:row>
      <xdr:rowOff>184726</xdr:rowOff>
    </xdr:from>
    <xdr:to>
      <xdr:col>13</xdr:col>
      <xdr:colOff>593912</xdr:colOff>
      <xdr:row>128</xdr:row>
      <xdr:rowOff>147781</xdr:rowOff>
    </xdr:to>
    <xdr:graphicFrame macro="">
      <xdr:nvGraphicFramePr>
        <xdr:cNvPr id="8" name="Chart 7">
          <a:extLst>
            <a:ext uri="{FF2B5EF4-FFF2-40B4-BE49-F238E27FC236}">
              <a16:creationId xmlns:a16="http://schemas.microsoft.com/office/drawing/2014/main" id="{B1827E04-5276-4B7E-AF24-2E80015E8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xdr:colOff>
      <xdr:row>108</xdr:row>
      <xdr:rowOff>184726</xdr:rowOff>
    </xdr:from>
    <xdr:to>
      <xdr:col>17</xdr:col>
      <xdr:colOff>750795</xdr:colOff>
      <xdr:row>128</xdr:row>
      <xdr:rowOff>147781</xdr:rowOff>
    </xdr:to>
    <xdr:graphicFrame macro="">
      <xdr:nvGraphicFramePr>
        <xdr:cNvPr id="9" name="Chart 8">
          <a:extLst>
            <a:ext uri="{FF2B5EF4-FFF2-40B4-BE49-F238E27FC236}">
              <a16:creationId xmlns:a16="http://schemas.microsoft.com/office/drawing/2014/main" id="{BB06E124-2859-4902-ACAD-536BA6AD8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26146</xdr:colOff>
      <xdr:row>7</xdr:row>
      <xdr:rowOff>171823</xdr:rowOff>
    </xdr:from>
    <xdr:to>
      <xdr:col>10</xdr:col>
      <xdr:colOff>151652</xdr:colOff>
      <xdr:row>27</xdr:row>
      <xdr:rowOff>19423</xdr:rowOff>
    </xdr:to>
    <xdr:graphicFrame macro="">
      <xdr:nvGraphicFramePr>
        <xdr:cNvPr id="2" name="Chart 1">
          <a:extLst>
            <a:ext uri="{FF2B5EF4-FFF2-40B4-BE49-F238E27FC236}">
              <a16:creationId xmlns:a16="http://schemas.microsoft.com/office/drawing/2014/main" id="{7C166FB9-B2F4-47E0-AD76-A85D49F06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82176</xdr:colOff>
      <xdr:row>7</xdr:row>
      <xdr:rowOff>112059</xdr:rowOff>
    </xdr:from>
    <xdr:to>
      <xdr:col>15</xdr:col>
      <xdr:colOff>5190564</xdr:colOff>
      <xdr:row>27</xdr:row>
      <xdr:rowOff>34364</xdr:rowOff>
    </xdr:to>
    <xdr:graphicFrame macro="">
      <xdr:nvGraphicFramePr>
        <xdr:cNvPr id="3" name="Chart 2">
          <a:extLst>
            <a:ext uri="{FF2B5EF4-FFF2-40B4-BE49-F238E27FC236}">
              <a16:creationId xmlns:a16="http://schemas.microsoft.com/office/drawing/2014/main" id="{94291651-AAA0-4B45-A0B3-6EF946AB9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3088154</xdr:colOff>
      <xdr:row>7</xdr:row>
      <xdr:rowOff>184149</xdr:rowOff>
    </xdr:from>
    <xdr:to>
      <xdr:col>8</xdr:col>
      <xdr:colOff>571500</xdr:colOff>
      <xdr:row>27</xdr:row>
      <xdr:rowOff>31749</xdr:rowOff>
    </xdr:to>
    <xdr:graphicFrame macro="">
      <xdr:nvGraphicFramePr>
        <xdr:cNvPr id="2" name="Chart 1">
          <a:extLst>
            <a:ext uri="{FF2B5EF4-FFF2-40B4-BE49-F238E27FC236}">
              <a16:creationId xmlns:a16="http://schemas.microsoft.com/office/drawing/2014/main" id="{25738F9D-0423-4A0C-85DA-869453F09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400050</xdr:colOff>
      <xdr:row>8</xdr:row>
      <xdr:rowOff>28575</xdr:rowOff>
    </xdr:from>
    <xdr:to>
      <xdr:col>15</xdr:col>
      <xdr:colOff>1876425</xdr:colOff>
      <xdr:row>27</xdr:row>
      <xdr:rowOff>66675</xdr:rowOff>
    </xdr:to>
    <xdr:graphicFrame macro="">
      <xdr:nvGraphicFramePr>
        <xdr:cNvPr id="3" name="Chart 2">
          <a:extLst>
            <a:ext uri="{FF2B5EF4-FFF2-40B4-BE49-F238E27FC236}">
              <a16:creationId xmlns:a16="http://schemas.microsoft.com/office/drawing/2014/main" id="{70439488-B205-4F42-8949-E4C6B10EC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2050</xdr:colOff>
      <xdr:row>31</xdr:row>
      <xdr:rowOff>1</xdr:rowOff>
    </xdr:from>
    <xdr:to>
      <xdr:col>9</xdr:col>
      <xdr:colOff>127556</xdr:colOff>
      <xdr:row>50</xdr:row>
      <xdr:rowOff>38101</xdr:rowOff>
    </xdr:to>
    <xdr:graphicFrame macro="">
      <xdr:nvGraphicFramePr>
        <xdr:cNvPr id="7" name="Chart 6">
          <a:extLst>
            <a:ext uri="{FF2B5EF4-FFF2-40B4-BE49-F238E27FC236}">
              <a16:creationId xmlns:a16="http://schemas.microsoft.com/office/drawing/2014/main" id="{4B5AC658-3F9D-4D05-9C1C-FD07A1CA8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95249</xdr:colOff>
      <xdr:row>71</xdr:row>
      <xdr:rowOff>54428</xdr:rowOff>
    </xdr:from>
    <xdr:to>
      <xdr:col>8</xdr:col>
      <xdr:colOff>90767</xdr:colOff>
      <xdr:row>90</xdr:row>
      <xdr:rowOff>92528</xdr:rowOff>
    </xdr:to>
    <xdr:graphicFrame macro="">
      <xdr:nvGraphicFramePr>
        <xdr:cNvPr id="12" name="Chart 11">
          <a:extLst>
            <a:ext uri="{FF2B5EF4-FFF2-40B4-BE49-F238E27FC236}">
              <a16:creationId xmlns:a16="http://schemas.microsoft.com/office/drawing/2014/main" id="{37BE8F97-FCA5-415E-8615-6704524D1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4186917</xdr:colOff>
      <xdr:row>51</xdr:row>
      <xdr:rowOff>0</xdr:rowOff>
    </xdr:from>
    <xdr:to>
      <xdr:col>7</xdr:col>
      <xdr:colOff>775846</xdr:colOff>
      <xdr:row>70</xdr:row>
      <xdr:rowOff>38100</xdr:rowOff>
    </xdr:to>
    <xdr:graphicFrame macro="">
      <xdr:nvGraphicFramePr>
        <xdr:cNvPr id="17" name="Chart 16">
          <a:extLst>
            <a:ext uri="{FF2B5EF4-FFF2-40B4-BE49-F238E27FC236}">
              <a16:creationId xmlns:a16="http://schemas.microsoft.com/office/drawing/2014/main" id="{81947ECF-D1AE-4AAA-998C-9FB8325CA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116065</xdr:colOff>
      <xdr:row>51</xdr:row>
      <xdr:rowOff>178814</xdr:rowOff>
    </xdr:from>
    <xdr:to>
      <xdr:col>13</xdr:col>
      <xdr:colOff>506029</xdr:colOff>
      <xdr:row>66</xdr:row>
      <xdr:rowOff>64514</xdr:rowOff>
    </xdr:to>
    <xdr:graphicFrame macro="">
      <xdr:nvGraphicFramePr>
        <xdr:cNvPr id="18" name="Chart 17">
          <a:extLst>
            <a:ext uri="{FF2B5EF4-FFF2-40B4-BE49-F238E27FC236}">
              <a16:creationId xmlns:a16="http://schemas.microsoft.com/office/drawing/2014/main" id="{BBEFB621-5AF9-47EF-ADDF-E949312B2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394607</xdr:colOff>
      <xdr:row>71</xdr:row>
      <xdr:rowOff>27214</xdr:rowOff>
    </xdr:from>
    <xdr:to>
      <xdr:col>14</xdr:col>
      <xdr:colOff>1434354</xdr:colOff>
      <xdr:row>90</xdr:row>
      <xdr:rowOff>65314</xdr:rowOff>
    </xdr:to>
    <xdr:graphicFrame macro="">
      <xdr:nvGraphicFramePr>
        <xdr:cNvPr id="19" name="Chart 18">
          <a:extLst>
            <a:ext uri="{FF2B5EF4-FFF2-40B4-BE49-F238E27FC236}">
              <a16:creationId xmlns:a16="http://schemas.microsoft.com/office/drawing/2014/main" id="{02D1079B-7CB5-4C07-9758-5162141D3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91</xdr:row>
      <xdr:rowOff>0</xdr:rowOff>
    </xdr:from>
    <xdr:to>
      <xdr:col>9</xdr:col>
      <xdr:colOff>125506</xdr:colOff>
      <xdr:row>110</xdr:row>
      <xdr:rowOff>38100</xdr:rowOff>
    </xdr:to>
    <xdr:graphicFrame macro="">
      <xdr:nvGraphicFramePr>
        <xdr:cNvPr id="20" name="Chart 19">
          <a:extLst>
            <a:ext uri="{FF2B5EF4-FFF2-40B4-BE49-F238E27FC236}">
              <a16:creationId xmlns:a16="http://schemas.microsoft.com/office/drawing/2014/main" id="{19D817E5-FC3C-492F-9F34-0F8756F1D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347383</xdr:colOff>
      <xdr:row>31</xdr:row>
      <xdr:rowOff>56028</xdr:rowOff>
    </xdr:from>
    <xdr:to>
      <xdr:col>15</xdr:col>
      <xdr:colOff>4921624</xdr:colOff>
      <xdr:row>50</xdr:row>
      <xdr:rowOff>94128</xdr:rowOff>
    </xdr:to>
    <xdr:graphicFrame macro="">
      <xdr:nvGraphicFramePr>
        <xdr:cNvPr id="9" name="Chart 8">
          <a:extLst>
            <a:ext uri="{FF2B5EF4-FFF2-40B4-BE49-F238E27FC236}">
              <a16:creationId xmlns:a16="http://schemas.microsoft.com/office/drawing/2014/main" id="{1964B062-CB2D-45E4-A645-2CD8B821E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5121089</xdr:colOff>
      <xdr:row>31</xdr:row>
      <xdr:rowOff>33618</xdr:rowOff>
    </xdr:from>
    <xdr:to>
      <xdr:col>24</xdr:col>
      <xdr:colOff>114300</xdr:colOff>
      <xdr:row>50</xdr:row>
      <xdr:rowOff>71718</xdr:rowOff>
    </xdr:to>
    <xdr:graphicFrame macro="">
      <xdr:nvGraphicFramePr>
        <xdr:cNvPr id="10" name="Chart 9">
          <a:extLst>
            <a:ext uri="{FF2B5EF4-FFF2-40B4-BE49-F238E27FC236}">
              <a16:creationId xmlns:a16="http://schemas.microsoft.com/office/drawing/2014/main" id="{1664B18A-D14F-4858-8AEA-22780FD0F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73</xdr:row>
      <xdr:rowOff>190499</xdr:rowOff>
    </xdr:from>
    <xdr:to>
      <xdr:col>10</xdr:col>
      <xdr:colOff>125506</xdr:colOff>
      <xdr:row>93</xdr:row>
      <xdr:rowOff>38099</xdr:rowOff>
    </xdr:to>
    <xdr:graphicFrame macro="">
      <xdr:nvGraphicFramePr>
        <xdr:cNvPr id="12" name="Chart 11">
          <a:extLst>
            <a:ext uri="{FF2B5EF4-FFF2-40B4-BE49-F238E27FC236}">
              <a16:creationId xmlns:a16="http://schemas.microsoft.com/office/drawing/2014/main" id="{E7AD10EC-813A-4280-B93C-02B7C30B0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53</xdr:row>
      <xdr:rowOff>190499</xdr:rowOff>
    </xdr:from>
    <xdr:to>
      <xdr:col>10</xdr:col>
      <xdr:colOff>125506</xdr:colOff>
      <xdr:row>73</xdr:row>
      <xdr:rowOff>38099</xdr:rowOff>
    </xdr:to>
    <xdr:graphicFrame macro="">
      <xdr:nvGraphicFramePr>
        <xdr:cNvPr id="13" name="Chart 12">
          <a:extLst>
            <a:ext uri="{FF2B5EF4-FFF2-40B4-BE49-F238E27FC236}">
              <a16:creationId xmlns:a16="http://schemas.microsoft.com/office/drawing/2014/main" id="{75B9D113-4844-418B-A055-EB8E326D7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53</xdr:row>
      <xdr:rowOff>190499</xdr:rowOff>
    </xdr:from>
    <xdr:to>
      <xdr:col>17</xdr:col>
      <xdr:colOff>24653</xdr:colOff>
      <xdr:row>73</xdr:row>
      <xdr:rowOff>38099</xdr:rowOff>
    </xdr:to>
    <xdr:graphicFrame macro="">
      <xdr:nvGraphicFramePr>
        <xdr:cNvPr id="14" name="Chart 13">
          <a:extLst>
            <a:ext uri="{FF2B5EF4-FFF2-40B4-BE49-F238E27FC236}">
              <a16:creationId xmlns:a16="http://schemas.microsoft.com/office/drawing/2014/main" id="{C734DF59-EBD1-48A8-959C-253E5BDC5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34</xdr:row>
      <xdr:rowOff>0</xdr:rowOff>
    </xdr:from>
    <xdr:to>
      <xdr:col>17</xdr:col>
      <xdr:colOff>24653</xdr:colOff>
      <xdr:row>53</xdr:row>
      <xdr:rowOff>1621</xdr:rowOff>
    </xdr:to>
    <xdr:graphicFrame macro="">
      <xdr:nvGraphicFramePr>
        <xdr:cNvPr id="15" name="Chart 14">
          <a:extLst>
            <a:ext uri="{FF2B5EF4-FFF2-40B4-BE49-F238E27FC236}">
              <a16:creationId xmlns:a16="http://schemas.microsoft.com/office/drawing/2014/main" id="{8ACADD53-137E-40CF-B377-47429919E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33</xdr:row>
      <xdr:rowOff>190499</xdr:rowOff>
    </xdr:from>
    <xdr:to>
      <xdr:col>10</xdr:col>
      <xdr:colOff>125506</xdr:colOff>
      <xdr:row>53</xdr:row>
      <xdr:rowOff>38099</xdr:rowOff>
    </xdr:to>
    <xdr:graphicFrame macro="">
      <xdr:nvGraphicFramePr>
        <xdr:cNvPr id="16" name="Chart 15">
          <a:extLst>
            <a:ext uri="{FF2B5EF4-FFF2-40B4-BE49-F238E27FC236}">
              <a16:creationId xmlns:a16="http://schemas.microsoft.com/office/drawing/2014/main" id="{AFC58DE0-B40D-4BFD-B754-17D9D9AD8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73</xdr:row>
      <xdr:rowOff>190499</xdr:rowOff>
    </xdr:from>
    <xdr:to>
      <xdr:col>17</xdr:col>
      <xdr:colOff>24653</xdr:colOff>
      <xdr:row>93</xdr:row>
      <xdr:rowOff>38099</xdr:rowOff>
    </xdr:to>
    <xdr:graphicFrame macro="">
      <xdr:nvGraphicFramePr>
        <xdr:cNvPr id="17" name="Chart 16">
          <a:extLst>
            <a:ext uri="{FF2B5EF4-FFF2-40B4-BE49-F238E27FC236}">
              <a16:creationId xmlns:a16="http://schemas.microsoft.com/office/drawing/2014/main" id="{296E760E-1DC8-4ABB-904D-B3244AA89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93</xdr:row>
      <xdr:rowOff>190499</xdr:rowOff>
    </xdr:from>
    <xdr:to>
      <xdr:col>10</xdr:col>
      <xdr:colOff>125506</xdr:colOff>
      <xdr:row>113</xdr:row>
      <xdr:rowOff>38099</xdr:rowOff>
    </xdr:to>
    <xdr:graphicFrame macro="">
      <xdr:nvGraphicFramePr>
        <xdr:cNvPr id="18" name="Chart 17">
          <a:extLst>
            <a:ext uri="{FF2B5EF4-FFF2-40B4-BE49-F238E27FC236}">
              <a16:creationId xmlns:a16="http://schemas.microsoft.com/office/drawing/2014/main" id="{70E2D184-0843-469B-8D4D-83D5743F2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37</xdr:row>
      <xdr:rowOff>0</xdr:rowOff>
    </xdr:from>
    <xdr:to>
      <xdr:col>8</xdr:col>
      <xdr:colOff>400050</xdr:colOff>
      <xdr:row>56</xdr:row>
      <xdr:rowOff>38100</xdr:rowOff>
    </xdr:to>
    <xdr:graphicFrame macro="">
      <xdr:nvGraphicFramePr>
        <xdr:cNvPr id="2" name="Chart 1">
          <a:extLst>
            <a:ext uri="{FF2B5EF4-FFF2-40B4-BE49-F238E27FC236}">
              <a16:creationId xmlns:a16="http://schemas.microsoft.com/office/drawing/2014/main" id="{9107A5C6-3EDE-418D-8AE0-BC62E0870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1680881</xdr:colOff>
      <xdr:row>37</xdr:row>
      <xdr:rowOff>3711</xdr:rowOff>
    </xdr:from>
    <xdr:to>
      <xdr:col>15</xdr:col>
      <xdr:colOff>5486399</xdr:colOff>
      <xdr:row>56</xdr:row>
      <xdr:rowOff>41811</xdr:rowOff>
    </xdr:to>
    <xdr:graphicFrame macro="">
      <xdr:nvGraphicFramePr>
        <xdr:cNvPr id="15" name="Chart 14">
          <a:extLst>
            <a:ext uri="{FF2B5EF4-FFF2-40B4-BE49-F238E27FC236}">
              <a16:creationId xmlns:a16="http://schemas.microsoft.com/office/drawing/2014/main" id="{5CD31F14-1C8E-4911-AB08-1A1162CA8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5885127</xdr:colOff>
      <xdr:row>38</xdr:row>
      <xdr:rowOff>172919</xdr:rowOff>
    </xdr:from>
    <xdr:to>
      <xdr:col>16</xdr:col>
      <xdr:colOff>1451542</xdr:colOff>
      <xdr:row>53</xdr:row>
      <xdr:rowOff>58619</xdr:rowOff>
    </xdr:to>
    <xdr:graphicFrame macro="">
      <xdr:nvGraphicFramePr>
        <xdr:cNvPr id="3" name="Chart 2">
          <a:extLst>
            <a:ext uri="{FF2B5EF4-FFF2-40B4-BE49-F238E27FC236}">
              <a16:creationId xmlns:a16="http://schemas.microsoft.com/office/drawing/2014/main" id="{F37AE3A3-F857-48EC-8EF1-1999F189E0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1551213</xdr:colOff>
      <xdr:row>57</xdr:row>
      <xdr:rowOff>149679</xdr:rowOff>
    </xdr:from>
    <xdr:to>
      <xdr:col>16</xdr:col>
      <xdr:colOff>767441</xdr:colOff>
      <xdr:row>76</xdr:row>
      <xdr:rowOff>187779</xdr:rowOff>
    </xdr:to>
    <xdr:graphicFrame macro="">
      <xdr:nvGraphicFramePr>
        <xdr:cNvPr id="10" name="Chart 9">
          <a:extLst>
            <a:ext uri="{FF2B5EF4-FFF2-40B4-BE49-F238E27FC236}">
              <a16:creationId xmlns:a16="http://schemas.microsoft.com/office/drawing/2014/main" id="{F38B4542-B152-48A1-8C5C-61C05030E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1072563</xdr:colOff>
      <xdr:row>59</xdr:row>
      <xdr:rowOff>99251</xdr:rowOff>
    </xdr:from>
    <xdr:to>
      <xdr:col>17</xdr:col>
      <xdr:colOff>2095441</xdr:colOff>
      <xdr:row>73</xdr:row>
      <xdr:rowOff>175451</xdr:rowOff>
    </xdr:to>
    <xdr:graphicFrame macro="">
      <xdr:nvGraphicFramePr>
        <xdr:cNvPr id="13" name="Chart 12">
          <a:extLst>
            <a:ext uri="{FF2B5EF4-FFF2-40B4-BE49-F238E27FC236}">
              <a16:creationId xmlns:a16="http://schemas.microsoft.com/office/drawing/2014/main" id="{2ECFABEA-258E-4CB9-AD19-B63A8CCA1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762000</xdr:colOff>
      <xdr:row>57</xdr:row>
      <xdr:rowOff>13607</xdr:rowOff>
    </xdr:from>
    <xdr:to>
      <xdr:col>8</xdr:col>
      <xdr:colOff>757518</xdr:colOff>
      <xdr:row>76</xdr:row>
      <xdr:rowOff>51707</xdr:rowOff>
    </xdr:to>
    <xdr:graphicFrame macro="">
      <xdr:nvGraphicFramePr>
        <xdr:cNvPr id="17" name="Chart 16">
          <a:extLst>
            <a:ext uri="{FF2B5EF4-FFF2-40B4-BE49-F238E27FC236}">
              <a16:creationId xmlns:a16="http://schemas.microsoft.com/office/drawing/2014/main" id="{1FAA6DA7-6CAF-4A88-8AA3-62A660822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331933</xdr:colOff>
      <xdr:row>58</xdr:row>
      <xdr:rowOff>70357</xdr:rowOff>
    </xdr:from>
    <xdr:to>
      <xdr:col>14</xdr:col>
      <xdr:colOff>204288</xdr:colOff>
      <xdr:row>72</xdr:row>
      <xdr:rowOff>146557</xdr:rowOff>
    </xdr:to>
    <xdr:graphicFrame macro="">
      <xdr:nvGraphicFramePr>
        <xdr:cNvPr id="18" name="Chart 17">
          <a:extLst>
            <a:ext uri="{FF2B5EF4-FFF2-40B4-BE49-F238E27FC236}">
              <a16:creationId xmlns:a16="http://schemas.microsoft.com/office/drawing/2014/main" id="{6E4C4982-042B-45EE-8002-3C8441165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78</xdr:row>
      <xdr:rowOff>0</xdr:rowOff>
    </xdr:from>
    <xdr:to>
      <xdr:col>10</xdr:col>
      <xdr:colOff>657225</xdr:colOff>
      <xdr:row>97</xdr:row>
      <xdr:rowOff>38100</xdr:rowOff>
    </xdr:to>
    <xdr:graphicFrame macro="">
      <xdr:nvGraphicFramePr>
        <xdr:cNvPr id="14" name="Chart 13">
          <a:extLst>
            <a:ext uri="{FF2B5EF4-FFF2-40B4-BE49-F238E27FC236}">
              <a16:creationId xmlns:a16="http://schemas.microsoft.com/office/drawing/2014/main" id="{4B428D56-2285-4192-94D8-E8E4938B6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22411</xdr:colOff>
      <xdr:row>78</xdr:row>
      <xdr:rowOff>22412</xdr:rowOff>
    </xdr:from>
    <xdr:to>
      <xdr:col>15</xdr:col>
      <xdr:colOff>6423211</xdr:colOff>
      <xdr:row>97</xdr:row>
      <xdr:rowOff>60512</xdr:rowOff>
    </xdr:to>
    <xdr:graphicFrame macro="">
      <xdr:nvGraphicFramePr>
        <xdr:cNvPr id="11" name="Chart 10">
          <a:extLst>
            <a:ext uri="{FF2B5EF4-FFF2-40B4-BE49-F238E27FC236}">
              <a16:creationId xmlns:a16="http://schemas.microsoft.com/office/drawing/2014/main" id="{B0AE370A-FAE7-479F-8476-EF48D797E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xdr:colOff>
      <xdr:row>100</xdr:row>
      <xdr:rowOff>0</xdr:rowOff>
    </xdr:from>
    <xdr:to>
      <xdr:col>10</xdr:col>
      <xdr:colOff>457201</xdr:colOff>
      <xdr:row>119</xdr:row>
      <xdr:rowOff>38100</xdr:rowOff>
    </xdr:to>
    <xdr:graphicFrame macro="">
      <xdr:nvGraphicFramePr>
        <xdr:cNvPr id="12" name="Chart 11">
          <a:extLst>
            <a:ext uri="{FF2B5EF4-FFF2-40B4-BE49-F238E27FC236}">
              <a16:creationId xmlns:a16="http://schemas.microsoft.com/office/drawing/2014/main" id="{6725788D-C5E3-40DE-808B-9DB273611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6372225</xdr:colOff>
      <xdr:row>78</xdr:row>
      <xdr:rowOff>133350</xdr:rowOff>
    </xdr:from>
    <xdr:to>
      <xdr:col>17</xdr:col>
      <xdr:colOff>3863068</xdr:colOff>
      <xdr:row>97</xdr:row>
      <xdr:rowOff>171450</xdr:rowOff>
    </xdr:to>
    <xdr:graphicFrame macro="">
      <xdr:nvGraphicFramePr>
        <xdr:cNvPr id="16" name="Chart 15">
          <a:extLst>
            <a:ext uri="{FF2B5EF4-FFF2-40B4-BE49-F238E27FC236}">
              <a16:creationId xmlns:a16="http://schemas.microsoft.com/office/drawing/2014/main" id="{FFFA01D2-94B3-4C03-AD53-5BCD0A204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17</xdr:col>
      <xdr:colOff>309581</xdr:colOff>
      <xdr:row>72</xdr:row>
      <xdr:rowOff>95250</xdr:rowOff>
    </xdr:from>
    <xdr:to>
      <xdr:col>18</xdr:col>
      <xdr:colOff>103393</xdr:colOff>
      <xdr:row>91</xdr:row>
      <xdr:rowOff>133350</xdr:rowOff>
    </xdr:to>
    <xdr:graphicFrame macro="">
      <xdr:nvGraphicFramePr>
        <xdr:cNvPr id="2" name="Chart 1">
          <a:extLst>
            <a:ext uri="{FF2B5EF4-FFF2-40B4-BE49-F238E27FC236}">
              <a16:creationId xmlns:a16="http://schemas.microsoft.com/office/drawing/2014/main" id="{7EAF165D-2474-4A3D-9DE5-B844B1D3C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75</xdr:row>
      <xdr:rowOff>-1</xdr:rowOff>
    </xdr:from>
    <xdr:to>
      <xdr:col>9</xdr:col>
      <xdr:colOff>662709</xdr:colOff>
      <xdr:row>94</xdr:row>
      <xdr:rowOff>147781</xdr:rowOff>
    </xdr:to>
    <xdr:graphicFrame macro="">
      <xdr:nvGraphicFramePr>
        <xdr:cNvPr id="3" name="Chart 2">
          <a:extLst>
            <a:ext uri="{FF2B5EF4-FFF2-40B4-BE49-F238E27FC236}">
              <a16:creationId xmlns:a16="http://schemas.microsoft.com/office/drawing/2014/main" id="{BFBA2F79-1897-4481-BCCA-BD069D82B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145676</xdr:colOff>
      <xdr:row>95</xdr:row>
      <xdr:rowOff>179294</xdr:rowOff>
    </xdr:from>
    <xdr:to>
      <xdr:col>6</xdr:col>
      <xdr:colOff>665629</xdr:colOff>
      <xdr:row>115</xdr:row>
      <xdr:rowOff>26894</xdr:rowOff>
    </xdr:to>
    <xdr:graphicFrame macro="">
      <xdr:nvGraphicFramePr>
        <xdr:cNvPr id="13" name="Chart 12">
          <a:extLst>
            <a:ext uri="{FF2B5EF4-FFF2-40B4-BE49-F238E27FC236}">
              <a16:creationId xmlns:a16="http://schemas.microsoft.com/office/drawing/2014/main" id="{00A6A355-FF0E-4654-BED2-42DBAB833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145676</xdr:colOff>
      <xdr:row>95</xdr:row>
      <xdr:rowOff>179294</xdr:rowOff>
    </xdr:from>
    <xdr:to>
      <xdr:col>6</xdr:col>
      <xdr:colOff>665629</xdr:colOff>
      <xdr:row>115</xdr:row>
      <xdr:rowOff>26894</xdr:rowOff>
    </xdr:to>
    <xdr:graphicFrame macro="">
      <xdr:nvGraphicFramePr>
        <xdr:cNvPr id="7" name="Chart 6">
          <a:extLst>
            <a:ext uri="{FF2B5EF4-FFF2-40B4-BE49-F238E27FC236}">
              <a16:creationId xmlns:a16="http://schemas.microsoft.com/office/drawing/2014/main" id="{9075B1CF-A95B-4E46-AD33-050952C48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12</xdr:col>
      <xdr:colOff>679846</xdr:colOff>
      <xdr:row>45</xdr:row>
      <xdr:rowOff>114460</xdr:rowOff>
    </xdr:from>
    <xdr:to>
      <xdr:col>17</xdr:col>
      <xdr:colOff>816826</xdr:colOff>
      <xdr:row>65</xdr:row>
      <xdr:rowOff>53500</xdr:rowOff>
    </xdr:to>
    <xdr:graphicFrame macro="">
      <xdr:nvGraphicFramePr>
        <xdr:cNvPr id="11" name="Chart 10">
          <a:extLst>
            <a:ext uri="{FF2B5EF4-FFF2-40B4-BE49-F238E27FC236}">
              <a16:creationId xmlns:a16="http://schemas.microsoft.com/office/drawing/2014/main" id="{E900C2F6-8776-4880-94A4-0E212D833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280147</xdr:colOff>
      <xdr:row>66</xdr:row>
      <xdr:rowOff>123183</xdr:rowOff>
    </xdr:from>
    <xdr:to>
      <xdr:col>17</xdr:col>
      <xdr:colOff>1792941</xdr:colOff>
      <xdr:row>81</xdr:row>
      <xdr:rowOff>8883</xdr:rowOff>
    </xdr:to>
    <xdr:graphicFrame macro="">
      <xdr:nvGraphicFramePr>
        <xdr:cNvPr id="12" name="Chart 11">
          <a:extLst>
            <a:ext uri="{FF2B5EF4-FFF2-40B4-BE49-F238E27FC236}">
              <a16:creationId xmlns:a16="http://schemas.microsoft.com/office/drawing/2014/main" id="{A8AD1365-813E-41E4-B810-F1D978001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605117</xdr:colOff>
      <xdr:row>66</xdr:row>
      <xdr:rowOff>123266</xdr:rowOff>
    </xdr:from>
    <xdr:to>
      <xdr:col>15</xdr:col>
      <xdr:colOff>246531</xdr:colOff>
      <xdr:row>81</xdr:row>
      <xdr:rowOff>8966</xdr:rowOff>
    </xdr:to>
    <xdr:graphicFrame macro="">
      <xdr:nvGraphicFramePr>
        <xdr:cNvPr id="5" name="Chart 4">
          <a:extLst>
            <a:ext uri="{FF2B5EF4-FFF2-40B4-BE49-F238E27FC236}">
              <a16:creationId xmlns:a16="http://schemas.microsoft.com/office/drawing/2014/main" id="{C5D03E4F-2DB7-4780-BD15-D70271B45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268941</xdr:colOff>
      <xdr:row>81</xdr:row>
      <xdr:rowOff>56029</xdr:rowOff>
    </xdr:from>
    <xdr:to>
      <xdr:col>17</xdr:col>
      <xdr:colOff>1817463</xdr:colOff>
      <xdr:row>95</xdr:row>
      <xdr:rowOff>132229</xdr:rowOff>
    </xdr:to>
    <xdr:graphicFrame macro="">
      <xdr:nvGraphicFramePr>
        <xdr:cNvPr id="2" name="Chart 1">
          <a:extLst>
            <a:ext uri="{FF2B5EF4-FFF2-40B4-BE49-F238E27FC236}">
              <a16:creationId xmlns:a16="http://schemas.microsoft.com/office/drawing/2014/main" id="{B39D88EF-89A5-49A0-A599-CAA72D226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268942</xdr:colOff>
      <xdr:row>95</xdr:row>
      <xdr:rowOff>145677</xdr:rowOff>
    </xdr:from>
    <xdr:to>
      <xdr:col>17</xdr:col>
      <xdr:colOff>1781736</xdr:colOff>
      <xdr:row>110</xdr:row>
      <xdr:rowOff>31377</xdr:rowOff>
    </xdr:to>
    <xdr:graphicFrame macro="">
      <xdr:nvGraphicFramePr>
        <xdr:cNvPr id="13" name="Chart 12">
          <a:extLst>
            <a:ext uri="{FF2B5EF4-FFF2-40B4-BE49-F238E27FC236}">
              <a16:creationId xmlns:a16="http://schemas.microsoft.com/office/drawing/2014/main" id="{E59FC4BE-FDA2-4103-8D19-90D8870D1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605119</xdr:colOff>
      <xdr:row>81</xdr:row>
      <xdr:rowOff>56029</xdr:rowOff>
    </xdr:from>
    <xdr:to>
      <xdr:col>15</xdr:col>
      <xdr:colOff>235325</xdr:colOff>
      <xdr:row>95</xdr:row>
      <xdr:rowOff>132229</xdr:rowOff>
    </xdr:to>
    <xdr:graphicFrame macro="">
      <xdr:nvGraphicFramePr>
        <xdr:cNvPr id="14" name="Chart 13">
          <a:extLst>
            <a:ext uri="{FF2B5EF4-FFF2-40B4-BE49-F238E27FC236}">
              <a16:creationId xmlns:a16="http://schemas.microsoft.com/office/drawing/2014/main" id="{2760439F-4F10-45ED-AC01-1A6E74531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605118</xdr:colOff>
      <xdr:row>95</xdr:row>
      <xdr:rowOff>145676</xdr:rowOff>
    </xdr:from>
    <xdr:to>
      <xdr:col>15</xdr:col>
      <xdr:colOff>246532</xdr:colOff>
      <xdr:row>110</xdr:row>
      <xdr:rowOff>31376</xdr:rowOff>
    </xdr:to>
    <xdr:graphicFrame macro="">
      <xdr:nvGraphicFramePr>
        <xdr:cNvPr id="15" name="Chart 14">
          <a:extLst>
            <a:ext uri="{FF2B5EF4-FFF2-40B4-BE49-F238E27FC236}">
              <a16:creationId xmlns:a16="http://schemas.microsoft.com/office/drawing/2014/main" id="{0CA7AF08-6BAC-4E6F-9346-A69742103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2095500</xdr:colOff>
      <xdr:row>51</xdr:row>
      <xdr:rowOff>40821</xdr:rowOff>
    </xdr:from>
    <xdr:to>
      <xdr:col>17</xdr:col>
      <xdr:colOff>8967107</xdr:colOff>
      <xdr:row>84</xdr:row>
      <xdr:rowOff>108855</xdr:rowOff>
    </xdr:to>
    <xdr:graphicFrame macro="">
      <xdr:nvGraphicFramePr>
        <xdr:cNvPr id="3" name="Chart 2">
          <a:extLst>
            <a:ext uri="{FF2B5EF4-FFF2-40B4-BE49-F238E27FC236}">
              <a16:creationId xmlns:a16="http://schemas.microsoft.com/office/drawing/2014/main" id="{EB5BD374-667F-C419-BE56-4ACEFBA3F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517071</xdr:colOff>
      <xdr:row>86</xdr:row>
      <xdr:rowOff>2721</xdr:rowOff>
    </xdr:from>
    <xdr:to>
      <xdr:col>7</xdr:col>
      <xdr:colOff>136071</xdr:colOff>
      <xdr:row>119</xdr:row>
      <xdr:rowOff>81643</xdr:rowOff>
    </xdr:to>
    <xdr:graphicFrame macro="">
      <xdr:nvGraphicFramePr>
        <xdr:cNvPr id="4" name="Chart 3">
          <a:extLst>
            <a:ext uri="{FF2B5EF4-FFF2-40B4-BE49-F238E27FC236}">
              <a16:creationId xmlns:a16="http://schemas.microsoft.com/office/drawing/2014/main" id="{50C7B35E-146D-7C44-6AC2-6A2784102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11</xdr:row>
      <xdr:rowOff>0</xdr:rowOff>
    </xdr:from>
    <xdr:to>
      <xdr:col>9</xdr:col>
      <xdr:colOff>648447</xdr:colOff>
      <xdr:row>30</xdr:row>
      <xdr:rowOff>109071</xdr:rowOff>
    </xdr:to>
    <xdr:graphicFrame macro="">
      <xdr:nvGraphicFramePr>
        <xdr:cNvPr id="4" name="Chart 3">
          <a:extLst>
            <a:ext uri="{FF2B5EF4-FFF2-40B4-BE49-F238E27FC236}">
              <a16:creationId xmlns:a16="http://schemas.microsoft.com/office/drawing/2014/main" id="{D02A1385-B499-4DE0-9048-7A08F2BC0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159777</xdr:colOff>
      <xdr:row>10</xdr:row>
      <xdr:rowOff>35952</xdr:rowOff>
    </xdr:from>
    <xdr:to>
      <xdr:col>18</xdr:col>
      <xdr:colOff>294248</xdr:colOff>
      <xdr:row>22</xdr:row>
      <xdr:rowOff>35952</xdr:rowOff>
    </xdr:to>
    <xdr:graphicFrame macro="">
      <xdr:nvGraphicFramePr>
        <xdr:cNvPr id="5" name="Chart 4">
          <a:extLst>
            <a:ext uri="{FF2B5EF4-FFF2-40B4-BE49-F238E27FC236}">
              <a16:creationId xmlns:a16="http://schemas.microsoft.com/office/drawing/2014/main" id="{D7D35A6B-5D76-423B-8D01-96E2ED9A6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67236</xdr:colOff>
      <xdr:row>57</xdr:row>
      <xdr:rowOff>105945</xdr:rowOff>
    </xdr:from>
    <xdr:to>
      <xdr:col>10</xdr:col>
      <xdr:colOff>192741</xdr:colOff>
      <xdr:row>76</xdr:row>
      <xdr:rowOff>144045</xdr:rowOff>
    </xdr:to>
    <xdr:graphicFrame macro="">
      <xdr:nvGraphicFramePr>
        <xdr:cNvPr id="5" name="Chart 4">
          <a:extLst>
            <a:ext uri="{FF2B5EF4-FFF2-40B4-BE49-F238E27FC236}">
              <a16:creationId xmlns:a16="http://schemas.microsoft.com/office/drawing/2014/main" id="{E7B0983E-335B-4BCF-A6A4-EE090B04C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22410</xdr:colOff>
      <xdr:row>39</xdr:row>
      <xdr:rowOff>168089</xdr:rowOff>
    </xdr:from>
    <xdr:to>
      <xdr:col>10</xdr:col>
      <xdr:colOff>313762</xdr:colOff>
      <xdr:row>59</xdr:row>
      <xdr:rowOff>161365</xdr:rowOff>
    </xdr:to>
    <xdr:graphicFrame macro="">
      <xdr:nvGraphicFramePr>
        <xdr:cNvPr id="6" name="Chart 5">
          <a:extLst>
            <a:ext uri="{FF2B5EF4-FFF2-40B4-BE49-F238E27FC236}">
              <a16:creationId xmlns:a16="http://schemas.microsoft.com/office/drawing/2014/main" id="{CBE2F15A-E76D-480B-9134-694F0A7FE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78440</xdr:colOff>
      <xdr:row>36</xdr:row>
      <xdr:rowOff>168088</xdr:rowOff>
    </xdr:from>
    <xdr:to>
      <xdr:col>21</xdr:col>
      <xdr:colOff>383240</xdr:colOff>
      <xdr:row>56</xdr:row>
      <xdr:rowOff>15688</xdr:rowOff>
    </xdr:to>
    <xdr:graphicFrame macro="">
      <xdr:nvGraphicFramePr>
        <xdr:cNvPr id="9" name="Chart 8">
          <a:extLst>
            <a:ext uri="{FF2B5EF4-FFF2-40B4-BE49-F238E27FC236}">
              <a16:creationId xmlns:a16="http://schemas.microsoft.com/office/drawing/2014/main" id="{4C962722-C836-4824-BD64-03566FC63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791830</xdr:colOff>
      <xdr:row>86</xdr:row>
      <xdr:rowOff>72680</xdr:rowOff>
    </xdr:from>
    <xdr:to>
      <xdr:col>8</xdr:col>
      <xdr:colOff>429968</xdr:colOff>
      <xdr:row>105</xdr:row>
      <xdr:rowOff>110780</xdr:rowOff>
    </xdr:to>
    <xdr:graphicFrame macro="">
      <xdr:nvGraphicFramePr>
        <xdr:cNvPr id="5" name="Chart 4">
          <a:extLst>
            <a:ext uri="{FF2B5EF4-FFF2-40B4-BE49-F238E27FC236}">
              <a16:creationId xmlns:a16="http://schemas.microsoft.com/office/drawing/2014/main" id="{DE6086ED-0F60-43DC-A8F0-C2D9E3A83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2560635</xdr:colOff>
      <xdr:row>86</xdr:row>
      <xdr:rowOff>138111</xdr:rowOff>
    </xdr:from>
    <xdr:to>
      <xdr:col>24</xdr:col>
      <xdr:colOff>352425</xdr:colOff>
      <xdr:row>105</xdr:row>
      <xdr:rowOff>185736</xdr:rowOff>
    </xdr:to>
    <xdr:graphicFrame macro="">
      <xdr:nvGraphicFramePr>
        <xdr:cNvPr id="6" name="Chart 5">
          <a:extLst>
            <a:ext uri="{FF2B5EF4-FFF2-40B4-BE49-F238E27FC236}">
              <a16:creationId xmlns:a16="http://schemas.microsoft.com/office/drawing/2014/main" id="{24F18EB1-9D82-470B-B65D-BFE1695D7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587044</xdr:colOff>
      <xdr:row>86</xdr:row>
      <xdr:rowOff>144383</xdr:rowOff>
    </xdr:from>
    <xdr:to>
      <xdr:col>17</xdr:col>
      <xdr:colOff>2238375</xdr:colOff>
      <xdr:row>106</xdr:row>
      <xdr:rowOff>1508</xdr:rowOff>
    </xdr:to>
    <xdr:graphicFrame macro="">
      <xdr:nvGraphicFramePr>
        <xdr:cNvPr id="4" name="Chart 3">
          <a:extLst>
            <a:ext uri="{FF2B5EF4-FFF2-40B4-BE49-F238E27FC236}">
              <a16:creationId xmlns:a16="http://schemas.microsoft.com/office/drawing/2014/main" id="{6F6D1308-CC11-4316-8360-19D7C131D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115660</xdr:colOff>
      <xdr:row>83</xdr:row>
      <xdr:rowOff>78240</xdr:rowOff>
    </xdr:from>
    <xdr:to>
      <xdr:col>31</xdr:col>
      <xdr:colOff>588336</xdr:colOff>
      <xdr:row>98</xdr:row>
      <xdr:rowOff>102280</xdr:rowOff>
    </xdr:to>
    <xdr:graphicFrame macro="">
      <xdr:nvGraphicFramePr>
        <xdr:cNvPr id="9" name="Chart 8">
          <a:extLst>
            <a:ext uri="{FF2B5EF4-FFF2-40B4-BE49-F238E27FC236}">
              <a16:creationId xmlns:a16="http://schemas.microsoft.com/office/drawing/2014/main" id="{96A62A26-0641-4AAF-A8F5-4F36D7CB3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288751</xdr:colOff>
      <xdr:row>83</xdr:row>
      <xdr:rowOff>13607</xdr:rowOff>
    </xdr:from>
    <xdr:to>
      <xdr:col>36</xdr:col>
      <xdr:colOff>600809</xdr:colOff>
      <xdr:row>98</xdr:row>
      <xdr:rowOff>25853</xdr:rowOff>
    </xdr:to>
    <xdr:graphicFrame macro="">
      <xdr:nvGraphicFramePr>
        <xdr:cNvPr id="10" name="Chart 9">
          <a:extLst>
            <a:ext uri="{FF2B5EF4-FFF2-40B4-BE49-F238E27FC236}">
              <a16:creationId xmlns:a16="http://schemas.microsoft.com/office/drawing/2014/main" id="{0FC07C19-9CA0-4B97-994D-44301BD4D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37</xdr:col>
      <xdr:colOff>258135</xdr:colOff>
      <xdr:row>83</xdr:row>
      <xdr:rowOff>129946</xdr:rowOff>
    </xdr:from>
    <xdr:to>
      <xdr:col>41</xdr:col>
      <xdr:colOff>570193</xdr:colOff>
      <xdr:row>98</xdr:row>
      <xdr:rowOff>144915</xdr:rowOff>
    </xdr:to>
    <xdr:graphicFrame macro="">
      <xdr:nvGraphicFramePr>
        <xdr:cNvPr id="11" name="Chart 10">
          <a:extLst>
            <a:ext uri="{FF2B5EF4-FFF2-40B4-BE49-F238E27FC236}">
              <a16:creationId xmlns:a16="http://schemas.microsoft.com/office/drawing/2014/main" id="{9CF15574-0010-4170-B255-C096956F5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338138</xdr:colOff>
      <xdr:row>98</xdr:row>
      <xdr:rowOff>166688</xdr:rowOff>
    </xdr:from>
    <xdr:to>
      <xdr:col>32</xdr:col>
      <xdr:colOff>191689</xdr:colOff>
      <xdr:row>114</xdr:row>
      <xdr:rowOff>7032</xdr:rowOff>
    </xdr:to>
    <xdr:graphicFrame macro="">
      <xdr:nvGraphicFramePr>
        <xdr:cNvPr id="12" name="Chart 11">
          <a:extLst>
            <a:ext uri="{FF2B5EF4-FFF2-40B4-BE49-F238E27FC236}">
              <a16:creationId xmlns:a16="http://schemas.microsoft.com/office/drawing/2014/main" id="{E328BDB6-F750-4818-BC11-7FED71A52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219074</xdr:colOff>
      <xdr:row>106</xdr:row>
      <xdr:rowOff>66675</xdr:rowOff>
    </xdr:from>
    <xdr:to>
      <xdr:col>11</xdr:col>
      <xdr:colOff>9525</xdr:colOff>
      <xdr:row>125</xdr:row>
      <xdr:rowOff>133350</xdr:rowOff>
    </xdr:to>
    <xdr:graphicFrame macro="">
      <xdr:nvGraphicFramePr>
        <xdr:cNvPr id="13" name="Chart 12">
          <a:extLst>
            <a:ext uri="{FF2B5EF4-FFF2-40B4-BE49-F238E27FC236}">
              <a16:creationId xmlns:a16="http://schemas.microsoft.com/office/drawing/2014/main" id="{2B948160-8FB0-47F5-B067-07F77FF1C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2578325</xdr:colOff>
      <xdr:row>106</xdr:row>
      <xdr:rowOff>76199</xdr:rowOff>
    </xdr:from>
    <xdr:to>
      <xdr:col>24</xdr:col>
      <xdr:colOff>371474</xdr:colOff>
      <xdr:row>125</xdr:row>
      <xdr:rowOff>114299</xdr:rowOff>
    </xdr:to>
    <xdr:graphicFrame macro="">
      <xdr:nvGraphicFramePr>
        <xdr:cNvPr id="14" name="Chart 13">
          <a:extLst>
            <a:ext uri="{FF2B5EF4-FFF2-40B4-BE49-F238E27FC236}">
              <a16:creationId xmlns:a16="http://schemas.microsoft.com/office/drawing/2014/main" id="{B1115603-F0FE-4C2E-8589-D1147716A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593552</xdr:colOff>
      <xdr:row>106</xdr:row>
      <xdr:rowOff>62593</xdr:rowOff>
    </xdr:from>
    <xdr:to>
      <xdr:col>17</xdr:col>
      <xdr:colOff>2390775</xdr:colOff>
      <xdr:row>125</xdr:row>
      <xdr:rowOff>100693</xdr:rowOff>
    </xdr:to>
    <xdr:graphicFrame macro="">
      <xdr:nvGraphicFramePr>
        <xdr:cNvPr id="15" name="Chart 14">
          <a:extLst>
            <a:ext uri="{FF2B5EF4-FFF2-40B4-BE49-F238E27FC236}">
              <a16:creationId xmlns:a16="http://schemas.microsoft.com/office/drawing/2014/main" id="{D97D63A0-2D8A-4E29-9E02-2D2973F23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33</xdr:col>
      <xdr:colOff>72398</xdr:colOff>
      <xdr:row>98</xdr:row>
      <xdr:rowOff>158521</xdr:rowOff>
    </xdr:from>
    <xdr:to>
      <xdr:col>37</xdr:col>
      <xdr:colOff>384456</xdr:colOff>
      <xdr:row>113</xdr:row>
      <xdr:rowOff>173490</xdr:rowOff>
    </xdr:to>
    <xdr:graphicFrame macro="">
      <xdr:nvGraphicFramePr>
        <xdr:cNvPr id="17" name="Chart 16">
          <a:extLst>
            <a:ext uri="{FF2B5EF4-FFF2-40B4-BE49-F238E27FC236}">
              <a16:creationId xmlns:a16="http://schemas.microsoft.com/office/drawing/2014/main" id="{71AA9732-A9B5-401D-8462-E4C9A78FE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95250</xdr:colOff>
      <xdr:row>131</xdr:row>
      <xdr:rowOff>155712</xdr:rowOff>
    </xdr:from>
    <xdr:to>
      <xdr:col>17</xdr:col>
      <xdr:colOff>885825</xdr:colOff>
      <xdr:row>151</xdr:row>
      <xdr:rowOff>3312</xdr:rowOff>
    </xdr:to>
    <xdr:graphicFrame macro="">
      <xdr:nvGraphicFramePr>
        <xdr:cNvPr id="2" name="Chart 1">
          <a:extLst>
            <a:ext uri="{FF2B5EF4-FFF2-40B4-BE49-F238E27FC236}">
              <a16:creationId xmlns:a16="http://schemas.microsoft.com/office/drawing/2014/main" id="{69C024C8-853D-4B7A-9992-367EEC84B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22777</xdr:colOff>
      <xdr:row>152</xdr:row>
      <xdr:rowOff>117199</xdr:rowOff>
    </xdr:from>
    <xdr:to>
      <xdr:col>17</xdr:col>
      <xdr:colOff>876300</xdr:colOff>
      <xdr:row>171</xdr:row>
      <xdr:rowOff>155299</xdr:rowOff>
    </xdr:to>
    <xdr:graphicFrame macro="">
      <xdr:nvGraphicFramePr>
        <xdr:cNvPr id="18" name="Chart 17">
          <a:extLst>
            <a:ext uri="{FF2B5EF4-FFF2-40B4-BE49-F238E27FC236}">
              <a16:creationId xmlns:a16="http://schemas.microsoft.com/office/drawing/2014/main" id="{AB929D6D-CE3A-4E04-A2B8-74B589864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9525</xdr:colOff>
      <xdr:row>12</xdr:row>
      <xdr:rowOff>9525</xdr:rowOff>
    </xdr:from>
    <xdr:to>
      <xdr:col>24</xdr:col>
      <xdr:colOff>9525</xdr:colOff>
      <xdr:row>25</xdr:row>
      <xdr:rowOff>9525</xdr:rowOff>
    </xdr:to>
    <xdr:graphicFrame macro="">
      <xdr:nvGraphicFramePr>
        <xdr:cNvPr id="22" name="Chart 21">
          <a:extLst>
            <a:ext uri="{FF2B5EF4-FFF2-40B4-BE49-F238E27FC236}">
              <a16:creationId xmlns:a16="http://schemas.microsoft.com/office/drawing/2014/main" id="{E55D1077-C3D4-4A01-B90F-57ED8FD8B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24</xdr:col>
      <xdr:colOff>19050</xdr:colOff>
      <xdr:row>12</xdr:row>
      <xdr:rowOff>9526</xdr:rowOff>
    </xdr:from>
    <xdr:to>
      <xdr:col>28</xdr:col>
      <xdr:colOff>66675</xdr:colOff>
      <xdr:row>25</xdr:row>
      <xdr:rowOff>9526</xdr:rowOff>
    </xdr:to>
    <xdr:graphicFrame macro="">
      <xdr:nvGraphicFramePr>
        <xdr:cNvPr id="23" name="Chart 22">
          <a:extLst>
            <a:ext uri="{FF2B5EF4-FFF2-40B4-BE49-F238E27FC236}">
              <a16:creationId xmlns:a16="http://schemas.microsoft.com/office/drawing/2014/main" id="{C48FE4FB-4E9F-4E09-87D9-7C088FF16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28</xdr:col>
      <xdr:colOff>66674</xdr:colOff>
      <xdr:row>12</xdr:row>
      <xdr:rowOff>19051</xdr:rowOff>
    </xdr:from>
    <xdr:to>
      <xdr:col>32</xdr:col>
      <xdr:colOff>171449</xdr:colOff>
      <xdr:row>25</xdr:row>
      <xdr:rowOff>9525</xdr:rowOff>
    </xdr:to>
    <xdr:graphicFrame macro="">
      <xdr:nvGraphicFramePr>
        <xdr:cNvPr id="24" name="Chart 23">
          <a:extLst>
            <a:ext uri="{FF2B5EF4-FFF2-40B4-BE49-F238E27FC236}">
              <a16:creationId xmlns:a16="http://schemas.microsoft.com/office/drawing/2014/main" id="{C506C003-207E-4F62-81DE-93DDF37E5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28</xdr:col>
      <xdr:colOff>76200</xdr:colOff>
      <xdr:row>25</xdr:row>
      <xdr:rowOff>28576</xdr:rowOff>
    </xdr:from>
    <xdr:to>
      <xdr:col>32</xdr:col>
      <xdr:colOff>180976</xdr:colOff>
      <xdr:row>34</xdr:row>
      <xdr:rowOff>171450</xdr:rowOff>
    </xdr:to>
    <xdr:graphicFrame macro="">
      <xdr:nvGraphicFramePr>
        <xdr:cNvPr id="26" name="Chart 25">
          <a:extLst>
            <a:ext uri="{FF2B5EF4-FFF2-40B4-BE49-F238E27FC236}">
              <a16:creationId xmlns:a16="http://schemas.microsoft.com/office/drawing/2014/main" id="{4416B5CA-D4CA-4AE6-B989-CDE69C23F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30</xdr:col>
      <xdr:colOff>466725</xdr:colOff>
      <xdr:row>39</xdr:row>
      <xdr:rowOff>138111</xdr:rowOff>
    </xdr:from>
    <xdr:to>
      <xdr:col>44</xdr:col>
      <xdr:colOff>409575</xdr:colOff>
      <xdr:row>60</xdr:row>
      <xdr:rowOff>200025</xdr:rowOff>
    </xdr:to>
    <xdr:graphicFrame macro="">
      <xdr:nvGraphicFramePr>
        <xdr:cNvPr id="29" name="Chart 28">
          <a:extLst>
            <a:ext uri="{FF2B5EF4-FFF2-40B4-BE49-F238E27FC236}">
              <a16:creationId xmlns:a16="http://schemas.microsoft.com/office/drawing/2014/main" id="{B06C4571-EA51-A712-5FDA-58DE1A24E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30</xdr:col>
      <xdr:colOff>419099</xdr:colOff>
      <xdr:row>60</xdr:row>
      <xdr:rowOff>338136</xdr:rowOff>
    </xdr:from>
    <xdr:to>
      <xdr:col>44</xdr:col>
      <xdr:colOff>400050</xdr:colOff>
      <xdr:row>78</xdr:row>
      <xdr:rowOff>485774</xdr:rowOff>
    </xdr:to>
    <xdr:graphicFrame macro="">
      <xdr:nvGraphicFramePr>
        <xdr:cNvPr id="31" name="Chart 30">
          <a:extLst>
            <a:ext uri="{FF2B5EF4-FFF2-40B4-BE49-F238E27FC236}">
              <a16:creationId xmlns:a16="http://schemas.microsoft.com/office/drawing/2014/main" id="{8C61B23D-18A7-F8CC-B6F0-C6FFB2DFC7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24</xdr:col>
      <xdr:colOff>19050</xdr:colOff>
      <xdr:row>25</xdr:row>
      <xdr:rowOff>28575</xdr:rowOff>
    </xdr:from>
    <xdr:to>
      <xdr:col>28</xdr:col>
      <xdr:colOff>57150</xdr:colOff>
      <xdr:row>34</xdr:row>
      <xdr:rowOff>180975</xdr:rowOff>
    </xdr:to>
    <xdr:graphicFrame macro="">
      <xdr:nvGraphicFramePr>
        <xdr:cNvPr id="32" name="Chart 31">
          <a:extLst>
            <a:ext uri="{FF2B5EF4-FFF2-40B4-BE49-F238E27FC236}">
              <a16:creationId xmlns:a16="http://schemas.microsoft.com/office/drawing/2014/main" id="{5847F4F4-1F38-4DA3-92EA-F22B07913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561976</xdr:colOff>
      <xdr:row>51</xdr:row>
      <xdr:rowOff>0</xdr:rowOff>
    </xdr:from>
    <xdr:to>
      <xdr:col>16</xdr:col>
      <xdr:colOff>952500</xdr:colOff>
      <xdr:row>59</xdr:row>
      <xdr:rowOff>495300</xdr:rowOff>
    </xdr:to>
    <xdr:graphicFrame macro="">
      <xdr:nvGraphicFramePr>
        <xdr:cNvPr id="33" name="Chart 32">
          <a:extLst>
            <a:ext uri="{FF2B5EF4-FFF2-40B4-BE49-F238E27FC236}">
              <a16:creationId xmlns:a16="http://schemas.microsoft.com/office/drawing/2014/main" id="{7CFB3BF5-970B-4EAF-8336-A896711FC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16</xdr:col>
      <xdr:colOff>962025</xdr:colOff>
      <xdr:row>51</xdr:row>
      <xdr:rowOff>1</xdr:rowOff>
    </xdr:from>
    <xdr:to>
      <xdr:col>17</xdr:col>
      <xdr:colOff>1543050</xdr:colOff>
      <xdr:row>59</xdr:row>
      <xdr:rowOff>514350</xdr:rowOff>
    </xdr:to>
    <xdr:graphicFrame macro="">
      <xdr:nvGraphicFramePr>
        <xdr:cNvPr id="34" name="Chart 33">
          <a:extLst>
            <a:ext uri="{FF2B5EF4-FFF2-40B4-BE49-F238E27FC236}">
              <a16:creationId xmlns:a16="http://schemas.microsoft.com/office/drawing/2014/main" id="{93C53606-BF03-4823-9D9F-F6DEECFEE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17</xdr:col>
      <xdr:colOff>1552576</xdr:colOff>
      <xdr:row>51</xdr:row>
      <xdr:rowOff>47626</xdr:rowOff>
    </xdr:from>
    <xdr:to>
      <xdr:col>17</xdr:col>
      <xdr:colOff>3905250</xdr:colOff>
      <xdr:row>59</xdr:row>
      <xdr:rowOff>514350</xdr:rowOff>
    </xdr:to>
    <xdr:graphicFrame macro="">
      <xdr:nvGraphicFramePr>
        <xdr:cNvPr id="35" name="Chart 34">
          <a:extLst>
            <a:ext uri="{FF2B5EF4-FFF2-40B4-BE49-F238E27FC236}">
              <a16:creationId xmlns:a16="http://schemas.microsoft.com/office/drawing/2014/main" id="{1FD21593-BCE7-4E8B-8A45-6537B2222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13</xdr:col>
      <xdr:colOff>542926</xdr:colOff>
      <xdr:row>59</xdr:row>
      <xdr:rowOff>504825</xdr:rowOff>
    </xdr:from>
    <xdr:to>
      <xdr:col>16</xdr:col>
      <xdr:colOff>981076</xdr:colOff>
      <xdr:row>66</xdr:row>
      <xdr:rowOff>400050</xdr:rowOff>
    </xdr:to>
    <xdr:graphicFrame macro="">
      <xdr:nvGraphicFramePr>
        <xdr:cNvPr id="36" name="Chart 35">
          <a:extLst>
            <a:ext uri="{FF2B5EF4-FFF2-40B4-BE49-F238E27FC236}">
              <a16:creationId xmlns:a16="http://schemas.microsoft.com/office/drawing/2014/main" id="{3F39467A-E85D-46CC-926A-BD66E17F4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17</xdr:col>
      <xdr:colOff>1543051</xdr:colOff>
      <xdr:row>59</xdr:row>
      <xdr:rowOff>514351</xdr:rowOff>
    </xdr:from>
    <xdr:to>
      <xdr:col>17</xdr:col>
      <xdr:colOff>3924301</xdr:colOff>
      <xdr:row>66</xdr:row>
      <xdr:rowOff>361950</xdr:rowOff>
    </xdr:to>
    <xdr:graphicFrame macro="">
      <xdr:nvGraphicFramePr>
        <xdr:cNvPr id="37" name="Chart 36">
          <a:extLst>
            <a:ext uri="{FF2B5EF4-FFF2-40B4-BE49-F238E27FC236}">
              <a16:creationId xmlns:a16="http://schemas.microsoft.com/office/drawing/2014/main" id="{45737CE9-3F9F-417F-9607-94F3A626F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16</xdr:col>
      <xdr:colOff>990600</xdr:colOff>
      <xdr:row>59</xdr:row>
      <xdr:rowOff>514350</xdr:rowOff>
    </xdr:from>
    <xdr:to>
      <xdr:col>17</xdr:col>
      <xdr:colOff>1543050</xdr:colOff>
      <xdr:row>66</xdr:row>
      <xdr:rowOff>371475</xdr:rowOff>
    </xdr:to>
    <xdr:graphicFrame macro="">
      <xdr:nvGraphicFramePr>
        <xdr:cNvPr id="38" name="Chart 37">
          <a:extLst>
            <a:ext uri="{FF2B5EF4-FFF2-40B4-BE49-F238E27FC236}">
              <a16:creationId xmlns:a16="http://schemas.microsoft.com/office/drawing/2014/main" id="{472AFD16-EE0F-4FBD-9D96-96397FAD7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14</xdr:col>
      <xdr:colOff>342901</xdr:colOff>
      <xdr:row>68</xdr:row>
      <xdr:rowOff>47625</xdr:rowOff>
    </xdr:from>
    <xdr:to>
      <xdr:col>17</xdr:col>
      <xdr:colOff>581025</xdr:colOff>
      <xdr:row>76</xdr:row>
      <xdr:rowOff>142875</xdr:rowOff>
    </xdr:to>
    <xdr:graphicFrame macro="">
      <xdr:nvGraphicFramePr>
        <xdr:cNvPr id="45" name="Chart 44">
          <a:extLst>
            <a:ext uri="{FF2B5EF4-FFF2-40B4-BE49-F238E27FC236}">
              <a16:creationId xmlns:a16="http://schemas.microsoft.com/office/drawing/2014/main" id="{1AA41E9B-A7F3-41B1-B8B4-1E9499FA6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17</xdr:col>
      <xdr:colOff>590551</xdr:colOff>
      <xdr:row>68</xdr:row>
      <xdr:rowOff>95249</xdr:rowOff>
    </xdr:from>
    <xdr:to>
      <xdr:col>17</xdr:col>
      <xdr:colOff>3838575</xdr:colOff>
      <xdr:row>76</xdr:row>
      <xdr:rowOff>142875</xdr:rowOff>
    </xdr:to>
    <xdr:graphicFrame macro="">
      <xdr:nvGraphicFramePr>
        <xdr:cNvPr id="46" name="Chart 45">
          <a:extLst>
            <a:ext uri="{FF2B5EF4-FFF2-40B4-BE49-F238E27FC236}">
              <a16:creationId xmlns:a16="http://schemas.microsoft.com/office/drawing/2014/main" id="{90E8F233-6969-4864-A6FF-BFA5FF65F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17</xdr:col>
      <xdr:colOff>3829050</xdr:colOff>
      <xdr:row>68</xdr:row>
      <xdr:rowOff>114299</xdr:rowOff>
    </xdr:from>
    <xdr:to>
      <xdr:col>20</xdr:col>
      <xdr:colOff>628649</xdr:colOff>
      <xdr:row>76</xdr:row>
      <xdr:rowOff>123825</xdr:rowOff>
    </xdr:to>
    <xdr:graphicFrame macro="">
      <xdr:nvGraphicFramePr>
        <xdr:cNvPr id="47" name="Chart 46">
          <a:extLst>
            <a:ext uri="{FF2B5EF4-FFF2-40B4-BE49-F238E27FC236}">
              <a16:creationId xmlns:a16="http://schemas.microsoft.com/office/drawing/2014/main" id="{6ABA23E0-42FE-47AE-9AD9-19298411A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14</xdr:col>
      <xdr:colOff>323848</xdr:colOff>
      <xdr:row>76</xdr:row>
      <xdr:rowOff>142875</xdr:rowOff>
    </xdr:from>
    <xdr:to>
      <xdr:col>17</xdr:col>
      <xdr:colOff>590549</xdr:colOff>
      <xdr:row>87</xdr:row>
      <xdr:rowOff>38100</xdr:rowOff>
    </xdr:to>
    <xdr:graphicFrame macro="">
      <xdr:nvGraphicFramePr>
        <xdr:cNvPr id="48" name="Chart 47">
          <a:extLst>
            <a:ext uri="{FF2B5EF4-FFF2-40B4-BE49-F238E27FC236}">
              <a16:creationId xmlns:a16="http://schemas.microsoft.com/office/drawing/2014/main" id="{B4A06D9C-625F-439C-BA3C-690DAD9FF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17</xdr:col>
      <xdr:colOff>3800475</xdr:colOff>
      <xdr:row>76</xdr:row>
      <xdr:rowOff>123827</xdr:rowOff>
    </xdr:from>
    <xdr:to>
      <xdr:col>20</xdr:col>
      <xdr:colOff>638175</xdr:colOff>
      <xdr:row>87</xdr:row>
      <xdr:rowOff>19051</xdr:rowOff>
    </xdr:to>
    <xdr:graphicFrame macro="">
      <xdr:nvGraphicFramePr>
        <xdr:cNvPr id="49" name="Chart 48">
          <a:extLst>
            <a:ext uri="{FF2B5EF4-FFF2-40B4-BE49-F238E27FC236}">
              <a16:creationId xmlns:a16="http://schemas.microsoft.com/office/drawing/2014/main" id="{233A1B0D-E6F3-43F8-B074-228A36359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17</xdr:col>
      <xdr:colOff>590550</xdr:colOff>
      <xdr:row>76</xdr:row>
      <xdr:rowOff>123825</xdr:rowOff>
    </xdr:from>
    <xdr:to>
      <xdr:col>17</xdr:col>
      <xdr:colOff>3829050</xdr:colOff>
      <xdr:row>87</xdr:row>
      <xdr:rowOff>19050</xdr:rowOff>
    </xdr:to>
    <xdr:graphicFrame macro="">
      <xdr:nvGraphicFramePr>
        <xdr:cNvPr id="50" name="Chart 49">
          <a:extLst>
            <a:ext uri="{FF2B5EF4-FFF2-40B4-BE49-F238E27FC236}">
              <a16:creationId xmlns:a16="http://schemas.microsoft.com/office/drawing/2014/main" id="{48093842-3008-4D89-97CD-9D926F1AA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19</xdr:col>
      <xdr:colOff>704849</xdr:colOff>
      <xdr:row>25</xdr:row>
      <xdr:rowOff>9525</xdr:rowOff>
    </xdr:from>
    <xdr:to>
      <xdr:col>24</xdr:col>
      <xdr:colOff>9525</xdr:colOff>
      <xdr:row>34</xdr:row>
      <xdr:rowOff>142875</xdr:rowOff>
    </xdr:to>
    <xdr:graphicFrame macro="">
      <xdr:nvGraphicFramePr>
        <xdr:cNvPr id="54" name="Chart 53">
          <a:extLst>
            <a:ext uri="{FF2B5EF4-FFF2-40B4-BE49-F238E27FC236}">
              <a16:creationId xmlns:a16="http://schemas.microsoft.com/office/drawing/2014/main" id="{D76FAC77-BCAD-CFC9-E91A-6530B93B8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Pascual, Janire" id="{13EED086-FB7C-4EB3-9805-587EEB820B2B}" userId="S::pascualj17@ecu.edu::e80a4500-3fcf-44a4-a4f1-404566e3610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P6" dT="2021-02-12T20:29:34.00" personId="{13EED086-FB7C-4EB3-9805-587EEB820B2B}" id="{A163C1F4-AA9A-4E5B-B2F7-5649C2C1FF87}">
    <text>Exports=Imports-Net imports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eia.gov/dnav/pet/hist/LeafHandler.ashx?n=PET&amp;s=MFEIMUS1&amp;f=A" TargetMode="External"/><Relationship Id="rId13" Type="http://schemas.openxmlformats.org/officeDocument/2006/relationships/hyperlink" Target="https://www.eia.gov/dnav/pet/hist/LeafHandler.ashx?n=pet&amp;s=m_epooxe_eex_nus-z00_mbbl&amp;f=a" TargetMode="External"/><Relationship Id="rId18" Type="http://schemas.openxmlformats.org/officeDocument/2006/relationships/hyperlink" Target="https://www.eia.gov/totalenergy/data/monthly/pdf/sec10_6.pdf" TargetMode="External"/><Relationship Id="rId26" Type="http://schemas.openxmlformats.org/officeDocument/2006/relationships/printerSettings" Target="../printerSettings/printerSettings2.bin"/><Relationship Id="rId3" Type="http://schemas.openxmlformats.org/officeDocument/2006/relationships/hyperlink" Target="http://ethanolproducer.com/plants/listplants/US/Existing/Sugar-Starch/" TargetMode="External"/><Relationship Id="rId21" Type="http://schemas.openxmlformats.org/officeDocument/2006/relationships/hyperlink" Target="http://www.ethanolrfa.org/pocket-guide/" TargetMode="External"/><Relationship Id="rId7" Type="http://schemas.openxmlformats.org/officeDocument/2006/relationships/hyperlink" Target="https://www.eia.gov/totalenergy/data/monthly/pdf/sec10_5.pdf" TargetMode="External"/><Relationship Id="rId12" Type="http://schemas.openxmlformats.org/officeDocument/2006/relationships/hyperlink" Target="https://www.eia.gov/totalenergy/data/monthly/pdf/mer.pdf" TargetMode="External"/><Relationship Id="rId17" Type="http://schemas.openxmlformats.org/officeDocument/2006/relationships/hyperlink" Target="http://www.ethanolrfa.org/pocket-guide/" TargetMode="External"/><Relationship Id="rId25" Type="http://schemas.openxmlformats.org/officeDocument/2006/relationships/hyperlink" Target="http://ethanolproducer.com/plants/listplants/US/Existing/Cellulosic" TargetMode="External"/><Relationship Id="rId2" Type="http://schemas.openxmlformats.org/officeDocument/2006/relationships/hyperlink" Target="http://www.ethanolrfa.org/resources/publications/" TargetMode="External"/><Relationship Id="rId16" Type="http://schemas.openxmlformats.org/officeDocument/2006/relationships/hyperlink" Target="http://www.ethanolrfa.org/pocket-guide/" TargetMode="External"/><Relationship Id="rId20" Type="http://schemas.openxmlformats.org/officeDocument/2006/relationships/hyperlink" Target="http://www.ethanolrfa.org/pocket-guide/" TargetMode="External"/><Relationship Id="rId29" Type="http://schemas.openxmlformats.org/officeDocument/2006/relationships/comments" Target="../comments1.xml"/><Relationship Id="rId1" Type="http://schemas.openxmlformats.org/officeDocument/2006/relationships/hyperlink" Target="http://ethanolproducer.com/plants/listplants/US/Existing/Cellulosic" TargetMode="External"/><Relationship Id="rId6" Type="http://schemas.openxmlformats.org/officeDocument/2006/relationships/hyperlink" Target="https://www.eia.gov/totalenergy/data/monthly/pdf/sec10_7.pdf" TargetMode="External"/><Relationship Id="rId11" Type="http://schemas.openxmlformats.org/officeDocument/2006/relationships/hyperlink" Target="https://www.afdc.energy.gov/fuels/prices.html" TargetMode="External"/><Relationship Id="rId24" Type="http://schemas.openxmlformats.org/officeDocument/2006/relationships/hyperlink" Target="http://ethanolproducer.com/plants/listplants/US/Existing/Cellulosic" TargetMode="External"/><Relationship Id="rId5" Type="http://schemas.openxmlformats.org/officeDocument/2006/relationships/hyperlink" Target="https://www.ers.usda.gov/data-products/us-bioenergy-statistics/" TargetMode="External"/><Relationship Id="rId15" Type="http://schemas.openxmlformats.org/officeDocument/2006/relationships/hyperlink" Target="http://ethanolproducer.com/plants/listplants/US/Existing/Cellulosic" TargetMode="External"/><Relationship Id="rId23" Type="http://schemas.openxmlformats.org/officeDocument/2006/relationships/hyperlink" Target="http://www.ethanolrfa.org/pocket-guide/" TargetMode="External"/><Relationship Id="rId28" Type="http://schemas.openxmlformats.org/officeDocument/2006/relationships/vmlDrawing" Target="../drawings/vmlDrawing1.vml"/><Relationship Id="rId10" Type="http://schemas.openxmlformats.org/officeDocument/2006/relationships/hyperlink" Target="https://www.afdc.energy.gov/fuels/prices.html" TargetMode="External"/><Relationship Id="rId19" Type="http://schemas.openxmlformats.org/officeDocument/2006/relationships/hyperlink" Target="https://www.ers.usda.gov/data-products/us-bioenergy-statistics/" TargetMode="External"/><Relationship Id="rId4" Type="http://schemas.openxmlformats.org/officeDocument/2006/relationships/hyperlink" Target="http://ethanolproducer.com/plants/listplants/US/Existing/Sugar-Starch/" TargetMode="External"/><Relationship Id="rId9" Type="http://schemas.openxmlformats.org/officeDocument/2006/relationships/hyperlink" Target="https://www.ers.usda.gov/data-products/us-bioenergy-statistics/" TargetMode="External"/><Relationship Id="rId14" Type="http://schemas.openxmlformats.org/officeDocument/2006/relationships/hyperlink" Target="https://www.macrotrends.net/1369/crude-oil-price-history-chart" TargetMode="External"/><Relationship Id="rId22" Type="http://schemas.openxmlformats.org/officeDocument/2006/relationships/hyperlink" Target="https://www.eia.gov/petroleum/ethanolcapacity/index.php" TargetMode="External"/><Relationship Id="rId27"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www.epa.gov/fuels-registration-reporting-and-compliance-help/rins-generated-transaction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eia.gov/biofuels/biodiesel/production/archive/" TargetMode="External"/><Relationship Id="rId13" Type="http://schemas.openxmlformats.org/officeDocument/2006/relationships/hyperlink" Target="https://www.afdc.energy.gov/fuels/prices.html" TargetMode="External"/><Relationship Id="rId18" Type="http://schemas.openxmlformats.org/officeDocument/2006/relationships/printerSettings" Target="../printerSettings/printerSettings4.bin"/><Relationship Id="rId3" Type="http://schemas.openxmlformats.org/officeDocument/2006/relationships/hyperlink" Target="http://www.biodieselmagazine.com/plants/listplants/USA/construction/" TargetMode="External"/><Relationship Id="rId7" Type="http://schemas.openxmlformats.org/officeDocument/2006/relationships/hyperlink" Target="http://www.biodieselmagazine.com/plants/listplants/USA/existing/" TargetMode="External"/><Relationship Id="rId12" Type="http://schemas.openxmlformats.org/officeDocument/2006/relationships/hyperlink" Target="https://www.afdc.energy.gov/fuels/prices.html" TargetMode="External"/><Relationship Id="rId17" Type="http://schemas.openxmlformats.org/officeDocument/2006/relationships/hyperlink" Target="https://www.eia.gov/totalenergy/data/monthly/pdf/sec10_8.pdf" TargetMode="External"/><Relationship Id="rId2" Type="http://schemas.openxmlformats.org/officeDocument/2006/relationships/hyperlink" Target="http://www.biodieselmagazine.com/plants/listplants/USA/proposed/" TargetMode="External"/><Relationship Id="rId16" Type="http://schemas.openxmlformats.org/officeDocument/2006/relationships/hyperlink" Target="https://www.ers.usda.gov/data-products/oil-crops-yearbook/oil-crops-yearbook/" TargetMode="External"/><Relationship Id="rId1" Type="http://schemas.openxmlformats.org/officeDocument/2006/relationships/hyperlink" Target="https://www.ers.usda.gov/data-products/us-bioenergy-statistics/" TargetMode="External"/><Relationship Id="rId6" Type="http://schemas.openxmlformats.org/officeDocument/2006/relationships/hyperlink" Target="http://www.biodieselmagazine.com/plants/listplants/USA/existing/" TargetMode="External"/><Relationship Id="rId11" Type="http://schemas.openxmlformats.org/officeDocument/2006/relationships/hyperlink" Target="https://www.eia.gov/totalenergy/data/monthly/pdf/sec10_6.pdf" TargetMode="External"/><Relationship Id="rId5" Type="http://schemas.openxmlformats.org/officeDocument/2006/relationships/hyperlink" Target="https://www.eia.gov/biofuels/biodiesel/production/archive/" TargetMode="External"/><Relationship Id="rId15" Type="http://schemas.openxmlformats.org/officeDocument/2006/relationships/hyperlink" Target="https://www.irena.org/publicationsearch?keywords=jobs%20annual%20review" TargetMode="External"/><Relationship Id="rId10" Type="http://schemas.openxmlformats.org/officeDocument/2006/relationships/hyperlink" Target="https://www.eia.gov/totalenergy/data/monthly/pdf/sec10_8.pdf" TargetMode="External"/><Relationship Id="rId19" Type="http://schemas.openxmlformats.org/officeDocument/2006/relationships/drawing" Target="../drawings/drawing3.xml"/><Relationship Id="rId4" Type="http://schemas.openxmlformats.org/officeDocument/2006/relationships/hyperlink" Target="https://www.eia.gov/biofuels/biodiesel/production/archive/" TargetMode="External"/><Relationship Id="rId9" Type="http://schemas.openxmlformats.org/officeDocument/2006/relationships/hyperlink" Target="https://www.ers.usda.gov/data-products/us-bioenergy-statistics/" TargetMode="External"/><Relationship Id="rId14" Type="http://schemas.openxmlformats.org/officeDocument/2006/relationships/hyperlink" Target="https://www.afdc.energy.gov/fuels/prices.html" TargetMode="Externa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5.bin"/><Relationship Id="rId3" Type="http://schemas.openxmlformats.org/officeDocument/2006/relationships/hyperlink" Target="https://www.eia.gov/biofuels/biodiesel/production/archive/2020/2020_09/table3.pdf" TargetMode="External"/><Relationship Id="rId7" Type="http://schemas.openxmlformats.org/officeDocument/2006/relationships/hyperlink" Target="https://rendermagazine.com/past-issues/" TargetMode="External"/><Relationship Id="rId2" Type="http://schemas.openxmlformats.org/officeDocument/2006/relationships/hyperlink" Target="https://www.eia.gov/biofuels/biodiesel/production/archive/2020/2020_09/table3.pdf" TargetMode="External"/><Relationship Id="rId1" Type="http://schemas.openxmlformats.org/officeDocument/2006/relationships/hyperlink" Target="https://www.eia.gov/biofuels/biodiesel/production/archive/2020/2020_09/table3.pdf" TargetMode="External"/><Relationship Id="rId6" Type="http://schemas.openxmlformats.org/officeDocument/2006/relationships/hyperlink" Target="https://rendermagazine.com/past-issues/" TargetMode="External"/><Relationship Id="rId11" Type="http://schemas.openxmlformats.org/officeDocument/2006/relationships/comments" Target="../comments2.xml"/><Relationship Id="rId5" Type="http://schemas.openxmlformats.org/officeDocument/2006/relationships/hyperlink" Target="https://www.eia.gov/biofuels/biodiesel/production/archive/2020/2020_09/table3.pdf" TargetMode="External"/><Relationship Id="rId10" Type="http://schemas.openxmlformats.org/officeDocument/2006/relationships/vmlDrawing" Target="../drawings/vmlDrawing2.vml"/><Relationship Id="rId4" Type="http://schemas.openxmlformats.org/officeDocument/2006/relationships/hyperlink" Target="https://www.eia.gov/biofuels/biodiesel/production/archive/2020/2020_09/table3.pdf" TargetMode="External"/><Relationship Id="rId9"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https://www.epa.gov/fuels-registration-reporting-and-compliance-help/rins-generated-transactions" TargetMode="External"/><Relationship Id="rId7" Type="http://schemas.openxmlformats.org/officeDocument/2006/relationships/vmlDrawing" Target="../drawings/vmlDrawing3.vml"/><Relationship Id="rId2" Type="http://schemas.openxmlformats.org/officeDocument/2006/relationships/hyperlink" Target="https://www.epa.gov/fuels-registration-reporting-and-compliance-help/rins-generated-transactions" TargetMode="External"/><Relationship Id="rId1" Type="http://schemas.openxmlformats.org/officeDocument/2006/relationships/hyperlink" Target="https://www.eia.gov/dnav/pet/pet_move_impcus_a2_nus_EPOORDO_im0_mbbl_a.htm" TargetMode="External"/><Relationship Id="rId6" Type="http://schemas.openxmlformats.org/officeDocument/2006/relationships/drawing" Target="../drawings/drawing5.xml"/><Relationship Id="rId5" Type="http://schemas.openxmlformats.org/officeDocument/2006/relationships/printerSettings" Target="../printerSettings/printerSettings6.bin"/><Relationship Id="rId4" Type="http://schemas.openxmlformats.org/officeDocument/2006/relationships/hyperlink" Target="https://www.eia.gov/dnav/pet/pet_move_neti_a_EP00_IMN_mbblpd_m.htm" TargetMode="External"/><Relationship Id="rId9"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icao.int/environmental-protection/GFAAF/Pages/Offtake-Agreements.aspx" TargetMode="External"/><Relationship Id="rId1" Type="http://schemas.openxmlformats.org/officeDocument/2006/relationships/hyperlink" Target="https://www.epa.gov/fuels-registration-reporting-and-compliance-help/rins-generated-transaction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eia.gov/totalenergy/data/monthly/pdf/mer.pdf" TargetMode="External"/><Relationship Id="rId13" Type="http://schemas.openxmlformats.org/officeDocument/2006/relationships/hyperlink" Target="http://www.fao.org/faostat/en/" TargetMode="External"/><Relationship Id="rId18" Type="http://schemas.openxmlformats.org/officeDocument/2006/relationships/drawing" Target="../drawings/drawing7.xml"/><Relationship Id="rId3" Type="http://schemas.openxmlformats.org/officeDocument/2006/relationships/hyperlink" Target="https://www.eia.gov/totalenergy/data/monthly/pdf/mer.pdf" TargetMode="External"/><Relationship Id="rId7" Type="http://schemas.openxmlformats.org/officeDocument/2006/relationships/hyperlink" Target="https://www.eia.gov/totalenergy/data/monthly/pdf/mer.pdf" TargetMode="External"/><Relationship Id="rId12" Type="http://schemas.openxmlformats.org/officeDocument/2006/relationships/hyperlink" Target="http://www.fao.org/faostat/en/" TargetMode="External"/><Relationship Id="rId17" Type="http://schemas.openxmlformats.org/officeDocument/2006/relationships/printerSettings" Target="../printerSettings/printerSettings7.bin"/><Relationship Id="rId2" Type="http://schemas.openxmlformats.org/officeDocument/2006/relationships/hyperlink" Target="http://task32.ieabioenergy.com/wp-content/uploads/2017/03/03-Fiona_Matthews.pdf" TargetMode="External"/><Relationship Id="rId16" Type="http://schemas.openxmlformats.org/officeDocument/2006/relationships/hyperlink" Target="http://www.eia.gov/biofuels/biomass/" TargetMode="External"/><Relationship Id="rId1" Type="http://schemas.openxmlformats.org/officeDocument/2006/relationships/hyperlink" Target="https://www.eia.gov/totalenergy/data/monthly/pdf/mer.pdf" TargetMode="External"/><Relationship Id="rId6" Type="http://schemas.openxmlformats.org/officeDocument/2006/relationships/hyperlink" Target="https://www.eia.gov/totalenergy/data/monthly/pdf/mer.pdf" TargetMode="External"/><Relationship Id="rId11" Type="http://schemas.openxmlformats.org/officeDocument/2006/relationships/hyperlink" Target="http://www.fao.org/faostat/en/" TargetMode="External"/><Relationship Id="rId5" Type="http://schemas.openxmlformats.org/officeDocument/2006/relationships/hyperlink" Target="https://www.eia.gov/totalenergy/data/monthly/pdf/mer.pdf" TargetMode="External"/><Relationship Id="rId15" Type="http://schemas.openxmlformats.org/officeDocument/2006/relationships/hyperlink" Target="https://data.bls.gov/cew/apps/data_views/data_views.htm" TargetMode="External"/><Relationship Id="rId10" Type="http://schemas.openxmlformats.org/officeDocument/2006/relationships/hyperlink" Target="http://www.fao.org/faostat/en/" TargetMode="External"/><Relationship Id="rId4" Type="http://schemas.openxmlformats.org/officeDocument/2006/relationships/hyperlink" Target="https://www.eia.gov/totalenergy/data/monthly/pdf/mer.pdf" TargetMode="External"/><Relationship Id="rId9" Type="http://schemas.openxmlformats.org/officeDocument/2006/relationships/hyperlink" Target="https://www.eia.gov/totalenergy/data/monthly/pdf/mer.pdf" TargetMode="External"/><Relationship Id="rId14" Type="http://schemas.openxmlformats.org/officeDocument/2006/relationships/hyperlink" Target="http://www.fao.org/faostat/en/"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epa.gov/agstar/livestock-anaerobic-digester-database" TargetMode="External"/><Relationship Id="rId13" Type="http://schemas.openxmlformats.org/officeDocument/2006/relationships/hyperlink" Target="https://www.epa.gov/lmop/landfill-technical-data" TargetMode="External"/><Relationship Id="rId18" Type="http://schemas.openxmlformats.org/officeDocument/2006/relationships/hyperlink" Target="https://www3.epa.gov/climatechange/ghgemissions/inventoryexplorer/index.html" TargetMode="External"/><Relationship Id="rId26" Type="http://schemas.openxmlformats.org/officeDocument/2006/relationships/printerSettings" Target="../printerSettings/printerSettings8.bin"/><Relationship Id="rId3" Type="http://schemas.openxmlformats.org/officeDocument/2006/relationships/hyperlink" Target="https://www.epa.gov/agstar/livestock-anaerobic-digester-database" TargetMode="External"/><Relationship Id="rId21" Type="http://schemas.openxmlformats.org/officeDocument/2006/relationships/hyperlink" Target="https://americanbiogascouncil.org/biogas-market-snapshot/" TargetMode="External"/><Relationship Id="rId7" Type="http://schemas.openxmlformats.org/officeDocument/2006/relationships/hyperlink" Target="https://www.epa.gov/agstar/livestock-anaerobic-digester-database" TargetMode="External"/><Relationship Id="rId12" Type="http://schemas.openxmlformats.org/officeDocument/2006/relationships/hyperlink" Target="https://www.epa.gov/agstar/livestock-anaerobic-digester-database" TargetMode="External"/><Relationship Id="rId17" Type="http://schemas.openxmlformats.org/officeDocument/2006/relationships/hyperlink" Target="https://americanbiogascouncil.org/biogas-market-snapshot/" TargetMode="External"/><Relationship Id="rId25" Type="http://schemas.openxmlformats.org/officeDocument/2006/relationships/hyperlink" Target="https://www.epa.gov/lmop/landfill-gas-energy-project-data" TargetMode="External"/><Relationship Id="rId2" Type="http://schemas.openxmlformats.org/officeDocument/2006/relationships/hyperlink" Target="https://www.epa.gov/agstar/livestock-anaerobic-digester-database" TargetMode="External"/><Relationship Id="rId16" Type="http://schemas.openxmlformats.org/officeDocument/2006/relationships/hyperlink" Target="https://www3.epa.gov/climatechange/ghgemissions/inventoryexplorer/index.html" TargetMode="External"/><Relationship Id="rId20" Type="http://schemas.openxmlformats.org/officeDocument/2006/relationships/hyperlink" Target="https://19january2017snapshot.epa.gov/sites/production/files/2015-12/documents/biogas-roadmap.pdf" TargetMode="External"/><Relationship Id="rId1" Type="http://schemas.openxmlformats.org/officeDocument/2006/relationships/hyperlink" Target="https://www.epa.gov/agstar/livestock-anaerobic-digester-database" TargetMode="External"/><Relationship Id="rId6" Type="http://schemas.openxmlformats.org/officeDocument/2006/relationships/hyperlink" Target="https://www.epa.gov/agstar/livestock-anaerobic-digester-database" TargetMode="External"/><Relationship Id="rId11" Type="http://schemas.openxmlformats.org/officeDocument/2006/relationships/hyperlink" Target="https://www.epa.gov/agstar/livestock-anaerobic-digester-database" TargetMode="External"/><Relationship Id="rId24" Type="http://schemas.openxmlformats.org/officeDocument/2006/relationships/hyperlink" Target="https://www.epa.gov/lmop/landfill-technical-data" TargetMode="External"/><Relationship Id="rId5" Type="http://schemas.openxmlformats.org/officeDocument/2006/relationships/hyperlink" Target="https://19january2017snapshot.epa.gov/sites/production/files/2015-12/documents/biogas-roadmap.pdf" TargetMode="External"/><Relationship Id="rId15" Type="http://schemas.openxmlformats.org/officeDocument/2006/relationships/hyperlink" Target="https://www.eia.gov/electricity/annual/html/epa_05_06_f.html" TargetMode="External"/><Relationship Id="rId23" Type="http://schemas.openxmlformats.org/officeDocument/2006/relationships/hyperlink" Target="https://www.eia.gov/electricity/annual/html/epa_05_06_c.html" TargetMode="External"/><Relationship Id="rId10" Type="http://schemas.openxmlformats.org/officeDocument/2006/relationships/hyperlink" Target="https://www.epa.gov/agstar/livestock-anaerobic-digester-database" TargetMode="External"/><Relationship Id="rId19" Type="http://schemas.openxmlformats.org/officeDocument/2006/relationships/hyperlink" Target="https://19january2017snapshot.epa.gov/sites/production/files/2015-12/documents/biogas-roadmap.pdf" TargetMode="External"/><Relationship Id="rId4" Type="http://schemas.openxmlformats.org/officeDocument/2006/relationships/hyperlink" Target="https://www.epa.gov/agstar/livestock-anaerobic-digester-database" TargetMode="External"/><Relationship Id="rId9" Type="http://schemas.openxmlformats.org/officeDocument/2006/relationships/hyperlink" Target="https://www.epa.gov/agstar/livestock-anaerobic-digester-database" TargetMode="External"/><Relationship Id="rId14" Type="http://schemas.openxmlformats.org/officeDocument/2006/relationships/hyperlink" Target="https://www.epa.gov/lmop/landfill-technical-data" TargetMode="External"/><Relationship Id="rId22" Type="http://schemas.openxmlformats.org/officeDocument/2006/relationships/hyperlink" Target="https://www.epa.gov/agstar/livestock-anaerobic-digester-database" TargetMode="External"/><Relationship Id="rId27"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8" Type="http://schemas.openxmlformats.org/officeDocument/2006/relationships/hyperlink" Target="http://www.eia.gov/electricity/annual/html/epa_05_07_b.html" TargetMode="External"/><Relationship Id="rId13" Type="http://schemas.openxmlformats.org/officeDocument/2006/relationships/hyperlink" Target="http://www.eia.gov/electricity/annual/html/epa_05_07_f.html" TargetMode="External"/><Relationship Id="rId18" Type="http://schemas.openxmlformats.org/officeDocument/2006/relationships/hyperlink" Target="https://info.aee.net/hubfs/AEN%202021%20Market%20Report/AEN%202021%20Market%20Report.pdf" TargetMode="External"/><Relationship Id="rId26" Type="http://schemas.openxmlformats.org/officeDocument/2006/relationships/printerSettings" Target="../printerSettings/printerSettings9.bin"/><Relationship Id="rId3" Type="http://schemas.openxmlformats.org/officeDocument/2006/relationships/hyperlink" Target="https://www.eia.gov/electricity/data/eia860m/" TargetMode="External"/><Relationship Id="rId21" Type="http://schemas.openxmlformats.org/officeDocument/2006/relationships/hyperlink" Target="https://www.epa.gov/facts-and-figures-about-materials-waste-and-recycling/advancing-sustainable-materials-management" TargetMode="External"/><Relationship Id="rId7" Type="http://schemas.openxmlformats.org/officeDocument/2006/relationships/hyperlink" Target="http://www.eia.gov/electricity/annual/html/epa_05_07_a.html" TargetMode="External"/><Relationship Id="rId12" Type="http://schemas.openxmlformats.org/officeDocument/2006/relationships/hyperlink" Target="http://www.eia.gov/electricity/annual/html/epa_05_07_c.html" TargetMode="External"/><Relationship Id="rId17" Type="http://schemas.openxmlformats.org/officeDocument/2006/relationships/hyperlink" Target="http://energyrecoverycouncil.org/wp-content/uploads/2019/10/ERC-2018-directory.pdf" TargetMode="External"/><Relationship Id="rId25" Type="http://schemas.openxmlformats.org/officeDocument/2006/relationships/hyperlink" Target="http://energyrecoverycouncil.org/wp-content/uploads/2019/10/ERC-2018-directory.pdf" TargetMode="External"/><Relationship Id="rId2" Type="http://schemas.openxmlformats.org/officeDocument/2006/relationships/hyperlink" Target="https://www.eia.gov/electricity/data/eia860m/" TargetMode="External"/><Relationship Id="rId16" Type="http://schemas.openxmlformats.org/officeDocument/2006/relationships/hyperlink" Target="http://www.eia.gov/electricity/annual/html/epa_05_07_f.html" TargetMode="External"/><Relationship Id="rId20" Type="http://schemas.openxmlformats.org/officeDocument/2006/relationships/hyperlink" Target="https://www.epa.gov/facts-and-figures-about-materials-waste-and-recycling/advancing-sustainable-materials-management" TargetMode="External"/><Relationship Id="rId1" Type="http://schemas.openxmlformats.org/officeDocument/2006/relationships/hyperlink" Target="https://www.eia.gov/electricity/data/eia860m/" TargetMode="External"/><Relationship Id="rId6" Type="http://schemas.openxmlformats.org/officeDocument/2006/relationships/hyperlink" Target="http://www.eia.gov/electricity/annual/html/epa_05_07_c.html" TargetMode="External"/><Relationship Id="rId11" Type="http://schemas.openxmlformats.org/officeDocument/2006/relationships/hyperlink" Target="http://www.eia.gov/electricity/annual/html/epa_05_07_e.html" TargetMode="External"/><Relationship Id="rId24" Type="http://schemas.openxmlformats.org/officeDocument/2006/relationships/hyperlink" Target="http://energyrecoverycouncil.org/wp-content/uploads/2019/10/ERC-2018-directory.pdf" TargetMode="External"/><Relationship Id="rId5" Type="http://schemas.openxmlformats.org/officeDocument/2006/relationships/hyperlink" Target="https://www.eia.gov/electricity/data/eia860m/" TargetMode="External"/><Relationship Id="rId15" Type="http://schemas.openxmlformats.org/officeDocument/2006/relationships/hyperlink" Target="http://www.eia.gov/electricity/annual/html/epa_05_07_f.html" TargetMode="External"/><Relationship Id="rId23" Type="http://schemas.openxmlformats.org/officeDocument/2006/relationships/hyperlink" Target="http://energyrecoverycouncil.org/wp-content/uploads/2019/10/ERC-2018-directory.pdf" TargetMode="External"/><Relationship Id="rId10" Type="http://schemas.openxmlformats.org/officeDocument/2006/relationships/hyperlink" Target="http://www.eia.gov/electricity/annual/html/epa_05_07_d.html" TargetMode="External"/><Relationship Id="rId19" Type="http://schemas.openxmlformats.org/officeDocument/2006/relationships/hyperlink" Target="https://www.epa.gov/facts-and-figures-about-materials-waste-and-recycling/advancing-sustainable-materials-management" TargetMode="External"/><Relationship Id="rId4" Type="http://schemas.openxmlformats.org/officeDocument/2006/relationships/hyperlink" Target="https://www.eia.gov/electricity/data/eia860m/" TargetMode="External"/><Relationship Id="rId9" Type="http://schemas.openxmlformats.org/officeDocument/2006/relationships/hyperlink" Target="http://www.eia.gov/electricity/annual/html/epa_05_07_f.html" TargetMode="External"/><Relationship Id="rId14" Type="http://schemas.openxmlformats.org/officeDocument/2006/relationships/hyperlink" Target="http://www.eia.gov/electricity/annual/html/epa_05_07_f.html" TargetMode="External"/><Relationship Id="rId22" Type="http://schemas.openxmlformats.org/officeDocument/2006/relationships/hyperlink" Target="https://www.epa.gov/facts-and-figures-about-materials-waste-and-recycling/advancing-sustainable-materials-management" TargetMode="External"/><Relationship Id="rId27"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8" Type="http://schemas.openxmlformats.org/officeDocument/2006/relationships/hyperlink" Target="https://www.nature.com/articles/nbt.3491.pdf" TargetMode="External"/><Relationship Id="rId13" Type="http://schemas.openxmlformats.org/officeDocument/2006/relationships/hyperlink" Target="https://www.biopreferred.gov/BioPreferred/faces/pages/AboutBioPreferred.xhtml" TargetMode="External"/><Relationship Id="rId18" Type="http://schemas.openxmlformats.org/officeDocument/2006/relationships/hyperlink" Target="https://www.biopreferred.gov/BioPreferred/faces/pages/AboutBioPreferred.xhtml" TargetMode="External"/><Relationship Id="rId26" Type="http://schemas.openxmlformats.org/officeDocument/2006/relationships/hyperlink" Target="https://www.biopreferred.gov/BioPreferred/faces/pages/AboutBioPreferred.xhtml" TargetMode="External"/><Relationship Id="rId3" Type="http://schemas.openxmlformats.org/officeDocument/2006/relationships/hyperlink" Target="https://www.biopreferred.gov/BPResources/files/BiobasedProductsEconomicAnalysis2016.pdf" TargetMode="External"/><Relationship Id="rId21" Type="http://schemas.openxmlformats.org/officeDocument/2006/relationships/hyperlink" Target="https://www.biopreferred.gov/BioPreferred/faces/pages/AboutBioPreferred.xhtml" TargetMode="External"/><Relationship Id="rId7" Type="http://schemas.openxmlformats.org/officeDocument/2006/relationships/hyperlink" Target="https://www.statista.com/statistics/197930/number-of-united-states-biotech-companies-by-type/" TargetMode="External"/><Relationship Id="rId12" Type="http://schemas.openxmlformats.org/officeDocument/2006/relationships/hyperlink" Target="https://www.biopreferred.gov/BioPreferred/faces/pages/AboutBioPreferred.xhtml" TargetMode="External"/><Relationship Id="rId17" Type="http://schemas.openxmlformats.org/officeDocument/2006/relationships/hyperlink" Target="https://www.biopreferred.gov/BioPreferred/faces/pages/AboutBioPreferred.xhtml" TargetMode="External"/><Relationship Id="rId25" Type="http://schemas.openxmlformats.org/officeDocument/2006/relationships/hyperlink" Target="https://www.biopreferred.gov/BioPreferred/faces/pages/AboutBioPreferred.xhtml" TargetMode="External"/><Relationship Id="rId2" Type="http://schemas.openxmlformats.org/officeDocument/2006/relationships/hyperlink" Target="https://www.biopreferred.gov/BPResources/files/BiobasedProductsEconomicAnalysis2016.pdf" TargetMode="External"/><Relationship Id="rId16" Type="http://schemas.openxmlformats.org/officeDocument/2006/relationships/hyperlink" Target="https://www.biopreferred.gov/BioPreferred/faces/pages/AboutBioPreferred.xhtml" TargetMode="External"/><Relationship Id="rId20" Type="http://schemas.openxmlformats.org/officeDocument/2006/relationships/hyperlink" Target="https://www.biopreferred.gov/BioPreferred/faces/pages/AboutBioPreferred.xhtml" TargetMode="External"/><Relationship Id="rId29" Type="http://schemas.openxmlformats.org/officeDocument/2006/relationships/hyperlink" Target="https://www.biopreferred.gov/BioPreferred/faces/pages/AboutBioPreferred.xhtml" TargetMode="External"/><Relationship Id="rId1" Type="http://schemas.openxmlformats.org/officeDocument/2006/relationships/hyperlink" Target="https://www.biopreferred.gov/BPResources/files/EconomicReport_6_12_2015.pdf" TargetMode="External"/><Relationship Id="rId6" Type="http://schemas.openxmlformats.org/officeDocument/2006/relationships/hyperlink" Target="https://www.statista.com/statistics/197930/number-of-united-states-biotech-companies-by-type/" TargetMode="External"/><Relationship Id="rId11" Type="http://schemas.openxmlformats.org/officeDocument/2006/relationships/hyperlink" Target="https://www.biopreferred.gov/BioPreferred/faces/pages/AboutBioPreferred.xhtml" TargetMode="External"/><Relationship Id="rId24" Type="http://schemas.openxmlformats.org/officeDocument/2006/relationships/hyperlink" Target="https://www.biopreferred.gov/BioPreferred/faces/pages/AboutBioPreferred.xhtml" TargetMode="External"/><Relationship Id="rId5" Type="http://schemas.openxmlformats.org/officeDocument/2006/relationships/hyperlink" Target="https://www.statista.com/statistics/197930/number-of-united-states-biotech-companies-by-type/" TargetMode="External"/><Relationship Id="rId15" Type="http://schemas.openxmlformats.org/officeDocument/2006/relationships/hyperlink" Target="https://www.biopreferred.gov/BioPreferred/faces/pages/AboutBioPreferred.xhtml" TargetMode="External"/><Relationship Id="rId23" Type="http://schemas.openxmlformats.org/officeDocument/2006/relationships/hyperlink" Target="https://www.biopreferred.gov/BioPreferred/faces/pages/AboutBioPreferred.xhtml" TargetMode="External"/><Relationship Id="rId28" Type="http://schemas.openxmlformats.org/officeDocument/2006/relationships/hyperlink" Target="https://www.bio.org/sites/default/files/2020-06/BIO2020-report.pdf" TargetMode="External"/><Relationship Id="rId10" Type="http://schemas.openxmlformats.org/officeDocument/2006/relationships/hyperlink" Target="https://www.biopreferred.gov/BioPreferred/faces/pages/AboutBioPreferred.xhtml" TargetMode="External"/><Relationship Id="rId19" Type="http://schemas.openxmlformats.org/officeDocument/2006/relationships/hyperlink" Target="https://www.biopreferred.gov/BioPreferred/faces/pages/AboutBioPreferred.xhtml" TargetMode="External"/><Relationship Id="rId31" Type="http://schemas.openxmlformats.org/officeDocument/2006/relationships/drawing" Target="../drawings/drawing10.xml"/><Relationship Id="rId4" Type="http://schemas.openxmlformats.org/officeDocument/2006/relationships/hyperlink" Target="https://www.biopreferred.gov/BPResources/files/BiobasedProductsEconomicAnalysis2016.pdf" TargetMode="External"/><Relationship Id="rId9" Type="http://schemas.openxmlformats.org/officeDocument/2006/relationships/hyperlink" Target="https://www.nature.com/articles/nbt.3491.pdf" TargetMode="External"/><Relationship Id="rId14" Type="http://schemas.openxmlformats.org/officeDocument/2006/relationships/hyperlink" Target="https://www.biopreferred.gov/BioPreferred/faces/pages/AboutBioPreferred.xhtml" TargetMode="External"/><Relationship Id="rId22" Type="http://schemas.openxmlformats.org/officeDocument/2006/relationships/hyperlink" Target="https://www.biopreferred.gov/BioPreferred/faces/pages/AboutBioPreferred.xhtml" TargetMode="External"/><Relationship Id="rId27" Type="http://schemas.openxmlformats.org/officeDocument/2006/relationships/hyperlink" Target="https://www.bio.org/sites/default/files/2020-06/BIO2020-report.pdf" TargetMode="External"/><Relationship Id="rId30"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8" Type="http://schemas.openxmlformats.org/officeDocument/2006/relationships/hyperlink" Target="https://www.bea.gov/iTable/iTable.cfm?ReqID=51&amp;step=1" TargetMode="External"/><Relationship Id="rId3" Type="http://schemas.openxmlformats.org/officeDocument/2006/relationships/hyperlink" Target="https://www.bea.gov/iTable/iTable.cfm?ReqID=51&amp;step=1" TargetMode="External"/><Relationship Id="rId7" Type="http://schemas.openxmlformats.org/officeDocument/2006/relationships/hyperlink" Target="https://docs.european-bioplastics.org/publications/EUBP_Facts_and_figures.pdf" TargetMode="External"/><Relationship Id="rId2" Type="http://schemas.openxmlformats.org/officeDocument/2006/relationships/hyperlink" Target="https://www.bea.gov/iTable/iTable.cfm?ReqID=51&amp;step=1" TargetMode="External"/><Relationship Id="rId1" Type="http://schemas.openxmlformats.org/officeDocument/2006/relationships/hyperlink" Target="https://www.plasticseurope.org/en/resources/market-data" TargetMode="External"/><Relationship Id="rId6" Type="http://schemas.openxmlformats.org/officeDocument/2006/relationships/hyperlink" Target="https://docs.european-bioplastics.org/publications/EUBP_Facts_and_figures.pdf" TargetMode="External"/><Relationship Id="rId5" Type="http://schemas.openxmlformats.org/officeDocument/2006/relationships/hyperlink" Target="https://apps.bea.gov/iTable/iTable.cfm?reqid=19&amp;step=2&amp;isuri=1&amp;1921=survey" TargetMode="External"/><Relationship Id="rId10" Type="http://schemas.openxmlformats.org/officeDocument/2006/relationships/drawing" Target="../drawings/drawing11.xml"/><Relationship Id="rId4" Type="http://schemas.openxmlformats.org/officeDocument/2006/relationships/hyperlink" Target="https://apps.bea.gov/iTable/iTable.cfm?reqid=19&amp;step=2&amp;isuri=1&amp;1921=survey" TargetMode="External"/><Relationship Id="rId9"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8" Type="http://schemas.openxmlformats.org/officeDocument/2006/relationships/hyperlink" Target="https://www.americanchemistry.com/chemistry-in-america/data-industry-statistics/resources/2022-guide-to-the-business-of-chemistry" TargetMode="External"/><Relationship Id="rId3" Type="http://schemas.openxmlformats.org/officeDocument/2006/relationships/hyperlink" Target="https://apps.bea.gov/iTable/iTable.cfm?reqid=19&amp;step=2&amp;isuri=1&amp;1921=survey" TargetMode="External"/><Relationship Id="rId7" Type="http://schemas.openxmlformats.org/officeDocument/2006/relationships/hyperlink" Target="https://www.statista.com/statistics/271651/global-production-of-the-chemical-fiber-industry/" TargetMode="External"/><Relationship Id="rId2" Type="http://schemas.openxmlformats.org/officeDocument/2006/relationships/hyperlink" Target="https://www.bea.gov/iTable/iTable.cfm?ReqID=51&amp;step=1" TargetMode="External"/><Relationship Id="rId1" Type="http://schemas.openxmlformats.org/officeDocument/2006/relationships/hyperlink" Target="https://www.americanchemistry.com/2017-Elements-of-the-Business-of-Chemistry.pdf" TargetMode="External"/><Relationship Id="rId6" Type="http://schemas.openxmlformats.org/officeDocument/2006/relationships/hyperlink" Target="https://www.bea.gov/iTable/iTable.cfm?ReqID=51&amp;step=1" TargetMode="External"/><Relationship Id="rId5" Type="http://schemas.openxmlformats.org/officeDocument/2006/relationships/hyperlink" Target="https://www.statista.com/statistics/271651/global-production-of-the-chemical-fiber-industry/" TargetMode="External"/><Relationship Id="rId10" Type="http://schemas.openxmlformats.org/officeDocument/2006/relationships/printerSettings" Target="../printerSettings/printerSettings12.bin"/><Relationship Id="rId4" Type="http://schemas.openxmlformats.org/officeDocument/2006/relationships/hyperlink" Target="https://apps.bea.gov/iTable/iTable.cfm?reqid=19&amp;step=2&amp;isuri=1&amp;1921=survey" TargetMode="External"/><Relationship Id="rId9" Type="http://schemas.openxmlformats.org/officeDocument/2006/relationships/hyperlink" Target="https://www.americanchemistry.com/chemistry-in-america/data-industry-statistics/resources/2022-guide-to-the-business-of-chemistry"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www.bccresearch.com/market-research/biotechnology/global-markets-for-enzymes-in-industrial-applications.html"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www.fao.org/faostat/en/" TargetMode="External"/><Relationship Id="rId13" Type="http://schemas.openxmlformats.org/officeDocument/2006/relationships/hyperlink" Target="http://www.fao.org/faostat/en/" TargetMode="External"/><Relationship Id="rId18" Type="http://schemas.openxmlformats.org/officeDocument/2006/relationships/printerSettings" Target="../printerSettings/printerSettings13.bin"/><Relationship Id="rId3" Type="http://schemas.openxmlformats.org/officeDocument/2006/relationships/hyperlink" Target="https://www.bea.gov/iTable/iTable.cfm?ReqID=51&amp;step=1" TargetMode="External"/><Relationship Id="rId7" Type="http://schemas.openxmlformats.org/officeDocument/2006/relationships/hyperlink" Target="http://www.fao.org/faostat/en/" TargetMode="External"/><Relationship Id="rId12" Type="http://schemas.openxmlformats.org/officeDocument/2006/relationships/hyperlink" Target="http://www.fao.org/faostat/en/" TargetMode="External"/><Relationship Id="rId17" Type="http://schemas.openxmlformats.org/officeDocument/2006/relationships/hyperlink" Target="https://apps.bea.gov/iTable/iTable.cfm?reqid=19&amp;step=2&amp;isuri=1&amp;1921=survey" TargetMode="External"/><Relationship Id="rId2" Type="http://schemas.openxmlformats.org/officeDocument/2006/relationships/hyperlink" Target="https://www.bea.gov/iTable/iTable.cfm?ReqID=51&amp;step=1" TargetMode="External"/><Relationship Id="rId16" Type="http://schemas.openxmlformats.org/officeDocument/2006/relationships/hyperlink" Target="https://apps.bea.gov/iTable/iTable.cfm?reqid=19&amp;step=2&amp;isuri=1&amp;1921=survey" TargetMode="External"/><Relationship Id="rId1" Type="http://schemas.openxmlformats.org/officeDocument/2006/relationships/hyperlink" Target="https://www.bea.gov/iTable/iTable.cfm?ReqID=51&amp;step=1" TargetMode="External"/><Relationship Id="rId6" Type="http://schemas.openxmlformats.org/officeDocument/2006/relationships/hyperlink" Target="http://www.fao.org/faostat/en/" TargetMode="External"/><Relationship Id="rId11" Type="http://schemas.openxmlformats.org/officeDocument/2006/relationships/hyperlink" Target="http://www.fao.org/faostat/en/" TargetMode="External"/><Relationship Id="rId5" Type="http://schemas.openxmlformats.org/officeDocument/2006/relationships/hyperlink" Target="http://www.fao.org/faostat/en/" TargetMode="External"/><Relationship Id="rId15" Type="http://schemas.openxmlformats.org/officeDocument/2006/relationships/hyperlink" Target="https://apps.bea.gov/iTable/iTable.cfm?reqid=19&amp;step=2&amp;isuri=1&amp;1921=survey" TargetMode="External"/><Relationship Id="rId10" Type="http://schemas.openxmlformats.org/officeDocument/2006/relationships/hyperlink" Target="http://www.fao.org/faostat/en/" TargetMode="External"/><Relationship Id="rId19" Type="http://schemas.openxmlformats.org/officeDocument/2006/relationships/drawing" Target="../drawings/drawing13.xml"/><Relationship Id="rId4" Type="http://schemas.openxmlformats.org/officeDocument/2006/relationships/hyperlink" Target="http://www.fao.org/faostat/en/" TargetMode="External"/><Relationship Id="rId9" Type="http://schemas.openxmlformats.org/officeDocument/2006/relationships/hyperlink" Target="http://www.fao.org/faostat/en/" TargetMode="External"/><Relationship Id="rId14" Type="http://schemas.openxmlformats.org/officeDocument/2006/relationships/hyperlink" Target="https://apps.bea.gov/iTable/iTable.cfm?reqid=19&amp;step=2&amp;isuri=1&amp;1921=survey"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bea.gov/iTable/iTable.cfm?ReqID=51&amp;step=1" TargetMode="External"/><Relationship Id="rId2" Type="http://schemas.openxmlformats.org/officeDocument/2006/relationships/hyperlink" Target="http://www.bea.gov/industry/xls/GDPbyInd_VA_NAICS_1997-2012.xlsx" TargetMode="External"/><Relationship Id="rId1" Type="http://schemas.openxmlformats.org/officeDocument/2006/relationships/hyperlink" Target="http://www.bea.gov/industry/xls/GDPbyInd_VA_NAICS_1997-2012.xlsx" TargetMode="External"/><Relationship Id="rId6" Type="http://schemas.openxmlformats.org/officeDocument/2006/relationships/printerSettings" Target="../printerSettings/printerSettings14.bin"/><Relationship Id="rId5" Type="http://schemas.openxmlformats.org/officeDocument/2006/relationships/hyperlink" Target="https://apps.bea.gov/iTable/iTable.cfm?reqid=19&amp;step=2&amp;isuri=1&amp;1921=survey" TargetMode="External"/><Relationship Id="rId4" Type="http://schemas.openxmlformats.org/officeDocument/2006/relationships/hyperlink" Target="https://apps.bea.gov/iTable/iTable.cfm?reqid=19&amp;step=2&amp;isuri=1&amp;1921=survey"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portal.nifa.usda.gov/enterprise-search/project_details" TargetMode="External"/><Relationship Id="rId13" Type="http://schemas.openxmlformats.org/officeDocument/2006/relationships/hyperlink" Target="https://www.nsf.gov/awardsearch/advancedSearch.jsp" TargetMode="External"/><Relationship Id="rId18" Type="http://schemas.openxmlformats.org/officeDocument/2006/relationships/hyperlink" Target="https://www.iea.org/data-and-statistics/charts/power-generation-investment-by-region-in-2019-compared-with-annual-investment-needs-in-the-sustainable-development-scenario-2025-2030" TargetMode="External"/><Relationship Id="rId3" Type="http://schemas.openxmlformats.org/officeDocument/2006/relationships/hyperlink" Target="https://portal.nifa.usda.gov/enterprise-search/project_details" TargetMode="External"/><Relationship Id="rId7" Type="http://schemas.openxmlformats.org/officeDocument/2006/relationships/hyperlink" Target="https://portal.nifa.usda.gov/enterprise-search/project_details" TargetMode="External"/><Relationship Id="rId12" Type="http://schemas.openxmlformats.org/officeDocument/2006/relationships/hyperlink" Target="https://portal.nifa.usda.gov/enterprise-search/project_details" TargetMode="External"/><Relationship Id="rId17" Type="http://schemas.openxmlformats.org/officeDocument/2006/relationships/hyperlink" Target="https://www.iea.org/data-and-statistics/charts/global-investments-in-alternative-feedstock-and-plastic-recycling-start-ups-2015-2019" TargetMode="External"/><Relationship Id="rId2" Type="http://schemas.openxmlformats.org/officeDocument/2006/relationships/hyperlink" Target="https://portal.nifa.usda.gov/enterprise-search/project_details" TargetMode="External"/><Relationship Id="rId16" Type="http://schemas.openxmlformats.org/officeDocument/2006/relationships/hyperlink" Target="https://www.nsf.gov/awardsearch/advancedSearch.jsp" TargetMode="External"/><Relationship Id="rId20" Type="http://schemas.openxmlformats.org/officeDocument/2006/relationships/drawing" Target="../drawings/drawing14.xml"/><Relationship Id="rId1" Type="http://schemas.openxmlformats.org/officeDocument/2006/relationships/hyperlink" Target="https://portal.nifa.usda.gov/enterprise-search/project_details" TargetMode="External"/><Relationship Id="rId6" Type="http://schemas.openxmlformats.org/officeDocument/2006/relationships/hyperlink" Target="https://portal.nifa.usda.gov/enterprise-search/project_details" TargetMode="External"/><Relationship Id="rId11" Type="http://schemas.openxmlformats.org/officeDocument/2006/relationships/hyperlink" Target="https://portal.nifa.usda.gov/enterprise-search/project_details" TargetMode="External"/><Relationship Id="rId5" Type="http://schemas.openxmlformats.org/officeDocument/2006/relationships/hyperlink" Target="https://portal.nifa.usda.gov/enterprise-search/project_details" TargetMode="External"/><Relationship Id="rId15" Type="http://schemas.openxmlformats.org/officeDocument/2006/relationships/hyperlink" Target="https://portal.nifa.usda.gov/enterprise-search/project_details" TargetMode="External"/><Relationship Id="rId10" Type="http://schemas.openxmlformats.org/officeDocument/2006/relationships/hyperlink" Target="https://portal.nifa.usda.gov/enterprise-search/project_details" TargetMode="External"/><Relationship Id="rId19" Type="http://schemas.openxmlformats.org/officeDocument/2006/relationships/printerSettings" Target="../printerSettings/printerSettings15.bin"/><Relationship Id="rId4" Type="http://schemas.openxmlformats.org/officeDocument/2006/relationships/hyperlink" Target="https://portal.nifa.usda.gov/enterprise-search/project_details" TargetMode="External"/><Relationship Id="rId9" Type="http://schemas.openxmlformats.org/officeDocument/2006/relationships/hyperlink" Target="https://portal.nifa.usda.gov/enterprise-search/project_details" TargetMode="External"/><Relationship Id="rId14" Type="http://schemas.openxmlformats.org/officeDocument/2006/relationships/hyperlink" Target="https://www.nsf.gov/awardsearch/advancedSearch.j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zoomScale="85" zoomScaleNormal="85" workbookViewId="0">
      <selection activeCell="I37" sqref="I37"/>
    </sheetView>
  </sheetViews>
  <sheetFormatPr defaultColWidth="8.85546875" defaultRowHeight="15" x14ac:dyDescent="0.2"/>
  <cols>
    <col min="1" max="1" width="40.28515625" style="41" bestFit="1" customWidth="1"/>
    <col min="2" max="5" width="9.7109375" style="191" customWidth="1"/>
    <col min="6" max="9" width="8.85546875" style="191"/>
    <col min="10" max="10" width="11" style="191" customWidth="1"/>
    <col min="11" max="16384" width="8.85546875" style="191"/>
  </cols>
  <sheetData>
    <row r="1" spans="1:10" ht="20.25" x14ac:dyDescent="0.3">
      <c r="A1" s="42" t="s">
        <v>122</v>
      </c>
    </row>
    <row r="2" spans="1:10" s="192" customFormat="1" ht="6.75" customHeight="1" x14ac:dyDescent="0.25">
      <c r="A2" s="40"/>
      <c r="D2" s="193"/>
      <c r="E2" s="193"/>
      <c r="F2" s="193"/>
      <c r="G2" s="193"/>
      <c r="H2" s="193"/>
      <c r="I2" s="193"/>
    </row>
    <row r="3" spans="1:10" x14ac:dyDescent="0.2">
      <c r="E3" s="194"/>
      <c r="F3" s="194"/>
      <c r="G3" s="194"/>
      <c r="H3" s="194"/>
      <c r="I3" s="194"/>
      <c r="J3" s="195"/>
    </row>
    <row r="4" spans="1:10" s="197" customFormat="1" ht="18" x14ac:dyDescent="0.25">
      <c r="A4" s="44" t="s">
        <v>318</v>
      </c>
      <c r="E4" s="198"/>
      <c r="F4" s="198"/>
      <c r="G4" s="198"/>
      <c r="H4" s="198"/>
      <c r="I4" s="198"/>
      <c r="J4" s="199"/>
    </row>
    <row r="5" spans="1:10" x14ac:dyDescent="0.2">
      <c r="A5" s="43"/>
      <c r="E5" s="194"/>
      <c r="F5" s="194"/>
      <c r="G5" s="194"/>
      <c r="H5" s="194"/>
      <c r="I5" s="194"/>
      <c r="J5" s="195"/>
    </row>
    <row r="6" spans="1:10" x14ac:dyDescent="0.2">
      <c r="A6" s="47" t="s">
        <v>0</v>
      </c>
      <c r="E6" s="194"/>
      <c r="F6" s="194"/>
      <c r="G6" s="194"/>
      <c r="H6" s="194"/>
      <c r="I6" s="194"/>
      <c r="J6" s="195"/>
    </row>
    <row r="7" spans="1:10" x14ac:dyDescent="0.2">
      <c r="A7" s="47" t="s">
        <v>418</v>
      </c>
      <c r="E7" s="194"/>
      <c r="F7" s="194"/>
      <c r="G7" s="194"/>
      <c r="H7" s="194"/>
      <c r="I7" s="194"/>
      <c r="J7" s="195"/>
    </row>
    <row r="8" spans="1:10" x14ac:dyDescent="0.2">
      <c r="A8" s="47" t="s">
        <v>1</v>
      </c>
      <c r="E8" s="194"/>
      <c r="F8" s="194"/>
      <c r="G8" s="194"/>
      <c r="H8" s="194"/>
      <c r="I8" s="194"/>
      <c r="J8" s="195"/>
    </row>
    <row r="9" spans="1:10" x14ac:dyDescent="0.2">
      <c r="A9" s="47" t="s">
        <v>425</v>
      </c>
      <c r="E9" s="194"/>
      <c r="F9" s="194"/>
      <c r="G9" s="194"/>
      <c r="H9" s="194"/>
      <c r="I9" s="194"/>
      <c r="J9" s="195"/>
    </row>
    <row r="10" spans="1:10" x14ac:dyDescent="0.2">
      <c r="A10" s="47" t="s">
        <v>426</v>
      </c>
      <c r="E10" s="194"/>
      <c r="F10" s="194"/>
      <c r="G10" s="194"/>
      <c r="H10" s="194"/>
      <c r="I10" s="194"/>
      <c r="J10" s="195"/>
    </row>
    <row r="11" spans="1:10" x14ac:dyDescent="0.2">
      <c r="A11" s="47" t="s">
        <v>2</v>
      </c>
      <c r="E11" s="194"/>
      <c r="F11" s="194"/>
      <c r="G11" s="194"/>
      <c r="H11" s="194"/>
      <c r="I11" s="194"/>
      <c r="J11" s="195"/>
    </row>
    <row r="12" spans="1:10" x14ac:dyDescent="0.2">
      <c r="A12" s="47" t="s">
        <v>427</v>
      </c>
    </row>
    <row r="13" spans="1:10" x14ac:dyDescent="0.2">
      <c r="A13" s="47" t="s">
        <v>121</v>
      </c>
    </row>
    <row r="14" spans="1:10" ht="15.75" x14ac:dyDescent="0.25">
      <c r="E14" s="196"/>
      <c r="F14" s="196"/>
      <c r="G14" s="196"/>
      <c r="H14" s="196"/>
      <c r="I14" s="196"/>
    </row>
    <row r="15" spans="1:10" s="200" customFormat="1" ht="18" x14ac:dyDescent="0.25">
      <c r="A15" s="45" t="s">
        <v>123</v>
      </c>
      <c r="E15" s="201"/>
      <c r="F15" s="201"/>
      <c r="G15" s="201"/>
      <c r="H15" s="201"/>
      <c r="I15" s="201"/>
      <c r="J15" s="202"/>
    </row>
    <row r="17" spans="1:10" x14ac:dyDescent="0.2">
      <c r="A17" s="47" t="s">
        <v>3</v>
      </c>
      <c r="F17" s="203"/>
    </row>
    <row r="18" spans="1:10" x14ac:dyDescent="0.2">
      <c r="A18" s="47" t="s">
        <v>124</v>
      </c>
    </row>
    <row r="19" spans="1:10" x14ac:dyDescent="0.2">
      <c r="A19" s="47" t="s">
        <v>4</v>
      </c>
    </row>
    <row r="20" spans="1:10" x14ac:dyDescent="0.2">
      <c r="A20" s="47" t="s">
        <v>5</v>
      </c>
    </row>
    <row r="21" spans="1:10" x14ac:dyDescent="0.2">
      <c r="A21" s="47" t="s">
        <v>6</v>
      </c>
    </row>
    <row r="22" spans="1:10" x14ac:dyDescent="0.2">
      <c r="A22" s="47" t="s">
        <v>7</v>
      </c>
    </row>
    <row r="23" spans="1:10" x14ac:dyDescent="0.2">
      <c r="A23" s="43"/>
      <c r="I23" s="204"/>
    </row>
    <row r="24" spans="1:10" s="205" customFormat="1" ht="18" x14ac:dyDescent="0.25">
      <c r="A24" s="46" t="s">
        <v>8</v>
      </c>
      <c r="E24" s="206"/>
      <c r="F24" s="206"/>
      <c r="G24" s="206"/>
      <c r="H24" s="206"/>
      <c r="I24" s="206"/>
      <c r="J24" s="207"/>
    </row>
    <row r="25" spans="1:10" x14ac:dyDescent="0.2">
      <c r="I25" s="204"/>
    </row>
    <row r="26" spans="1:10" x14ac:dyDescent="0.2">
      <c r="A26" s="47" t="s">
        <v>428</v>
      </c>
    </row>
    <row r="27" spans="1:10" x14ac:dyDescent="0.2">
      <c r="A27" s="43"/>
    </row>
    <row r="29" spans="1:10" ht="15" customHeight="1" x14ac:dyDescent="0.2"/>
  </sheetData>
  <hyperlinks>
    <hyperlink ref="A6" location="ETHANOL!A1" display="Ethanol" xr:uid="{00000000-0004-0000-0000-000001000000}"/>
    <hyperlink ref="A8" location="BIODIESEL!A1" display="Biodiesel" xr:uid="{00000000-0004-0000-0000-000002000000}"/>
    <hyperlink ref="A11" location="'WOOD PELLETS'!A1" display="Wood Pellets" xr:uid="{00000000-0004-0000-0000-000003000000}"/>
    <hyperlink ref="A12" location="'WASTE TO ENERGY'!A1" display="Waste to Energy " xr:uid="{00000000-0004-0000-0000-000004000000}"/>
    <hyperlink ref="A13" location="BIOGAS!A1" display="Biogas" xr:uid="{00000000-0004-0000-0000-000005000000}"/>
    <hyperlink ref="A17" location="BIOPRODUCTS!A1" display="BioProducts" xr:uid="{00000000-0004-0000-0000-00000E000000}"/>
    <hyperlink ref="A18" location="BIOPLASTICS!A1" display="Bioplastics" xr:uid="{00000000-0004-0000-0000-00000F000000}"/>
    <hyperlink ref="A19" location="BIOCHEMICALS!A1" display="Biochemicals" xr:uid="{00000000-0004-0000-0000-000010000000}"/>
    <hyperlink ref="A20" location="ENZYMES!A1" display="Enzymes" xr:uid="{00000000-0004-0000-0000-000011000000}"/>
    <hyperlink ref="A21" location="'FOREST PRODUCTS'!A1" display="Forest Products" xr:uid="{00000000-0004-0000-0000-000012000000}"/>
    <hyperlink ref="A22" location="'APPAREL AND TEXTILES'!A1" display="Apparel &amp; Textiles" xr:uid="{00000000-0004-0000-0000-000013000000}"/>
    <hyperlink ref="A7" location="BIOBUTANOL!A1" display="Biobutanol" xr:uid="{A0D3963E-FBE2-4F74-A92C-1E65306CA0BF}"/>
    <hyperlink ref="A9" location="'RENEWABLE DIESEL'!A1" display="Renewable Diesel" xr:uid="{8683C3AF-9D73-4EE8-8256-6B143C6C9B2B}"/>
    <hyperlink ref="A10" location="FATS!A1" display="Fats" xr:uid="{7261D605-5337-47B8-8BFA-39CB1824EA0C}"/>
    <hyperlink ref="A26" location="FUNDING!A1" display="Funding" xr:uid="{DA85C8D1-8F45-4460-8ED4-71FE7B7BB125}"/>
  </hyperlink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8306C"/>
  </sheetPr>
  <dimension ref="A1:AA177"/>
  <sheetViews>
    <sheetView zoomScale="85" zoomScaleNormal="85" zoomScalePageLayoutView="94" workbookViewId="0">
      <pane xSplit="1" ySplit="3" topLeftCell="P43" activePane="bottomRight" state="frozen"/>
      <selection pane="topRight" activeCell="B1" sqref="B1"/>
      <selection pane="bottomLeft" activeCell="A4" sqref="A4"/>
      <selection pane="bottomRight" activeCell="M10" sqref="M10"/>
    </sheetView>
  </sheetViews>
  <sheetFormatPr defaultColWidth="8.85546875" defaultRowHeight="15" x14ac:dyDescent="0.25"/>
  <cols>
    <col min="1" max="1" width="77.7109375" style="10" customWidth="1"/>
    <col min="2" max="3" width="11.7109375" style="10" customWidth="1"/>
    <col min="4" max="4" width="11.85546875" style="10" customWidth="1"/>
    <col min="5" max="9" width="11.7109375" style="10" customWidth="1"/>
    <col min="10" max="11" width="10.85546875" style="10" customWidth="1"/>
    <col min="12" max="12" width="14.7109375" style="10" customWidth="1"/>
    <col min="13" max="14" width="15.7109375" style="10" customWidth="1"/>
    <col min="15" max="15" width="17" style="10" bestFit="1" customWidth="1"/>
    <col min="16" max="16" width="86.5703125" style="10" customWidth="1"/>
    <col min="17" max="17" width="35.42578125" style="10" customWidth="1"/>
    <col min="18" max="18" width="8.85546875" style="10"/>
    <col min="19" max="19" width="14" style="10" bestFit="1" customWidth="1"/>
    <col min="20" max="26" width="9.7109375" style="10" bestFit="1" customWidth="1"/>
    <col min="27" max="16384" width="8.85546875" style="10"/>
  </cols>
  <sheetData>
    <row r="1" spans="1:17" x14ac:dyDescent="0.25">
      <c r="A1" s="383" t="s">
        <v>15</v>
      </c>
    </row>
    <row r="2" spans="1:17" x14ac:dyDescent="0.25">
      <c r="A2" s="383"/>
      <c r="B2" s="33"/>
    </row>
    <row r="3" spans="1:17" s="2" customFormat="1" x14ac:dyDescent="0.25">
      <c r="A3" s="1" t="s">
        <v>9</v>
      </c>
      <c r="B3" s="1">
        <v>2010</v>
      </c>
      <c r="C3" s="1">
        <v>2011</v>
      </c>
      <c r="D3" s="1">
        <v>2012</v>
      </c>
      <c r="E3" s="1">
        <v>2013</v>
      </c>
      <c r="F3" s="1">
        <v>2014</v>
      </c>
      <c r="G3" s="1">
        <v>2015</v>
      </c>
      <c r="H3" s="1">
        <v>2016</v>
      </c>
      <c r="I3" s="31">
        <v>2017</v>
      </c>
      <c r="J3" s="107">
        <v>2018</v>
      </c>
      <c r="K3" s="31">
        <v>2019</v>
      </c>
      <c r="L3" s="241">
        <v>2020</v>
      </c>
      <c r="M3" s="241">
        <v>2021</v>
      </c>
      <c r="N3" s="241">
        <v>2022</v>
      </c>
      <c r="O3" s="1" t="s">
        <v>119</v>
      </c>
      <c r="P3" s="6" t="s">
        <v>120</v>
      </c>
      <c r="Q3" s="32" t="s">
        <v>38</v>
      </c>
    </row>
    <row r="4" spans="1:17" x14ac:dyDescent="0.25">
      <c r="A4" s="29" t="s">
        <v>131</v>
      </c>
      <c r="B4" s="36">
        <v>204</v>
      </c>
      <c r="C4" s="36">
        <v>209</v>
      </c>
      <c r="D4" s="36">
        <v>211</v>
      </c>
      <c r="E4" s="36">
        <v>210</v>
      </c>
      <c r="F4" s="36">
        <v>213</v>
      </c>
      <c r="G4" s="36">
        <v>214</v>
      </c>
      <c r="H4" s="36">
        <v>213</v>
      </c>
      <c r="I4" s="36">
        <v>209</v>
      </c>
      <c r="J4" s="96">
        <v>210</v>
      </c>
      <c r="K4" s="36">
        <v>205</v>
      </c>
      <c r="L4" s="282">
        <v>208</v>
      </c>
      <c r="M4" s="282">
        <v>208</v>
      </c>
      <c r="N4" s="282"/>
      <c r="O4" s="305" t="s">
        <v>118</v>
      </c>
      <c r="P4" s="35" t="s">
        <v>116</v>
      </c>
      <c r="Q4" s="34" t="s">
        <v>596</v>
      </c>
    </row>
    <row r="5" spans="1:17" ht="30" x14ac:dyDescent="0.25">
      <c r="A5" s="9" t="s">
        <v>361</v>
      </c>
      <c r="B5" s="55"/>
      <c r="C5" s="60"/>
      <c r="D5" s="60"/>
      <c r="E5" s="60"/>
      <c r="F5" s="60"/>
      <c r="G5" s="60"/>
      <c r="H5" s="4">
        <v>203</v>
      </c>
      <c r="I5" s="61">
        <v>202</v>
      </c>
      <c r="J5" s="61">
        <v>204</v>
      </c>
      <c r="K5" s="61">
        <v>199</v>
      </c>
      <c r="L5" s="304">
        <v>201</v>
      </c>
      <c r="M5" s="304">
        <v>199</v>
      </c>
      <c r="N5" s="304">
        <v>195</v>
      </c>
      <c r="O5" s="305" t="s">
        <v>597</v>
      </c>
      <c r="P5" s="301" t="s">
        <v>599</v>
      </c>
      <c r="Q5" s="34" t="s">
        <v>596</v>
      </c>
    </row>
    <row r="6" spans="1:17" ht="30" x14ac:dyDescent="0.25">
      <c r="A6" s="9" t="s">
        <v>259</v>
      </c>
      <c r="B6" s="60"/>
      <c r="C6" s="60"/>
      <c r="D6" s="60"/>
      <c r="E6" s="60"/>
      <c r="F6" s="60"/>
      <c r="G6" s="60"/>
      <c r="H6" s="4">
        <v>10</v>
      </c>
      <c r="I6" s="36">
        <v>7</v>
      </c>
      <c r="J6" s="96">
        <v>6</v>
      </c>
      <c r="K6" s="36">
        <v>6</v>
      </c>
      <c r="L6" s="282">
        <v>11</v>
      </c>
      <c r="M6" s="282">
        <v>11</v>
      </c>
      <c r="N6" s="282">
        <v>8</v>
      </c>
      <c r="O6" s="305" t="s">
        <v>597</v>
      </c>
      <c r="P6" s="11" t="s">
        <v>600</v>
      </c>
      <c r="Q6" s="34" t="s">
        <v>596</v>
      </c>
    </row>
    <row r="7" spans="1:17" ht="30" x14ac:dyDescent="0.25">
      <c r="A7" s="9" t="s">
        <v>358</v>
      </c>
      <c r="B7" s="97"/>
      <c r="C7" s="97"/>
      <c r="D7" s="97"/>
      <c r="E7" s="97"/>
      <c r="F7" s="97"/>
      <c r="G7" s="97"/>
      <c r="H7" s="124"/>
      <c r="I7" s="124"/>
      <c r="J7" s="96">
        <v>196</v>
      </c>
      <c r="K7" s="36">
        <v>197</v>
      </c>
      <c r="L7" s="282">
        <v>199</v>
      </c>
      <c r="M7" s="282">
        <v>198</v>
      </c>
      <c r="N7" s="282">
        <v>190</v>
      </c>
      <c r="O7" s="305" t="s">
        <v>597</v>
      </c>
      <c r="P7" s="11" t="s">
        <v>598</v>
      </c>
      <c r="Q7" s="34" t="s">
        <v>596</v>
      </c>
    </row>
    <row r="8" spans="1:17" ht="30" x14ac:dyDescent="0.25">
      <c r="A8" s="9" t="s">
        <v>359</v>
      </c>
      <c r="B8" s="97"/>
      <c r="C8" s="97"/>
      <c r="D8" s="97"/>
      <c r="E8" s="97"/>
      <c r="F8" s="97"/>
      <c r="G8" s="97"/>
      <c r="H8" s="124"/>
      <c r="I8" s="124"/>
      <c r="J8" s="96">
        <v>13</v>
      </c>
      <c r="K8" s="36">
        <v>14</v>
      </c>
      <c r="L8" s="282">
        <v>9</v>
      </c>
      <c r="M8" s="282">
        <v>10</v>
      </c>
      <c r="N8" s="282">
        <v>12</v>
      </c>
      <c r="O8" s="305" t="s">
        <v>597</v>
      </c>
      <c r="P8" s="11" t="s">
        <v>598</v>
      </c>
      <c r="Q8" s="34" t="s">
        <v>596</v>
      </c>
    </row>
    <row r="9" spans="1:17" ht="30" x14ac:dyDescent="0.25">
      <c r="A9" s="9" t="s">
        <v>360</v>
      </c>
      <c r="B9" s="97"/>
      <c r="C9" s="97"/>
      <c r="D9" s="97"/>
      <c r="E9" s="97"/>
      <c r="F9" s="97"/>
      <c r="G9" s="97"/>
      <c r="H9" s="124"/>
      <c r="I9" s="124"/>
      <c r="J9" s="96">
        <v>5</v>
      </c>
      <c r="K9" s="36">
        <v>4</v>
      </c>
      <c r="L9" s="282">
        <v>8</v>
      </c>
      <c r="M9" s="282">
        <v>9</v>
      </c>
      <c r="N9" s="282">
        <v>5</v>
      </c>
      <c r="O9" s="305" t="s">
        <v>597</v>
      </c>
      <c r="P9" s="11" t="s">
        <v>598</v>
      </c>
      <c r="Q9" s="34" t="s">
        <v>596</v>
      </c>
    </row>
    <row r="10" spans="1:17" ht="30" x14ac:dyDescent="0.25">
      <c r="A10" s="157" t="s">
        <v>132</v>
      </c>
      <c r="B10" s="56"/>
      <c r="C10" s="36">
        <v>193</v>
      </c>
      <c r="D10" s="36">
        <v>194</v>
      </c>
      <c r="E10" s="36">
        <v>192</v>
      </c>
      <c r="F10" s="36">
        <v>198</v>
      </c>
      <c r="G10" s="36">
        <v>199</v>
      </c>
      <c r="H10" s="36">
        <v>200</v>
      </c>
      <c r="I10" s="36">
        <v>201</v>
      </c>
      <c r="J10" s="96">
        <v>199</v>
      </c>
      <c r="K10" s="36">
        <v>190</v>
      </c>
      <c r="L10" s="283"/>
      <c r="M10" s="282" t="s">
        <v>70</v>
      </c>
      <c r="N10" s="282"/>
      <c r="O10" s="305" t="s">
        <v>117</v>
      </c>
      <c r="P10" s="35" t="s">
        <v>537</v>
      </c>
      <c r="Q10" s="34" t="s">
        <v>525</v>
      </c>
    </row>
    <row r="11" spans="1:17" x14ac:dyDescent="0.25">
      <c r="A11" s="20" t="s">
        <v>135</v>
      </c>
      <c r="B11" s="56"/>
      <c r="C11" s="55"/>
      <c r="D11" s="55"/>
      <c r="E11" s="36">
        <v>7</v>
      </c>
      <c r="F11" s="36">
        <v>3</v>
      </c>
      <c r="G11" s="36">
        <v>3</v>
      </c>
      <c r="H11" s="36">
        <v>3</v>
      </c>
      <c r="I11" s="36">
        <v>7</v>
      </c>
      <c r="J11" s="96">
        <v>9</v>
      </c>
      <c r="K11" s="36">
        <v>4</v>
      </c>
      <c r="L11" s="282">
        <v>1</v>
      </c>
      <c r="M11" s="282">
        <v>5</v>
      </c>
      <c r="N11" s="282"/>
      <c r="O11" s="305" t="s">
        <v>118</v>
      </c>
      <c r="P11" s="35" t="s">
        <v>116</v>
      </c>
      <c r="Q11" s="34" t="s">
        <v>525</v>
      </c>
    </row>
    <row r="12" spans="1:17" x14ac:dyDescent="0.25">
      <c r="A12" s="9" t="s">
        <v>357</v>
      </c>
      <c r="B12" s="55"/>
      <c r="C12" s="55"/>
      <c r="D12" s="55"/>
      <c r="E12" s="55"/>
      <c r="F12" s="55"/>
      <c r="G12" s="55"/>
      <c r="H12" s="55"/>
      <c r="I12" s="36">
        <v>11</v>
      </c>
      <c r="J12" s="96">
        <v>1</v>
      </c>
      <c r="K12" s="96">
        <v>1</v>
      </c>
      <c r="L12" s="282"/>
      <c r="M12" s="282"/>
      <c r="N12" s="284">
        <v>0</v>
      </c>
      <c r="O12" s="29" t="s">
        <v>115</v>
      </c>
      <c r="P12" s="39" t="s">
        <v>19</v>
      </c>
      <c r="Q12" s="34" t="s">
        <v>525</v>
      </c>
    </row>
    <row r="13" spans="1:17" x14ac:dyDescent="0.25">
      <c r="A13" s="9" t="s">
        <v>134</v>
      </c>
      <c r="B13" s="36">
        <v>29</v>
      </c>
      <c r="C13" s="36">
        <v>29</v>
      </c>
      <c r="D13" s="36">
        <v>29</v>
      </c>
      <c r="E13" s="36">
        <v>28</v>
      </c>
      <c r="F13" s="36">
        <v>29</v>
      </c>
      <c r="G13" s="36">
        <v>29</v>
      </c>
      <c r="H13" s="36">
        <v>28</v>
      </c>
      <c r="I13" s="36">
        <v>28</v>
      </c>
      <c r="J13" s="96">
        <v>27</v>
      </c>
      <c r="K13" s="96">
        <v>26</v>
      </c>
      <c r="L13" s="282">
        <v>25</v>
      </c>
      <c r="M13" s="282">
        <v>25</v>
      </c>
      <c r="N13" s="284"/>
      <c r="O13" s="305" t="s">
        <v>118</v>
      </c>
      <c r="P13" s="35" t="s">
        <v>116</v>
      </c>
      <c r="Q13" s="34" t="s">
        <v>525</v>
      </c>
    </row>
    <row r="14" spans="1:17" ht="33.75" customHeight="1" x14ac:dyDescent="0.25">
      <c r="A14" s="242" t="s">
        <v>356</v>
      </c>
      <c r="B14" s="52">
        <v>14.46</v>
      </c>
      <c r="C14" s="52">
        <v>13.614000000000001</v>
      </c>
      <c r="D14" s="52">
        <v>13.728</v>
      </c>
      <c r="E14" s="52">
        <v>13.852</v>
      </c>
      <c r="F14" s="52">
        <v>13.680999999999999</v>
      </c>
      <c r="G14" s="52">
        <v>14.369</v>
      </c>
      <c r="H14" s="52">
        <v>14.903</v>
      </c>
      <c r="I14" s="52">
        <v>15.584</v>
      </c>
      <c r="J14" s="52">
        <v>16.542000000000002</v>
      </c>
      <c r="K14" s="214">
        <v>16.908000000000001</v>
      </c>
      <c r="L14" s="214">
        <v>17.378</v>
      </c>
      <c r="M14" s="214">
        <v>17.545999999999999</v>
      </c>
      <c r="N14" s="285">
        <v>17.361000000000001</v>
      </c>
      <c r="O14" s="306" t="s">
        <v>539</v>
      </c>
      <c r="P14" s="263" t="s">
        <v>538</v>
      </c>
      <c r="Q14" s="34" t="s">
        <v>525</v>
      </c>
    </row>
    <row r="15" spans="1:17" x14ac:dyDescent="0.25">
      <c r="A15" s="16"/>
      <c r="B15" s="58"/>
      <c r="C15" s="58"/>
      <c r="D15" s="58"/>
      <c r="E15" s="58"/>
      <c r="F15" s="58"/>
      <c r="G15" s="58"/>
      <c r="H15" s="58"/>
      <c r="I15" s="58"/>
      <c r="J15" s="164"/>
      <c r="K15" s="211"/>
      <c r="L15" s="286"/>
      <c r="M15" s="286"/>
      <c r="N15" s="286"/>
      <c r="O15" s="165"/>
      <c r="P15" s="18"/>
      <c r="Q15" s="19"/>
    </row>
    <row r="16" spans="1:17" s="2" customFormat="1" x14ac:dyDescent="0.25">
      <c r="A16" s="8" t="s">
        <v>16</v>
      </c>
      <c r="B16" s="8">
        <v>2010</v>
      </c>
      <c r="C16" s="8">
        <v>2011</v>
      </c>
      <c r="D16" s="8">
        <v>2012</v>
      </c>
      <c r="E16" s="8">
        <v>2013</v>
      </c>
      <c r="F16" s="8">
        <v>2014</v>
      </c>
      <c r="G16" s="8">
        <v>2015</v>
      </c>
      <c r="H16" s="8">
        <v>2016</v>
      </c>
      <c r="I16" s="8">
        <v>2017</v>
      </c>
      <c r="J16" s="8">
        <v>2018</v>
      </c>
      <c r="K16" s="8">
        <v>2019</v>
      </c>
      <c r="L16" s="89">
        <v>2020</v>
      </c>
      <c r="M16" s="89">
        <v>2021</v>
      </c>
      <c r="N16" s="241">
        <v>2022</v>
      </c>
      <c r="O16" s="1" t="s">
        <v>119</v>
      </c>
      <c r="P16" s="6" t="s">
        <v>120</v>
      </c>
      <c r="Q16" s="32" t="s">
        <v>38</v>
      </c>
    </row>
    <row r="17" spans="1:27" x14ac:dyDescent="0.25">
      <c r="A17" s="9" t="s">
        <v>244</v>
      </c>
      <c r="B17" s="57">
        <v>13.298</v>
      </c>
      <c r="C17" s="57">
        <v>13.929</v>
      </c>
      <c r="D17" s="57">
        <v>13.218</v>
      </c>
      <c r="E17" s="57">
        <v>13.292999999999999</v>
      </c>
      <c r="F17" s="57">
        <v>14.313000000000001</v>
      </c>
      <c r="G17" s="57">
        <v>14.807</v>
      </c>
      <c r="H17" s="59">
        <v>15.413</v>
      </c>
      <c r="I17" s="122">
        <v>15.936</v>
      </c>
      <c r="J17" s="122">
        <v>16.091000000000001</v>
      </c>
      <c r="K17" s="57">
        <v>15.778</v>
      </c>
      <c r="L17" s="287">
        <v>13.941000000000001</v>
      </c>
      <c r="M17" s="287">
        <v>15.015000000000001</v>
      </c>
      <c r="N17" s="287"/>
      <c r="O17" s="9" t="s">
        <v>10</v>
      </c>
      <c r="P17" s="11" t="s">
        <v>111</v>
      </c>
      <c r="Q17" s="34" t="s">
        <v>525</v>
      </c>
      <c r="S17" s="33"/>
      <c r="T17" s="33"/>
      <c r="U17" s="33"/>
      <c r="V17" s="33"/>
      <c r="W17" s="33"/>
      <c r="X17" s="33"/>
      <c r="Y17" s="33"/>
      <c r="Z17" s="33"/>
    </row>
    <row r="18" spans="1:27" x14ac:dyDescent="0.25">
      <c r="A18" s="9" t="s">
        <v>239</v>
      </c>
      <c r="B18" s="57">
        <v>12.858000000000001</v>
      </c>
      <c r="C18" s="57">
        <v>12.893000000000001</v>
      </c>
      <c r="D18" s="57">
        <v>12.882</v>
      </c>
      <c r="E18" s="57">
        <v>13.215999999999999</v>
      </c>
      <c r="F18" s="57">
        <v>13.444000000000001</v>
      </c>
      <c r="G18" s="57">
        <v>13.946999999999999</v>
      </c>
      <c r="H18" s="57">
        <v>14.356</v>
      </c>
      <c r="I18" s="57">
        <v>15.484999999999999</v>
      </c>
      <c r="J18" s="57">
        <v>14.42</v>
      </c>
      <c r="K18" s="57">
        <v>14.552</v>
      </c>
      <c r="L18" s="382">
        <v>12.680999999999999</v>
      </c>
      <c r="M18" s="287">
        <v>13.936999999999999</v>
      </c>
      <c r="N18" s="287"/>
      <c r="O18" s="9" t="s">
        <v>10</v>
      </c>
      <c r="P18" s="11" t="s">
        <v>109</v>
      </c>
      <c r="Q18" s="34" t="s">
        <v>525</v>
      </c>
    </row>
    <row r="19" spans="1:27" ht="30" x14ac:dyDescent="0.25">
      <c r="A19" s="9" t="s">
        <v>261</v>
      </c>
      <c r="B19" s="57">
        <v>13.420745437372315</v>
      </c>
      <c r="C19" s="57">
        <v>13.472314103798336</v>
      </c>
      <c r="D19" s="57">
        <v>13.472314103798336</v>
      </c>
      <c r="E19" s="57">
        <v>13.820402602173989</v>
      </c>
      <c r="F19" s="57">
        <v>14.091138100910605</v>
      </c>
      <c r="G19" s="57">
        <v>14.3103049332212</v>
      </c>
      <c r="H19" s="57">
        <v>14.735837867106721</v>
      </c>
      <c r="I19" s="57">
        <v>14.903437072944332</v>
      </c>
      <c r="J19" s="93">
        <v>14.864760333135653</v>
      </c>
      <c r="K19" s="52">
        <v>14.98079055256169</v>
      </c>
      <c r="L19" s="143">
        <f>(1004*10^12)/77566/10^9</f>
        <v>12.943815589304592</v>
      </c>
      <c r="M19" s="93">
        <f>(1105*10^12)/77566/10^9</f>
        <v>14.245932496196787</v>
      </c>
      <c r="N19" s="93"/>
      <c r="O19" s="9" t="s">
        <v>10</v>
      </c>
      <c r="P19" s="23" t="s">
        <v>523</v>
      </c>
      <c r="Q19" s="34" t="s">
        <v>526</v>
      </c>
      <c r="S19" s="33"/>
      <c r="T19" s="33"/>
      <c r="U19" s="33"/>
      <c r="V19" s="33"/>
      <c r="W19" s="33"/>
      <c r="X19" s="33"/>
      <c r="Y19" s="33"/>
      <c r="Z19" s="33"/>
      <c r="AA19" s="125"/>
    </row>
    <row r="20" spans="1:27" ht="30" x14ac:dyDescent="0.25">
      <c r="A20" s="9" t="s">
        <v>262</v>
      </c>
      <c r="B20" s="78">
        <v>0.21916683231059494</v>
      </c>
      <c r="C20" s="78">
        <v>0.21916683231059494</v>
      </c>
      <c r="D20" s="78">
        <v>0.21916683231059494</v>
      </c>
      <c r="E20" s="78">
        <v>0.23205899891710055</v>
      </c>
      <c r="F20" s="78">
        <v>0.18049033249107821</v>
      </c>
      <c r="G20" s="78">
        <v>0.23205899891710055</v>
      </c>
      <c r="H20" s="78">
        <v>0.23206043885207436</v>
      </c>
      <c r="I20" s="78">
        <v>0.23206043885207436</v>
      </c>
      <c r="J20" s="78">
        <v>0.24495268545496737</v>
      </c>
      <c r="K20" s="78">
        <v>0.24495268545496737</v>
      </c>
      <c r="L20" s="143">
        <f>(19*10^12)/77566/10^9</f>
        <v>0.24495268545496737</v>
      </c>
      <c r="M20" s="153">
        <f>(21*10^12)/77566/10^9</f>
        <v>0.27073717866075342</v>
      </c>
      <c r="N20" s="153"/>
      <c r="O20" s="9" t="s">
        <v>10</v>
      </c>
      <c r="P20" s="11" t="s">
        <v>114</v>
      </c>
      <c r="Q20" s="34" t="s">
        <v>526</v>
      </c>
      <c r="S20" s="125"/>
      <c r="T20" s="125"/>
      <c r="U20" s="125"/>
      <c r="V20" s="125"/>
      <c r="W20" s="125"/>
      <c r="X20" s="125"/>
      <c r="Y20" s="125"/>
      <c r="Z20" s="125"/>
    </row>
    <row r="21" spans="1:27" ht="30" x14ac:dyDescent="0.25">
      <c r="A21" s="9" t="s">
        <v>240</v>
      </c>
      <c r="B21" s="78">
        <v>1.5665999999999999E-2</v>
      </c>
      <c r="C21" s="78">
        <v>0.17186400000000002</v>
      </c>
      <c r="D21" s="78">
        <v>0.49413000000000001</v>
      </c>
      <c r="E21" s="78">
        <v>0.37699199999999999</v>
      </c>
      <c r="F21" s="78">
        <v>7.4676000000000006E-2</v>
      </c>
      <c r="G21" s="78">
        <v>9.1518000000000002E-2</v>
      </c>
      <c r="H21" s="78">
        <v>3.6204E-2</v>
      </c>
      <c r="I21" s="102">
        <v>7.6607999999999996E-2</v>
      </c>
      <c r="J21" s="153">
        <v>5.4348E-2</v>
      </c>
      <c r="K21" s="102">
        <v>0.195048</v>
      </c>
      <c r="L21" s="153">
        <f>(3670*1000*42)/10^9</f>
        <v>0.15414</v>
      </c>
      <c r="M21" s="153">
        <f>(1447*1000*42)/10^9</f>
        <v>6.0774000000000002E-2</v>
      </c>
      <c r="N21" s="153"/>
      <c r="O21" s="9" t="s">
        <v>10</v>
      </c>
      <c r="P21" s="11" t="s">
        <v>112</v>
      </c>
      <c r="Q21" s="34" t="s">
        <v>527</v>
      </c>
      <c r="T21" s="125"/>
    </row>
    <row r="22" spans="1:27" ht="30" x14ac:dyDescent="0.25">
      <c r="A22" s="9" t="s">
        <v>241</v>
      </c>
      <c r="B22" s="78">
        <v>0.39849599999999996</v>
      </c>
      <c r="C22" s="78">
        <v>1.1951939999999999</v>
      </c>
      <c r="D22" s="78">
        <v>0.74155199999999999</v>
      </c>
      <c r="E22" s="78">
        <v>0.618954</v>
      </c>
      <c r="F22" s="78">
        <v>0.84625800000000007</v>
      </c>
      <c r="G22" s="78">
        <v>0.83206199999999997</v>
      </c>
      <c r="H22" s="78">
        <v>1.170288</v>
      </c>
      <c r="I22" s="102">
        <v>1.389864</v>
      </c>
      <c r="J22" s="153">
        <v>1.709568</v>
      </c>
      <c r="K22" s="102">
        <v>1.4666400000000002</v>
      </c>
      <c r="L22" s="153">
        <f>(31362*1000*42)/10^9</f>
        <v>1.317204</v>
      </c>
      <c r="M22" s="153">
        <f>(29803*1000*42)/10^9</f>
        <v>1.2517259999999999</v>
      </c>
      <c r="N22" s="153"/>
      <c r="O22" s="9" t="s">
        <v>10</v>
      </c>
      <c r="P22" s="11" t="s">
        <v>113</v>
      </c>
      <c r="Q22" s="34" t="s">
        <v>527</v>
      </c>
      <c r="T22" s="125"/>
    </row>
    <row r="23" spans="1:27" x14ac:dyDescent="0.25">
      <c r="A23" s="8" t="s">
        <v>260</v>
      </c>
      <c r="B23" s="8">
        <v>2010</v>
      </c>
      <c r="C23" s="8">
        <v>2011</v>
      </c>
      <c r="D23" s="8">
        <v>2012</v>
      </c>
      <c r="E23" s="8">
        <v>2013</v>
      </c>
      <c r="F23" s="8">
        <v>2014</v>
      </c>
      <c r="G23" s="8">
        <v>2015</v>
      </c>
      <c r="H23" s="8">
        <v>2016</v>
      </c>
      <c r="I23" s="8">
        <v>2017</v>
      </c>
      <c r="J23" s="8">
        <v>2018</v>
      </c>
      <c r="K23" s="8">
        <v>2019</v>
      </c>
      <c r="L23" s="8">
        <v>2020</v>
      </c>
      <c r="M23" s="8">
        <v>2021</v>
      </c>
      <c r="N23" s="8"/>
      <c r="O23" s="1" t="s">
        <v>119</v>
      </c>
      <c r="P23" s="6" t="s">
        <v>120</v>
      </c>
      <c r="Q23" s="32" t="s">
        <v>38</v>
      </c>
      <c r="T23" s="125"/>
    </row>
    <row r="24" spans="1:27" ht="60" x14ac:dyDescent="0.25">
      <c r="A24" s="9" t="s">
        <v>138</v>
      </c>
      <c r="B24" s="65">
        <v>114.77892500000002</v>
      </c>
      <c r="C24" s="65">
        <v>125.468525</v>
      </c>
      <c r="D24" s="65">
        <v>125.00080000000001</v>
      </c>
      <c r="E24" s="65">
        <v>116.02817500000002</v>
      </c>
      <c r="F24" s="65">
        <v>128.09225000000001</v>
      </c>
      <c r="G24" s="65">
        <v>130.00225</v>
      </c>
      <c r="H24" s="65">
        <v>130.59035</v>
      </c>
      <c r="I24" s="65">
        <v>135.79882500000002</v>
      </c>
      <c r="J24" s="93">
        <v>140.12067500000001</v>
      </c>
      <c r="K24" s="81">
        <v>134.40299999999999</v>
      </c>
      <c r="L24" s="92">
        <f>4856.675*0.025</f>
        <v>121.416875</v>
      </c>
      <c r="M24" s="92">
        <f>5032.504*0.025</f>
        <v>125.8126</v>
      </c>
      <c r="N24" s="92"/>
      <c r="O24" s="9" t="s">
        <v>17</v>
      </c>
      <c r="P24" s="23" t="s">
        <v>440</v>
      </c>
      <c r="Q24" s="5" t="s">
        <v>528</v>
      </c>
      <c r="T24" s="125"/>
    </row>
    <row r="25" spans="1:27" x14ac:dyDescent="0.25">
      <c r="A25" s="16"/>
      <c r="B25" s="58"/>
      <c r="C25" s="58"/>
      <c r="D25" s="58"/>
      <c r="E25" s="58"/>
      <c r="F25" s="58"/>
      <c r="G25" s="58"/>
      <c r="H25" s="58"/>
      <c r="I25" s="58"/>
      <c r="J25" s="58"/>
      <c r="K25" s="58"/>
      <c r="L25" s="54"/>
      <c r="M25" s="54"/>
      <c r="N25" s="54"/>
      <c r="O25" s="17"/>
      <c r="P25" s="18"/>
      <c r="Q25" s="19"/>
      <c r="T25" s="125"/>
    </row>
    <row r="26" spans="1:27" s="2" customFormat="1" x14ac:dyDescent="0.25">
      <c r="A26" s="8" t="s">
        <v>12</v>
      </c>
      <c r="B26" s="8">
        <v>2010</v>
      </c>
      <c r="C26" s="8">
        <v>2011</v>
      </c>
      <c r="D26" s="8">
        <v>2012</v>
      </c>
      <c r="E26" s="8">
        <v>2013</v>
      </c>
      <c r="F26" s="8">
        <v>2014</v>
      </c>
      <c r="G26" s="8">
        <v>2015</v>
      </c>
      <c r="H26" s="8">
        <v>2016</v>
      </c>
      <c r="I26" s="8">
        <v>2017</v>
      </c>
      <c r="J26" s="8">
        <v>2018</v>
      </c>
      <c r="K26" s="8">
        <v>2019</v>
      </c>
      <c r="L26" s="241">
        <v>2020</v>
      </c>
      <c r="M26" s="241">
        <v>2021</v>
      </c>
      <c r="N26" s="241">
        <v>2022</v>
      </c>
      <c r="O26" s="1" t="s">
        <v>119</v>
      </c>
      <c r="P26" s="6" t="s">
        <v>120</v>
      </c>
      <c r="Q26" s="32" t="s">
        <v>38</v>
      </c>
      <c r="T26" s="125"/>
    </row>
    <row r="27" spans="1:27" x14ac:dyDescent="0.25">
      <c r="A27" s="9" t="s">
        <v>142</v>
      </c>
      <c r="B27" s="81">
        <v>1.84</v>
      </c>
      <c r="C27" s="101">
        <v>2.56</v>
      </c>
      <c r="D27" s="81">
        <v>2.5</v>
      </c>
      <c r="E27" s="81">
        <v>2.5</v>
      </c>
      <c r="F27" s="81">
        <v>2.39</v>
      </c>
      <c r="G27" s="81">
        <v>1.82</v>
      </c>
      <c r="H27" s="81">
        <v>1.55</v>
      </c>
      <c r="I27" s="81">
        <v>1.6</v>
      </c>
      <c r="J27" s="92">
        <v>1.24</v>
      </c>
      <c r="K27" s="81">
        <v>1.32</v>
      </c>
      <c r="L27" s="92">
        <v>1.03</v>
      </c>
      <c r="M27" s="92">
        <v>1.7</v>
      </c>
      <c r="N27" s="92">
        <v>2.67</v>
      </c>
      <c r="O27" s="29" t="s">
        <v>17</v>
      </c>
      <c r="P27" s="39" t="s">
        <v>18</v>
      </c>
      <c r="Q27" s="34" t="s">
        <v>525</v>
      </c>
    </row>
    <row r="28" spans="1:27" ht="30" x14ac:dyDescent="0.25">
      <c r="A28" s="9" t="s">
        <v>265</v>
      </c>
      <c r="B28" s="92">
        <v>2.7600000000000002</v>
      </c>
      <c r="C28" s="101">
        <v>3.84</v>
      </c>
      <c r="D28" s="92">
        <v>3.75</v>
      </c>
      <c r="E28" s="92">
        <v>3.75</v>
      </c>
      <c r="F28" s="92">
        <v>3.585</v>
      </c>
      <c r="G28" s="92">
        <v>2.73</v>
      </c>
      <c r="H28" s="92">
        <v>2.3250000000000002</v>
      </c>
      <c r="I28" s="92">
        <v>2.4000000000000004</v>
      </c>
      <c r="J28" s="92">
        <v>1.8599999999999999</v>
      </c>
      <c r="K28" s="81">
        <v>1.98</v>
      </c>
      <c r="L28" s="92">
        <f>L27*1.5</f>
        <v>1.5449999999999999</v>
      </c>
      <c r="M28" s="92">
        <f>M27*1.5</f>
        <v>2.5499999999999998</v>
      </c>
      <c r="N28" s="92">
        <f>N27*1.5</f>
        <v>4.0049999999999999</v>
      </c>
      <c r="O28" s="157" t="s">
        <v>17</v>
      </c>
      <c r="P28" s="158" t="s">
        <v>18</v>
      </c>
      <c r="Q28" s="94" t="s">
        <v>529</v>
      </c>
    </row>
    <row r="29" spans="1:27" x14ac:dyDescent="0.25">
      <c r="A29" s="9" t="s">
        <v>266</v>
      </c>
      <c r="B29" s="92">
        <v>3.37</v>
      </c>
      <c r="C29" s="92">
        <v>4.38</v>
      </c>
      <c r="D29" s="92">
        <v>4.7074999999999996</v>
      </c>
      <c r="E29" s="92">
        <v>4.5025000000000004</v>
      </c>
      <c r="F29" s="92">
        <v>4.4349999999999996</v>
      </c>
      <c r="G29" s="92">
        <v>2.95</v>
      </c>
      <c r="H29" s="92">
        <v>2.4550000000000001</v>
      </c>
      <c r="I29" s="92">
        <v>2.6750000000000003</v>
      </c>
      <c r="J29" s="92">
        <v>2.9250000000000003</v>
      </c>
      <c r="K29" s="81">
        <v>2.9049999999999998</v>
      </c>
      <c r="L29" s="92">
        <v>2.59</v>
      </c>
      <c r="M29" s="92">
        <v>3.1799999999999997</v>
      </c>
      <c r="N29" s="246">
        <v>4.2349999999999994</v>
      </c>
      <c r="O29" s="113" t="s">
        <v>268</v>
      </c>
      <c r="P29" s="22" t="s">
        <v>264</v>
      </c>
      <c r="Q29" s="34" t="s">
        <v>525</v>
      </c>
    </row>
    <row r="30" spans="1:27" x14ac:dyDescent="0.25">
      <c r="A30" s="9" t="s">
        <v>267</v>
      </c>
      <c r="B30" s="92">
        <v>2.7449999999999997</v>
      </c>
      <c r="C30" s="92">
        <v>3.4775</v>
      </c>
      <c r="D30" s="92">
        <v>3.65</v>
      </c>
      <c r="E30" s="92">
        <v>3.4950000000000001</v>
      </c>
      <c r="F30" s="92">
        <v>3.5075000000000003</v>
      </c>
      <c r="G30" s="92">
        <v>2.4724999999999997</v>
      </c>
      <c r="H30" s="92">
        <v>2.13</v>
      </c>
      <c r="I30" s="92">
        <v>2.3624999999999998</v>
      </c>
      <c r="J30" s="92">
        <v>2.74</v>
      </c>
      <c r="K30" s="81">
        <v>2.6175000000000002</v>
      </c>
      <c r="L30" s="92">
        <v>2.2250000000000001</v>
      </c>
      <c r="M30" s="92">
        <v>2.87</v>
      </c>
      <c r="N30" s="92">
        <v>3.7050000000000001</v>
      </c>
      <c r="O30" s="113" t="s">
        <v>268</v>
      </c>
      <c r="P30" s="22" t="s">
        <v>264</v>
      </c>
      <c r="Q30" s="34" t="s">
        <v>525</v>
      </c>
    </row>
    <row r="31" spans="1:27" x14ac:dyDescent="0.25">
      <c r="A31" s="9" t="s">
        <v>136</v>
      </c>
      <c r="B31" s="4">
        <v>70400</v>
      </c>
      <c r="C31" s="4">
        <v>90200</v>
      </c>
      <c r="D31" s="4">
        <v>70000</v>
      </c>
      <c r="E31" s="4">
        <v>86504</v>
      </c>
      <c r="F31" s="4">
        <v>83949</v>
      </c>
      <c r="G31" s="4">
        <v>85967</v>
      </c>
      <c r="H31" s="4">
        <v>74420</v>
      </c>
      <c r="I31" s="36">
        <v>71906</v>
      </c>
      <c r="J31" s="96">
        <v>71637</v>
      </c>
      <c r="K31" s="307">
        <v>68542</v>
      </c>
      <c r="L31" s="299">
        <v>62180</v>
      </c>
      <c r="M31" s="299">
        <v>73193</v>
      </c>
      <c r="N31" s="253"/>
      <c r="O31" s="9" t="s">
        <v>13</v>
      </c>
      <c r="P31" s="11" t="s">
        <v>116</v>
      </c>
      <c r="Q31" s="34" t="s">
        <v>525</v>
      </c>
    </row>
    <row r="32" spans="1:27" x14ac:dyDescent="0.25">
      <c r="A32" s="5" t="s">
        <v>137</v>
      </c>
      <c r="B32" s="4">
        <v>329600</v>
      </c>
      <c r="C32" s="4">
        <v>311400</v>
      </c>
      <c r="D32" s="4">
        <v>295000</v>
      </c>
      <c r="E32" s="4">
        <v>300277</v>
      </c>
      <c r="F32" s="4">
        <v>295265</v>
      </c>
      <c r="G32" s="4">
        <v>271440</v>
      </c>
      <c r="H32" s="4">
        <v>264756</v>
      </c>
      <c r="I32" s="36">
        <v>285587</v>
      </c>
      <c r="J32" s="96">
        <v>294516</v>
      </c>
      <c r="K32" s="307">
        <v>277389</v>
      </c>
      <c r="L32" s="299">
        <v>242600</v>
      </c>
      <c r="M32" s="299">
        <v>334220</v>
      </c>
      <c r="N32" s="113"/>
      <c r="O32" s="9" t="s">
        <v>13</v>
      </c>
      <c r="P32" s="11" t="s">
        <v>116</v>
      </c>
      <c r="Q32" s="34" t="s">
        <v>525</v>
      </c>
    </row>
    <row r="33" spans="1:17" x14ac:dyDescent="0.25">
      <c r="A33" s="9" t="s">
        <v>139</v>
      </c>
      <c r="B33" s="4">
        <v>54</v>
      </c>
      <c r="C33" s="65">
        <v>42.4</v>
      </c>
      <c r="D33" s="65">
        <v>40.6</v>
      </c>
      <c r="E33" s="4">
        <v>44</v>
      </c>
      <c r="F33" s="4">
        <v>53</v>
      </c>
      <c r="G33" s="4">
        <v>44</v>
      </c>
      <c r="H33" s="4">
        <v>42</v>
      </c>
      <c r="I33" s="36">
        <v>45</v>
      </c>
      <c r="J33" s="96">
        <v>46</v>
      </c>
      <c r="K33" s="36">
        <v>43</v>
      </c>
      <c r="L33" s="96">
        <v>34.700000000000003</v>
      </c>
      <c r="M33" s="96">
        <v>52.1</v>
      </c>
      <c r="N33" s="96"/>
      <c r="O33" s="9" t="s">
        <v>13</v>
      </c>
      <c r="P33" s="11" t="s">
        <v>116</v>
      </c>
      <c r="Q33" s="34" t="s">
        <v>525</v>
      </c>
    </row>
    <row r="34" spans="1:17" x14ac:dyDescent="0.25">
      <c r="A34" s="9" t="s">
        <v>140</v>
      </c>
      <c r="B34" s="4">
        <v>36</v>
      </c>
      <c r="C34" s="65">
        <v>29.9</v>
      </c>
      <c r="D34" s="65">
        <v>29.9</v>
      </c>
      <c r="E34" s="4">
        <v>31</v>
      </c>
      <c r="F34" s="4">
        <v>27</v>
      </c>
      <c r="G34" s="4">
        <v>24</v>
      </c>
      <c r="H34" s="4">
        <v>23</v>
      </c>
      <c r="I34" s="36">
        <v>24</v>
      </c>
      <c r="J34" s="96">
        <v>25</v>
      </c>
      <c r="K34" s="36">
        <v>23.3</v>
      </c>
      <c r="L34" s="96">
        <v>18.600000000000001</v>
      </c>
      <c r="M34" s="96">
        <v>28.7</v>
      </c>
      <c r="N34" s="96"/>
      <c r="O34" s="9" t="s">
        <v>13</v>
      </c>
      <c r="P34" s="11" t="s">
        <v>116</v>
      </c>
      <c r="Q34" s="34" t="s">
        <v>525</v>
      </c>
    </row>
    <row r="35" spans="1:17" ht="45" x14ac:dyDescent="0.25">
      <c r="A35" s="9" t="s">
        <v>141</v>
      </c>
      <c r="B35" s="60"/>
      <c r="C35" s="60"/>
      <c r="D35" s="74">
        <v>8.5</v>
      </c>
      <c r="E35" s="4">
        <v>8.3000000000000007</v>
      </c>
      <c r="F35" s="4">
        <v>10.3</v>
      </c>
      <c r="G35" s="4">
        <v>8.6999999999999993</v>
      </c>
      <c r="H35" s="4">
        <v>8.5</v>
      </c>
      <c r="I35" s="36">
        <v>10.7</v>
      </c>
      <c r="J35" s="96">
        <v>8.8000000000000007</v>
      </c>
      <c r="K35" s="36">
        <v>7.9</v>
      </c>
      <c r="L35" s="96">
        <v>6.3</v>
      </c>
      <c r="M35" s="96">
        <v>10.4</v>
      </c>
      <c r="N35" s="96"/>
      <c r="O35" s="9" t="s">
        <v>13</v>
      </c>
      <c r="P35" s="23" t="s">
        <v>570</v>
      </c>
      <c r="Q35" s="34" t="s">
        <v>525</v>
      </c>
    </row>
    <row r="36" spans="1:17" x14ac:dyDescent="0.25">
      <c r="A36" s="28" t="s">
        <v>335</v>
      </c>
      <c r="B36" s="81">
        <v>79.48</v>
      </c>
      <c r="C36" s="81">
        <v>94.88</v>
      </c>
      <c r="D36" s="81">
        <v>94.05</v>
      </c>
      <c r="E36" s="81">
        <v>97.98</v>
      </c>
      <c r="F36" s="81">
        <v>93.17</v>
      </c>
      <c r="G36" s="81">
        <v>48.66</v>
      </c>
      <c r="H36" s="81">
        <v>43.29</v>
      </c>
      <c r="I36" s="81">
        <v>50.8</v>
      </c>
      <c r="J36" s="92">
        <v>65.23</v>
      </c>
      <c r="K36" s="81">
        <v>56.99</v>
      </c>
      <c r="L36" s="92">
        <v>39.68</v>
      </c>
      <c r="M36" s="92">
        <v>68.17</v>
      </c>
      <c r="N36" s="92">
        <v>101.51</v>
      </c>
      <c r="O36" s="91" t="s">
        <v>339</v>
      </c>
      <c r="P36" s="116" t="s">
        <v>338</v>
      </c>
      <c r="Q36" s="34" t="s">
        <v>525</v>
      </c>
    </row>
    <row r="37" spans="1:17" x14ac:dyDescent="0.25">
      <c r="A37" s="22"/>
    </row>
    <row r="118" spans="2:16" x14ac:dyDescent="0.25">
      <c r="B118"/>
      <c r="C118"/>
      <c r="D118"/>
      <c r="E118"/>
      <c r="F118"/>
      <c r="G118"/>
      <c r="H118"/>
      <c r="I118"/>
      <c r="J118"/>
      <c r="K118"/>
      <c r="L118"/>
      <c r="M118"/>
      <c r="N118"/>
      <c r="O118"/>
      <c r="P118"/>
    </row>
    <row r="119" spans="2:16" x14ac:dyDescent="0.25">
      <c r="B119"/>
      <c r="C119"/>
      <c r="D119"/>
      <c r="E119"/>
      <c r="F119"/>
      <c r="G119"/>
      <c r="H119"/>
      <c r="I119"/>
      <c r="J119"/>
      <c r="K119"/>
      <c r="L119"/>
      <c r="M119"/>
      <c r="N119"/>
      <c r="O119"/>
      <c r="P119"/>
    </row>
    <row r="120" spans="2:16" x14ac:dyDescent="0.25">
      <c r="B120" s="251"/>
      <c r="C120" s="251"/>
      <c r="D120" s="251"/>
      <c r="E120" s="251"/>
      <c r="F120" s="251"/>
      <c r="G120" s="251"/>
      <c r="H120" s="251"/>
      <c r="I120" s="251"/>
      <c r="J120" s="251"/>
      <c r="K120" s="251"/>
      <c r="L120" s="251"/>
      <c r="M120" s="251"/>
      <c r="N120" s="251"/>
      <c r="O120"/>
      <c r="P120"/>
    </row>
    <row r="121" spans="2:16" x14ac:dyDescent="0.25">
      <c r="B121"/>
      <c r="C121"/>
      <c r="D121"/>
      <c r="E121"/>
      <c r="F121"/>
      <c r="G121"/>
      <c r="H121"/>
      <c r="I121"/>
      <c r="J121"/>
      <c r="K121"/>
      <c r="L121"/>
      <c r="M121"/>
      <c r="N121"/>
      <c r="O121"/>
      <c r="P121"/>
    </row>
    <row r="122" spans="2:16" x14ac:dyDescent="0.25">
      <c r="B122" s="125"/>
      <c r="C122" s="125"/>
      <c r="D122" s="125"/>
      <c r="E122" s="125"/>
      <c r="F122" s="125"/>
      <c r="G122" s="125"/>
      <c r="H122" s="125"/>
      <c r="I122" s="125"/>
      <c r="J122" s="125"/>
      <c r="K122" s="125"/>
      <c r="L122" s="125"/>
      <c r="M122" s="125"/>
    </row>
    <row r="123" spans="2:16" x14ac:dyDescent="0.25">
      <c r="G123"/>
      <c r="H123"/>
      <c r="I123"/>
      <c r="J123"/>
      <c r="K123"/>
      <c r="L123"/>
      <c r="M123"/>
      <c r="N123"/>
    </row>
    <row r="124" spans="2:16" x14ac:dyDescent="0.25">
      <c r="G124"/>
      <c r="H124"/>
      <c r="I124"/>
      <c r="J124"/>
      <c r="K124"/>
      <c r="L124"/>
      <c r="M124"/>
      <c r="N124"/>
    </row>
    <row r="125" spans="2:16" x14ac:dyDescent="0.25">
      <c r="C125" s="146"/>
      <c r="G125"/>
      <c r="H125"/>
      <c r="I125"/>
      <c r="J125"/>
      <c r="K125"/>
      <c r="L125"/>
      <c r="M125"/>
      <c r="N125"/>
    </row>
    <row r="126" spans="2:16" x14ac:dyDescent="0.25">
      <c r="C126" s="146"/>
      <c r="G126"/>
      <c r="H126"/>
      <c r="I126"/>
      <c r="J126"/>
      <c r="K126"/>
      <c r="L126"/>
      <c r="M126"/>
      <c r="N126"/>
    </row>
    <row r="127" spans="2:16" x14ac:dyDescent="0.25">
      <c r="C127" s="146"/>
      <c r="G127"/>
      <c r="H127"/>
      <c r="I127"/>
      <c r="J127"/>
      <c r="K127"/>
      <c r="L127"/>
      <c r="M127"/>
      <c r="N127"/>
    </row>
    <row r="128" spans="2:16" x14ac:dyDescent="0.25">
      <c r="C128" s="146"/>
      <c r="G128"/>
      <c r="H128"/>
      <c r="I128"/>
      <c r="J128"/>
      <c r="K128"/>
      <c r="L128"/>
      <c r="M128"/>
      <c r="N128"/>
    </row>
    <row r="129" spans="2:16" x14ac:dyDescent="0.25">
      <c r="C129" s="146"/>
      <c r="G129"/>
      <c r="H129"/>
      <c r="I129"/>
      <c r="J129"/>
      <c r="K129"/>
      <c r="L129"/>
      <c r="M129"/>
      <c r="N129"/>
    </row>
    <row r="130" spans="2:16" x14ac:dyDescent="0.25">
      <c r="C130" s="146"/>
      <c r="G130"/>
      <c r="H130"/>
      <c r="I130"/>
      <c r="J130"/>
      <c r="K130"/>
      <c r="L130"/>
      <c r="M130"/>
      <c r="N130"/>
    </row>
    <row r="131" spans="2:16" x14ac:dyDescent="0.25">
      <c r="C131" s="146"/>
      <c r="G131"/>
      <c r="H131"/>
      <c r="I131"/>
      <c r="J131"/>
      <c r="K131"/>
      <c r="L131"/>
      <c r="M131"/>
      <c r="N131"/>
    </row>
    <row r="132" spans="2:16" x14ac:dyDescent="0.25">
      <c r="C132" s="146"/>
      <c r="G132"/>
      <c r="H132"/>
      <c r="I132"/>
      <c r="J132"/>
      <c r="K132"/>
      <c r="L132"/>
      <c r="M132"/>
      <c r="N132"/>
    </row>
    <row r="133" spans="2:16" x14ac:dyDescent="0.25">
      <c r="G133"/>
      <c r="H133"/>
      <c r="I133"/>
      <c r="J133"/>
      <c r="K133"/>
      <c r="L133"/>
      <c r="M133"/>
      <c r="N133"/>
    </row>
    <row r="134" spans="2:16" x14ac:dyDescent="0.25">
      <c r="G134"/>
      <c r="H134"/>
      <c r="I134"/>
      <c r="J134"/>
      <c r="K134"/>
      <c r="L134"/>
      <c r="M134"/>
      <c r="N134"/>
    </row>
    <row r="135" spans="2:16" x14ac:dyDescent="0.25">
      <c r="G135"/>
      <c r="H135"/>
      <c r="I135"/>
      <c r="J135"/>
      <c r="K135"/>
      <c r="L135"/>
      <c r="M135"/>
      <c r="N135"/>
    </row>
    <row r="136" spans="2:16" x14ac:dyDescent="0.25">
      <c r="G136"/>
      <c r="H136"/>
      <c r="I136"/>
      <c r="J136"/>
      <c r="K136"/>
      <c r="L136"/>
      <c r="M136"/>
      <c r="N136"/>
    </row>
    <row r="137" spans="2:16" x14ac:dyDescent="0.25">
      <c r="G137"/>
      <c r="H137"/>
      <c r="I137"/>
      <c r="J137"/>
      <c r="K137"/>
      <c r="L137"/>
      <c r="M137"/>
      <c r="N137"/>
    </row>
    <row r="138" spans="2:16" x14ac:dyDescent="0.25">
      <c r="G138"/>
      <c r="H138"/>
      <c r="I138"/>
      <c r="J138"/>
      <c r="K138"/>
      <c r="L138"/>
      <c r="M138"/>
      <c r="N138"/>
    </row>
    <row r="139" spans="2:16" x14ac:dyDescent="0.25">
      <c r="G139"/>
      <c r="H139"/>
      <c r="I139"/>
      <c r="J139"/>
      <c r="K139"/>
      <c r="L139"/>
      <c r="M139"/>
      <c r="N139"/>
    </row>
    <row r="140" spans="2:16" x14ac:dyDescent="0.25">
      <c r="G140"/>
      <c r="H140"/>
      <c r="I140"/>
      <c r="J140"/>
      <c r="K140"/>
      <c r="L140"/>
      <c r="M140"/>
      <c r="N140"/>
    </row>
    <row r="141" spans="2:16" x14ac:dyDescent="0.25">
      <c r="B141"/>
      <c r="C141"/>
      <c r="D141"/>
      <c r="E141"/>
      <c r="F141"/>
      <c r="G141"/>
      <c r="H141"/>
      <c r="I141"/>
      <c r="J141"/>
      <c r="K141"/>
      <c r="L141"/>
      <c r="M141"/>
      <c r="N141"/>
      <c r="O141"/>
      <c r="P141"/>
    </row>
    <row r="142" spans="2:16" x14ac:dyDescent="0.25">
      <c r="B142"/>
      <c r="C142"/>
      <c r="D142"/>
      <c r="E142"/>
      <c r="F142"/>
      <c r="G142"/>
      <c r="H142"/>
      <c r="I142"/>
      <c r="J142"/>
      <c r="K142"/>
      <c r="L142"/>
      <c r="M142"/>
      <c r="N142"/>
      <c r="O142"/>
      <c r="P142"/>
    </row>
    <row r="143" spans="2:16" x14ac:dyDescent="0.25">
      <c r="B143"/>
      <c r="C143"/>
      <c r="D143"/>
      <c r="E143"/>
      <c r="F143"/>
      <c r="G143"/>
      <c r="H143"/>
      <c r="I143"/>
      <c r="J143"/>
      <c r="K143"/>
      <c r="L143"/>
      <c r="M143"/>
      <c r="N143"/>
      <c r="O143"/>
      <c r="P143"/>
    </row>
    <row r="144" spans="2:16" x14ac:dyDescent="0.25">
      <c r="B144"/>
      <c r="C144"/>
      <c r="D144"/>
      <c r="E144"/>
      <c r="F144"/>
      <c r="G144"/>
      <c r="H144"/>
      <c r="I144"/>
      <c r="J144"/>
      <c r="K144"/>
      <c r="L144"/>
      <c r="M144"/>
      <c r="N144"/>
      <c r="O144"/>
      <c r="P144"/>
    </row>
    <row r="145" spans="2:16" x14ac:dyDescent="0.25">
      <c r="B145"/>
      <c r="C145"/>
      <c r="D145"/>
      <c r="E145"/>
      <c r="F145"/>
      <c r="G145"/>
      <c r="H145"/>
      <c r="I145"/>
      <c r="J145"/>
      <c r="K145"/>
      <c r="L145"/>
      <c r="M145"/>
      <c r="N145"/>
      <c r="O145"/>
      <c r="P145"/>
    </row>
    <row r="146" spans="2:16" x14ac:dyDescent="0.25">
      <c r="B146"/>
      <c r="C146"/>
      <c r="D146"/>
      <c r="E146"/>
      <c r="F146"/>
      <c r="G146"/>
      <c r="H146"/>
      <c r="I146"/>
      <c r="J146"/>
      <c r="K146"/>
      <c r="L146"/>
      <c r="M146"/>
      <c r="N146"/>
      <c r="O146"/>
      <c r="P146"/>
    </row>
    <row r="147" spans="2:16" x14ac:dyDescent="0.25">
      <c r="B147"/>
      <c r="C147"/>
      <c r="D147"/>
      <c r="E147"/>
      <c r="F147"/>
      <c r="G147"/>
      <c r="H147"/>
      <c r="I147"/>
      <c r="J147"/>
      <c r="K147"/>
      <c r="L147"/>
      <c r="M147"/>
      <c r="N147"/>
      <c r="O147"/>
      <c r="P147"/>
    </row>
    <row r="148" spans="2:16" x14ac:dyDescent="0.25">
      <c r="B148"/>
      <c r="C148"/>
      <c r="D148"/>
      <c r="E148"/>
      <c r="F148"/>
      <c r="G148"/>
      <c r="H148"/>
      <c r="I148"/>
      <c r="J148"/>
      <c r="K148"/>
      <c r="L148"/>
      <c r="M148"/>
      <c r="N148"/>
      <c r="O148"/>
      <c r="P148"/>
    </row>
    <row r="149" spans="2:16" x14ac:dyDescent="0.25">
      <c r="B149"/>
      <c r="C149"/>
      <c r="D149"/>
      <c r="E149"/>
      <c r="F149"/>
      <c r="G149"/>
      <c r="H149"/>
      <c r="I149"/>
      <c r="J149"/>
      <c r="K149"/>
      <c r="L149"/>
      <c r="M149"/>
      <c r="N149"/>
      <c r="O149"/>
      <c r="P149"/>
    </row>
    <row r="150" spans="2:16" x14ac:dyDescent="0.25">
      <c r="B150"/>
      <c r="C150"/>
      <c r="D150"/>
      <c r="E150"/>
      <c r="F150"/>
      <c r="G150"/>
      <c r="H150"/>
      <c r="I150"/>
      <c r="J150"/>
      <c r="K150"/>
      <c r="L150"/>
      <c r="M150"/>
      <c r="N150"/>
      <c r="O150"/>
      <c r="P150"/>
    </row>
    <row r="151" spans="2:16" x14ac:dyDescent="0.25">
      <c r="B151"/>
      <c r="C151"/>
      <c r="D151"/>
      <c r="E151"/>
      <c r="F151"/>
      <c r="G151"/>
      <c r="H151"/>
      <c r="I151"/>
      <c r="J151"/>
      <c r="K151"/>
      <c r="L151"/>
      <c r="M151"/>
      <c r="N151"/>
      <c r="O151"/>
      <c r="P151"/>
    </row>
    <row r="152" spans="2:16" x14ac:dyDescent="0.25">
      <c r="B152"/>
      <c r="C152"/>
      <c r="D152"/>
      <c r="E152"/>
      <c r="F152"/>
      <c r="G152"/>
      <c r="H152"/>
      <c r="I152"/>
      <c r="J152"/>
      <c r="K152"/>
      <c r="L152"/>
      <c r="M152"/>
      <c r="N152"/>
      <c r="O152"/>
      <c r="P152"/>
    </row>
    <row r="153" spans="2:16" x14ac:dyDescent="0.25">
      <c r="B153"/>
      <c r="C153"/>
      <c r="D153"/>
      <c r="E153"/>
      <c r="F153"/>
      <c r="G153"/>
      <c r="H153"/>
      <c r="I153"/>
      <c r="J153"/>
      <c r="K153"/>
      <c r="L153"/>
      <c r="M153"/>
      <c r="N153"/>
      <c r="O153"/>
      <c r="P153"/>
    </row>
    <row r="154" spans="2:16" x14ac:dyDescent="0.25">
      <c r="B154"/>
      <c r="C154"/>
      <c r="D154"/>
      <c r="E154"/>
      <c r="F154"/>
      <c r="G154"/>
      <c r="H154"/>
      <c r="I154"/>
      <c r="J154"/>
      <c r="K154"/>
      <c r="L154"/>
      <c r="M154"/>
      <c r="N154"/>
      <c r="O154"/>
      <c r="P154"/>
    </row>
    <row r="155" spans="2:16" x14ac:dyDescent="0.25">
      <c r="B155"/>
      <c r="C155"/>
      <c r="D155"/>
      <c r="E155"/>
      <c r="F155"/>
      <c r="G155"/>
      <c r="H155"/>
      <c r="I155"/>
      <c r="J155"/>
      <c r="K155"/>
      <c r="L155"/>
      <c r="M155"/>
      <c r="N155"/>
      <c r="O155"/>
      <c r="P155"/>
    </row>
    <row r="156" spans="2:16" x14ac:dyDescent="0.25">
      <c r="B156"/>
      <c r="C156"/>
      <c r="D156"/>
      <c r="E156"/>
      <c r="F156"/>
      <c r="G156"/>
      <c r="H156"/>
      <c r="I156"/>
      <c r="J156"/>
      <c r="K156"/>
      <c r="L156"/>
      <c r="M156"/>
      <c r="N156"/>
      <c r="O156"/>
      <c r="P156"/>
    </row>
    <row r="157" spans="2:16" x14ac:dyDescent="0.25">
      <c r="B157"/>
      <c r="C157"/>
      <c r="D157"/>
      <c r="E157"/>
      <c r="F157"/>
      <c r="G157"/>
      <c r="H157"/>
      <c r="I157"/>
      <c r="J157"/>
      <c r="K157"/>
      <c r="L157"/>
      <c r="M157"/>
      <c r="N157"/>
      <c r="O157"/>
      <c r="P157"/>
    </row>
    <row r="158" spans="2:16" x14ac:dyDescent="0.25">
      <c r="B158"/>
      <c r="C158"/>
      <c r="D158"/>
      <c r="E158"/>
      <c r="F158"/>
      <c r="G158"/>
      <c r="H158"/>
      <c r="I158"/>
      <c r="J158"/>
      <c r="K158"/>
      <c r="L158"/>
      <c r="M158"/>
      <c r="N158"/>
      <c r="O158"/>
      <c r="P158"/>
    </row>
    <row r="159" spans="2:16" x14ac:dyDescent="0.25">
      <c r="B159"/>
      <c r="C159"/>
      <c r="D159"/>
      <c r="E159"/>
      <c r="F159"/>
      <c r="G159"/>
      <c r="H159"/>
      <c r="I159"/>
      <c r="J159"/>
      <c r="K159"/>
      <c r="L159"/>
      <c r="M159"/>
      <c r="N159"/>
      <c r="O159"/>
      <c r="P159"/>
    </row>
    <row r="160" spans="2:16" x14ac:dyDescent="0.25">
      <c r="B160"/>
      <c r="C160"/>
      <c r="D160"/>
      <c r="E160"/>
      <c r="F160"/>
      <c r="G160"/>
      <c r="H160"/>
      <c r="I160"/>
      <c r="J160"/>
      <c r="K160"/>
      <c r="L160"/>
      <c r="M160"/>
      <c r="N160"/>
      <c r="O160"/>
      <c r="P160"/>
    </row>
    <row r="161" spans="2:16" x14ac:dyDescent="0.25">
      <c r="B161"/>
      <c r="C161"/>
      <c r="D161"/>
      <c r="E161"/>
      <c r="F161"/>
      <c r="G161"/>
      <c r="H161"/>
      <c r="I161"/>
      <c r="J161"/>
      <c r="K161"/>
      <c r="L161"/>
      <c r="M161"/>
      <c r="N161"/>
      <c r="O161"/>
      <c r="P161"/>
    </row>
    <row r="162" spans="2:16" x14ac:dyDescent="0.25">
      <c r="B162"/>
      <c r="C162"/>
      <c r="D162"/>
      <c r="E162"/>
      <c r="F162"/>
      <c r="G162"/>
      <c r="H162"/>
      <c r="I162"/>
      <c r="J162"/>
      <c r="K162"/>
      <c r="L162"/>
      <c r="M162"/>
      <c r="N162"/>
      <c r="O162"/>
      <c r="P162"/>
    </row>
    <row r="163" spans="2:16" x14ac:dyDescent="0.25">
      <c r="B163"/>
      <c r="C163"/>
      <c r="D163"/>
      <c r="E163"/>
      <c r="F163"/>
      <c r="G163"/>
      <c r="H163"/>
      <c r="I163"/>
      <c r="J163"/>
      <c r="K163"/>
      <c r="L163"/>
      <c r="M163"/>
      <c r="N163"/>
      <c r="O163"/>
      <c r="P163"/>
    </row>
    <row r="164" spans="2:16" x14ac:dyDescent="0.25">
      <c r="B164"/>
      <c r="C164"/>
      <c r="D164"/>
      <c r="E164"/>
      <c r="F164"/>
      <c r="G164"/>
      <c r="H164"/>
      <c r="I164"/>
      <c r="J164"/>
      <c r="K164"/>
      <c r="L164"/>
      <c r="M164"/>
      <c r="N164"/>
      <c r="O164"/>
      <c r="P164"/>
    </row>
    <row r="165" spans="2:16" x14ac:dyDescent="0.25">
      <c r="B165"/>
      <c r="C165"/>
      <c r="D165"/>
      <c r="E165"/>
      <c r="F165"/>
      <c r="G165"/>
      <c r="H165"/>
      <c r="I165"/>
      <c r="J165"/>
      <c r="K165"/>
      <c r="L165"/>
      <c r="M165"/>
      <c r="N165"/>
      <c r="O165"/>
      <c r="P165"/>
    </row>
    <row r="166" spans="2:16" x14ac:dyDescent="0.25">
      <c r="B166"/>
      <c r="C166"/>
      <c r="D166"/>
      <c r="E166"/>
      <c r="F166"/>
      <c r="G166"/>
      <c r="H166"/>
      <c r="I166"/>
      <c r="J166"/>
      <c r="K166"/>
      <c r="L166"/>
      <c r="M166"/>
      <c r="N166"/>
      <c r="O166"/>
      <c r="P166"/>
    </row>
    <row r="167" spans="2:16" x14ac:dyDescent="0.25">
      <c r="B167"/>
      <c r="C167"/>
      <c r="D167"/>
      <c r="E167"/>
      <c r="F167"/>
      <c r="G167"/>
      <c r="H167"/>
      <c r="I167"/>
      <c r="J167"/>
      <c r="K167"/>
      <c r="L167"/>
      <c r="M167"/>
      <c r="N167"/>
      <c r="O167"/>
      <c r="P167"/>
    </row>
    <row r="168" spans="2:16" x14ac:dyDescent="0.25">
      <c r="B168"/>
      <c r="C168"/>
      <c r="D168"/>
      <c r="E168"/>
      <c r="F168"/>
      <c r="G168"/>
      <c r="H168"/>
      <c r="I168"/>
      <c r="J168"/>
      <c r="K168"/>
      <c r="L168"/>
      <c r="M168"/>
      <c r="N168"/>
      <c r="O168"/>
      <c r="P168"/>
    </row>
    <row r="169" spans="2:16" x14ac:dyDescent="0.25">
      <c r="B169"/>
      <c r="C169"/>
      <c r="D169"/>
      <c r="E169"/>
      <c r="F169"/>
      <c r="G169"/>
      <c r="H169"/>
      <c r="I169"/>
      <c r="J169"/>
      <c r="K169"/>
      <c r="L169"/>
      <c r="M169"/>
      <c r="N169"/>
      <c r="O169"/>
      <c r="P169"/>
    </row>
    <row r="170" spans="2:16" x14ac:dyDescent="0.25">
      <c r="B170"/>
      <c r="C170"/>
      <c r="D170"/>
      <c r="E170"/>
      <c r="F170"/>
      <c r="G170"/>
      <c r="H170"/>
      <c r="I170"/>
      <c r="J170"/>
      <c r="K170"/>
      <c r="L170"/>
      <c r="M170"/>
      <c r="N170"/>
      <c r="O170"/>
      <c r="P170"/>
    </row>
    <row r="171" spans="2:16" x14ac:dyDescent="0.25">
      <c r="B171"/>
      <c r="C171"/>
      <c r="D171"/>
      <c r="E171"/>
      <c r="F171"/>
      <c r="G171"/>
      <c r="H171"/>
      <c r="I171"/>
      <c r="J171"/>
      <c r="K171"/>
      <c r="L171"/>
      <c r="M171"/>
      <c r="N171"/>
      <c r="O171"/>
      <c r="P171"/>
    </row>
    <row r="172" spans="2:16" x14ac:dyDescent="0.25">
      <c r="B172"/>
      <c r="C172"/>
      <c r="D172"/>
      <c r="E172"/>
      <c r="F172"/>
      <c r="G172"/>
      <c r="H172"/>
      <c r="I172"/>
      <c r="J172"/>
      <c r="K172"/>
      <c r="L172"/>
      <c r="M172"/>
      <c r="N172"/>
      <c r="O172"/>
      <c r="P172"/>
    </row>
    <row r="173" spans="2:16" x14ac:dyDescent="0.25">
      <c r="B173"/>
      <c r="C173"/>
      <c r="D173"/>
      <c r="E173"/>
      <c r="F173"/>
      <c r="G173"/>
      <c r="H173"/>
      <c r="I173"/>
      <c r="J173"/>
      <c r="K173"/>
      <c r="L173"/>
      <c r="M173"/>
      <c r="N173"/>
      <c r="O173"/>
      <c r="P173"/>
    </row>
    <row r="174" spans="2:16" x14ac:dyDescent="0.25">
      <c r="B174"/>
      <c r="C174"/>
      <c r="D174"/>
      <c r="E174"/>
      <c r="F174"/>
      <c r="G174"/>
      <c r="H174"/>
      <c r="I174"/>
      <c r="J174"/>
      <c r="K174"/>
      <c r="L174"/>
      <c r="M174"/>
      <c r="N174"/>
      <c r="O174"/>
      <c r="P174"/>
    </row>
    <row r="175" spans="2:16" x14ac:dyDescent="0.25">
      <c r="B175"/>
      <c r="C175"/>
      <c r="D175"/>
      <c r="E175"/>
      <c r="F175"/>
      <c r="G175"/>
      <c r="H175"/>
      <c r="I175"/>
      <c r="J175"/>
      <c r="K175"/>
      <c r="L175"/>
      <c r="M175"/>
      <c r="N175"/>
      <c r="O175"/>
      <c r="P175"/>
    </row>
    <row r="176" spans="2:16" x14ac:dyDescent="0.25">
      <c r="B176"/>
      <c r="C176"/>
      <c r="D176"/>
      <c r="E176"/>
      <c r="F176"/>
      <c r="G176"/>
      <c r="H176"/>
      <c r="I176"/>
      <c r="J176"/>
      <c r="K176"/>
      <c r="L176"/>
      <c r="M176"/>
      <c r="N176"/>
      <c r="O176"/>
      <c r="P176"/>
    </row>
    <row r="177" spans="2:16" x14ac:dyDescent="0.25">
      <c r="B177"/>
      <c r="C177"/>
      <c r="D177"/>
      <c r="E177"/>
      <c r="F177"/>
      <c r="G177"/>
      <c r="H177"/>
      <c r="I177"/>
      <c r="J177"/>
      <c r="K177"/>
      <c r="L177"/>
      <c r="M177"/>
      <c r="N177"/>
      <c r="O177"/>
      <c r="P177"/>
    </row>
  </sheetData>
  <mergeCells count="1">
    <mergeCell ref="A1:A2"/>
  </mergeCells>
  <hyperlinks>
    <hyperlink ref="P6" r:id="rId1" display="http://ethanolproducer.com/plants/listplants/US/Existing/Cellulosic" xr:uid="{00000000-0004-0000-0A00-000000000000}"/>
    <hyperlink ref="P10" r:id="rId2" display="http://www.ethanolrfa.org/resources/publications/" xr:uid="{00000000-0004-0000-0A00-000001000000}"/>
    <hyperlink ref="P5" r:id="rId3" display="http://ethanolproducer.com/plants/listplants/US/Existing/Sugar-Starch/" xr:uid="{00000000-0004-0000-0A00-000002000000}"/>
    <hyperlink ref="P12" r:id="rId4" xr:uid="{00000000-0004-0000-0A00-000003000000}"/>
    <hyperlink ref="P27" r:id="rId5" xr:uid="{00000000-0004-0000-0A00-000005000000}"/>
    <hyperlink ref="P18" r:id="rId6" xr:uid="{00000000-0004-0000-0A00-000008000000}"/>
    <hyperlink ref="P20" r:id="rId7" xr:uid="{00000000-0004-0000-0A00-000009000000}"/>
    <hyperlink ref="P21" r:id="rId8" xr:uid="{00000000-0004-0000-0A00-00000A000000}"/>
    <hyperlink ref="P28" r:id="rId9" xr:uid="{00000000-0004-0000-0A00-00000B000000}"/>
    <hyperlink ref="P29" r:id="rId10" xr:uid="{00000000-0004-0000-0A00-00000C000000}"/>
    <hyperlink ref="P30" r:id="rId11" xr:uid="{00000000-0004-0000-0A00-00000D000000}"/>
    <hyperlink ref="P17" r:id="rId12" xr:uid="{1FA6871A-51FA-450C-96FF-4FF1F8B295FA}"/>
    <hyperlink ref="P22" r:id="rId13" xr:uid="{4B17CA44-D5E1-4492-BC21-C67D37932581}"/>
    <hyperlink ref="P36" r:id="rId14" xr:uid="{D2AE8F7A-45C3-4F0B-BCF6-04A4C6C1FCD5}"/>
    <hyperlink ref="P7" r:id="rId15" display="http://ethanolproducer.com/plants/listplants/US/Existing/Cellulosic" xr:uid="{D83D48B7-F9B7-4E60-8BEA-193E3CF4A68D}"/>
    <hyperlink ref="P4" r:id="rId16" xr:uid="{B4BCBB12-EBD7-4AE4-B4B7-23A3A6DB880F}"/>
    <hyperlink ref="P13" r:id="rId17" xr:uid="{E09B9B52-2651-48A1-8615-C90E4EFA87AC}"/>
    <hyperlink ref="P19" r:id="rId18" xr:uid="{00000000-0004-0000-0A00-000007000000}"/>
    <hyperlink ref="P24" r:id="rId19" location=":~:text=Ethanol%2C%20made%20mostly%20from%20corn,all%20biofuel%20production%20in%202012.&amp;text=ERS%20analysts%20track%20U.S.%20ethanol,production%2C%20consumption%2C%20and%20trade." xr:uid="{17CB1B3A-F559-4A30-8C6E-4AA18588560C}"/>
    <hyperlink ref="P11" r:id="rId20" xr:uid="{0B099A5F-71D5-4C3A-883E-7E36AB8A3787}"/>
    <hyperlink ref="P32" r:id="rId21" xr:uid="{03CE0FBC-1FA7-4D13-AF83-03381EC85320}"/>
    <hyperlink ref="P14" r:id="rId22" display="https://www.eia.gov/petroleum/ethanolcapacity/index.php" xr:uid="{DB3CA109-74D6-4326-96E9-3FB99480F2AE}"/>
    <hyperlink ref="P35" r:id="rId23" display="http://www.ethanolrfa.org/pocket-guide/_x000a_" xr:uid="{3A778D48-32C4-4CCF-8D28-9E89720C02C0}"/>
    <hyperlink ref="P8" r:id="rId24" display="http://ethanolproducer.com/plants/listplants/US/Existing/Cellulosic" xr:uid="{F698A37B-881E-43DF-BE38-0A4613E9E4C1}"/>
    <hyperlink ref="P9" r:id="rId25" display="http://ethanolproducer.com/plants/listplants/US/Existing/Cellulosic" xr:uid="{DA94E827-5498-4A1C-B1AE-BD7ED164CBE2}"/>
  </hyperlinks>
  <pageMargins left="0.7" right="0.7" top="0.75" bottom="0.75" header="0.3" footer="0.3"/>
  <pageSetup orientation="portrait" r:id="rId26"/>
  <drawing r:id="rId27"/>
  <legacyDrawing r:id="rId2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2C290-A9C9-49EA-9D51-7179A221CDB7}">
  <sheetPr>
    <tabColor rgb="FF08306C"/>
  </sheetPr>
  <dimension ref="A1:P8"/>
  <sheetViews>
    <sheetView zoomScale="85" zoomScaleNormal="85" workbookViewId="0">
      <selection activeCell="O4" sqref="O4"/>
    </sheetView>
  </sheetViews>
  <sheetFormatPr defaultRowHeight="15" x14ac:dyDescent="0.25"/>
  <cols>
    <col min="1" max="1" width="75.7109375" bestFit="1" customWidth="1"/>
    <col min="14" max="14" width="11.85546875" bestFit="1" customWidth="1"/>
    <col min="15" max="15" width="49.140625" bestFit="1" customWidth="1"/>
    <col min="16" max="16" width="20.28515625" bestFit="1" customWidth="1"/>
  </cols>
  <sheetData>
    <row r="1" spans="1:16" x14ac:dyDescent="0.25">
      <c r="A1" s="383" t="s">
        <v>378</v>
      </c>
    </row>
    <row r="2" spans="1:16" x14ac:dyDescent="0.25">
      <c r="A2" s="383"/>
    </row>
    <row r="3" spans="1:16" x14ac:dyDescent="0.25">
      <c r="A3" s="107" t="s">
        <v>16</v>
      </c>
      <c r="B3" s="107">
        <v>2010</v>
      </c>
      <c r="C3" s="107">
        <v>2011</v>
      </c>
      <c r="D3" s="107">
        <v>2012</v>
      </c>
      <c r="E3" s="107">
        <v>2013</v>
      </c>
      <c r="F3" s="107">
        <v>2014</v>
      </c>
      <c r="G3" s="107">
        <v>2015</v>
      </c>
      <c r="H3" s="107">
        <v>2016</v>
      </c>
      <c r="I3" s="107">
        <v>2017</v>
      </c>
      <c r="J3" s="107">
        <v>2018</v>
      </c>
      <c r="K3" s="31">
        <v>2019</v>
      </c>
      <c r="L3" s="107">
        <v>2020</v>
      </c>
      <c r="M3" s="107">
        <v>2021</v>
      </c>
      <c r="N3" s="107" t="s">
        <v>119</v>
      </c>
      <c r="O3" s="123" t="s">
        <v>120</v>
      </c>
      <c r="P3" s="123" t="s">
        <v>38</v>
      </c>
    </row>
    <row r="4" spans="1:16" ht="30" x14ac:dyDescent="0.25">
      <c r="A4" s="91" t="s">
        <v>379</v>
      </c>
      <c r="B4" s="170"/>
      <c r="C4" s="170"/>
      <c r="D4" s="170"/>
      <c r="E4" s="122">
        <v>12</v>
      </c>
      <c r="F4" s="122">
        <v>0</v>
      </c>
      <c r="G4" s="122">
        <v>0</v>
      </c>
      <c r="H4" s="122">
        <v>125</v>
      </c>
      <c r="I4" s="122">
        <v>0</v>
      </c>
      <c r="J4" s="122">
        <v>0</v>
      </c>
      <c r="K4" s="57">
        <v>0</v>
      </c>
      <c r="L4" s="143">
        <v>0.44</v>
      </c>
      <c r="M4" s="122">
        <v>0</v>
      </c>
      <c r="N4" s="91" t="s">
        <v>11</v>
      </c>
      <c r="O4" s="95" t="s">
        <v>448</v>
      </c>
      <c r="P4" s="94" t="s">
        <v>524</v>
      </c>
    </row>
    <row r="8" spans="1:16" x14ac:dyDescent="0.25">
      <c r="B8" s="169"/>
    </row>
  </sheetData>
  <mergeCells count="1">
    <mergeCell ref="A1:A2"/>
  </mergeCells>
  <hyperlinks>
    <hyperlink ref="O4" r:id="rId1" xr:uid="{83E240BD-2966-4001-8347-F890051095A4}"/>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8306C"/>
  </sheetPr>
  <dimension ref="A1:R152"/>
  <sheetViews>
    <sheetView zoomScale="85" zoomScaleNormal="85" workbookViewId="0">
      <pane xSplit="1" ySplit="3" topLeftCell="B48" activePane="bottomRight" state="frozen"/>
      <selection pane="topRight" activeCell="B1" sqref="B1"/>
      <selection pane="bottomLeft" activeCell="A4" sqref="A4"/>
      <selection pane="bottomRight" activeCell="M87" sqref="M87"/>
    </sheetView>
  </sheetViews>
  <sheetFormatPr defaultColWidth="8.85546875" defaultRowHeight="15" x14ac:dyDescent="0.25"/>
  <cols>
    <col min="1" max="1" width="61.28515625" style="10" bestFit="1" customWidth="1"/>
    <col min="2" max="14" width="11.7109375" style="10" customWidth="1"/>
    <col min="15" max="15" width="18.42578125" style="10" bestFit="1" customWidth="1"/>
    <col min="16" max="16" width="106.28515625" style="10" customWidth="1"/>
    <col min="17" max="17" width="37.140625" style="10" customWidth="1"/>
    <col min="18" max="16384" width="8.85546875" style="10"/>
  </cols>
  <sheetData>
    <row r="1" spans="1:17" x14ac:dyDescent="0.25">
      <c r="A1" s="383" t="s">
        <v>20</v>
      </c>
    </row>
    <row r="2" spans="1:17" x14ac:dyDescent="0.25">
      <c r="A2" s="384"/>
    </row>
    <row r="3" spans="1:17" s="2" customFormat="1" x14ac:dyDescent="0.25">
      <c r="A3" s="1" t="s">
        <v>9</v>
      </c>
      <c r="B3" s="1">
        <v>2010</v>
      </c>
      <c r="C3" s="1">
        <v>2011</v>
      </c>
      <c r="D3" s="1">
        <v>2012</v>
      </c>
      <c r="E3" s="1">
        <v>2013</v>
      </c>
      <c r="F3" s="1">
        <v>2014</v>
      </c>
      <c r="G3" s="1">
        <v>2015</v>
      </c>
      <c r="H3" s="1">
        <v>2016</v>
      </c>
      <c r="I3" s="31">
        <v>2017</v>
      </c>
      <c r="J3" s="107">
        <v>2018</v>
      </c>
      <c r="K3" s="31">
        <v>2019</v>
      </c>
      <c r="L3" s="107">
        <v>2020</v>
      </c>
      <c r="M3" s="107">
        <v>2021</v>
      </c>
      <c r="N3" s="107">
        <v>2022</v>
      </c>
      <c r="O3" s="6" t="s">
        <v>119</v>
      </c>
      <c r="P3" s="6" t="s">
        <v>120</v>
      </c>
      <c r="Q3" s="32" t="s">
        <v>38</v>
      </c>
    </row>
    <row r="4" spans="1:17" ht="30" x14ac:dyDescent="0.25">
      <c r="A4" s="9" t="s">
        <v>143</v>
      </c>
      <c r="B4" s="60"/>
      <c r="C4" s="4">
        <v>103</v>
      </c>
      <c r="D4" s="4">
        <v>112</v>
      </c>
      <c r="E4" s="4">
        <v>115</v>
      </c>
      <c r="F4" s="4">
        <v>98</v>
      </c>
      <c r="G4" s="4">
        <v>94</v>
      </c>
      <c r="H4" s="4">
        <v>96</v>
      </c>
      <c r="I4" s="36">
        <v>95</v>
      </c>
      <c r="J4" s="96">
        <v>100</v>
      </c>
      <c r="K4" s="36">
        <v>91</v>
      </c>
      <c r="L4" s="96">
        <v>85</v>
      </c>
      <c r="M4" s="96">
        <v>75</v>
      </c>
      <c r="N4" s="96">
        <v>72</v>
      </c>
      <c r="O4" s="5" t="s">
        <v>10</v>
      </c>
      <c r="P4" s="308" t="s">
        <v>541</v>
      </c>
      <c r="Q4" s="34" t="s">
        <v>524</v>
      </c>
    </row>
    <row r="5" spans="1:17" x14ac:dyDescent="0.25">
      <c r="A5" s="26" t="s">
        <v>146</v>
      </c>
      <c r="B5" s="60"/>
      <c r="C5" s="60"/>
      <c r="D5" s="60"/>
      <c r="E5" s="60"/>
      <c r="F5" s="60"/>
      <c r="G5" s="60"/>
      <c r="H5" s="36">
        <v>35</v>
      </c>
      <c r="I5" s="36">
        <v>19</v>
      </c>
      <c r="J5" s="189"/>
      <c r="K5" s="189"/>
      <c r="L5" s="63"/>
      <c r="M5" s="63"/>
      <c r="N5" s="64"/>
      <c r="O5" s="309" t="s">
        <v>21</v>
      </c>
      <c r="P5" s="30" t="s">
        <v>24</v>
      </c>
      <c r="Q5" s="34" t="s">
        <v>106</v>
      </c>
    </row>
    <row r="6" spans="1:17" x14ac:dyDescent="0.25">
      <c r="A6" s="26" t="s">
        <v>147</v>
      </c>
      <c r="B6" s="60"/>
      <c r="C6" s="66"/>
      <c r="D6" s="60"/>
      <c r="E6" s="60"/>
      <c r="F6" s="60"/>
      <c r="G6" s="60"/>
      <c r="H6" s="36">
        <v>5</v>
      </c>
      <c r="I6" s="36">
        <v>7</v>
      </c>
      <c r="J6" s="189"/>
      <c r="K6" s="189"/>
      <c r="L6" s="63"/>
      <c r="M6" s="63"/>
      <c r="N6" s="64"/>
      <c r="O6" s="309" t="s">
        <v>21</v>
      </c>
      <c r="P6" s="30" t="s">
        <v>24</v>
      </c>
      <c r="Q6" s="34" t="s">
        <v>106</v>
      </c>
    </row>
    <row r="7" spans="1:17" x14ac:dyDescent="0.25">
      <c r="A7" s="26" t="s">
        <v>148</v>
      </c>
      <c r="B7" s="60"/>
      <c r="C7" s="66"/>
      <c r="D7" s="60"/>
      <c r="E7" s="60"/>
      <c r="F7" s="60"/>
      <c r="G7" s="60"/>
      <c r="H7" s="36">
        <v>57</v>
      </c>
      <c r="I7" s="36">
        <v>45</v>
      </c>
      <c r="J7" s="189"/>
      <c r="K7" s="189"/>
      <c r="L7" s="63"/>
      <c r="M7" s="63"/>
      <c r="N7" s="64"/>
      <c r="O7" s="309" t="s">
        <v>21</v>
      </c>
      <c r="P7" s="30" t="s">
        <v>24</v>
      </c>
      <c r="Q7" s="34" t="s">
        <v>106</v>
      </c>
    </row>
    <row r="8" spans="1:17" x14ac:dyDescent="0.25">
      <c r="A8" s="26" t="s">
        <v>149</v>
      </c>
      <c r="B8" s="60"/>
      <c r="C8" s="66"/>
      <c r="D8" s="60"/>
      <c r="E8" s="60"/>
      <c r="F8" s="60"/>
      <c r="G8" s="60"/>
      <c r="H8" s="36">
        <v>12</v>
      </c>
      <c r="I8" s="36">
        <v>13</v>
      </c>
      <c r="J8" s="189"/>
      <c r="K8" s="189"/>
      <c r="L8" s="63"/>
      <c r="M8" s="63"/>
      <c r="N8" s="64"/>
      <c r="O8" s="309" t="s">
        <v>21</v>
      </c>
      <c r="P8" s="30" t="s">
        <v>24</v>
      </c>
      <c r="Q8" s="34" t="s">
        <v>106</v>
      </c>
    </row>
    <row r="9" spans="1:17" x14ac:dyDescent="0.25">
      <c r="A9" s="26" t="s">
        <v>150</v>
      </c>
      <c r="B9" s="60"/>
      <c r="C9" s="66"/>
      <c r="D9" s="60"/>
      <c r="E9" s="60"/>
      <c r="F9" s="60"/>
      <c r="G9" s="60"/>
      <c r="H9" s="36">
        <v>5</v>
      </c>
      <c r="I9" s="36">
        <v>3</v>
      </c>
      <c r="J9" s="189"/>
      <c r="K9" s="189"/>
      <c r="L9" s="63"/>
      <c r="M9" s="63"/>
      <c r="N9" s="64"/>
      <c r="O9" s="309" t="s">
        <v>21</v>
      </c>
      <c r="P9" s="30" t="s">
        <v>24</v>
      </c>
      <c r="Q9" s="34" t="s">
        <v>106</v>
      </c>
    </row>
    <row r="10" spans="1:17" x14ac:dyDescent="0.25">
      <c r="A10" s="26" t="s">
        <v>151</v>
      </c>
      <c r="B10" s="60"/>
      <c r="C10" s="66"/>
      <c r="D10" s="60"/>
      <c r="E10" s="60"/>
      <c r="F10" s="60"/>
      <c r="G10" s="60"/>
      <c r="H10" s="36">
        <v>2</v>
      </c>
      <c r="I10" s="36">
        <v>0</v>
      </c>
      <c r="J10" s="189"/>
      <c r="K10" s="189"/>
      <c r="L10" s="63"/>
      <c r="M10" s="63"/>
      <c r="N10" s="64"/>
      <c r="O10" s="309" t="s">
        <v>21</v>
      </c>
      <c r="P10" s="30" t="s">
        <v>24</v>
      </c>
      <c r="Q10" s="34" t="s">
        <v>106</v>
      </c>
    </row>
    <row r="11" spans="1:17" x14ac:dyDescent="0.25">
      <c r="A11" s="26" t="s">
        <v>152</v>
      </c>
      <c r="B11" s="60"/>
      <c r="C11" s="66"/>
      <c r="D11" s="60"/>
      <c r="E11" s="60"/>
      <c r="F11" s="60"/>
      <c r="G11" s="60"/>
      <c r="H11" s="36">
        <v>11</v>
      </c>
      <c r="I11" s="36">
        <v>7</v>
      </c>
      <c r="J11" s="189"/>
      <c r="K11" s="189"/>
      <c r="L11" s="63"/>
      <c r="M11" s="63"/>
      <c r="N11" s="64"/>
      <c r="O11" s="309" t="s">
        <v>21</v>
      </c>
      <c r="P11" s="30" t="s">
        <v>24</v>
      </c>
      <c r="Q11" s="34" t="s">
        <v>106</v>
      </c>
    </row>
    <row r="12" spans="1:17" x14ac:dyDescent="0.25">
      <c r="A12" s="26" t="s">
        <v>153</v>
      </c>
      <c r="B12" s="60"/>
      <c r="C12" s="66"/>
      <c r="D12" s="60"/>
      <c r="E12" s="60"/>
      <c r="F12" s="60"/>
      <c r="G12" s="60"/>
      <c r="H12" s="36">
        <v>20</v>
      </c>
      <c r="I12" s="36">
        <v>12</v>
      </c>
      <c r="J12" s="189"/>
      <c r="K12" s="189"/>
      <c r="L12" s="63"/>
      <c r="M12" s="63"/>
      <c r="N12" s="64"/>
      <c r="O12" s="309" t="s">
        <v>21</v>
      </c>
      <c r="P12" s="30" t="s">
        <v>24</v>
      </c>
      <c r="Q12" s="34" t="s">
        <v>106</v>
      </c>
    </row>
    <row r="13" spans="1:17" x14ac:dyDescent="0.25">
      <c r="A13" s="50" t="s">
        <v>154</v>
      </c>
      <c r="B13" s="53"/>
      <c r="C13" s="67"/>
      <c r="D13" s="53"/>
      <c r="E13" s="53"/>
      <c r="F13" s="53"/>
      <c r="G13" s="53"/>
      <c r="H13" s="64">
        <v>14</v>
      </c>
      <c r="I13" s="64">
        <v>6</v>
      </c>
      <c r="J13" s="189"/>
      <c r="K13" s="189"/>
      <c r="L13" s="63"/>
      <c r="M13" s="63"/>
      <c r="N13" s="96"/>
      <c r="O13" s="37" t="s">
        <v>21</v>
      </c>
      <c r="P13" s="51" t="s">
        <v>24</v>
      </c>
      <c r="Q13" s="37" t="s">
        <v>106</v>
      </c>
    </row>
    <row r="14" spans="1:17" x14ac:dyDescent="0.25">
      <c r="A14" s="9" t="s">
        <v>144</v>
      </c>
      <c r="B14" s="60"/>
      <c r="C14" s="60"/>
      <c r="D14" s="60"/>
      <c r="E14" s="60"/>
      <c r="F14" s="60"/>
      <c r="G14" s="60"/>
      <c r="H14" s="4">
        <v>6</v>
      </c>
      <c r="I14" s="36">
        <v>0</v>
      </c>
      <c r="J14" s="96">
        <v>0</v>
      </c>
      <c r="K14" s="36">
        <v>0</v>
      </c>
      <c r="L14" s="257"/>
      <c r="M14" s="96">
        <v>9</v>
      </c>
      <c r="N14" s="91"/>
      <c r="O14" s="5" t="s">
        <v>21</v>
      </c>
      <c r="P14" s="23" t="s">
        <v>22</v>
      </c>
      <c r="Q14" s="34" t="s">
        <v>524</v>
      </c>
    </row>
    <row r="15" spans="1:17" x14ac:dyDescent="0.25">
      <c r="A15" s="38" t="s">
        <v>135</v>
      </c>
      <c r="B15" s="63"/>
      <c r="C15" s="63"/>
      <c r="D15" s="63"/>
      <c r="E15" s="63"/>
      <c r="F15" s="63"/>
      <c r="G15" s="63"/>
      <c r="H15" s="64">
        <v>15</v>
      </c>
      <c r="I15" s="64">
        <v>10</v>
      </c>
      <c r="J15" s="64">
        <v>12</v>
      </c>
      <c r="K15" s="64">
        <v>12</v>
      </c>
      <c r="L15" s="257"/>
      <c r="M15" s="64">
        <v>14</v>
      </c>
      <c r="N15" s="91"/>
      <c r="O15" s="37" t="s">
        <v>21</v>
      </c>
      <c r="P15" s="310" t="s">
        <v>23</v>
      </c>
      <c r="Q15" s="34" t="s">
        <v>524</v>
      </c>
    </row>
    <row r="16" spans="1:17" ht="30" x14ac:dyDescent="0.25">
      <c r="A16" s="9" t="s">
        <v>263</v>
      </c>
      <c r="B16" s="60"/>
      <c r="C16" s="4">
        <v>35</v>
      </c>
      <c r="D16" s="4">
        <v>37</v>
      </c>
      <c r="E16" s="4">
        <v>38</v>
      </c>
      <c r="F16" s="4">
        <v>35</v>
      </c>
      <c r="G16" s="4">
        <v>36</v>
      </c>
      <c r="H16" s="4">
        <v>37</v>
      </c>
      <c r="I16" s="36">
        <v>36</v>
      </c>
      <c r="J16" s="96">
        <v>38</v>
      </c>
      <c r="K16" s="36">
        <v>37</v>
      </c>
      <c r="L16" s="96">
        <v>34</v>
      </c>
      <c r="M16" s="96">
        <v>33</v>
      </c>
      <c r="N16" s="96">
        <v>32</v>
      </c>
      <c r="O16" s="5" t="s">
        <v>10</v>
      </c>
      <c r="P16" s="308" t="s">
        <v>540</v>
      </c>
      <c r="Q16" s="34" t="s">
        <v>524</v>
      </c>
    </row>
    <row r="17" spans="1:17" x14ac:dyDescent="0.25">
      <c r="A17" s="16"/>
      <c r="B17" s="54"/>
      <c r="C17" s="54"/>
      <c r="D17" s="54"/>
      <c r="E17" s="54"/>
      <c r="F17" s="54"/>
      <c r="G17" s="54"/>
      <c r="H17" s="54"/>
      <c r="I17" s="54"/>
      <c r="J17" s="54"/>
      <c r="K17" s="54"/>
      <c r="L17" s="54"/>
      <c r="M17" s="54"/>
      <c r="N17" s="54"/>
      <c r="O17" s="49"/>
      <c r="P17" s="49"/>
      <c r="Q17" s="19"/>
    </row>
    <row r="18" spans="1:17" s="2" customFormat="1" x14ac:dyDescent="0.25">
      <c r="A18" s="8" t="s">
        <v>16</v>
      </c>
      <c r="B18" s="8">
        <v>2010</v>
      </c>
      <c r="C18" s="8">
        <v>2011</v>
      </c>
      <c r="D18" s="8">
        <v>2012</v>
      </c>
      <c r="E18" s="8">
        <v>2013</v>
      </c>
      <c r="F18" s="8">
        <v>2014</v>
      </c>
      <c r="G18" s="8">
        <v>2015</v>
      </c>
      <c r="H18" s="8">
        <v>2016</v>
      </c>
      <c r="I18" s="8">
        <v>2017</v>
      </c>
      <c r="J18" s="8">
        <v>2018</v>
      </c>
      <c r="K18" s="8">
        <v>2019</v>
      </c>
      <c r="L18" s="107">
        <v>2020</v>
      </c>
      <c r="M18" s="107">
        <v>2021</v>
      </c>
      <c r="N18" s="107">
        <v>2022</v>
      </c>
      <c r="O18" s="7" t="s">
        <v>119</v>
      </c>
      <c r="P18" s="7" t="s">
        <v>120</v>
      </c>
      <c r="Q18" s="7" t="s">
        <v>38</v>
      </c>
    </row>
    <row r="19" spans="1:17" ht="30" x14ac:dyDescent="0.25">
      <c r="A19" s="9" t="s">
        <v>242</v>
      </c>
      <c r="B19" s="74">
        <v>0.34350000000000003</v>
      </c>
      <c r="C19" s="74">
        <v>0.96750000000000003</v>
      </c>
      <c r="D19" s="74">
        <v>0.96960000000000002</v>
      </c>
      <c r="E19" s="74">
        <v>1.3580000000000001</v>
      </c>
      <c r="F19" s="74">
        <v>1.268</v>
      </c>
      <c r="G19" s="74">
        <v>1.266</v>
      </c>
      <c r="H19" s="74">
        <v>1.569</v>
      </c>
      <c r="I19" s="81">
        <v>1.5960000000000001</v>
      </c>
      <c r="J19" s="92">
        <v>1.857</v>
      </c>
      <c r="K19" s="81">
        <v>1.7250000000000001</v>
      </c>
      <c r="L19" s="92">
        <v>1.8149999999999999</v>
      </c>
      <c r="M19" s="92">
        <v>1.7090000000000001</v>
      </c>
      <c r="N19" s="92"/>
      <c r="O19" s="5" t="s">
        <v>10</v>
      </c>
      <c r="P19" s="162" t="s">
        <v>585</v>
      </c>
      <c r="Q19" s="34" t="s">
        <v>524</v>
      </c>
    </row>
    <row r="20" spans="1:17" ht="30" x14ac:dyDescent="0.25">
      <c r="A20" s="26" t="s">
        <v>243</v>
      </c>
      <c r="B20" s="74">
        <v>0.25863034148161967</v>
      </c>
      <c r="C20" s="74">
        <v>0.88561298749766748</v>
      </c>
      <c r="D20" s="74">
        <v>0.90128755364806867</v>
      </c>
      <c r="E20" s="74">
        <v>1.4263855196865085</v>
      </c>
      <c r="F20" s="74">
        <v>1.4185508836553156</v>
      </c>
      <c r="G20" s="74">
        <v>1.496923860652847</v>
      </c>
      <c r="H20" s="74">
        <v>2.0847211881343313</v>
      </c>
      <c r="I20" s="81">
        <v>1.9828363180375406</v>
      </c>
      <c r="J20" s="92">
        <v>1.9044633410400094</v>
      </c>
      <c r="K20" s="81">
        <v>1.8104157686429718</v>
      </c>
      <c r="L20" s="92">
        <f>(239*10^12)/127595/10^9</f>
        <v>1.8731141502409969</v>
      </c>
      <c r="M20" s="92">
        <f>(210*10^12)/127595/10^9</f>
        <v>1.6458325169481565</v>
      </c>
      <c r="N20" s="92"/>
      <c r="O20" s="5" t="s">
        <v>10</v>
      </c>
      <c r="P20" s="11" t="s">
        <v>523</v>
      </c>
      <c r="Q20" s="34" t="s">
        <v>530</v>
      </c>
    </row>
    <row r="21" spans="1:17" ht="30" x14ac:dyDescent="0.25">
      <c r="A21" s="9" t="s">
        <v>503</v>
      </c>
      <c r="B21" s="74">
        <v>23.687999999999999</v>
      </c>
      <c r="C21" s="74">
        <v>37.380000000000003</v>
      </c>
      <c r="D21" s="74">
        <v>35.826000000000001</v>
      </c>
      <c r="E21" s="74">
        <v>342.38400000000001</v>
      </c>
      <c r="F21" s="74">
        <v>192.27600000000001</v>
      </c>
      <c r="G21" s="74">
        <v>352.75799999999998</v>
      </c>
      <c r="H21" s="74">
        <v>708.91800000000001</v>
      </c>
      <c r="I21" s="81">
        <v>393.70800000000003</v>
      </c>
      <c r="J21" s="92">
        <v>166.69800000000001</v>
      </c>
      <c r="K21" s="81">
        <v>171.27600000000001</v>
      </c>
      <c r="L21" s="92">
        <f>4684*42/10^3</f>
        <v>196.72800000000001</v>
      </c>
      <c r="M21" s="92">
        <f>4832*42/10^3</f>
        <v>202.94399999999999</v>
      </c>
      <c r="N21" s="92">
        <f>+(M21-L21)/L21*100</f>
        <v>3.1596925704525942</v>
      </c>
      <c r="O21" s="5" t="s">
        <v>10</v>
      </c>
      <c r="P21" s="11" t="s">
        <v>110</v>
      </c>
      <c r="Q21" s="34" t="s">
        <v>531</v>
      </c>
    </row>
    <row r="22" spans="1:17" ht="30" x14ac:dyDescent="0.25">
      <c r="A22" s="9" t="s">
        <v>504</v>
      </c>
      <c r="B22" s="74">
        <v>108.696</v>
      </c>
      <c r="C22" s="74">
        <v>75.558000000000007</v>
      </c>
      <c r="D22" s="74">
        <v>128.352</v>
      </c>
      <c r="E22" s="74">
        <v>196.35</v>
      </c>
      <c r="F22" s="74">
        <v>82.908000000000001</v>
      </c>
      <c r="G22" s="74">
        <v>87.822000000000003</v>
      </c>
      <c r="H22" s="74">
        <v>88.116</v>
      </c>
      <c r="I22" s="81">
        <v>93.156000000000006</v>
      </c>
      <c r="J22" s="92">
        <v>103.74</v>
      </c>
      <c r="K22" s="81">
        <v>114.66</v>
      </c>
      <c r="L22" s="92">
        <f>3458*42/10^3</f>
        <v>145.23599999999999</v>
      </c>
      <c r="M22" s="92">
        <f>4342*42/10^3</f>
        <v>182.364</v>
      </c>
      <c r="N22" s="92"/>
      <c r="O22" s="5" t="s">
        <v>10</v>
      </c>
      <c r="P22" s="11" t="s">
        <v>110</v>
      </c>
      <c r="Q22" s="34" t="s">
        <v>531</v>
      </c>
    </row>
    <row r="23" spans="1:17" x14ac:dyDescent="0.25">
      <c r="A23" s="26" t="s">
        <v>145</v>
      </c>
      <c r="B23" s="4">
        <v>644</v>
      </c>
      <c r="C23" s="4">
        <v>627</v>
      </c>
      <c r="D23" s="4">
        <v>675</v>
      </c>
      <c r="E23" s="4">
        <v>757</v>
      </c>
      <c r="F23" s="4">
        <v>783</v>
      </c>
      <c r="G23" s="4">
        <v>721</v>
      </c>
      <c r="H23" s="4">
        <v>697</v>
      </c>
      <c r="I23" s="36">
        <v>702</v>
      </c>
      <c r="J23" s="96">
        <v>681</v>
      </c>
      <c r="K23" s="36">
        <v>613</v>
      </c>
      <c r="L23" s="96">
        <v>712</v>
      </c>
      <c r="M23" s="96">
        <v>730</v>
      </c>
      <c r="N23" s="96"/>
      <c r="O23" s="5" t="s">
        <v>17</v>
      </c>
      <c r="P23" s="11" t="s">
        <v>18</v>
      </c>
      <c r="Q23" s="34" t="s">
        <v>524</v>
      </c>
    </row>
    <row r="24" spans="1:17" x14ac:dyDescent="0.25">
      <c r="A24" s="16"/>
      <c r="B24" s="54"/>
      <c r="C24" s="54"/>
      <c r="D24" s="54"/>
      <c r="E24" s="54"/>
      <c r="F24" s="54"/>
      <c r="G24" s="54"/>
      <c r="H24" s="54"/>
      <c r="I24" s="54"/>
      <c r="J24" s="54"/>
      <c r="K24" s="54"/>
      <c r="L24" s="54"/>
      <c r="M24" s="54"/>
      <c r="N24" s="54"/>
      <c r="O24" s="49"/>
      <c r="P24" s="49"/>
      <c r="Q24" s="19"/>
    </row>
    <row r="25" spans="1:17" s="2" customFormat="1" x14ac:dyDescent="0.25">
      <c r="A25" s="8" t="s">
        <v>12</v>
      </c>
      <c r="B25" s="8">
        <v>2010</v>
      </c>
      <c r="C25" s="8">
        <v>2011</v>
      </c>
      <c r="D25" s="8">
        <v>2012</v>
      </c>
      <c r="E25" s="8">
        <v>2013</v>
      </c>
      <c r="F25" s="8">
        <v>2014</v>
      </c>
      <c r="G25" s="8">
        <v>2015</v>
      </c>
      <c r="H25" s="8">
        <v>2016</v>
      </c>
      <c r="I25" s="8">
        <v>2017</v>
      </c>
      <c r="J25" s="8">
        <v>2018</v>
      </c>
      <c r="K25" s="8">
        <v>2019</v>
      </c>
      <c r="L25" s="107">
        <v>2020</v>
      </c>
      <c r="M25" s="107">
        <v>2021</v>
      </c>
      <c r="N25" s="107">
        <v>2022</v>
      </c>
      <c r="O25" s="7" t="s">
        <v>119</v>
      </c>
      <c r="P25" s="7" t="s">
        <v>120</v>
      </c>
      <c r="Q25" s="7" t="s">
        <v>38</v>
      </c>
    </row>
    <row r="26" spans="1:17" x14ac:dyDescent="0.25">
      <c r="A26" s="118" t="s">
        <v>270</v>
      </c>
      <c r="B26" s="68">
        <v>3.436375</v>
      </c>
      <c r="C26" s="68">
        <v>5.1727083333333335</v>
      </c>
      <c r="D26" s="68">
        <v>4.5162500000000003</v>
      </c>
      <c r="E26" s="68">
        <v>4.6016666666666666</v>
      </c>
      <c r="F26" s="68">
        <v>3.4550000000000001</v>
      </c>
      <c r="G26" s="68">
        <v>2.8358333333333334</v>
      </c>
      <c r="H26" s="68">
        <v>3.2391666666666672</v>
      </c>
      <c r="I26" s="68">
        <v>3.2724999999999991</v>
      </c>
      <c r="J26" s="159">
        <v>3.1016666666666666</v>
      </c>
      <c r="K26" s="68">
        <v>3.06</v>
      </c>
      <c r="L26" s="159">
        <v>3.1</v>
      </c>
      <c r="M26" s="159">
        <v>5.25</v>
      </c>
      <c r="N26" s="159">
        <v>6.54</v>
      </c>
      <c r="O26" s="5" t="s">
        <v>17</v>
      </c>
      <c r="P26" s="95" t="s">
        <v>18</v>
      </c>
      <c r="Q26" s="34" t="s">
        <v>524</v>
      </c>
    </row>
    <row r="27" spans="1:17" s="2" customFormat="1" x14ac:dyDescent="0.25">
      <c r="A27" s="118" t="s">
        <v>272</v>
      </c>
      <c r="B27" s="68">
        <v>3.6274999999999999</v>
      </c>
      <c r="C27" s="68">
        <v>3.4175</v>
      </c>
      <c r="D27" s="68">
        <v>4.2275</v>
      </c>
      <c r="E27" s="68">
        <v>4.2125000000000004</v>
      </c>
      <c r="F27" s="68">
        <v>4.18</v>
      </c>
      <c r="G27" s="68">
        <v>3.6150000000000002</v>
      </c>
      <c r="H27" s="68">
        <v>3</v>
      </c>
      <c r="I27" s="68">
        <v>3.12</v>
      </c>
      <c r="J27" s="159">
        <v>3.4625000000000004</v>
      </c>
      <c r="K27" s="68">
        <v>3.5350000000000001</v>
      </c>
      <c r="L27" s="159">
        <v>3.3574999999999999</v>
      </c>
      <c r="M27" s="159">
        <v>3.4725000000000001</v>
      </c>
      <c r="N27" s="159">
        <v>4.42</v>
      </c>
      <c r="O27" s="113" t="s">
        <v>380</v>
      </c>
      <c r="P27" s="138" t="s">
        <v>264</v>
      </c>
      <c r="Q27" s="34" t="s">
        <v>524</v>
      </c>
    </row>
    <row r="28" spans="1:17" s="2" customFormat="1" x14ac:dyDescent="0.25">
      <c r="A28" s="118" t="s">
        <v>271</v>
      </c>
      <c r="B28" s="68">
        <v>2.8</v>
      </c>
      <c r="C28" s="68">
        <v>3.5300000000000002</v>
      </c>
      <c r="D28" s="68">
        <v>3.6875</v>
      </c>
      <c r="E28" s="68">
        <v>3.6675</v>
      </c>
      <c r="F28" s="68">
        <v>3.5975000000000001</v>
      </c>
      <c r="G28" s="68">
        <v>2.6349999999999998</v>
      </c>
      <c r="H28" s="68">
        <v>2.1674999999999995</v>
      </c>
      <c r="I28" s="68">
        <v>2.3025000000000002</v>
      </c>
      <c r="J28" s="159">
        <v>2.6675</v>
      </c>
      <c r="K28" s="68">
        <v>2.5674999999999999</v>
      </c>
      <c r="L28" s="130">
        <v>2.2250000000000001</v>
      </c>
      <c r="M28" s="130">
        <v>2.6025</v>
      </c>
      <c r="N28" s="130">
        <v>3.62</v>
      </c>
      <c r="O28" s="113" t="s">
        <v>380</v>
      </c>
      <c r="P28" s="138" t="s">
        <v>264</v>
      </c>
      <c r="Q28" s="34" t="s">
        <v>524</v>
      </c>
    </row>
    <row r="29" spans="1:17" s="2" customFormat="1" x14ac:dyDescent="0.25">
      <c r="A29" s="118" t="s">
        <v>269</v>
      </c>
      <c r="B29" s="68">
        <v>2.67</v>
      </c>
      <c r="C29" s="68">
        <v>3.4175</v>
      </c>
      <c r="D29" s="68">
        <v>3.5525000000000002</v>
      </c>
      <c r="E29" s="68">
        <v>3.5349999999999997</v>
      </c>
      <c r="F29" s="68">
        <v>3.4850000000000003</v>
      </c>
      <c r="G29" s="68">
        <v>2.5549999999999997</v>
      </c>
      <c r="H29" s="68">
        <v>2.0724999999999998</v>
      </c>
      <c r="I29" s="68">
        <v>2.3075000000000001</v>
      </c>
      <c r="J29" s="159">
        <v>2.8025000000000002</v>
      </c>
      <c r="K29" s="68">
        <v>2.7124999999999999</v>
      </c>
      <c r="L29" s="130">
        <v>2.3425000000000002</v>
      </c>
      <c r="M29" s="130">
        <v>2.78</v>
      </c>
      <c r="N29" s="130">
        <v>3.8600000000000003</v>
      </c>
      <c r="O29" s="113" t="s">
        <v>380</v>
      </c>
      <c r="P29" s="138" t="s">
        <v>264</v>
      </c>
      <c r="Q29" s="34" t="s">
        <v>524</v>
      </c>
    </row>
    <row r="30" spans="1:17" ht="30" x14ac:dyDescent="0.25">
      <c r="A30" s="121" t="s">
        <v>129</v>
      </c>
      <c r="B30" s="93">
        <v>418.51851851851853</v>
      </c>
      <c r="C30" s="93">
        <v>462.96296296296299</v>
      </c>
      <c r="D30" s="93">
        <v>533.33333333333337</v>
      </c>
      <c r="E30" s="93">
        <v>481.48148148148147</v>
      </c>
      <c r="F30" s="93">
        <v>374.07407407407408</v>
      </c>
      <c r="G30" s="93">
        <v>331.48148148148147</v>
      </c>
      <c r="H30" s="93">
        <v>350.74074074074076</v>
      </c>
      <c r="I30" s="93">
        <v>345.55555555555554</v>
      </c>
      <c r="J30" s="93">
        <v>314.07407407407408</v>
      </c>
      <c r="K30" s="52">
        <v>317.40740740740745</v>
      </c>
      <c r="L30" s="93">
        <v>400.00000000000006</v>
      </c>
      <c r="M30" s="93">
        <v>490.74074074074076</v>
      </c>
      <c r="N30" s="93"/>
      <c r="O30" s="98" t="s">
        <v>17</v>
      </c>
      <c r="P30" s="95" t="s">
        <v>130</v>
      </c>
      <c r="Q30" s="94" t="s">
        <v>532</v>
      </c>
    </row>
    <row r="31" spans="1:17" x14ac:dyDescent="0.25">
      <c r="A31" s="118" t="s">
        <v>253</v>
      </c>
      <c r="B31" s="60"/>
      <c r="C31" s="60"/>
      <c r="D31" s="60"/>
      <c r="E31" s="60"/>
      <c r="F31" s="36">
        <v>49500</v>
      </c>
      <c r="G31" s="36">
        <v>49500</v>
      </c>
      <c r="H31" s="36">
        <v>61100</v>
      </c>
      <c r="I31" s="36">
        <v>62200</v>
      </c>
      <c r="J31" s="36">
        <v>72300</v>
      </c>
      <c r="K31" s="36">
        <v>67300</v>
      </c>
      <c r="L31" s="96">
        <v>70860</v>
      </c>
      <c r="M31" s="96">
        <v>63900</v>
      </c>
      <c r="N31" s="96"/>
      <c r="O31" s="34" t="s">
        <v>381</v>
      </c>
      <c r="P31" s="116" t="s">
        <v>382</v>
      </c>
      <c r="Q31" s="34" t="s">
        <v>524</v>
      </c>
    </row>
    <row r="32" spans="1:17" x14ac:dyDescent="0.25">
      <c r="B32" s="252">
        <f>+B21/1000</f>
        <v>2.3687999999999997E-2</v>
      </c>
      <c r="C32" s="252">
        <f t="shared" ref="C32:J32" si="0">+C21/1000</f>
        <v>3.7380000000000004E-2</v>
      </c>
      <c r="D32" s="252">
        <f>+D21/1000</f>
        <v>3.5826000000000004E-2</v>
      </c>
      <c r="E32" s="252">
        <f t="shared" si="0"/>
        <v>0.34238400000000002</v>
      </c>
      <c r="F32" s="252">
        <f t="shared" si="0"/>
        <v>0.192276</v>
      </c>
      <c r="G32" s="252">
        <f t="shared" si="0"/>
        <v>0.35275799999999996</v>
      </c>
      <c r="H32" s="252">
        <f t="shared" si="0"/>
        <v>0.70891800000000005</v>
      </c>
      <c r="I32" s="252">
        <f t="shared" si="0"/>
        <v>0.393708</v>
      </c>
      <c r="J32" s="252">
        <f t="shared" si="0"/>
        <v>0.16669800000000001</v>
      </c>
      <c r="K32" s="252">
        <f>+K21/1000</f>
        <v>0.17127600000000001</v>
      </c>
      <c r="L32" s="252">
        <f>+L21/1000</f>
        <v>0.19672800000000001</v>
      </c>
      <c r="M32" s="252">
        <f>+M21/1000</f>
        <v>0.20294399999999999</v>
      </c>
      <c r="N32" s="252"/>
    </row>
    <row r="33" spans="2:18" x14ac:dyDescent="0.25">
      <c r="B33" s="252">
        <f>+B22/1000</f>
        <v>0.108696</v>
      </c>
      <c r="C33" s="252">
        <f>+C22/1000</f>
        <v>7.5558E-2</v>
      </c>
      <c r="D33" s="252">
        <f t="shared" ref="D33:J33" si="1">+D22/1000</f>
        <v>0.12835199999999999</v>
      </c>
      <c r="E33" s="252">
        <f t="shared" si="1"/>
        <v>0.19635</v>
      </c>
      <c r="F33" s="252">
        <f t="shared" si="1"/>
        <v>8.2907999999999996E-2</v>
      </c>
      <c r="G33" s="252">
        <f t="shared" si="1"/>
        <v>8.7821999999999997E-2</v>
      </c>
      <c r="H33" s="252">
        <f t="shared" si="1"/>
        <v>8.8116E-2</v>
      </c>
      <c r="I33" s="252">
        <f t="shared" si="1"/>
        <v>9.3156000000000003E-2</v>
      </c>
      <c r="J33" s="252">
        <f t="shared" si="1"/>
        <v>0.10374</v>
      </c>
      <c r="K33" s="252">
        <f>+K22/1000</f>
        <v>0.11466</v>
      </c>
      <c r="L33" s="252">
        <f t="shared" ref="L33" si="2">+L22/1000</f>
        <v>0.14523599999999998</v>
      </c>
      <c r="M33" s="252">
        <f>+M22/1000</f>
        <v>0.182364</v>
      </c>
      <c r="N33" s="252"/>
      <c r="O33" s="126"/>
      <c r="P33" s="126"/>
      <c r="Q33"/>
      <c r="R33"/>
    </row>
    <row r="34" spans="2:18" x14ac:dyDescent="0.25">
      <c r="Q34"/>
      <c r="R34"/>
    </row>
    <row r="35" spans="2:18" x14ac:dyDescent="0.25">
      <c r="Q35"/>
      <c r="R35"/>
    </row>
    <row r="36" spans="2:18" x14ac:dyDescent="0.25">
      <c r="Q36"/>
      <c r="R36"/>
    </row>
    <row r="120" spans="1:16" x14ac:dyDescent="0.25">
      <c r="A120"/>
      <c r="B120"/>
      <c r="C120"/>
      <c r="D120"/>
      <c r="E120"/>
      <c r="F120"/>
      <c r="G120"/>
      <c r="H120"/>
      <c r="I120"/>
      <c r="J120"/>
      <c r="K120"/>
      <c r="L120"/>
      <c r="M120"/>
      <c r="N120"/>
      <c r="O120"/>
      <c r="P120"/>
    </row>
    <row r="121" spans="1:16" x14ac:dyDescent="0.25">
      <c r="A121"/>
      <c r="B121"/>
      <c r="C121"/>
      <c r="D121"/>
      <c r="E121"/>
      <c r="F121"/>
      <c r="G121"/>
      <c r="H121"/>
      <c r="I121"/>
      <c r="J121"/>
      <c r="K121"/>
      <c r="L121"/>
      <c r="M121"/>
      <c r="N121"/>
      <c r="O121"/>
      <c r="P121"/>
    </row>
    <row r="122" spans="1:16" x14ac:dyDescent="0.25">
      <c r="A122"/>
      <c r="B122"/>
      <c r="C122"/>
      <c r="D122"/>
      <c r="E122"/>
      <c r="F122"/>
      <c r="G122"/>
      <c r="H122"/>
      <c r="I122"/>
      <c r="J122"/>
      <c r="K122"/>
      <c r="L122"/>
      <c r="M122"/>
      <c r="N122"/>
      <c r="O122"/>
      <c r="P122"/>
    </row>
    <row r="123" spans="1:16" x14ac:dyDescent="0.25">
      <c r="A123"/>
      <c r="B123"/>
      <c r="C123"/>
      <c r="D123"/>
      <c r="E123"/>
      <c r="F123"/>
      <c r="G123"/>
      <c r="H123"/>
      <c r="I123"/>
      <c r="J123"/>
      <c r="K123"/>
      <c r="L123"/>
      <c r="M123"/>
      <c r="N123"/>
      <c r="O123"/>
      <c r="P123"/>
    </row>
    <row r="124" spans="1:16" x14ac:dyDescent="0.25">
      <c r="A124"/>
      <c r="B124"/>
      <c r="C124"/>
      <c r="D124"/>
      <c r="E124"/>
      <c r="F124"/>
      <c r="G124"/>
      <c r="H124"/>
      <c r="I124"/>
      <c r="J124"/>
      <c r="K124"/>
      <c r="L124"/>
      <c r="M124"/>
      <c r="N124"/>
      <c r="O124"/>
      <c r="P124"/>
    </row>
    <row r="125" spans="1:16" x14ac:dyDescent="0.25">
      <c r="A125"/>
      <c r="B125"/>
      <c r="C125"/>
      <c r="D125"/>
      <c r="E125"/>
      <c r="F125"/>
      <c r="G125"/>
      <c r="H125"/>
      <c r="I125"/>
      <c r="J125"/>
      <c r="K125"/>
      <c r="L125"/>
      <c r="M125"/>
      <c r="N125"/>
      <c r="O125"/>
      <c r="P125"/>
    </row>
    <row r="126" spans="1:16" x14ac:dyDescent="0.25">
      <c r="A126"/>
      <c r="B126"/>
      <c r="C126"/>
      <c r="D126"/>
      <c r="E126"/>
      <c r="F126"/>
      <c r="G126"/>
      <c r="H126"/>
      <c r="I126"/>
      <c r="J126"/>
      <c r="K126"/>
      <c r="L126"/>
      <c r="M126"/>
      <c r="N126"/>
      <c r="O126"/>
      <c r="P126"/>
    </row>
    <row r="127" spans="1:16" x14ac:dyDescent="0.25">
      <c r="A127"/>
      <c r="B127"/>
      <c r="C127"/>
      <c r="D127"/>
      <c r="E127"/>
      <c r="F127"/>
      <c r="G127"/>
      <c r="H127"/>
      <c r="I127"/>
      <c r="J127"/>
      <c r="K127"/>
      <c r="L127"/>
      <c r="M127"/>
      <c r="N127"/>
      <c r="O127"/>
      <c r="P127"/>
    </row>
    <row r="128" spans="1:16" x14ac:dyDescent="0.25">
      <c r="E128"/>
      <c r="F128"/>
      <c r="G128"/>
      <c r="H128"/>
    </row>
    <row r="129" spans="5:8" x14ac:dyDescent="0.25">
      <c r="E129"/>
      <c r="F129"/>
      <c r="G129"/>
      <c r="H129"/>
    </row>
    <row r="130" spans="5:8" x14ac:dyDescent="0.25">
      <c r="E130"/>
      <c r="F130"/>
      <c r="G130"/>
      <c r="H130"/>
    </row>
    <row r="131" spans="5:8" x14ac:dyDescent="0.25">
      <c r="E131"/>
      <c r="F131"/>
      <c r="G131"/>
      <c r="H131"/>
    </row>
    <row r="132" spans="5:8" x14ac:dyDescent="0.25">
      <c r="E132"/>
      <c r="F132"/>
      <c r="G132"/>
      <c r="H132"/>
    </row>
    <row r="133" spans="5:8" x14ac:dyDescent="0.25">
      <c r="E133"/>
      <c r="F133"/>
      <c r="G133"/>
      <c r="H133"/>
    </row>
    <row r="134" spans="5:8" x14ac:dyDescent="0.25">
      <c r="E134"/>
      <c r="F134"/>
      <c r="G134"/>
      <c r="H134"/>
    </row>
    <row r="135" spans="5:8" x14ac:dyDescent="0.25">
      <c r="E135"/>
      <c r="F135"/>
      <c r="G135"/>
      <c r="H135"/>
    </row>
    <row r="136" spans="5:8" x14ac:dyDescent="0.25">
      <c r="E136"/>
      <c r="F136"/>
      <c r="G136"/>
      <c r="H136"/>
    </row>
    <row r="137" spans="5:8" x14ac:dyDescent="0.25">
      <c r="E137"/>
      <c r="F137"/>
      <c r="G137"/>
      <c r="H137"/>
    </row>
    <row r="138" spans="5:8" x14ac:dyDescent="0.25">
      <c r="E138"/>
      <c r="F138"/>
      <c r="G138"/>
      <c r="H138"/>
    </row>
    <row r="139" spans="5:8" x14ac:dyDescent="0.25">
      <c r="E139"/>
      <c r="F139"/>
      <c r="G139"/>
      <c r="H139"/>
    </row>
    <row r="140" spans="5:8" x14ac:dyDescent="0.25">
      <c r="E140"/>
      <c r="F140"/>
      <c r="G140"/>
      <c r="H140"/>
    </row>
    <row r="141" spans="5:8" x14ac:dyDescent="0.25">
      <c r="E141"/>
      <c r="F141"/>
      <c r="G141"/>
      <c r="H141"/>
    </row>
    <row r="142" spans="5:8" x14ac:dyDescent="0.25">
      <c r="E142"/>
      <c r="F142"/>
      <c r="G142"/>
      <c r="H142"/>
    </row>
    <row r="143" spans="5:8" x14ac:dyDescent="0.25">
      <c r="E143"/>
      <c r="F143"/>
      <c r="G143"/>
      <c r="H143"/>
    </row>
    <row r="144" spans="5:8" x14ac:dyDescent="0.25">
      <c r="E144"/>
      <c r="F144"/>
      <c r="G144"/>
      <c r="H144"/>
    </row>
    <row r="145" spans="5:8" x14ac:dyDescent="0.25">
      <c r="E145"/>
      <c r="F145"/>
      <c r="G145"/>
      <c r="H145"/>
    </row>
    <row r="146" spans="5:8" x14ac:dyDescent="0.25">
      <c r="E146"/>
      <c r="F146"/>
      <c r="G146"/>
      <c r="H146"/>
    </row>
    <row r="147" spans="5:8" x14ac:dyDescent="0.25">
      <c r="E147"/>
      <c r="F147"/>
      <c r="G147"/>
      <c r="H147"/>
    </row>
    <row r="148" spans="5:8" x14ac:dyDescent="0.25">
      <c r="E148"/>
      <c r="F148"/>
      <c r="G148"/>
      <c r="H148"/>
    </row>
    <row r="149" spans="5:8" x14ac:dyDescent="0.25">
      <c r="E149"/>
      <c r="F149"/>
      <c r="G149"/>
      <c r="H149"/>
    </row>
    <row r="150" spans="5:8" x14ac:dyDescent="0.25">
      <c r="E150"/>
      <c r="F150"/>
      <c r="G150"/>
      <c r="H150"/>
    </row>
    <row r="151" spans="5:8" x14ac:dyDescent="0.25">
      <c r="E151"/>
      <c r="F151"/>
      <c r="G151"/>
      <c r="H151"/>
    </row>
    <row r="152" spans="5:8" x14ac:dyDescent="0.25">
      <c r="E152"/>
      <c r="F152"/>
      <c r="G152"/>
      <c r="H152"/>
    </row>
  </sheetData>
  <mergeCells count="1">
    <mergeCell ref="A1:A2"/>
  </mergeCells>
  <hyperlinks>
    <hyperlink ref="P23" r:id="rId1" xr:uid="{00000000-0004-0000-0B00-000000000000}"/>
    <hyperlink ref="P14" r:id="rId2" xr:uid="{00000000-0004-0000-0B00-000001000000}"/>
    <hyperlink ref="P15" r:id="rId3" xr:uid="{00000000-0004-0000-0B00-000002000000}"/>
    <hyperlink ref="P4" r:id="rId4" display="https://www.eia.gov/biofuels/biodiesel/production/archive/" xr:uid="{00000000-0004-0000-0B00-000003000000}"/>
    <hyperlink ref="P16" r:id="rId5" display="https://www.eia.gov/biofuels/biodiesel/production/archive/" xr:uid="{00000000-0004-0000-0B00-000004000000}"/>
    <hyperlink ref="P5" r:id="rId6" xr:uid="{00000000-0004-0000-0B00-000005000000}"/>
    <hyperlink ref="P6:P13" r:id="rId7" display="http://www.biodieselmagazine.com/plants/listplants/USA/existing/" xr:uid="{00000000-0004-0000-0B00-000006000000}"/>
    <hyperlink ref="P19" r:id="rId8" display="https://www.eia.gov/biofuels/biodiesel/production/archive/" xr:uid="{00000000-0004-0000-0B00-000007000000}"/>
    <hyperlink ref="P26" r:id="rId9" xr:uid="{00000000-0004-0000-0B00-000008000000}"/>
    <hyperlink ref="P21" r:id="rId10" xr:uid="{00000000-0004-0000-0B00-000009000000}"/>
    <hyperlink ref="P20" r:id="rId11" xr:uid="{00000000-0004-0000-0B00-00000A000000}"/>
    <hyperlink ref="P27" r:id="rId12" xr:uid="{00000000-0004-0000-0B00-00000B000000}"/>
    <hyperlink ref="P28" r:id="rId13" xr:uid="{00000000-0004-0000-0B00-00000C000000}"/>
    <hyperlink ref="P29" r:id="rId14" xr:uid="{00000000-0004-0000-0B00-00000D000000}"/>
    <hyperlink ref="P31" r:id="rId15" xr:uid="{42A1AF53-44C5-46A8-A484-5F7F1E92A68D}"/>
    <hyperlink ref="P30" r:id="rId16" xr:uid="{4570AB26-7ADE-4B30-9017-CE822491B564}"/>
    <hyperlink ref="P22" r:id="rId17" xr:uid="{A106D0ED-5203-49BE-BD96-1978F32D33F6}"/>
  </hyperlinks>
  <pageMargins left="0.7" right="0.7" top="0.75" bottom="0.75" header="0.3" footer="0.3"/>
  <pageSetup orientation="portrait" r:id="rId18"/>
  <drawing r:id="rId19"/>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0F39A-6E86-4E93-A8FD-B53012EDB518}">
  <sheetPr>
    <tabColor rgb="FF08306C"/>
  </sheetPr>
  <dimension ref="A1:R155"/>
  <sheetViews>
    <sheetView topLeftCell="A21" zoomScale="85" zoomScaleNormal="85" workbookViewId="0">
      <selection activeCell="J4" sqref="J4:M4"/>
    </sheetView>
  </sheetViews>
  <sheetFormatPr defaultRowHeight="15" x14ac:dyDescent="0.25"/>
  <cols>
    <col min="1" max="1" width="48.140625" bestFit="1" customWidth="1"/>
    <col min="16" max="16" width="15.42578125" bestFit="1" customWidth="1"/>
    <col min="17" max="17" width="105.7109375" customWidth="1"/>
    <col min="18" max="18" width="27.85546875" bestFit="1" customWidth="1"/>
  </cols>
  <sheetData>
    <row r="1" spans="1:18" x14ac:dyDescent="0.25">
      <c r="A1" s="383" t="s">
        <v>394</v>
      </c>
      <c r="D1" s="183"/>
      <c r="E1" s="183"/>
      <c r="F1" s="183"/>
      <c r="G1" s="183"/>
      <c r="H1" s="183"/>
      <c r="I1" s="183"/>
      <c r="J1" s="183"/>
      <c r="K1" s="183"/>
      <c r="L1" s="183"/>
      <c r="M1" s="183"/>
      <c r="N1" s="183"/>
      <c r="O1" s="183"/>
    </row>
    <row r="2" spans="1:18" x14ac:dyDescent="0.25">
      <c r="A2" s="384"/>
      <c r="P2" s="183"/>
    </row>
    <row r="3" spans="1:18" ht="14.45" customHeight="1" x14ac:dyDescent="0.25">
      <c r="A3" s="8" t="s">
        <v>16</v>
      </c>
      <c r="B3" s="107">
        <v>2009</v>
      </c>
      <c r="C3" s="107">
        <v>2010</v>
      </c>
      <c r="D3" s="107">
        <v>2011</v>
      </c>
      <c r="E3" s="107">
        <v>2012</v>
      </c>
      <c r="F3" s="107">
        <v>2013</v>
      </c>
      <c r="G3" s="107">
        <v>2014</v>
      </c>
      <c r="H3" s="107">
        <v>2015</v>
      </c>
      <c r="I3" s="107">
        <v>2016</v>
      </c>
      <c r="J3" s="107">
        <v>2017</v>
      </c>
      <c r="K3" s="107">
        <v>2018</v>
      </c>
      <c r="L3" s="107">
        <v>2019</v>
      </c>
      <c r="M3" s="107">
        <v>2020</v>
      </c>
      <c r="N3" s="107">
        <v>2021</v>
      </c>
      <c r="O3" s="107">
        <v>2022</v>
      </c>
      <c r="P3" s="123" t="s">
        <v>119</v>
      </c>
      <c r="Q3" s="123" t="s">
        <v>120</v>
      </c>
      <c r="R3" s="123" t="s">
        <v>38</v>
      </c>
    </row>
    <row r="4" spans="1:18" s="10" customFormat="1" x14ac:dyDescent="0.25">
      <c r="A4" s="150" t="s">
        <v>395</v>
      </c>
      <c r="B4" s="147"/>
      <c r="C4" s="147"/>
      <c r="D4" s="182"/>
      <c r="E4" s="182"/>
      <c r="F4" s="182"/>
      <c r="G4" s="182"/>
      <c r="H4" s="182"/>
      <c r="I4" s="182"/>
      <c r="J4" s="182"/>
      <c r="K4" s="182"/>
      <c r="L4" s="182"/>
      <c r="M4" s="182"/>
      <c r="N4" s="182"/>
      <c r="O4" s="182"/>
      <c r="P4" s="148"/>
      <c r="Q4" s="311"/>
      <c r="R4" s="80"/>
    </row>
    <row r="5" spans="1:18" s="10" customFormat="1" x14ac:dyDescent="0.25">
      <c r="A5" s="121" t="s">
        <v>389</v>
      </c>
      <c r="B5" s="171"/>
      <c r="C5" s="171"/>
      <c r="D5" s="155">
        <v>1004.9</v>
      </c>
      <c r="E5" s="155">
        <v>1025.2</v>
      </c>
      <c r="F5" s="155">
        <v>1040.2</v>
      </c>
      <c r="G5" s="155">
        <v>1056.5</v>
      </c>
      <c r="H5" s="155">
        <v>1088.8</v>
      </c>
      <c r="I5" s="155">
        <v>1113.3</v>
      </c>
      <c r="J5" s="155">
        <v>1095.3</v>
      </c>
      <c r="K5" s="155">
        <v>1025.5999999999999</v>
      </c>
      <c r="L5" s="155">
        <v>1133.9000000000001</v>
      </c>
      <c r="M5" s="155">
        <v>1146.5</v>
      </c>
      <c r="N5" s="155">
        <v>957.1</v>
      </c>
      <c r="O5" s="155"/>
      <c r="P5" s="91" t="s">
        <v>388</v>
      </c>
      <c r="Q5" s="312" t="s">
        <v>593</v>
      </c>
      <c r="R5" s="94" t="s">
        <v>524</v>
      </c>
    </row>
    <row r="6" spans="1:18" s="10" customFormat="1" x14ac:dyDescent="0.25">
      <c r="A6" s="121" t="s">
        <v>390</v>
      </c>
      <c r="B6" s="171"/>
      <c r="C6" s="171"/>
      <c r="D6" s="155">
        <v>2646.2</v>
      </c>
      <c r="E6" s="155">
        <v>2608.6999999999998</v>
      </c>
      <c r="F6" s="155">
        <v>2589.3000000000002</v>
      </c>
      <c r="G6" s="155">
        <v>2441.4</v>
      </c>
      <c r="H6" s="155">
        <v>2385.6999999999998</v>
      </c>
      <c r="I6" s="155">
        <v>2559.5</v>
      </c>
      <c r="J6" s="155">
        <v>2594.9</v>
      </c>
      <c r="K6" s="155">
        <v>2770.8</v>
      </c>
      <c r="L6" s="155">
        <v>2767.4</v>
      </c>
      <c r="M6" s="155">
        <v>2601.9</v>
      </c>
      <c r="N6" s="155">
        <v>2860.8</v>
      </c>
      <c r="O6" s="155"/>
      <c r="P6" s="91" t="s">
        <v>388</v>
      </c>
      <c r="Q6" s="312" t="s">
        <v>593</v>
      </c>
      <c r="R6" s="94" t="s">
        <v>524</v>
      </c>
    </row>
    <row r="7" spans="1:18" s="10" customFormat="1" x14ac:dyDescent="0.25">
      <c r="A7" s="121" t="s">
        <v>391</v>
      </c>
      <c r="B7" s="171"/>
      <c r="C7" s="171"/>
      <c r="D7" s="155">
        <v>721.5</v>
      </c>
      <c r="E7" s="155">
        <v>720</v>
      </c>
      <c r="F7" s="155">
        <v>718</v>
      </c>
      <c r="G7" s="155">
        <v>707.3</v>
      </c>
      <c r="H7" s="155">
        <v>758.7</v>
      </c>
      <c r="I7" s="155">
        <v>787.6</v>
      </c>
      <c r="J7" s="155">
        <v>750.5</v>
      </c>
      <c r="K7" s="155">
        <v>736.8</v>
      </c>
      <c r="L7" s="155">
        <v>768.9</v>
      </c>
      <c r="M7" s="155">
        <v>734.2</v>
      </c>
      <c r="N7" s="155">
        <v>697.6</v>
      </c>
      <c r="O7" s="155"/>
      <c r="P7" s="91" t="s">
        <v>388</v>
      </c>
      <c r="Q7" s="312" t="s">
        <v>593</v>
      </c>
      <c r="R7" s="94" t="s">
        <v>524</v>
      </c>
    </row>
    <row r="8" spans="1:18" s="10" customFormat="1" x14ac:dyDescent="0.25">
      <c r="A8" s="121" t="s">
        <v>392</v>
      </c>
      <c r="B8" s="171"/>
      <c r="C8" s="171"/>
      <c r="D8" s="155">
        <v>906.4</v>
      </c>
      <c r="E8" s="155">
        <v>885.9</v>
      </c>
      <c r="F8" s="155">
        <v>896.4</v>
      </c>
      <c r="G8" s="155">
        <v>933.2</v>
      </c>
      <c r="H8" s="155">
        <v>926.4</v>
      </c>
      <c r="I8" s="155">
        <v>916.4</v>
      </c>
      <c r="J8" s="155">
        <v>913</v>
      </c>
      <c r="K8" s="155">
        <v>992.2</v>
      </c>
      <c r="L8" s="155">
        <v>1007.7</v>
      </c>
      <c r="M8" s="155">
        <v>1345.4</v>
      </c>
      <c r="N8" s="155">
        <v>1349.3</v>
      </c>
      <c r="O8" s="155"/>
      <c r="P8" s="91" t="s">
        <v>388</v>
      </c>
      <c r="Q8" s="312" t="s">
        <v>593</v>
      </c>
      <c r="R8" s="94" t="s">
        <v>524</v>
      </c>
    </row>
    <row r="9" spans="1:18" x14ac:dyDescent="0.25">
      <c r="A9" s="121" t="s">
        <v>393</v>
      </c>
      <c r="B9" s="171"/>
      <c r="C9" s="171"/>
      <c r="D9" s="155">
        <v>345.2</v>
      </c>
      <c r="E9" s="155">
        <v>348.6</v>
      </c>
      <c r="F9" s="155">
        <v>346.7</v>
      </c>
      <c r="G9" s="155">
        <v>333.9</v>
      </c>
      <c r="H9" s="155">
        <v>341.7</v>
      </c>
      <c r="I9" s="155">
        <v>336</v>
      </c>
      <c r="J9" s="155">
        <v>369.2</v>
      </c>
      <c r="K9" s="155">
        <v>285.89999999999998</v>
      </c>
      <c r="L9" s="155">
        <v>209.4</v>
      </c>
      <c r="M9" s="155">
        <v>207.2</v>
      </c>
      <c r="N9" s="155">
        <v>229.2</v>
      </c>
      <c r="O9" s="155"/>
      <c r="P9" s="91" t="s">
        <v>388</v>
      </c>
      <c r="Q9" s="312" t="s">
        <v>593</v>
      </c>
      <c r="R9" s="94" t="s">
        <v>524</v>
      </c>
    </row>
    <row r="10" spans="1:18" s="10" customFormat="1" x14ac:dyDescent="0.25">
      <c r="A10" s="150" t="s">
        <v>396</v>
      </c>
      <c r="B10" s="8">
        <v>2009</v>
      </c>
      <c r="C10" s="8">
        <v>2010</v>
      </c>
      <c r="D10" s="8">
        <v>2011</v>
      </c>
      <c r="E10" s="8">
        <v>2012</v>
      </c>
      <c r="F10" s="8">
        <v>2013</v>
      </c>
      <c r="G10" s="8">
        <v>2014</v>
      </c>
      <c r="H10" s="8">
        <v>2015</v>
      </c>
      <c r="I10" s="8">
        <v>2016</v>
      </c>
      <c r="J10" s="8">
        <v>2017</v>
      </c>
      <c r="K10" s="8">
        <v>2018</v>
      </c>
      <c r="L10" s="107">
        <v>2019</v>
      </c>
      <c r="M10" s="107">
        <v>2020</v>
      </c>
      <c r="N10" s="107">
        <v>2021</v>
      </c>
      <c r="O10" s="107">
        <v>2022</v>
      </c>
      <c r="P10" s="91"/>
      <c r="Q10" s="136"/>
      <c r="R10" s="179"/>
    </row>
    <row r="11" spans="1:18" s="10" customFormat="1" x14ac:dyDescent="0.25">
      <c r="A11" s="121" t="s">
        <v>389</v>
      </c>
      <c r="B11" s="171"/>
      <c r="C11" s="171"/>
      <c r="D11" s="155">
        <v>896</v>
      </c>
      <c r="E11" s="155">
        <v>931.4</v>
      </c>
      <c r="F11" s="155">
        <v>952.6</v>
      </c>
      <c r="G11" s="155">
        <v>959</v>
      </c>
      <c r="H11" s="155">
        <v>983.7</v>
      </c>
      <c r="I11" s="155">
        <v>999.4</v>
      </c>
      <c r="J11" s="155">
        <v>1000.9</v>
      </c>
      <c r="K11" s="172">
        <v>979.4</v>
      </c>
      <c r="L11" s="260"/>
      <c r="M11" s="260"/>
      <c r="N11" s="260"/>
      <c r="O11" s="91"/>
      <c r="P11" s="91" t="s">
        <v>388</v>
      </c>
      <c r="Q11" s="312" t="s">
        <v>593</v>
      </c>
      <c r="R11" s="179" t="s">
        <v>374</v>
      </c>
    </row>
    <row r="12" spans="1:18" s="10" customFormat="1" x14ac:dyDescent="0.25">
      <c r="A12" s="121" t="s">
        <v>390</v>
      </c>
      <c r="B12" s="171"/>
      <c r="C12" s="171"/>
      <c r="D12" s="155">
        <v>1792.3</v>
      </c>
      <c r="E12" s="155">
        <v>1934.5</v>
      </c>
      <c r="F12" s="155">
        <v>1990.3</v>
      </c>
      <c r="G12" s="155">
        <v>1899.6</v>
      </c>
      <c r="H12" s="155">
        <v>1846.8</v>
      </c>
      <c r="I12" s="155">
        <v>2084.4</v>
      </c>
      <c r="J12" s="155">
        <v>2116.1</v>
      </c>
      <c r="K12" s="172">
        <v>2150</v>
      </c>
      <c r="L12" s="261"/>
      <c r="M12" s="261"/>
      <c r="N12" s="261"/>
      <c r="O12" s="172"/>
      <c r="P12" s="91" t="s">
        <v>388</v>
      </c>
      <c r="Q12" s="312" t="s">
        <v>593</v>
      </c>
      <c r="R12" s="179" t="s">
        <v>374</v>
      </c>
    </row>
    <row r="13" spans="1:18" s="10" customFormat="1" x14ac:dyDescent="0.25">
      <c r="A13" s="121" t="s">
        <v>391</v>
      </c>
      <c r="B13" s="171"/>
      <c r="C13" s="171"/>
      <c r="D13" s="155">
        <v>442.4</v>
      </c>
      <c r="E13" s="155">
        <v>526.4</v>
      </c>
      <c r="F13" s="155">
        <v>498.5</v>
      </c>
      <c r="G13" s="155">
        <v>492.5</v>
      </c>
      <c r="H13" s="155">
        <v>505.9</v>
      </c>
      <c r="I13" s="155">
        <v>534.79999999999995</v>
      </c>
      <c r="J13" s="155">
        <v>491.4</v>
      </c>
      <c r="K13" s="172">
        <v>475</v>
      </c>
      <c r="L13" s="261"/>
      <c r="M13" s="261"/>
      <c r="N13" s="261"/>
      <c r="O13" s="172"/>
      <c r="P13" s="91" t="s">
        <v>388</v>
      </c>
      <c r="Q13" s="312" t="s">
        <v>593</v>
      </c>
      <c r="R13" s="179" t="s">
        <v>374</v>
      </c>
    </row>
    <row r="14" spans="1:18" s="10" customFormat="1" x14ac:dyDescent="0.25">
      <c r="A14" s="121" t="s">
        <v>392</v>
      </c>
      <c r="B14" s="171"/>
      <c r="C14" s="171"/>
      <c r="D14" s="155">
        <v>126.5</v>
      </c>
      <c r="E14" s="155">
        <v>146</v>
      </c>
      <c r="F14" s="155">
        <v>80.599999999999994</v>
      </c>
      <c r="G14" s="155">
        <v>123.7</v>
      </c>
      <c r="H14" s="155">
        <v>126.5</v>
      </c>
      <c r="I14" s="155">
        <v>23.1</v>
      </c>
      <c r="J14" s="155">
        <v>0</v>
      </c>
      <c r="K14" s="172">
        <v>0</v>
      </c>
      <c r="L14" s="261"/>
      <c r="M14" s="261"/>
      <c r="N14" s="261"/>
      <c r="O14" s="172"/>
      <c r="P14" s="91" t="s">
        <v>388</v>
      </c>
      <c r="Q14" s="312" t="s">
        <v>593</v>
      </c>
      <c r="R14" s="179" t="s">
        <v>374</v>
      </c>
    </row>
    <row r="15" spans="1:18" s="10" customFormat="1" x14ac:dyDescent="0.25">
      <c r="A15" s="176" t="s">
        <v>410</v>
      </c>
      <c r="B15" s="180"/>
      <c r="C15" s="180"/>
      <c r="D15" s="181">
        <f>SUM(D11:D14)</f>
        <v>3257.2000000000003</v>
      </c>
      <c r="E15" s="181">
        <f t="shared" ref="E15:K15" si="0">SUM(E11:E14)</f>
        <v>3538.3</v>
      </c>
      <c r="F15" s="181">
        <f t="shared" si="0"/>
        <v>3522</v>
      </c>
      <c r="G15" s="181">
        <f t="shared" si="0"/>
        <v>3474.7999999999997</v>
      </c>
      <c r="H15" s="181">
        <f t="shared" si="0"/>
        <v>3462.9</v>
      </c>
      <c r="I15" s="181">
        <f t="shared" si="0"/>
        <v>3641.7000000000003</v>
      </c>
      <c r="J15" s="181">
        <f t="shared" si="0"/>
        <v>3608.4</v>
      </c>
      <c r="K15" s="181">
        <f t="shared" si="0"/>
        <v>3604.4</v>
      </c>
      <c r="L15" s="262"/>
      <c r="M15" s="262"/>
      <c r="N15" s="262"/>
      <c r="O15" s="222"/>
      <c r="P15" s="91" t="s">
        <v>39</v>
      </c>
      <c r="Q15" s="312"/>
      <c r="R15" s="179" t="s">
        <v>524</v>
      </c>
    </row>
    <row r="16" spans="1:18" x14ac:dyDescent="0.25">
      <c r="A16" s="150" t="s">
        <v>397</v>
      </c>
      <c r="B16" s="8">
        <v>2009</v>
      </c>
      <c r="C16" s="8">
        <v>2010</v>
      </c>
      <c r="D16" s="8">
        <v>2011</v>
      </c>
      <c r="E16" s="8">
        <v>2012</v>
      </c>
      <c r="F16" s="8">
        <v>2013</v>
      </c>
      <c r="G16" s="8">
        <v>2014</v>
      </c>
      <c r="H16" s="8">
        <v>2015</v>
      </c>
      <c r="I16" s="8">
        <v>2016</v>
      </c>
      <c r="J16" s="8">
        <v>2017</v>
      </c>
      <c r="K16" s="8">
        <v>2018</v>
      </c>
      <c r="L16" s="107">
        <v>2019</v>
      </c>
      <c r="M16" s="107">
        <v>2020</v>
      </c>
      <c r="N16" s="107">
        <v>2021</v>
      </c>
      <c r="O16" s="107">
        <v>2022</v>
      </c>
      <c r="P16" s="221"/>
      <c r="Q16" s="95"/>
      <c r="R16" s="179"/>
    </row>
    <row r="17" spans="1:18" s="10" customFormat="1" ht="45" x14ac:dyDescent="0.25">
      <c r="A17" s="121" t="s">
        <v>383</v>
      </c>
      <c r="B17" s="155">
        <v>61.234987222299331</v>
      </c>
      <c r="C17" s="155">
        <v>45.359249794295806</v>
      </c>
      <c r="D17" s="155">
        <v>108.86219950630993</v>
      </c>
      <c r="E17" s="155">
        <v>79.832279637960625</v>
      </c>
      <c r="F17" s="155">
        <v>73.028392168816254</v>
      </c>
      <c r="G17" s="155">
        <v>79.832279637960625</v>
      </c>
      <c r="H17" s="155">
        <v>89.35772209476275</v>
      </c>
      <c r="I17" s="155">
        <v>99.790349547450759</v>
      </c>
      <c r="J17" s="155">
        <v>72.121207172930326</v>
      </c>
      <c r="K17" s="155">
        <v>51.255952267554257</v>
      </c>
      <c r="L17" s="155">
        <v>73.934229017034895</v>
      </c>
      <c r="M17" s="155">
        <v>78.471502144131733</v>
      </c>
      <c r="N17" s="155">
        <v>139.43433386766532</v>
      </c>
      <c r="O17" s="155"/>
      <c r="P17" s="91" t="s">
        <v>10</v>
      </c>
      <c r="Q17" s="136" t="s">
        <v>552</v>
      </c>
      <c r="R17" s="179" t="s">
        <v>548</v>
      </c>
    </row>
    <row r="18" spans="1:18" ht="45" x14ac:dyDescent="0.25">
      <c r="A18" s="121" t="s">
        <v>384</v>
      </c>
      <c r="B18" s="155">
        <v>240.85761640771071</v>
      </c>
      <c r="C18" s="155">
        <v>77.11072465030287</v>
      </c>
      <c r="D18" s="155">
        <v>195.4983666134149</v>
      </c>
      <c r="E18" s="155">
        <v>174.63311170803883</v>
      </c>
      <c r="F18" s="155">
        <v>210.92051154347547</v>
      </c>
      <c r="G18" s="155">
        <v>172.36514921832406</v>
      </c>
      <c r="H18" s="155">
        <v>195.04477411547197</v>
      </c>
      <c r="I18" s="155">
        <v>150.59270931706206</v>
      </c>
      <c r="J18" s="155">
        <v>156.48941179032053</v>
      </c>
      <c r="K18" s="155">
        <v>219.5387690043917</v>
      </c>
      <c r="L18" s="155">
        <v>132.4465943127251</v>
      </c>
      <c r="M18" s="155">
        <v>166.92203924300856</v>
      </c>
      <c r="N18" s="155">
        <v>604.73859010751062</v>
      </c>
      <c r="O18" s="155"/>
      <c r="P18" s="91" t="s">
        <v>10</v>
      </c>
      <c r="Q18" s="136" t="s">
        <v>552</v>
      </c>
      <c r="R18" s="179" t="s">
        <v>548</v>
      </c>
    </row>
    <row r="19" spans="1:18" ht="45" x14ac:dyDescent="0.25">
      <c r="A19" s="121" t="s">
        <v>385</v>
      </c>
      <c r="B19" s="155">
        <v>151.49989431294802</v>
      </c>
      <c r="C19" s="155">
        <v>151.04630181500505</v>
      </c>
      <c r="D19" s="155">
        <v>241.76480140359661</v>
      </c>
      <c r="E19" s="155">
        <v>185.06573916072688</v>
      </c>
      <c r="F19" s="155">
        <v>212.28128903730436</v>
      </c>
      <c r="G19" s="155">
        <v>193.6839966216431</v>
      </c>
      <c r="H19" s="155">
        <v>267.16598128840229</v>
      </c>
      <c r="I19" s="155">
        <v>262.17646381102975</v>
      </c>
      <c r="J19" s="155">
        <v>268.07316628428822</v>
      </c>
      <c r="K19" s="155">
        <v>280.32016372874807</v>
      </c>
      <c r="L19" s="155">
        <v>243.12114572472822</v>
      </c>
      <c r="M19" s="155">
        <v>277.59860874109035</v>
      </c>
      <c r="N19" s="155">
        <v>314.76869957752399</v>
      </c>
      <c r="O19" s="155"/>
      <c r="P19" s="91" t="s">
        <v>10</v>
      </c>
      <c r="Q19" s="136" t="s">
        <v>552</v>
      </c>
      <c r="R19" s="179" t="s">
        <v>548</v>
      </c>
    </row>
    <row r="20" spans="1:18" ht="45" x14ac:dyDescent="0.25">
      <c r="A20" s="121" t="s">
        <v>386</v>
      </c>
      <c r="B20" s="155">
        <v>70.760429679101463</v>
      </c>
      <c r="C20" s="155">
        <v>111.58375449396769</v>
      </c>
      <c r="D20" s="155">
        <v>213.64206653113325</v>
      </c>
      <c r="E20" s="155">
        <v>303.90697362178184</v>
      </c>
      <c r="F20" s="155">
        <v>474.45775284833417</v>
      </c>
      <c r="G20" s="155">
        <v>487.15834279073698</v>
      </c>
      <c r="H20" s="155">
        <v>568.80499242046949</v>
      </c>
      <c r="I20" s="155">
        <v>630.03997964276869</v>
      </c>
      <c r="J20" s="155">
        <v>667.23456447409137</v>
      </c>
      <c r="K20" s="155">
        <v>756.59228656885398</v>
      </c>
      <c r="L20" s="155">
        <v>655.42920815714979</v>
      </c>
      <c r="M20" s="155">
        <v>477.6329003339348</v>
      </c>
      <c r="N20" s="155">
        <v>1535.2423227201762</v>
      </c>
      <c r="O20" s="155"/>
      <c r="P20" s="91" t="s">
        <v>10</v>
      </c>
      <c r="Q20" s="136" t="s">
        <v>552</v>
      </c>
      <c r="R20" s="179" t="s">
        <v>548</v>
      </c>
    </row>
    <row r="21" spans="1:18" ht="45" x14ac:dyDescent="0.25">
      <c r="A21" s="121" t="s">
        <v>387</v>
      </c>
      <c r="B21" s="155">
        <v>37.648177329265515</v>
      </c>
      <c r="C21" s="155">
        <v>37.194584831322565</v>
      </c>
      <c r="D21" s="155">
        <v>127.00589942402827</v>
      </c>
      <c r="E21" s="155">
        <v>152.86067180677688</v>
      </c>
      <c r="F21" s="155">
        <v>148.3247468273473</v>
      </c>
      <c r="G21" s="155">
        <v>97.975979555678947</v>
      </c>
      <c r="H21" s="155">
        <v>80.739464633846524</v>
      </c>
      <c r="I21" s="155">
        <v>31.297882358064104</v>
      </c>
      <c r="J21" s="155">
        <v>29.02991986834931</v>
      </c>
      <c r="K21" s="155">
        <v>100.24394204539374</v>
      </c>
      <c r="L21" s="155" t="s">
        <v>442</v>
      </c>
      <c r="M21" s="155">
        <v>16.782922423889449</v>
      </c>
      <c r="N21" s="155">
        <v>35.674596370715697</v>
      </c>
      <c r="O21" s="155"/>
      <c r="P21" s="91" t="s">
        <v>10</v>
      </c>
      <c r="Q21" s="136" t="s">
        <v>552</v>
      </c>
      <c r="R21" s="179" t="s">
        <v>548</v>
      </c>
    </row>
    <row r="22" spans="1:18" x14ac:dyDescent="0.25">
      <c r="A22" s="176" t="s">
        <v>410</v>
      </c>
      <c r="B22" s="181">
        <f t="shared" ref="B22:C22" si="1">SUM(B17:B21)</f>
        <v>562.00110495132503</v>
      </c>
      <c r="C22" s="181">
        <f t="shared" si="1"/>
        <v>422.29461558489402</v>
      </c>
      <c r="D22" s="181">
        <f>SUM(D17:D21)</f>
        <v>886.77333347848298</v>
      </c>
      <c r="E22" s="181">
        <f t="shared" ref="E22:J22" si="2">SUM(E17:E21)</f>
        <v>896.29877593528499</v>
      </c>
      <c r="F22" s="181">
        <f t="shared" si="2"/>
        <v>1119.0126924252775</v>
      </c>
      <c r="G22" s="181">
        <f t="shared" si="2"/>
        <v>1031.0157478243439</v>
      </c>
      <c r="H22" s="181">
        <f t="shared" si="2"/>
        <v>1201.112934552953</v>
      </c>
      <c r="I22" s="181">
        <f t="shared" si="2"/>
        <v>1173.8973846763754</v>
      </c>
      <c r="J22" s="181">
        <f t="shared" si="2"/>
        <v>1192.9482695899796</v>
      </c>
      <c r="K22" s="181">
        <f>SUM(K17:K21)</f>
        <v>1407.9511136149417</v>
      </c>
      <c r="L22" s="181">
        <f>SUM(L17:L21)</f>
        <v>1104.931177211638</v>
      </c>
      <c r="M22" s="181">
        <f>SUM(M17:M21)</f>
        <v>1017.4079728860548</v>
      </c>
      <c r="N22" s="181">
        <f>SUM(N17:N21)</f>
        <v>2629.858542643592</v>
      </c>
      <c r="O22" s="259"/>
      <c r="P22" s="177" t="s">
        <v>39</v>
      </c>
      <c r="Q22" s="178"/>
      <c r="R22" s="179"/>
    </row>
    <row r="23" spans="1:18" s="10" customFormat="1" x14ac:dyDescent="0.25">
      <c r="A23" s="150" t="s">
        <v>398</v>
      </c>
      <c r="B23" s="8">
        <v>2009</v>
      </c>
      <c r="C23" s="8">
        <v>2010</v>
      </c>
      <c r="D23" s="8">
        <v>2011</v>
      </c>
      <c r="E23" s="8">
        <v>2012</v>
      </c>
      <c r="F23" s="8">
        <v>2013</v>
      </c>
      <c r="G23" s="8">
        <v>2014</v>
      </c>
      <c r="H23" s="8">
        <v>2015</v>
      </c>
      <c r="I23" s="8">
        <v>2016</v>
      </c>
      <c r="J23" s="8">
        <v>2017</v>
      </c>
      <c r="K23" s="8">
        <v>2018</v>
      </c>
      <c r="L23" s="212">
        <v>2019</v>
      </c>
      <c r="M23" s="107">
        <v>2020</v>
      </c>
      <c r="N23" s="107">
        <v>2021</v>
      </c>
      <c r="O23" s="107">
        <v>2022</v>
      </c>
      <c r="P23" s="223"/>
      <c r="Q23" s="149"/>
      <c r="R23" s="80"/>
    </row>
    <row r="24" spans="1:18" s="10" customFormat="1" x14ac:dyDescent="0.25">
      <c r="A24" s="121" t="s">
        <v>389</v>
      </c>
      <c r="B24" s="171"/>
      <c r="C24" s="171"/>
      <c r="D24" s="175"/>
      <c r="E24" s="155">
        <v>14.5</v>
      </c>
      <c r="F24" s="155">
        <v>14.9</v>
      </c>
      <c r="G24" s="155">
        <v>18.399999999999999</v>
      </c>
      <c r="H24" s="155">
        <v>16.399999999999999</v>
      </c>
      <c r="I24" s="155">
        <v>14.7</v>
      </c>
      <c r="J24" s="155">
        <v>16.100000000000001</v>
      </c>
      <c r="K24" s="172">
        <v>14.8</v>
      </c>
      <c r="L24" s="172">
        <v>12.9</v>
      </c>
      <c r="M24" s="172">
        <v>19</v>
      </c>
      <c r="N24" s="172">
        <v>17</v>
      </c>
      <c r="O24" s="172"/>
      <c r="P24" s="91" t="s">
        <v>388</v>
      </c>
      <c r="Q24" s="116" t="s">
        <v>441</v>
      </c>
      <c r="R24" s="94" t="s">
        <v>524</v>
      </c>
    </row>
    <row r="25" spans="1:18" s="10" customFormat="1" x14ac:dyDescent="0.25">
      <c r="A25" s="121" t="s">
        <v>390</v>
      </c>
      <c r="B25" s="171"/>
      <c r="C25" s="171"/>
      <c r="D25" s="155">
        <f>598.4+60</f>
        <v>658.4</v>
      </c>
      <c r="E25" s="155">
        <f>486.7+75.4</f>
        <v>562.1</v>
      </c>
      <c r="F25" s="155">
        <v>453.4</v>
      </c>
      <c r="G25" s="155">
        <v>443.3</v>
      </c>
      <c r="H25" s="155">
        <v>407.90000000000003</v>
      </c>
      <c r="I25" s="155">
        <v>403.4</v>
      </c>
      <c r="J25" s="155">
        <v>402.3</v>
      </c>
      <c r="K25" s="172">
        <v>445.4</v>
      </c>
      <c r="L25" s="172">
        <f>301+121.4</f>
        <v>422.4</v>
      </c>
      <c r="M25" s="172">
        <f>299.8+103</f>
        <v>402.8</v>
      </c>
      <c r="N25" s="172">
        <f>187.9+113.6</f>
        <v>301.5</v>
      </c>
      <c r="O25" s="172"/>
      <c r="P25" s="91" t="s">
        <v>388</v>
      </c>
      <c r="Q25" s="116" t="s">
        <v>441</v>
      </c>
      <c r="R25" s="94" t="s">
        <v>524</v>
      </c>
    </row>
    <row r="26" spans="1:18" s="10" customFormat="1" x14ac:dyDescent="0.25">
      <c r="A26" s="121" t="s">
        <v>391</v>
      </c>
      <c r="B26" s="171"/>
      <c r="C26" s="171"/>
      <c r="D26" s="155">
        <f>34.8+2.5</f>
        <v>37.299999999999997</v>
      </c>
      <c r="E26" s="155">
        <f>24.8+1.4</f>
        <v>26.2</v>
      </c>
      <c r="F26" s="155">
        <v>29.9</v>
      </c>
      <c r="G26" s="155">
        <v>22</v>
      </c>
      <c r="H26" s="155">
        <v>20</v>
      </c>
      <c r="I26" s="155">
        <v>19.5</v>
      </c>
      <c r="J26" s="155">
        <v>18</v>
      </c>
      <c r="K26" s="155">
        <v>17.2</v>
      </c>
      <c r="L26" s="155">
        <v>23.2</v>
      </c>
      <c r="M26" s="155">
        <f>18.1+5.9</f>
        <v>24</v>
      </c>
      <c r="N26" s="155">
        <f>81.4+0.1</f>
        <v>81.5</v>
      </c>
      <c r="O26" s="155"/>
      <c r="P26" s="91" t="s">
        <v>388</v>
      </c>
      <c r="Q26" s="116" t="s">
        <v>441</v>
      </c>
      <c r="R26" s="94" t="s">
        <v>524</v>
      </c>
    </row>
    <row r="27" spans="1:18" s="10" customFormat="1" x14ac:dyDescent="0.25">
      <c r="A27" s="121" t="s">
        <v>392</v>
      </c>
      <c r="B27" s="171"/>
      <c r="C27" s="171"/>
      <c r="D27" s="155">
        <v>566.20000000000005</v>
      </c>
      <c r="E27" s="155">
        <v>452.1</v>
      </c>
      <c r="F27" s="155">
        <v>361</v>
      </c>
      <c r="G27" s="155">
        <v>333.1</v>
      </c>
      <c r="H27" s="155">
        <v>253</v>
      </c>
      <c r="I27" s="155">
        <v>286.2</v>
      </c>
      <c r="J27" s="155">
        <v>300.2</v>
      </c>
      <c r="K27" s="172">
        <v>360.7</v>
      </c>
      <c r="L27" s="172">
        <v>448.2</v>
      </c>
      <c r="M27" s="172">
        <v>766.7</v>
      </c>
      <c r="N27" s="172">
        <v>762.7</v>
      </c>
      <c r="O27" s="172"/>
      <c r="P27" s="91" t="s">
        <v>388</v>
      </c>
      <c r="Q27" s="116" t="s">
        <v>441</v>
      </c>
      <c r="R27" s="94" t="s">
        <v>524</v>
      </c>
    </row>
    <row r="28" spans="1:18" s="10" customFormat="1" x14ac:dyDescent="0.25">
      <c r="A28" s="150" t="s">
        <v>399</v>
      </c>
      <c r="B28" s="8">
        <v>2009</v>
      </c>
      <c r="C28" s="8">
        <v>2010</v>
      </c>
      <c r="D28" s="8">
        <v>2011</v>
      </c>
      <c r="E28" s="8">
        <v>2012</v>
      </c>
      <c r="F28" s="8">
        <v>2013</v>
      </c>
      <c r="G28" s="8">
        <v>2014</v>
      </c>
      <c r="H28" s="8">
        <v>2015</v>
      </c>
      <c r="I28" s="8">
        <v>2016</v>
      </c>
      <c r="J28" s="8">
        <v>2017</v>
      </c>
      <c r="K28" s="8">
        <v>2018</v>
      </c>
      <c r="L28" s="212">
        <v>2019</v>
      </c>
      <c r="M28" s="107">
        <v>2020</v>
      </c>
      <c r="N28" s="107">
        <v>2021</v>
      </c>
      <c r="O28" s="107">
        <v>2022</v>
      </c>
      <c r="P28" s="223"/>
      <c r="Q28" s="149"/>
      <c r="R28" s="80"/>
    </row>
    <row r="29" spans="1:18" s="10" customFormat="1" x14ac:dyDescent="0.25">
      <c r="A29" s="121" t="s">
        <v>389</v>
      </c>
      <c r="B29" s="171"/>
      <c r="C29" s="171"/>
      <c r="D29" s="171"/>
      <c r="E29" s="155">
        <v>0.5</v>
      </c>
      <c r="F29" s="96">
        <v>0.4</v>
      </c>
      <c r="G29" s="96">
        <v>4.4000000000000004</v>
      </c>
      <c r="H29" s="96">
        <v>0.6</v>
      </c>
      <c r="I29" s="96">
        <v>0.6</v>
      </c>
      <c r="J29" s="96">
        <v>1.9</v>
      </c>
      <c r="K29" s="96">
        <v>0.6</v>
      </c>
      <c r="L29" s="96">
        <v>3.5</v>
      </c>
      <c r="M29" s="96">
        <v>2.1</v>
      </c>
      <c r="N29" s="96">
        <v>1.3</v>
      </c>
      <c r="O29" s="96"/>
      <c r="P29" s="91" t="s">
        <v>388</v>
      </c>
      <c r="Q29" s="116" t="s">
        <v>441</v>
      </c>
      <c r="R29" s="94" t="s">
        <v>524</v>
      </c>
    </row>
    <row r="30" spans="1:18" s="10" customFormat="1" x14ac:dyDescent="0.25">
      <c r="A30" s="121" t="s">
        <v>390</v>
      </c>
      <c r="B30" s="171"/>
      <c r="C30" s="171"/>
      <c r="D30" s="171"/>
      <c r="E30" s="155">
        <v>62.6</v>
      </c>
      <c r="F30" s="155">
        <v>59.5</v>
      </c>
      <c r="G30" s="155">
        <v>62.6</v>
      </c>
      <c r="H30" s="155">
        <v>64</v>
      </c>
      <c r="I30" s="155">
        <v>78.900000000000006</v>
      </c>
      <c r="J30" s="155">
        <v>99.8</v>
      </c>
      <c r="K30" s="172">
        <v>139.30000000000001</v>
      </c>
      <c r="L30" s="172">
        <v>192</v>
      </c>
      <c r="M30" s="172">
        <v>243.1</v>
      </c>
      <c r="N30" s="172">
        <v>333.3</v>
      </c>
      <c r="O30" s="172"/>
      <c r="P30" s="91" t="s">
        <v>388</v>
      </c>
      <c r="Q30" s="116" t="s">
        <v>441</v>
      </c>
      <c r="R30" s="94" t="s">
        <v>524</v>
      </c>
    </row>
    <row r="31" spans="1:18" s="10" customFormat="1" x14ac:dyDescent="0.25">
      <c r="A31" s="121" t="s">
        <v>391</v>
      </c>
      <c r="B31" s="171"/>
      <c r="C31" s="171"/>
      <c r="D31" s="171"/>
      <c r="E31" s="155">
        <v>17.7</v>
      </c>
      <c r="F31" s="155">
        <v>21.8</v>
      </c>
      <c r="G31" s="155">
        <v>20.8</v>
      </c>
      <c r="H31" s="155">
        <v>34.4</v>
      </c>
      <c r="I31" s="155">
        <v>28.8</v>
      </c>
      <c r="J31" s="155">
        <v>27</v>
      </c>
      <c r="K31" s="172">
        <v>35.799999999999997</v>
      </c>
      <c r="L31" s="172">
        <v>27.2</v>
      </c>
      <c r="M31" s="172">
        <v>23</v>
      </c>
      <c r="N31" s="172">
        <v>30.4</v>
      </c>
      <c r="O31" s="172"/>
      <c r="P31" s="91" t="s">
        <v>388</v>
      </c>
      <c r="Q31" s="116" t="s">
        <v>441</v>
      </c>
      <c r="R31" s="94" t="s">
        <v>524</v>
      </c>
    </row>
    <row r="32" spans="1:18" s="10" customFormat="1" x14ac:dyDescent="0.25">
      <c r="A32" s="121" t="s">
        <v>392</v>
      </c>
      <c r="B32" s="171"/>
      <c r="C32" s="171"/>
      <c r="D32" s="171"/>
      <c r="E32" s="155">
        <v>16.100000000000001</v>
      </c>
      <c r="F32" s="155">
        <v>20.6</v>
      </c>
      <c r="G32" s="155">
        <v>17.2</v>
      </c>
      <c r="H32" s="155">
        <v>22.4</v>
      </c>
      <c r="I32" s="155">
        <v>23</v>
      </c>
      <c r="J32" s="155">
        <v>38.700000000000003</v>
      </c>
      <c r="K32" s="172">
        <v>62.8</v>
      </c>
      <c r="L32" s="213">
        <v>87.7</v>
      </c>
      <c r="M32" s="213">
        <v>83.1</v>
      </c>
      <c r="N32" s="213">
        <v>129.5</v>
      </c>
      <c r="O32" s="213"/>
      <c r="P32" s="38" t="s">
        <v>388</v>
      </c>
      <c r="Q32" s="116" t="s">
        <v>441</v>
      </c>
      <c r="R32" s="94" t="s">
        <v>524</v>
      </c>
    </row>
    <row r="33" spans="1:18" x14ac:dyDescent="0.25">
      <c r="A33" s="173" t="s">
        <v>405</v>
      </c>
      <c r="B33" s="8">
        <v>2009</v>
      </c>
      <c r="C33" s="8">
        <v>2010</v>
      </c>
      <c r="D33" s="8">
        <v>2011</v>
      </c>
      <c r="E33" s="8">
        <v>2012</v>
      </c>
      <c r="F33" s="8">
        <v>2013</v>
      </c>
      <c r="G33" s="8">
        <v>2014</v>
      </c>
      <c r="H33" s="8">
        <v>2015</v>
      </c>
      <c r="I33" s="8">
        <v>2016</v>
      </c>
      <c r="J33" s="8">
        <v>2017</v>
      </c>
      <c r="K33" s="8">
        <v>2018</v>
      </c>
      <c r="L33" s="107">
        <v>2019</v>
      </c>
      <c r="M33" s="107">
        <v>2020</v>
      </c>
      <c r="N33" s="107">
        <v>2021</v>
      </c>
      <c r="O33" s="107">
        <v>2022</v>
      </c>
      <c r="P33" s="224"/>
      <c r="Q33" s="113"/>
      <c r="R33" s="113"/>
    </row>
    <row r="34" spans="1:18" x14ac:dyDescent="0.25">
      <c r="A34" s="121" t="s">
        <v>406</v>
      </c>
      <c r="B34" s="171"/>
      <c r="C34" s="171"/>
      <c r="D34" s="167">
        <f>D17/(D5)*100</f>
        <v>10.833137576506113</v>
      </c>
      <c r="E34" s="167">
        <f t="shared" ref="E34:K34" si="3">E17/(E5)*100</f>
        <v>7.7869956728404812</v>
      </c>
      <c r="F34" s="167">
        <f t="shared" si="3"/>
        <v>7.0206106680269418</v>
      </c>
      <c r="G34" s="167">
        <f t="shared" si="3"/>
        <v>7.5562971734936699</v>
      </c>
      <c r="H34" s="167">
        <f t="shared" si="3"/>
        <v>8.2069913753455879</v>
      </c>
      <c r="I34" s="167">
        <f t="shared" si="3"/>
        <v>8.9634734166397898</v>
      </c>
      <c r="J34" s="167">
        <f t="shared" si="3"/>
        <v>6.5846076118807941</v>
      </c>
      <c r="K34" s="167">
        <f t="shared" si="3"/>
        <v>4.9976552522966324</v>
      </c>
      <c r="L34" s="167">
        <f>L17/(L5)*100</f>
        <v>6.520348268545276</v>
      </c>
      <c r="M34" s="167">
        <f t="shared" ref="M34" si="4">M17/(M5)*100</f>
        <v>6.8444397857943065</v>
      </c>
      <c r="N34" s="167">
        <f>N17/(N5)*100</f>
        <v>14.568418542228118</v>
      </c>
      <c r="O34" s="167"/>
      <c r="P34" s="91" t="s">
        <v>39</v>
      </c>
      <c r="Q34" s="113"/>
      <c r="R34" s="113"/>
    </row>
    <row r="35" spans="1:18" x14ac:dyDescent="0.25">
      <c r="A35" s="121" t="s">
        <v>407</v>
      </c>
      <c r="B35" s="171"/>
      <c r="C35" s="171"/>
      <c r="D35" s="167">
        <f t="shared" ref="D35:K35" si="5">D18/(D6)*100</f>
        <v>7.3878908099695755</v>
      </c>
      <c r="E35" s="167">
        <f t="shared" si="5"/>
        <v>6.6942581250446134</v>
      </c>
      <c r="F35" s="167">
        <f t="shared" si="5"/>
        <v>8.1458506756063578</v>
      </c>
      <c r="G35" s="167">
        <f t="shared" si="5"/>
        <v>7.0600945858246931</v>
      </c>
      <c r="H35" s="167">
        <f t="shared" si="5"/>
        <v>8.1755784095012771</v>
      </c>
      <c r="I35" s="167">
        <f t="shared" si="5"/>
        <v>5.8836768633351069</v>
      </c>
      <c r="J35" s="167">
        <f t="shared" si="5"/>
        <v>6.0306528879849139</v>
      </c>
      <c r="K35" s="167">
        <f t="shared" si="5"/>
        <v>7.9232990112744224</v>
      </c>
      <c r="L35" s="167">
        <f>L18/(L6)*100</f>
        <v>4.7859577333498988</v>
      </c>
      <c r="M35" s="167">
        <f t="shared" ref="M35:N35" si="6">M18/(M6)*100</f>
        <v>6.4153902626161097</v>
      </c>
      <c r="N35" s="167">
        <f t="shared" si="6"/>
        <v>21.138792998724504</v>
      </c>
      <c r="O35" s="167"/>
      <c r="P35" s="91" t="s">
        <v>39</v>
      </c>
      <c r="Q35" s="113"/>
      <c r="R35" s="113"/>
    </row>
    <row r="36" spans="1:18" x14ac:dyDescent="0.25">
      <c r="A36" s="121" t="s">
        <v>408</v>
      </c>
      <c r="B36" s="171"/>
      <c r="C36" s="171"/>
      <c r="D36" s="167">
        <f t="shared" ref="D36:J36" si="7">D19/(D7)*100</f>
        <v>33.508634983173472</v>
      </c>
      <c r="E36" s="167">
        <f t="shared" si="7"/>
        <v>25.703574883434289</v>
      </c>
      <c r="F36" s="167">
        <f t="shared" si="7"/>
        <v>29.565639141685846</v>
      </c>
      <c r="G36" s="167">
        <f t="shared" si="7"/>
        <v>27.383570849942473</v>
      </c>
      <c r="H36" s="167">
        <f t="shared" si="7"/>
        <v>35.213652469803911</v>
      </c>
      <c r="I36" s="167">
        <f t="shared" si="7"/>
        <v>33.288022322375539</v>
      </c>
      <c r="J36" s="167">
        <f t="shared" si="7"/>
        <v>35.719275987246931</v>
      </c>
      <c r="K36" s="167">
        <f>K19/(K7)*100</f>
        <v>38.045624827463101</v>
      </c>
      <c r="L36" s="167">
        <f>L19/(L7)*100</f>
        <v>31.619345262677623</v>
      </c>
      <c r="M36" s="167">
        <f>M19/(M7)*100</f>
        <v>37.809671580099476</v>
      </c>
      <c r="N36" s="167">
        <f>N19/(N7)*100</f>
        <v>45.121659916502864</v>
      </c>
      <c r="O36" s="167"/>
      <c r="P36" s="91" t="s">
        <v>39</v>
      </c>
      <c r="Q36" s="113"/>
      <c r="R36" s="113"/>
    </row>
    <row r="37" spans="1:18" x14ac:dyDescent="0.25">
      <c r="A37" s="121" t="s">
        <v>409</v>
      </c>
      <c r="B37" s="171"/>
      <c r="C37" s="171"/>
      <c r="D37" s="167">
        <f t="shared" ref="D37:K37" si="8">D20/(D8)*100</f>
        <v>23.570395689666071</v>
      </c>
      <c r="E37" s="167">
        <f t="shared" si="8"/>
        <v>34.304884707278681</v>
      </c>
      <c r="F37" s="167">
        <f t="shared" si="8"/>
        <v>52.929245074557585</v>
      </c>
      <c r="G37" s="167">
        <f t="shared" si="8"/>
        <v>52.202994298192984</v>
      </c>
      <c r="H37" s="167">
        <f t="shared" si="8"/>
        <v>61.399502636061044</v>
      </c>
      <c r="I37" s="167">
        <f t="shared" si="8"/>
        <v>68.751634618372833</v>
      </c>
      <c r="J37" s="167">
        <f t="shared" si="8"/>
        <v>73.081551421039578</v>
      </c>
      <c r="K37" s="167">
        <f t="shared" si="8"/>
        <v>76.254009934373514</v>
      </c>
      <c r="L37" s="167">
        <f>L20/(L8)*100</f>
        <v>65.042096671345618</v>
      </c>
      <c r="M37" s="167">
        <f>M20/(M8)*100</f>
        <v>35.501181829488239</v>
      </c>
      <c r="N37" s="167">
        <f>N20/(N8)*100</f>
        <v>113.78065090937346</v>
      </c>
      <c r="O37" s="167"/>
      <c r="P37" s="91" t="s">
        <v>39</v>
      </c>
      <c r="Q37" s="113"/>
      <c r="R37" s="113"/>
    </row>
    <row r="38" spans="1:18" s="10" customFormat="1" x14ac:dyDescent="0.25">
      <c r="A38" s="16"/>
      <c r="B38" s="54"/>
      <c r="C38" s="54"/>
      <c r="D38" s="184"/>
      <c r="E38" s="184"/>
      <c r="F38" s="184"/>
      <c r="G38" s="184"/>
      <c r="H38" s="184"/>
      <c r="I38" s="184"/>
      <c r="J38" s="184"/>
      <c r="K38" s="184"/>
      <c r="L38" s="184"/>
      <c r="M38" s="184"/>
      <c r="N38" s="184"/>
      <c r="O38" s="184"/>
      <c r="P38" s="49"/>
      <c r="Q38" s="49"/>
      <c r="R38" s="19"/>
    </row>
    <row r="39" spans="1:18" s="2" customFormat="1" x14ac:dyDescent="0.25">
      <c r="A39" s="107" t="s">
        <v>12</v>
      </c>
      <c r="B39" s="107">
        <v>2009</v>
      </c>
      <c r="C39" s="107">
        <v>2010</v>
      </c>
      <c r="D39" s="107">
        <v>2011</v>
      </c>
      <c r="E39" s="107">
        <v>2012</v>
      </c>
      <c r="F39" s="107">
        <v>2013</v>
      </c>
      <c r="G39" s="107">
        <v>2014</v>
      </c>
      <c r="H39" s="107">
        <v>2015</v>
      </c>
      <c r="I39" s="107">
        <v>2016</v>
      </c>
      <c r="J39" s="107">
        <v>2017</v>
      </c>
      <c r="K39" s="107">
        <v>2018</v>
      </c>
      <c r="L39" s="107">
        <v>2019</v>
      </c>
      <c r="M39" s="107">
        <v>2020</v>
      </c>
      <c r="N39" s="107">
        <v>2021</v>
      </c>
      <c r="O39" s="107">
        <v>2022</v>
      </c>
      <c r="P39" s="123" t="s">
        <v>119</v>
      </c>
      <c r="Q39" s="123" t="s">
        <v>120</v>
      </c>
      <c r="R39" s="123" t="s">
        <v>38</v>
      </c>
    </row>
    <row r="40" spans="1:18" x14ac:dyDescent="0.25">
      <c r="A40" s="154" t="s">
        <v>400</v>
      </c>
      <c r="B40" s="113"/>
      <c r="C40" s="113"/>
      <c r="D40" s="113"/>
      <c r="E40" s="113"/>
      <c r="F40" s="113"/>
      <c r="G40" s="113"/>
      <c r="H40" s="113"/>
      <c r="I40" s="113"/>
      <c r="J40" s="113"/>
      <c r="K40" s="113"/>
      <c r="L40" s="113"/>
      <c r="M40" s="113"/>
      <c r="N40" s="113"/>
      <c r="O40" s="113"/>
      <c r="P40" s="113"/>
      <c r="Q40" s="113"/>
      <c r="R40" s="113"/>
    </row>
    <row r="41" spans="1:18" x14ac:dyDescent="0.25">
      <c r="A41" s="121" t="s">
        <v>401</v>
      </c>
      <c r="B41" s="171"/>
      <c r="C41" s="171"/>
      <c r="D41" s="174">
        <v>992</v>
      </c>
      <c r="E41" s="174">
        <v>864</v>
      </c>
      <c r="F41" s="174">
        <v>793</v>
      </c>
      <c r="G41" s="174">
        <v>660</v>
      </c>
      <c r="H41" s="174">
        <v>502</v>
      </c>
      <c r="I41" s="174">
        <v>546</v>
      </c>
      <c r="J41" s="174">
        <v>605</v>
      </c>
      <c r="K41" s="174">
        <v>566</v>
      </c>
      <c r="L41" s="174">
        <v>564</v>
      </c>
      <c r="M41" s="174">
        <v>558</v>
      </c>
      <c r="N41" s="174">
        <v>1038</v>
      </c>
      <c r="O41" s="174"/>
      <c r="P41" s="91" t="s">
        <v>388</v>
      </c>
      <c r="Q41" s="116" t="s">
        <v>441</v>
      </c>
      <c r="R41" s="94" t="s">
        <v>524</v>
      </c>
    </row>
    <row r="42" spans="1:18" x14ac:dyDescent="0.25">
      <c r="A42" s="121" t="s">
        <v>402</v>
      </c>
      <c r="B42" s="171"/>
      <c r="C42" s="171"/>
      <c r="D42" s="174">
        <v>1180</v>
      </c>
      <c r="E42" s="174">
        <v>1034</v>
      </c>
      <c r="F42" s="174">
        <v>966</v>
      </c>
      <c r="G42" s="174">
        <v>803</v>
      </c>
      <c r="H42" s="174">
        <v>563</v>
      </c>
      <c r="I42" s="174">
        <v>746</v>
      </c>
      <c r="J42" s="174">
        <v>731</v>
      </c>
      <c r="K42" s="174">
        <v>662</v>
      </c>
      <c r="L42" s="174">
        <v>740</v>
      </c>
      <c r="M42" s="174">
        <v>828</v>
      </c>
      <c r="N42" s="174">
        <v>1444</v>
      </c>
      <c r="O42" s="174"/>
      <c r="P42" s="91" t="s">
        <v>388</v>
      </c>
      <c r="Q42" s="116" t="s">
        <v>441</v>
      </c>
      <c r="R42" s="94" t="s">
        <v>524</v>
      </c>
    </row>
    <row r="43" spans="1:18" x14ac:dyDescent="0.25">
      <c r="A43" s="121" t="s">
        <v>403</v>
      </c>
      <c r="B43" s="171"/>
      <c r="C43" s="171"/>
      <c r="D43" s="174">
        <v>1020</v>
      </c>
      <c r="E43" s="174">
        <v>926</v>
      </c>
      <c r="F43" s="174">
        <v>846</v>
      </c>
      <c r="G43" s="174">
        <v>711</v>
      </c>
      <c r="H43" s="174">
        <v>498</v>
      </c>
      <c r="I43" s="174">
        <v>537</v>
      </c>
      <c r="J43" s="174">
        <v>549</v>
      </c>
      <c r="K43" s="174">
        <v>463</v>
      </c>
      <c r="L43" s="174">
        <v>512</v>
      </c>
      <c r="M43" s="174">
        <v>534</v>
      </c>
      <c r="N43" s="174">
        <v>1066</v>
      </c>
      <c r="O43" s="174"/>
      <c r="P43" s="91" t="s">
        <v>388</v>
      </c>
      <c r="Q43" s="116" t="s">
        <v>441</v>
      </c>
      <c r="R43" s="94" t="s">
        <v>524</v>
      </c>
    </row>
    <row r="44" spans="1:18" x14ac:dyDescent="0.25">
      <c r="A44" s="121" t="s">
        <v>404</v>
      </c>
      <c r="B44" s="171"/>
      <c r="C44" s="171"/>
      <c r="D44" s="174">
        <v>932</v>
      </c>
      <c r="E44" s="174">
        <v>788</v>
      </c>
      <c r="F44" s="174">
        <v>727</v>
      </c>
      <c r="G44" s="174">
        <v>612</v>
      </c>
      <c r="H44" s="174">
        <v>462</v>
      </c>
      <c r="I44" s="174">
        <v>505</v>
      </c>
      <c r="J44" s="174">
        <v>524</v>
      </c>
      <c r="K44" s="174">
        <v>408</v>
      </c>
      <c r="L44" s="174">
        <v>466</v>
      </c>
      <c r="M44" s="174">
        <v>461</v>
      </c>
      <c r="N44" s="174">
        <v>893</v>
      </c>
      <c r="O44" s="174"/>
      <c r="P44" s="91" t="s">
        <v>388</v>
      </c>
      <c r="Q44" s="116" t="s">
        <v>441</v>
      </c>
      <c r="R44" s="94" t="s">
        <v>524</v>
      </c>
    </row>
    <row r="45" spans="1:18" x14ac:dyDescent="0.25">
      <c r="N45" s="136"/>
    </row>
    <row r="131" spans="2:2" x14ac:dyDescent="0.25">
      <c r="B131" s="27"/>
    </row>
    <row r="137" spans="2:2" x14ac:dyDescent="0.25">
      <c r="B137" s="27"/>
    </row>
    <row r="138" spans="2:2" x14ac:dyDescent="0.25">
      <c r="B138" s="27"/>
    </row>
    <row r="140" spans="2:2" x14ac:dyDescent="0.25">
      <c r="B140" s="185"/>
    </row>
    <row r="142" spans="2:2" x14ac:dyDescent="0.25">
      <c r="B142" s="27"/>
    </row>
    <row r="144" spans="2:2" x14ac:dyDescent="0.25">
      <c r="B144" s="186"/>
    </row>
    <row r="149" spans="2:2" x14ac:dyDescent="0.25">
      <c r="B149" s="27"/>
    </row>
    <row r="150" spans="2:2" x14ac:dyDescent="0.25">
      <c r="B150" s="187"/>
    </row>
    <row r="152" spans="2:2" x14ac:dyDescent="0.25">
      <c r="B152" s="187"/>
    </row>
    <row r="155" spans="2:2" x14ac:dyDescent="0.25">
      <c r="B155" s="27"/>
    </row>
  </sheetData>
  <mergeCells count="1">
    <mergeCell ref="A1:A2"/>
  </mergeCells>
  <phoneticPr fontId="39" type="noConversion"/>
  <hyperlinks>
    <hyperlink ref="Q17" r:id="rId1" display="https://www.eia.gov/biofuels/biodiesel/production/archive/2020/2020_09/table3.pdf" xr:uid="{F92FE2F2-E0F0-4432-92EF-DF7A2CC0DB13}"/>
    <hyperlink ref="Q18" r:id="rId2" display="https://www.eia.gov/biofuels/biodiesel/production/archive/2020/2020_09/table3.pdf" xr:uid="{414A44D0-6EF1-4F81-A292-E6E064F932B0}"/>
    <hyperlink ref="Q19" r:id="rId3" display="https://www.eia.gov/biofuels/biodiesel/production/archive/2020/2020_09/table3.pdf" xr:uid="{EC4D3238-C4C1-46BD-BE42-A87E0A313C48}"/>
    <hyperlink ref="Q20" r:id="rId4" display="https://www.eia.gov/biofuels/biodiesel/production/archive/2020/2020_09/table3.pdf" xr:uid="{64A357FA-B8FD-4485-A355-2E0B1750911F}"/>
    <hyperlink ref="Q21" r:id="rId5" display="https://www.eia.gov/biofuels/biodiesel/production/archive/2020/2020_09/table3.pdf" xr:uid="{FDAB846F-EDDD-4C46-AD94-EB1DFF0F1476}"/>
    <hyperlink ref="Q13" r:id="rId6" xr:uid="{7C37AE61-0399-47E0-A02D-1309E2EAC98E}"/>
    <hyperlink ref="Q5" r:id="rId7" xr:uid="{81CE4F5C-5585-433F-9C7F-2F626A21A944}"/>
  </hyperlinks>
  <pageMargins left="0.7" right="0.7" top="0.75" bottom="0.75" header="0.3" footer="0.3"/>
  <pageSetup orientation="portrait" r:id="rId8"/>
  <drawing r:id="rId9"/>
  <legacyDrawing r:id="rId1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585E5-706B-4E21-922C-CC16E8E22F41}">
  <sheetPr>
    <tabColor rgb="FF08306C"/>
  </sheetPr>
  <dimension ref="A1:Q96"/>
  <sheetViews>
    <sheetView zoomScale="85" zoomScaleNormal="85" workbookViewId="0">
      <selection activeCell="M31" sqref="M31"/>
    </sheetView>
  </sheetViews>
  <sheetFormatPr defaultColWidth="8.85546875" defaultRowHeight="15" x14ac:dyDescent="0.25"/>
  <cols>
    <col min="1" max="1" width="71.42578125" style="10" bestFit="1" customWidth="1"/>
    <col min="2" max="14" width="11.7109375" style="10" customWidth="1"/>
    <col min="15" max="15" width="12.7109375" style="10" bestFit="1" customWidth="1"/>
    <col min="16" max="16" width="106.28515625" style="10" customWidth="1"/>
    <col min="17" max="17" width="24.7109375" style="10" bestFit="1" customWidth="1"/>
    <col min="18" max="16384" width="8.85546875" style="10"/>
  </cols>
  <sheetData>
    <row r="1" spans="1:17" x14ac:dyDescent="0.25">
      <c r="A1" s="383" t="s">
        <v>411</v>
      </c>
    </row>
    <row r="2" spans="1:17" x14ac:dyDescent="0.25">
      <c r="A2" s="384"/>
    </row>
    <row r="3" spans="1:17" s="2" customFormat="1" ht="30" x14ac:dyDescent="0.25">
      <c r="A3" s="8" t="s">
        <v>16</v>
      </c>
      <c r="B3" s="107">
        <v>2010</v>
      </c>
      <c r="C3" s="107">
        <v>2011</v>
      </c>
      <c r="D3" s="107">
        <v>2012</v>
      </c>
      <c r="E3" s="107">
        <v>2013</v>
      </c>
      <c r="F3" s="107">
        <v>2014</v>
      </c>
      <c r="G3" s="107">
        <v>2015</v>
      </c>
      <c r="H3" s="107">
        <v>2016</v>
      </c>
      <c r="I3" s="107">
        <v>2017</v>
      </c>
      <c r="J3" s="107">
        <v>2018</v>
      </c>
      <c r="K3" s="107">
        <v>2019</v>
      </c>
      <c r="L3" s="107">
        <v>2020</v>
      </c>
      <c r="M3" s="107">
        <v>2021</v>
      </c>
      <c r="N3" s="107">
        <v>2022</v>
      </c>
      <c r="O3" s="123" t="s">
        <v>119</v>
      </c>
      <c r="P3" s="123" t="s">
        <v>120</v>
      </c>
      <c r="Q3" s="123" t="s">
        <v>38</v>
      </c>
    </row>
    <row r="4" spans="1:17" x14ac:dyDescent="0.25">
      <c r="A4" s="9" t="s">
        <v>414</v>
      </c>
      <c r="B4" s="188">
        <v>8.7765930000000001</v>
      </c>
      <c r="C4" s="188">
        <v>62.041289999999996</v>
      </c>
      <c r="D4" s="188">
        <v>52.401102000000002</v>
      </c>
      <c r="E4" s="188">
        <v>113.285858</v>
      </c>
      <c r="F4" s="188">
        <v>159.14120600000001</v>
      </c>
      <c r="G4" s="188">
        <v>176.84761599999999</v>
      </c>
      <c r="H4" s="188">
        <v>241.487435</v>
      </c>
      <c r="I4" s="188">
        <v>258.34212500000001</v>
      </c>
      <c r="J4" s="188">
        <v>305.48444699999999</v>
      </c>
      <c r="K4" s="214">
        <v>492.00795799999997</v>
      </c>
      <c r="L4" s="214">
        <v>533.50834699999996</v>
      </c>
      <c r="M4" s="214">
        <v>845.43490699999995</v>
      </c>
      <c r="N4" s="214">
        <v>655.03069900000003</v>
      </c>
      <c r="O4" s="94" t="s">
        <v>11</v>
      </c>
      <c r="P4" s="116" t="s">
        <v>448</v>
      </c>
      <c r="Q4" s="94" t="s">
        <v>524</v>
      </c>
    </row>
    <row r="5" spans="1:17" x14ac:dyDescent="0.25">
      <c r="A5" s="91" t="s">
        <v>413</v>
      </c>
      <c r="B5" s="90">
        <v>8.7765930000000001</v>
      </c>
      <c r="C5" s="93">
        <v>62.041289999999996</v>
      </c>
      <c r="D5" s="93">
        <v>102.674024</v>
      </c>
      <c r="E5" s="93">
        <v>416.68540000000002</v>
      </c>
      <c r="F5" s="93">
        <v>487.892696</v>
      </c>
      <c r="G5" s="93">
        <v>513.14457400000003</v>
      </c>
      <c r="H5" s="93">
        <v>591.17347099999995</v>
      </c>
      <c r="I5" s="93">
        <v>602.72382000000005</v>
      </c>
      <c r="J5" s="93">
        <v>615.33108400000003</v>
      </c>
      <c r="K5" s="93">
        <v>912.38458300000002</v>
      </c>
      <c r="L5" s="93">
        <v>892.71931400000005</v>
      </c>
      <c r="M5" s="93">
        <v>1237.223954</v>
      </c>
      <c r="N5" s="93">
        <v>871.57771100000002</v>
      </c>
      <c r="O5" s="94" t="s">
        <v>11</v>
      </c>
      <c r="P5" s="116" t="s">
        <v>448</v>
      </c>
      <c r="Q5" s="94" t="s">
        <v>524</v>
      </c>
    </row>
    <row r="6" spans="1:17" x14ac:dyDescent="0.25">
      <c r="A6" s="118" t="s">
        <v>415</v>
      </c>
      <c r="B6" s="60"/>
      <c r="C6" s="60"/>
      <c r="D6" s="60"/>
      <c r="E6" s="60"/>
      <c r="F6" s="60"/>
      <c r="G6" s="60"/>
      <c r="H6" s="188">
        <v>0</v>
      </c>
      <c r="I6" s="188">
        <v>0</v>
      </c>
      <c r="J6" s="188">
        <v>0</v>
      </c>
      <c r="K6" s="214">
        <v>0</v>
      </c>
      <c r="L6" s="258"/>
      <c r="M6" s="258"/>
      <c r="N6" s="214"/>
      <c r="O6" s="94" t="s">
        <v>10</v>
      </c>
      <c r="P6" s="116" t="s">
        <v>452</v>
      </c>
      <c r="Q6" s="94" t="s">
        <v>524</v>
      </c>
    </row>
    <row r="7" spans="1:17" x14ac:dyDescent="0.25">
      <c r="A7" s="118" t="s">
        <v>412</v>
      </c>
      <c r="B7" s="60"/>
      <c r="C7" s="60"/>
      <c r="D7" s="188">
        <v>30.909999999999997</v>
      </c>
      <c r="E7" s="188">
        <v>212.85599999999999</v>
      </c>
      <c r="F7" s="188">
        <v>120.666</v>
      </c>
      <c r="G7" s="188">
        <v>204.708</v>
      </c>
      <c r="H7" s="188">
        <v>222.768</v>
      </c>
      <c r="I7" s="188">
        <v>189.37799999999999</v>
      </c>
      <c r="J7" s="188">
        <v>173.208</v>
      </c>
      <c r="K7" s="214">
        <v>258.00599999999997</v>
      </c>
      <c r="L7" s="254">
        <v>279.63600000000002</v>
      </c>
      <c r="M7" s="214">
        <v>392.28</v>
      </c>
      <c r="N7" s="214"/>
      <c r="O7" s="94" t="s">
        <v>10</v>
      </c>
      <c r="P7" s="116" t="s">
        <v>451</v>
      </c>
      <c r="Q7" s="94" t="s">
        <v>524</v>
      </c>
    </row>
    <row r="30" spans="1:15" x14ac:dyDescent="0.25">
      <c r="I30" s="33"/>
    </row>
    <row r="31" spans="1:15" x14ac:dyDescent="0.2">
      <c r="B31" s="33"/>
      <c r="C31" s="33"/>
      <c r="D31" s="255"/>
      <c r="E31" s="255"/>
      <c r="F31" s="255"/>
      <c r="G31" s="255"/>
      <c r="H31" s="255"/>
      <c r="I31" s="255"/>
      <c r="K31" s="33"/>
      <c r="L31" s="33"/>
      <c r="M31" s="33"/>
      <c r="N31" s="33"/>
    </row>
    <row r="32" spans="1:15" x14ac:dyDescent="0.25">
      <c r="A32"/>
      <c r="B32"/>
      <c r="C32"/>
      <c r="D32"/>
      <c r="E32"/>
      <c r="F32"/>
      <c r="G32"/>
      <c r="H32"/>
      <c r="I32"/>
      <c r="K32"/>
      <c r="L32"/>
      <c r="M32"/>
      <c r="N32"/>
      <c r="O32"/>
    </row>
    <row r="33" spans="1:15" x14ac:dyDescent="0.25">
      <c r="A33"/>
      <c r="B33"/>
      <c r="C33"/>
      <c r="D33" s="256"/>
      <c r="E33"/>
      <c r="F33"/>
      <c r="G33"/>
      <c r="H33"/>
      <c r="I33" s="33"/>
      <c r="K33"/>
      <c r="L33"/>
      <c r="M33"/>
      <c r="N33"/>
      <c r="O33"/>
    </row>
    <row r="34" spans="1:15" x14ac:dyDescent="0.25">
      <c r="A34"/>
      <c r="B34"/>
      <c r="C34"/>
      <c r="D34"/>
      <c r="E34"/>
      <c r="F34"/>
      <c r="G34"/>
      <c r="H34"/>
      <c r="I34"/>
      <c r="J34"/>
      <c r="K34"/>
      <c r="L34"/>
      <c r="M34"/>
      <c r="N34"/>
      <c r="O34"/>
    </row>
    <row r="35" spans="1:15" x14ac:dyDescent="0.25">
      <c r="A35"/>
      <c r="B35"/>
      <c r="C35"/>
      <c r="D35"/>
      <c r="E35"/>
      <c r="F35"/>
      <c r="G35"/>
      <c r="H35"/>
      <c r="I35"/>
      <c r="J35"/>
      <c r="K35"/>
      <c r="L35"/>
      <c r="M35"/>
      <c r="N35"/>
      <c r="O35"/>
    </row>
    <row r="36" spans="1:15" x14ac:dyDescent="0.25">
      <c r="A36"/>
      <c r="B36"/>
      <c r="C36"/>
      <c r="D36"/>
      <c r="E36"/>
      <c r="F36"/>
      <c r="G36"/>
      <c r="H36"/>
      <c r="I36"/>
      <c r="J36"/>
      <c r="K36"/>
      <c r="L36"/>
      <c r="M36"/>
      <c r="N36"/>
      <c r="O36"/>
    </row>
    <row r="37" spans="1:15" x14ac:dyDescent="0.25">
      <c r="A37"/>
      <c r="B37"/>
      <c r="C37"/>
      <c r="D37"/>
      <c r="E37"/>
      <c r="F37"/>
      <c r="G37"/>
      <c r="H37"/>
      <c r="I37"/>
      <c r="J37"/>
      <c r="K37"/>
      <c r="L37"/>
      <c r="M37"/>
      <c r="N37"/>
      <c r="O37"/>
    </row>
    <row r="38" spans="1:15" x14ac:dyDescent="0.25">
      <c r="A38"/>
      <c r="B38"/>
      <c r="C38"/>
      <c r="D38"/>
      <c r="E38"/>
      <c r="F38"/>
      <c r="G38"/>
      <c r="H38"/>
      <c r="I38"/>
      <c r="J38"/>
      <c r="K38"/>
      <c r="L38"/>
      <c r="M38"/>
      <c r="N38"/>
      <c r="O38"/>
    </row>
    <row r="39" spans="1:15" x14ac:dyDescent="0.25">
      <c r="A39"/>
      <c r="B39"/>
      <c r="C39"/>
      <c r="D39"/>
      <c r="E39"/>
      <c r="F39"/>
      <c r="G39"/>
      <c r="H39"/>
      <c r="I39"/>
      <c r="J39"/>
      <c r="K39"/>
      <c r="L39"/>
      <c r="M39"/>
      <c r="N39"/>
      <c r="O39"/>
    </row>
    <row r="40" spans="1:15" x14ac:dyDescent="0.25">
      <c r="A40"/>
      <c r="B40"/>
      <c r="C40"/>
      <c r="D40"/>
      <c r="E40"/>
      <c r="F40"/>
      <c r="G40"/>
      <c r="H40"/>
      <c r="I40"/>
      <c r="J40"/>
      <c r="K40"/>
      <c r="L40"/>
      <c r="M40"/>
      <c r="N40"/>
      <c r="O40"/>
    </row>
    <row r="41" spans="1:15" x14ac:dyDescent="0.25">
      <c r="A41"/>
      <c r="B41"/>
      <c r="C41"/>
      <c r="D41"/>
      <c r="E41"/>
      <c r="F41"/>
      <c r="G41"/>
      <c r="H41"/>
      <c r="I41"/>
      <c r="J41"/>
      <c r="K41"/>
      <c r="L41"/>
      <c r="M41"/>
      <c r="N41"/>
      <c r="O41"/>
    </row>
    <row r="42" spans="1:15" x14ac:dyDescent="0.25">
      <c r="A42"/>
      <c r="B42"/>
      <c r="C42"/>
      <c r="D42"/>
      <c r="E42"/>
      <c r="F42"/>
      <c r="G42"/>
      <c r="H42"/>
      <c r="I42"/>
      <c r="J42"/>
      <c r="K42"/>
      <c r="L42"/>
      <c r="M42"/>
      <c r="N42"/>
      <c r="O42"/>
    </row>
    <row r="64" spans="1:16" x14ac:dyDescent="0.25">
      <c r="A64"/>
      <c r="B64"/>
      <c r="C64"/>
      <c r="D64"/>
      <c r="E64"/>
      <c r="F64"/>
      <c r="G64"/>
      <c r="H64"/>
      <c r="I64"/>
      <c r="J64"/>
      <c r="K64"/>
      <c r="L64"/>
      <c r="M64"/>
      <c r="N64"/>
      <c r="O64"/>
      <c r="P64"/>
    </row>
    <row r="65" spans="1:16" x14ac:dyDescent="0.25">
      <c r="A65"/>
      <c r="B65"/>
      <c r="C65"/>
      <c r="D65"/>
      <c r="E65"/>
      <c r="F65"/>
      <c r="G65"/>
      <c r="H65"/>
      <c r="I65"/>
      <c r="J65"/>
      <c r="K65"/>
      <c r="L65"/>
      <c r="M65"/>
      <c r="N65"/>
      <c r="O65"/>
      <c r="P65"/>
    </row>
    <row r="66" spans="1:16" x14ac:dyDescent="0.25">
      <c r="A66"/>
      <c r="B66"/>
      <c r="C66"/>
      <c r="D66"/>
      <c r="E66"/>
      <c r="F66"/>
      <c r="G66"/>
      <c r="H66"/>
      <c r="I66"/>
      <c r="J66"/>
      <c r="K66"/>
      <c r="L66"/>
      <c r="M66"/>
      <c r="N66"/>
      <c r="O66"/>
      <c r="P66"/>
    </row>
    <row r="67" spans="1:16" x14ac:dyDescent="0.25">
      <c r="A67"/>
      <c r="B67"/>
      <c r="C67"/>
      <c r="D67"/>
      <c r="E67"/>
      <c r="F67"/>
      <c r="G67"/>
      <c r="H67"/>
      <c r="I67"/>
      <c r="J67"/>
      <c r="K67"/>
      <c r="L67"/>
      <c r="M67"/>
      <c r="N67"/>
      <c r="O67"/>
      <c r="P67"/>
    </row>
    <row r="68" spans="1:16" x14ac:dyDescent="0.25">
      <c r="A68"/>
      <c r="B68"/>
      <c r="C68"/>
      <c r="D68"/>
      <c r="E68"/>
      <c r="F68"/>
      <c r="G68"/>
      <c r="H68"/>
      <c r="I68"/>
      <c r="J68"/>
      <c r="K68"/>
      <c r="L68"/>
      <c r="M68"/>
      <c r="N68"/>
      <c r="O68"/>
      <c r="P68"/>
    </row>
    <row r="69" spans="1:16" x14ac:dyDescent="0.25">
      <c r="A69"/>
      <c r="B69"/>
      <c r="C69"/>
      <c r="D69"/>
      <c r="E69"/>
      <c r="F69"/>
      <c r="G69"/>
      <c r="H69"/>
      <c r="I69"/>
      <c r="J69"/>
      <c r="K69"/>
      <c r="L69"/>
      <c r="M69"/>
      <c r="N69"/>
      <c r="O69"/>
      <c r="P69"/>
    </row>
    <row r="70" spans="1:16" x14ac:dyDescent="0.25">
      <c r="A70"/>
      <c r="B70"/>
      <c r="C70"/>
      <c r="D70"/>
      <c r="E70"/>
      <c r="F70"/>
      <c r="G70"/>
      <c r="H70"/>
      <c r="I70"/>
      <c r="J70"/>
      <c r="K70"/>
      <c r="L70"/>
      <c r="M70"/>
      <c r="N70"/>
      <c r="O70"/>
      <c r="P70"/>
    </row>
    <row r="71" spans="1:16" x14ac:dyDescent="0.25">
      <c r="A71"/>
      <c r="B71"/>
      <c r="C71"/>
      <c r="D71"/>
      <c r="E71"/>
      <c r="F71"/>
      <c r="G71"/>
      <c r="H71"/>
      <c r="I71"/>
      <c r="J71"/>
      <c r="K71"/>
      <c r="L71"/>
      <c r="M71"/>
      <c r="N71"/>
      <c r="O71"/>
      <c r="P71"/>
    </row>
    <row r="72" spans="1:16" x14ac:dyDescent="0.25">
      <c r="E72"/>
      <c r="F72"/>
      <c r="G72"/>
      <c r="H72"/>
    </row>
    <row r="73" spans="1:16" x14ac:dyDescent="0.25">
      <c r="E73"/>
      <c r="F73"/>
      <c r="G73"/>
      <c r="H73"/>
    </row>
    <row r="74" spans="1:16" x14ac:dyDescent="0.25">
      <c r="E74"/>
      <c r="F74"/>
      <c r="G74"/>
      <c r="H74"/>
    </row>
    <row r="75" spans="1:16" x14ac:dyDescent="0.25">
      <c r="E75"/>
      <c r="F75"/>
      <c r="G75"/>
      <c r="H75"/>
    </row>
    <row r="76" spans="1:16" x14ac:dyDescent="0.25">
      <c r="E76"/>
      <c r="F76"/>
      <c r="G76"/>
      <c r="H76"/>
    </row>
    <row r="77" spans="1:16" x14ac:dyDescent="0.25">
      <c r="E77"/>
      <c r="F77"/>
      <c r="G77"/>
      <c r="H77"/>
    </row>
    <row r="78" spans="1:16" x14ac:dyDescent="0.25">
      <c r="E78"/>
      <c r="F78"/>
      <c r="G78"/>
      <c r="H78"/>
    </row>
    <row r="79" spans="1:16" x14ac:dyDescent="0.25">
      <c r="E79"/>
      <c r="F79"/>
      <c r="G79"/>
      <c r="H79"/>
    </row>
    <row r="80" spans="1:16" x14ac:dyDescent="0.25">
      <c r="E80"/>
      <c r="F80"/>
      <c r="G80"/>
      <c r="H80"/>
    </row>
    <row r="81" spans="5:8" x14ac:dyDescent="0.25">
      <c r="E81"/>
      <c r="F81"/>
      <c r="G81"/>
      <c r="H81"/>
    </row>
    <row r="82" spans="5:8" x14ac:dyDescent="0.25">
      <c r="E82"/>
      <c r="F82"/>
      <c r="G82"/>
      <c r="H82"/>
    </row>
    <row r="83" spans="5:8" x14ac:dyDescent="0.25">
      <c r="E83"/>
      <c r="F83"/>
      <c r="G83"/>
      <c r="H83"/>
    </row>
    <row r="84" spans="5:8" x14ac:dyDescent="0.25">
      <c r="E84"/>
      <c r="F84"/>
      <c r="G84"/>
      <c r="H84"/>
    </row>
    <row r="85" spans="5:8" x14ac:dyDescent="0.25">
      <c r="E85"/>
      <c r="F85"/>
      <c r="G85"/>
      <c r="H85"/>
    </row>
    <row r="86" spans="5:8" x14ac:dyDescent="0.25">
      <c r="E86"/>
      <c r="F86"/>
      <c r="G86"/>
      <c r="H86"/>
    </row>
    <row r="87" spans="5:8" x14ac:dyDescent="0.25">
      <c r="E87"/>
      <c r="F87"/>
      <c r="G87"/>
      <c r="H87"/>
    </row>
    <row r="88" spans="5:8" x14ac:dyDescent="0.25">
      <c r="E88"/>
      <c r="F88"/>
      <c r="G88"/>
      <c r="H88"/>
    </row>
    <row r="89" spans="5:8" x14ac:dyDescent="0.25">
      <c r="E89"/>
      <c r="F89"/>
      <c r="G89"/>
      <c r="H89"/>
    </row>
    <row r="90" spans="5:8" x14ac:dyDescent="0.25">
      <c r="E90"/>
      <c r="F90"/>
      <c r="G90"/>
      <c r="H90"/>
    </row>
    <row r="91" spans="5:8" x14ac:dyDescent="0.25">
      <c r="E91"/>
      <c r="F91"/>
      <c r="G91"/>
      <c r="H91"/>
    </row>
    <row r="92" spans="5:8" x14ac:dyDescent="0.25">
      <c r="E92"/>
      <c r="F92"/>
      <c r="G92"/>
      <c r="H92"/>
    </row>
    <row r="93" spans="5:8" x14ac:dyDescent="0.25">
      <c r="E93"/>
      <c r="F93"/>
      <c r="G93"/>
      <c r="H93"/>
    </row>
    <row r="94" spans="5:8" x14ac:dyDescent="0.25">
      <c r="E94"/>
      <c r="F94"/>
      <c r="G94"/>
      <c r="H94"/>
    </row>
    <row r="95" spans="5:8" x14ac:dyDescent="0.25">
      <c r="E95"/>
      <c r="F95"/>
      <c r="G95"/>
      <c r="H95"/>
    </row>
    <row r="96" spans="5:8" x14ac:dyDescent="0.25">
      <c r="E96"/>
      <c r="F96"/>
      <c r="G96"/>
      <c r="H96"/>
    </row>
  </sheetData>
  <mergeCells count="1">
    <mergeCell ref="A1:A2"/>
  </mergeCells>
  <hyperlinks>
    <hyperlink ref="P7" r:id="rId1" xr:uid="{020CD888-495A-41C7-A861-E8822EEFF445}"/>
    <hyperlink ref="P4" r:id="rId2" xr:uid="{9ADE643C-15D0-4469-B4F1-2A2136FF4036}"/>
    <hyperlink ref="P5" r:id="rId3" xr:uid="{82D855BF-3792-4790-BE73-0639FAE5E91B}"/>
    <hyperlink ref="P6" r:id="rId4" xr:uid="{09C818D4-B288-448D-B62C-347F7398A4F7}"/>
  </hyperlinks>
  <pageMargins left="0.7" right="0.7" top="0.75" bottom="0.75" header="0.3" footer="0.3"/>
  <pageSetup orientation="portrait" r:id="rId5"/>
  <drawing r:id="rId6"/>
  <legacy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50F5B-762A-4A1D-A2A0-A0D66F32850E}">
  <sheetPr>
    <tabColor rgb="FF08306C"/>
  </sheetPr>
  <dimension ref="A1:Q8"/>
  <sheetViews>
    <sheetView workbookViewId="0">
      <selection activeCell="N4" sqref="N4"/>
    </sheetView>
  </sheetViews>
  <sheetFormatPr defaultRowHeight="15" x14ac:dyDescent="0.25"/>
  <cols>
    <col min="1" max="1" width="53" bestFit="1" customWidth="1"/>
    <col min="5" max="5" width="10.5703125" bestFit="1" customWidth="1"/>
    <col min="6" max="8" width="11.5703125" bestFit="1" customWidth="1"/>
    <col min="9" max="9" width="10.5703125" bestFit="1" customWidth="1"/>
    <col min="10" max="10" width="9.28515625" bestFit="1" customWidth="1"/>
    <col min="11" max="12" width="11.5703125" bestFit="1" customWidth="1"/>
    <col min="13" max="14" width="13.28515625" bestFit="1" customWidth="1"/>
    <col min="15" max="15" width="12.7109375" bestFit="1" customWidth="1"/>
    <col min="16" max="16" width="66.7109375" customWidth="1"/>
    <col min="17" max="17" width="24.5703125" customWidth="1"/>
  </cols>
  <sheetData>
    <row r="1" spans="1:17" x14ac:dyDescent="0.25">
      <c r="A1" s="383" t="s">
        <v>449</v>
      </c>
    </row>
    <row r="2" spans="1:17" x14ac:dyDescent="0.25">
      <c r="A2" s="383"/>
    </row>
    <row r="3" spans="1:17" x14ac:dyDescent="0.25">
      <c r="A3" s="107" t="s">
        <v>16</v>
      </c>
      <c r="B3" s="107">
        <v>2010</v>
      </c>
      <c r="C3" s="107">
        <v>2011</v>
      </c>
      <c r="D3" s="107">
        <v>2012</v>
      </c>
      <c r="E3" s="107">
        <v>2013</v>
      </c>
      <c r="F3" s="107">
        <v>2014</v>
      </c>
      <c r="G3" s="107">
        <v>2015</v>
      </c>
      <c r="H3" s="107">
        <v>2016</v>
      </c>
      <c r="I3" s="107">
        <v>2017</v>
      </c>
      <c r="J3" s="107">
        <v>2018</v>
      </c>
      <c r="K3" s="31">
        <v>2019</v>
      </c>
      <c r="L3" s="107">
        <v>2020</v>
      </c>
      <c r="M3" s="107">
        <v>2021</v>
      </c>
      <c r="N3" s="107">
        <v>2022</v>
      </c>
      <c r="O3" s="107" t="s">
        <v>119</v>
      </c>
      <c r="P3" s="123" t="s">
        <v>120</v>
      </c>
      <c r="Q3" s="123" t="s">
        <v>38</v>
      </c>
    </row>
    <row r="4" spans="1:17" ht="30" x14ac:dyDescent="0.25">
      <c r="A4" s="91" t="s">
        <v>450</v>
      </c>
      <c r="B4" s="170"/>
      <c r="C4" s="170"/>
      <c r="D4" s="170"/>
      <c r="E4" s="170"/>
      <c r="F4" s="170"/>
      <c r="G4" s="170"/>
      <c r="H4" s="122">
        <v>1943.7170000000001</v>
      </c>
      <c r="I4" s="122">
        <v>1711.0170000000001</v>
      </c>
      <c r="J4" s="122">
        <v>1828.1780000000001</v>
      </c>
      <c r="K4" s="122">
        <v>2428.3690000000001</v>
      </c>
      <c r="L4" s="122">
        <v>4608.3990000000003</v>
      </c>
      <c r="M4" s="122">
        <v>5076.6229999999996</v>
      </c>
      <c r="N4" s="122">
        <v>8788.0679999999993</v>
      </c>
      <c r="O4" s="91" t="s">
        <v>11</v>
      </c>
      <c r="P4" s="95" t="s">
        <v>448</v>
      </c>
      <c r="Q4" s="94" t="s">
        <v>524</v>
      </c>
    </row>
    <row r="5" spans="1:17" ht="45" x14ac:dyDescent="0.25">
      <c r="A5" s="113" t="s">
        <v>534</v>
      </c>
      <c r="B5" s="113"/>
      <c r="C5" s="113"/>
      <c r="D5" s="113"/>
      <c r="E5" s="274">
        <v>15004.969600000002</v>
      </c>
      <c r="F5" s="274">
        <v>395993.82799999998</v>
      </c>
      <c r="G5" s="274">
        <v>921009.26080000005</v>
      </c>
      <c r="H5" s="274">
        <v>639005.65080000006</v>
      </c>
      <c r="I5" s="274">
        <v>39995.640800000001</v>
      </c>
      <c r="J5" s="274">
        <v>105.6688</v>
      </c>
      <c r="K5" s="274">
        <v>257541.28280000002</v>
      </c>
      <c r="L5" s="274">
        <v>109789.8832</v>
      </c>
      <c r="M5" s="274">
        <v>2635881.7988</v>
      </c>
      <c r="N5" s="274">
        <v>3355512.7439999995</v>
      </c>
      <c r="O5" s="275" t="s">
        <v>543</v>
      </c>
      <c r="P5" s="279" t="s">
        <v>549</v>
      </c>
      <c r="Q5" s="94" t="s">
        <v>533</v>
      </c>
    </row>
    <row r="6" spans="1:17" x14ac:dyDescent="0.25">
      <c r="A6" s="113" t="s">
        <v>535</v>
      </c>
      <c r="B6" s="113"/>
      <c r="C6" s="113"/>
      <c r="D6" s="113"/>
      <c r="E6" s="113"/>
      <c r="F6" s="113"/>
      <c r="G6" s="113"/>
      <c r="H6" s="113"/>
      <c r="I6" s="113"/>
      <c r="J6" s="113"/>
      <c r="K6" s="113"/>
      <c r="L6" s="113"/>
      <c r="M6" s="113"/>
      <c r="N6" s="113"/>
      <c r="O6" s="113"/>
      <c r="P6" s="113"/>
      <c r="Q6" s="113"/>
    </row>
    <row r="7" spans="1:17" x14ac:dyDescent="0.25">
      <c r="A7" s="113" t="s">
        <v>536</v>
      </c>
      <c r="B7" s="113"/>
      <c r="C7" s="113"/>
      <c r="D7" s="113"/>
      <c r="E7" s="113"/>
      <c r="F7" s="113"/>
      <c r="G7" s="113"/>
      <c r="H7" s="113"/>
      <c r="I7" s="113"/>
      <c r="J7" s="113"/>
      <c r="K7" s="113"/>
      <c r="L7" s="113"/>
      <c r="M7" s="113"/>
      <c r="N7" s="113"/>
      <c r="O7" s="113"/>
      <c r="P7" s="113"/>
      <c r="Q7" s="113"/>
    </row>
    <row r="8" spans="1:17" x14ac:dyDescent="0.25">
      <c r="B8" s="169"/>
    </row>
  </sheetData>
  <mergeCells count="1">
    <mergeCell ref="A1:A2"/>
  </mergeCells>
  <hyperlinks>
    <hyperlink ref="P4" r:id="rId1" xr:uid="{0DC5665C-C1EB-4D6C-A3B4-31BEBFC76DBE}"/>
    <hyperlink ref="P5" r:id="rId2" location="InplviewHashef347ce3-9fcc-4b72-be6a-207e60680777=ShowInGrid%3DTrue" xr:uid="{24B3349F-4A7E-4B4A-B9B7-EA4AED16C95F}"/>
  </hyperlink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8306C"/>
  </sheetPr>
  <dimension ref="A1:Q61"/>
  <sheetViews>
    <sheetView zoomScale="85" zoomScaleNormal="85" workbookViewId="0">
      <pane xSplit="1" ySplit="3" topLeftCell="B17" activePane="bottomRight" state="frozen"/>
      <selection pane="topRight" activeCell="B1" sqref="B1"/>
      <selection pane="bottomLeft" activeCell="A4" sqref="A4"/>
      <selection pane="bottomRight" activeCell="L37" sqref="L37"/>
    </sheetView>
  </sheetViews>
  <sheetFormatPr defaultColWidth="8.85546875" defaultRowHeight="15" x14ac:dyDescent="0.25"/>
  <cols>
    <col min="1" max="1" width="62.85546875" style="10" bestFit="1" customWidth="1"/>
    <col min="2" max="14" width="11.7109375" style="10" customWidth="1"/>
    <col min="15" max="15" width="27.42578125" style="10" bestFit="1" customWidth="1"/>
    <col min="16" max="16" width="84" style="10" customWidth="1"/>
    <col min="17" max="17" width="24.7109375" style="10" bestFit="1" customWidth="1"/>
    <col min="18" max="16384" width="8.85546875" style="10"/>
  </cols>
  <sheetData>
    <row r="1" spans="1:17" x14ac:dyDescent="0.25">
      <c r="A1" s="383" t="s">
        <v>25</v>
      </c>
    </row>
    <row r="2" spans="1:17" x14ac:dyDescent="0.25">
      <c r="A2" s="384"/>
    </row>
    <row r="3" spans="1:17" s="2" customFormat="1" x14ac:dyDescent="0.25">
      <c r="A3" s="1" t="s">
        <v>9</v>
      </c>
      <c r="B3" s="1">
        <v>2010</v>
      </c>
      <c r="C3" s="1">
        <v>2011</v>
      </c>
      <c r="D3" s="1">
        <v>2012</v>
      </c>
      <c r="E3" s="1">
        <v>2013</v>
      </c>
      <c r="F3" s="1">
        <v>2014</v>
      </c>
      <c r="G3" s="1">
        <v>2015</v>
      </c>
      <c r="H3" s="1">
        <v>2016</v>
      </c>
      <c r="I3" s="31">
        <v>2017</v>
      </c>
      <c r="J3" s="107">
        <v>2018</v>
      </c>
      <c r="K3" s="107">
        <v>2019</v>
      </c>
      <c r="L3" s="107">
        <v>2020</v>
      </c>
      <c r="M3" s="107">
        <v>2021</v>
      </c>
      <c r="N3" s="107">
        <v>2022</v>
      </c>
      <c r="O3" s="6" t="s">
        <v>119</v>
      </c>
      <c r="P3" s="6" t="s">
        <v>120</v>
      </c>
      <c r="Q3" s="32" t="s">
        <v>38</v>
      </c>
    </row>
    <row r="4" spans="1:17" x14ac:dyDescent="0.25">
      <c r="A4" s="26" t="s">
        <v>156</v>
      </c>
      <c r="B4" s="69"/>
      <c r="C4" s="69"/>
      <c r="D4" s="69"/>
      <c r="E4" s="4">
        <v>123</v>
      </c>
      <c r="F4" s="4">
        <v>122</v>
      </c>
      <c r="G4" s="4">
        <v>137</v>
      </c>
      <c r="H4" s="4">
        <v>147</v>
      </c>
      <c r="I4" s="4">
        <v>148</v>
      </c>
      <c r="J4" s="61">
        <v>140</v>
      </c>
      <c r="K4" s="61">
        <v>126</v>
      </c>
      <c r="L4" s="264">
        <v>124</v>
      </c>
      <c r="M4" s="264">
        <v>116</v>
      </c>
      <c r="N4" s="264"/>
      <c r="O4" s="114" t="s">
        <v>248</v>
      </c>
      <c r="P4" s="114" t="s">
        <v>254</v>
      </c>
      <c r="Q4" s="34" t="s">
        <v>524</v>
      </c>
    </row>
    <row r="5" spans="1:17" x14ac:dyDescent="0.25">
      <c r="A5" s="26" t="s">
        <v>157</v>
      </c>
      <c r="B5" s="60"/>
      <c r="C5" s="60"/>
      <c r="D5" s="60"/>
      <c r="E5" s="4">
        <v>11</v>
      </c>
      <c r="F5" s="4">
        <v>15</v>
      </c>
      <c r="G5" s="4">
        <v>22</v>
      </c>
      <c r="H5" s="4">
        <v>18</v>
      </c>
      <c r="I5" s="4">
        <v>7</v>
      </c>
      <c r="J5" s="61">
        <v>0</v>
      </c>
      <c r="K5" s="61">
        <v>3</v>
      </c>
      <c r="L5" s="264">
        <v>1</v>
      </c>
      <c r="M5" s="264">
        <v>3</v>
      </c>
      <c r="N5" s="264"/>
      <c r="O5" s="114" t="s">
        <v>248</v>
      </c>
      <c r="P5" s="115" t="s">
        <v>254</v>
      </c>
      <c r="Q5" s="34" t="s">
        <v>524</v>
      </c>
    </row>
    <row r="6" spans="1:17" x14ac:dyDescent="0.25">
      <c r="A6" s="50" t="s">
        <v>135</v>
      </c>
      <c r="B6" s="63"/>
      <c r="C6" s="63"/>
      <c r="D6" s="63"/>
      <c r="E6" s="4">
        <v>7</v>
      </c>
      <c r="F6" s="4">
        <v>9</v>
      </c>
      <c r="G6" s="4">
        <v>9</v>
      </c>
      <c r="H6" s="4">
        <v>11</v>
      </c>
      <c r="I6" s="4">
        <v>4</v>
      </c>
      <c r="J6" s="61">
        <v>4</v>
      </c>
      <c r="K6" s="61">
        <v>2</v>
      </c>
      <c r="L6" s="264">
        <v>5</v>
      </c>
      <c r="M6" s="264">
        <v>4</v>
      </c>
      <c r="N6" s="264"/>
      <c r="O6" s="114" t="s">
        <v>248</v>
      </c>
      <c r="P6" s="115" t="s">
        <v>254</v>
      </c>
      <c r="Q6" s="34" t="s">
        <v>524</v>
      </c>
    </row>
    <row r="7" spans="1:17" x14ac:dyDescent="0.25">
      <c r="A7" s="118" t="s">
        <v>133</v>
      </c>
      <c r="B7" s="60"/>
      <c r="C7" s="60"/>
      <c r="D7" s="60"/>
      <c r="E7" s="60"/>
      <c r="F7" s="60"/>
      <c r="G7" s="60"/>
      <c r="H7" s="4">
        <v>13</v>
      </c>
      <c r="I7" s="36">
        <v>11</v>
      </c>
      <c r="J7" s="96">
        <v>6</v>
      </c>
      <c r="K7" s="282">
        <v>4</v>
      </c>
      <c r="L7" s="264">
        <v>5</v>
      </c>
      <c r="M7" s="264">
        <v>1</v>
      </c>
      <c r="N7" s="264"/>
      <c r="O7" s="114" t="s">
        <v>248</v>
      </c>
      <c r="P7" s="115" t="s">
        <v>254</v>
      </c>
      <c r="Q7" s="34" t="s">
        <v>524</v>
      </c>
    </row>
    <row r="8" spans="1:17" x14ac:dyDescent="0.25">
      <c r="A8" s="26" t="s">
        <v>155</v>
      </c>
      <c r="B8" s="60"/>
      <c r="C8" s="60"/>
      <c r="D8" s="60"/>
      <c r="E8" s="4">
        <v>36</v>
      </c>
      <c r="F8" s="4">
        <v>36</v>
      </c>
      <c r="G8" s="4">
        <v>36</v>
      </c>
      <c r="H8" s="4">
        <v>38</v>
      </c>
      <c r="I8" s="4">
        <v>37</v>
      </c>
      <c r="J8" s="61">
        <v>40</v>
      </c>
      <c r="K8" s="61">
        <v>38</v>
      </c>
      <c r="L8" s="264">
        <v>37</v>
      </c>
      <c r="M8" s="264">
        <v>36</v>
      </c>
      <c r="N8" s="264"/>
      <c r="O8" s="114" t="s">
        <v>248</v>
      </c>
      <c r="P8" s="114" t="s">
        <v>254</v>
      </c>
      <c r="Q8" s="34" t="s">
        <v>524</v>
      </c>
    </row>
    <row r="9" spans="1:17" x14ac:dyDescent="0.25">
      <c r="A9" s="16"/>
      <c r="B9" s="54"/>
      <c r="C9" s="54"/>
      <c r="D9" s="54"/>
      <c r="E9" s="54"/>
      <c r="F9" s="54"/>
      <c r="G9" s="54"/>
      <c r="H9" s="54"/>
      <c r="I9" s="54"/>
      <c r="J9" s="54"/>
      <c r="K9" s="54"/>
      <c r="L9" s="54"/>
      <c r="M9" s="54"/>
      <c r="N9" s="54"/>
      <c r="O9" s="49"/>
      <c r="P9" s="49"/>
      <c r="Q9" s="19"/>
    </row>
    <row r="10" spans="1:17" s="2" customFormat="1" x14ac:dyDescent="0.25">
      <c r="A10" s="8" t="s">
        <v>26</v>
      </c>
      <c r="B10" s="8">
        <v>2010</v>
      </c>
      <c r="C10" s="8">
        <v>2011</v>
      </c>
      <c r="D10" s="8">
        <v>2012</v>
      </c>
      <c r="E10" s="8">
        <v>2013</v>
      </c>
      <c r="F10" s="8">
        <v>2014</v>
      </c>
      <c r="G10" s="8">
        <v>2015</v>
      </c>
      <c r="H10" s="8">
        <v>2016</v>
      </c>
      <c r="I10" s="8">
        <v>2017</v>
      </c>
      <c r="J10" s="8">
        <v>2018</v>
      </c>
      <c r="K10" s="8">
        <v>2019</v>
      </c>
      <c r="L10" s="107">
        <v>2020</v>
      </c>
      <c r="M10" s="107">
        <v>2021</v>
      </c>
      <c r="N10" s="107">
        <v>2022</v>
      </c>
      <c r="O10" s="7" t="s">
        <v>119</v>
      </c>
      <c r="P10" s="7" t="s">
        <v>120</v>
      </c>
      <c r="Q10" s="7" t="s">
        <v>38</v>
      </c>
    </row>
    <row r="11" spans="1:17" s="2" customFormat="1" x14ac:dyDescent="0.25">
      <c r="A11" s="128" t="s">
        <v>279</v>
      </c>
      <c r="B11" s="60"/>
      <c r="C11" s="60"/>
      <c r="D11" s="130">
        <v>3.4740000000000002</v>
      </c>
      <c r="E11" s="130">
        <v>4.7039999999999997</v>
      </c>
      <c r="F11" s="130">
        <v>5.9470000000000001</v>
      </c>
      <c r="G11" s="130">
        <v>6.5170000000000003</v>
      </c>
      <c r="H11" s="130">
        <v>6.3929999999999998</v>
      </c>
      <c r="I11" s="130">
        <v>6.9</v>
      </c>
      <c r="J11" s="160">
        <v>7.4683609999999998</v>
      </c>
      <c r="K11" s="160">
        <v>8.5927129999999998</v>
      </c>
      <c r="L11" s="160">
        <v>8.4123590000000004</v>
      </c>
      <c r="M11" s="160">
        <v>8.4485969999999995</v>
      </c>
      <c r="N11" s="160"/>
      <c r="O11" s="133" t="s">
        <v>281</v>
      </c>
      <c r="P11" s="132" t="s">
        <v>282</v>
      </c>
      <c r="Q11" s="34" t="s">
        <v>601</v>
      </c>
    </row>
    <row r="12" spans="1:17" s="2" customFormat="1" x14ac:dyDescent="0.25">
      <c r="A12" s="128" t="s">
        <v>363</v>
      </c>
      <c r="B12" s="60"/>
      <c r="C12" s="60"/>
      <c r="D12" s="167">
        <v>86</v>
      </c>
      <c r="E12" s="167">
        <v>152.44200000000001</v>
      </c>
      <c r="F12" s="167">
        <v>219.98699999999999</v>
      </c>
      <c r="G12" s="167">
        <v>207</v>
      </c>
      <c r="H12" s="167">
        <v>204.84700000000001</v>
      </c>
      <c r="I12" s="167">
        <v>211.61699999999999</v>
      </c>
      <c r="J12" s="167">
        <v>221</v>
      </c>
      <c r="K12" s="167">
        <v>211.61500000000001</v>
      </c>
      <c r="L12" s="265">
        <v>204.958</v>
      </c>
      <c r="M12" s="313">
        <v>195.95099999999999</v>
      </c>
      <c r="N12" s="265"/>
      <c r="O12" s="133" t="s">
        <v>281</v>
      </c>
      <c r="P12" s="132" t="s">
        <v>282</v>
      </c>
      <c r="Q12" s="34" t="s">
        <v>601</v>
      </c>
    </row>
    <row r="13" spans="1:17" s="2" customFormat="1" x14ac:dyDescent="0.25">
      <c r="A13" s="128" t="s">
        <v>280</v>
      </c>
      <c r="B13" s="60"/>
      <c r="C13" s="60"/>
      <c r="D13" s="130">
        <v>1.8981250000000001</v>
      </c>
      <c r="E13" s="130">
        <v>2.882517</v>
      </c>
      <c r="F13" s="130">
        <v>4.0050569999999999</v>
      </c>
      <c r="G13" s="130">
        <v>4.6689999999999996</v>
      </c>
      <c r="H13" s="130">
        <v>4.7089999999999996</v>
      </c>
      <c r="I13" s="130">
        <v>5.2039809999999997</v>
      </c>
      <c r="J13" s="130">
        <v>6.0170000000000003</v>
      </c>
      <c r="K13" s="130">
        <v>6.8584620000000003</v>
      </c>
      <c r="L13" s="160">
        <v>7.2568599999999996</v>
      </c>
      <c r="M13" s="130">
        <v>7.5225499999999998</v>
      </c>
      <c r="N13" s="160"/>
      <c r="O13" s="133" t="s">
        <v>281</v>
      </c>
      <c r="P13" s="132" t="s">
        <v>282</v>
      </c>
      <c r="Q13" s="34" t="s">
        <v>601</v>
      </c>
    </row>
    <row r="14" spans="1:17" s="2" customFormat="1" x14ac:dyDescent="0.25">
      <c r="A14" s="128" t="s">
        <v>283</v>
      </c>
      <c r="B14" s="135"/>
      <c r="C14" s="135"/>
      <c r="D14" s="134">
        <f>+D11+D12/1000-D13</f>
        <v>1.661875</v>
      </c>
      <c r="E14" s="134">
        <f t="shared" ref="E14:J14" si="0">+E11+E12/1000-E13</f>
        <v>1.9739249999999995</v>
      </c>
      <c r="F14" s="134">
        <f t="shared" si="0"/>
        <v>2.1619299999999999</v>
      </c>
      <c r="G14" s="134">
        <f t="shared" si="0"/>
        <v>2.0550000000000006</v>
      </c>
      <c r="H14" s="134">
        <f t="shared" si="0"/>
        <v>1.8888470000000002</v>
      </c>
      <c r="I14" s="134">
        <f t="shared" si="0"/>
        <v>1.907636000000001</v>
      </c>
      <c r="J14" s="134">
        <f t="shared" si="0"/>
        <v>1.6723609999999995</v>
      </c>
      <c r="K14" s="134">
        <f>+K11+K12/1000-K13</f>
        <v>1.9458659999999997</v>
      </c>
      <c r="L14" s="134">
        <f>+L11+L12/1000-L13</f>
        <v>1.3604570000000002</v>
      </c>
      <c r="M14" s="134">
        <f>+M11+M12/1000-M13</f>
        <v>1.1219980000000005</v>
      </c>
      <c r="N14" s="134"/>
      <c r="O14" s="133" t="s">
        <v>284</v>
      </c>
      <c r="P14" s="7"/>
      <c r="Q14" s="7"/>
    </row>
    <row r="15" spans="1:17" s="2" customFormat="1" ht="30" x14ac:dyDescent="0.25">
      <c r="A15" s="128" t="s">
        <v>278</v>
      </c>
      <c r="B15" s="129">
        <v>126.83606807999999</v>
      </c>
      <c r="C15" s="129">
        <v>127.78123085999998</v>
      </c>
      <c r="D15" s="129">
        <v>128.97547985999998</v>
      </c>
      <c r="E15" s="129">
        <v>136.58113992</v>
      </c>
      <c r="F15" s="129">
        <v>144.4700076</v>
      </c>
      <c r="G15" s="129">
        <v>143.06761806</v>
      </c>
      <c r="H15" s="129">
        <v>139.71689658</v>
      </c>
      <c r="I15" s="129">
        <v>140.41638527999999</v>
      </c>
      <c r="J15" s="161">
        <v>139.9148007</v>
      </c>
      <c r="K15" s="215">
        <f>38543*3412.14/1000000</f>
        <v>131.51411202</v>
      </c>
      <c r="L15" s="122">
        <f>(36210*10^6)*3412.14/10^12</f>
        <v>123.55358940000001</v>
      </c>
      <c r="M15" s="122">
        <f>(37170*10^6)*3412.14/10^12</f>
        <v>126.8292438</v>
      </c>
      <c r="N15" s="122">
        <f>(11830*10^6)*3412.14/10^12</f>
        <v>40.365616199999998</v>
      </c>
      <c r="O15" s="29" t="s">
        <v>10</v>
      </c>
      <c r="P15" s="99" t="s">
        <v>111</v>
      </c>
      <c r="Q15" s="34" t="s">
        <v>550</v>
      </c>
    </row>
    <row r="16" spans="1:17" s="2" customFormat="1" ht="30" x14ac:dyDescent="0.25">
      <c r="A16" s="121" t="s">
        <v>276</v>
      </c>
      <c r="B16" s="129">
        <v>87.712470839999995</v>
      </c>
      <c r="C16" s="129">
        <v>91.073428739999983</v>
      </c>
      <c r="D16" s="129">
        <v>91.189441500000001</v>
      </c>
      <c r="E16" s="129">
        <v>94.485568739999991</v>
      </c>
      <c r="F16" s="129">
        <v>92.943281459999994</v>
      </c>
      <c r="G16" s="129">
        <v>93.21284052</v>
      </c>
      <c r="H16" s="129">
        <v>93.690540119999994</v>
      </c>
      <c r="I16" s="129">
        <v>93.629121600000005</v>
      </c>
      <c r="J16" s="161">
        <v>93.983984159999991</v>
      </c>
      <c r="K16" s="215">
        <f>26433*3412.14/1000000</f>
        <v>90.193096619999992</v>
      </c>
      <c r="L16" s="253">
        <f>(24908*10^6)*3412.14/10^12</f>
        <v>84.989583120000006</v>
      </c>
      <c r="M16" s="253">
        <f>(24657*10^6)*3412.14/10^12</f>
        <v>84.133135980000006</v>
      </c>
      <c r="N16" s="253">
        <f>(7822*10^6)*3412.14/10^12</f>
        <v>26.689759080000002</v>
      </c>
      <c r="O16" s="29" t="s">
        <v>10</v>
      </c>
      <c r="P16" s="99" t="s">
        <v>111</v>
      </c>
      <c r="Q16" s="34" t="s">
        <v>550</v>
      </c>
    </row>
    <row r="17" spans="1:17" s="2" customFormat="1" ht="30" x14ac:dyDescent="0.25">
      <c r="A17" s="121" t="s">
        <v>277</v>
      </c>
      <c r="B17" s="129">
        <v>39.055354439999995</v>
      </c>
      <c r="C17" s="129">
        <v>36.622498620000002</v>
      </c>
      <c r="D17" s="129">
        <v>37.704147000000006</v>
      </c>
      <c r="E17" s="129">
        <v>41.976146279999995</v>
      </c>
      <c r="F17" s="129">
        <v>51.274227779999997</v>
      </c>
      <c r="G17" s="129">
        <v>49.69099482</v>
      </c>
      <c r="H17" s="129">
        <v>45.7909188</v>
      </c>
      <c r="I17" s="129">
        <v>46.545001739999996</v>
      </c>
      <c r="J17" s="161">
        <v>45.671493899999994</v>
      </c>
      <c r="K17" s="215">
        <f>12020*3412.14/1000000</f>
        <v>41.013922799999996</v>
      </c>
      <c r="L17" s="122">
        <f>(11211*10^6)*3412.14/10^12</f>
        <v>38.253501540000002</v>
      </c>
      <c r="M17" s="122">
        <f>(12361*10^6)*3412.14/10^12</f>
        <v>42.177462540000001</v>
      </c>
      <c r="N17" s="253">
        <f>(3958*10^6)*3412.14/10^12</f>
        <v>13.505250119999999</v>
      </c>
      <c r="O17" s="29" t="s">
        <v>10</v>
      </c>
      <c r="P17" s="99" t="s">
        <v>111</v>
      </c>
      <c r="Q17" s="34" t="s">
        <v>550</v>
      </c>
    </row>
    <row r="18" spans="1:17" s="2" customFormat="1" x14ac:dyDescent="0.25">
      <c r="A18" s="121" t="s">
        <v>308</v>
      </c>
      <c r="B18" s="129">
        <f>+B19-B15</f>
        <v>2090.1639319199999</v>
      </c>
      <c r="C18" s="129">
        <f t="shared" ref="C18:J18" si="1">+C19-C15</f>
        <v>2085.2187691399999</v>
      </c>
      <c r="D18" s="129">
        <f t="shared" si="1"/>
        <v>2022.02452014</v>
      </c>
      <c r="E18" s="129">
        <f t="shared" si="1"/>
        <v>2201.4188600799998</v>
      </c>
      <c r="F18" s="129">
        <f t="shared" si="1"/>
        <v>2256.5299924000001</v>
      </c>
      <c r="G18" s="129">
        <f t="shared" si="1"/>
        <v>2168.9323819400001</v>
      </c>
      <c r="H18" s="129">
        <f t="shared" si="1"/>
        <v>2087.2831034199999</v>
      </c>
      <c r="I18" s="129">
        <f t="shared" si="1"/>
        <v>2044.58361472</v>
      </c>
      <c r="J18" s="129">
        <f t="shared" si="1"/>
        <v>2122.0851993000001</v>
      </c>
      <c r="K18" s="129">
        <f>+K19-K15</f>
        <v>2105.4858879799999</v>
      </c>
      <c r="L18" s="129">
        <f>+L19-L15</f>
        <v>1941.4464106</v>
      </c>
      <c r="M18" s="129">
        <f t="shared" ref="M18" si="2">+M19-M15</f>
        <v>1960.1707561999999</v>
      </c>
      <c r="N18" s="129">
        <f>+N19-N15</f>
        <v>629.63438380000002</v>
      </c>
      <c r="O18" s="113" t="s">
        <v>284</v>
      </c>
      <c r="P18" s="116"/>
      <c r="Q18" s="94"/>
    </row>
    <row r="19" spans="1:17" x14ac:dyDescent="0.25">
      <c r="A19" s="118" t="s">
        <v>273</v>
      </c>
      <c r="B19" s="70">
        <v>2217</v>
      </c>
      <c r="C19" s="70">
        <v>2213</v>
      </c>
      <c r="D19" s="70">
        <v>2151</v>
      </c>
      <c r="E19" s="70">
        <v>2338</v>
      </c>
      <c r="F19" s="70">
        <v>2401</v>
      </c>
      <c r="G19" s="70">
        <v>2312</v>
      </c>
      <c r="H19" s="70">
        <v>2227</v>
      </c>
      <c r="I19" s="315">
        <v>2185</v>
      </c>
      <c r="J19" s="127">
        <v>2262</v>
      </c>
      <c r="K19" s="216">
        <v>2237</v>
      </c>
      <c r="L19" s="96">
        <v>2065</v>
      </c>
      <c r="M19" s="96">
        <v>2087</v>
      </c>
      <c r="N19" s="216">
        <v>670</v>
      </c>
      <c r="O19" s="29" t="s">
        <v>10</v>
      </c>
      <c r="P19" s="99" t="s">
        <v>111</v>
      </c>
      <c r="Q19" s="34" t="s">
        <v>524</v>
      </c>
    </row>
    <row r="20" spans="1:17" x14ac:dyDescent="0.25">
      <c r="A20" s="121" t="s">
        <v>274</v>
      </c>
      <c r="B20" s="127">
        <v>541</v>
      </c>
      <c r="C20" s="127">
        <v>524</v>
      </c>
      <c r="D20" s="127">
        <v>438</v>
      </c>
      <c r="E20" s="127">
        <v>572</v>
      </c>
      <c r="F20" s="127">
        <v>579</v>
      </c>
      <c r="G20" s="127">
        <v>513</v>
      </c>
      <c r="H20" s="127">
        <v>445</v>
      </c>
      <c r="I20" s="127">
        <v>430</v>
      </c>
      <c r="J20" s="127">
        <v>525</v>
      </c>
      <c r="K20" s="216">
        <v>546</v>
      </c>
      <c r="L20" s="174">
        <v>441</v>
      </c>
      <c r="M20" s="174">
        <v>464</v>
      </c>
      <c r="N20" s="216">
        <v>159</v>
      </c>
      <c r="O20" s="29" t="s">
        <v>10</v>
      </c>
      <c r="P20" s="99" t="s">
        <v>111</v>
      </c>
      <c r="Q20" s="34" t="s">
        <v>524</v>
      </c>
    </row>
    <row r="21" spans="1:17" x14ac:dyDescent="0.25">
      <c r="A21" s="121" t="s">
        <v>275</v>
      </c>
      <c r="B21" s="127">
        <v>72</v>
      </c>
      <c r="C21" s="127">
        <v>69</v>
      </c>
      <c r="D21" s="127">
        <v>61</v>
      </c>
      <c r="E21" s="127">
        <v>70</v>
      </c>
      <c r="F21" s="127">
        <v>76</v>
      </c>
      <c r="G21" s="127">
        <v>79</v>
      </c>
      <c r="H21" s="127">
        <v>84</v>
      </c>
      <c r="I21" s="127">
        <v>84</v>
      </c>
      <c r="J21" s="127">
        <v>84</v>
      </c>
      <c r="K21" s="216">
        <v>84</v>
      </c>
      <c r="L21" s="174">
        <v>83</v>
      </c>
      <c r="M21" s="174">
        <v>83</v>
      </c>
      <c r="N21" s="216">
        <v>27</v>
      </c>
      <c r="O21" s="29" t="s">
        <v>10</v>
      </c>
      <c r="P21" s="99" t="s">
        <v>111</v>
      </c>
      <c r="Q21" s="34" t="s">
        <v>524</v>
      </c>
    </row>
    <row r="22" spans="1:17" x14ac:dyDescent="0.25">
      <c r="A22" s="121" t="s">
        <v>276</v>
      </c>
      <c r="B22" s="127">
        <v>1409</v>
      </c>
      <c r="C22" s="127">
        <v>1438</v>
      </c>
      <c r="D22" s="127">
        <v>1462</v>
      </c>
      <c r="E22" s="127">
        <v>1489</v>
      </c>
      <c r="F22" s="127">
        <v>1495</v>
      </c>
      <c r="G22" s="127">
        <v>1476</v>
      </c>
      <c r="H22" s="127">
        <v>1474</v>
      </c>
      <c r="I22" s="316">
        <v>1442</v>
      </c>
      <c r="J22" s="316">
        <v>1432</v>
      </c>
      <c r="K22" s="316">
        <v>1407</v>
      </c>
      <c r="L22" s="174">
        <v>1356</v>
      </c>
      <c r="M22" s="174">
        <v>1342</v>
      </c>
      <c r="N22" s="216">
        <v>419</v>
      </c>
      <c r="O22" s="29" t="s">
        <v>10</v>
      </c>
      <c r="P22" s="99" t="s">
        <v>111</v>
      </c>
      <c r="Q22" s="34" t="s">
        <v>524</v>
      </c>
    </row>
    <row r="23" spans="1:17" x14ac:dyDescent="0.25">
      <c r="A23" s="121" t="s">
        <v>277</v>
      </c>
      <c r="B23" s="127">
        <v>196</v>
      </c>
      <c r="C23" s="127">
        <v>182</v>
      </c>
      <c r="D23" s="127">
        <v>190</v>
      </c>
      <c r="E23" s="127">
        <v>207</v>
      </c>
      <c r="F23" s="127">
        <v>251</v>
      </c>
      <c r="G23" s="127">
        <v>244</v>
      </c>
      <c r="H23" s="127">
        <v>224</v>
      </c>
      <c r="I23" s="127">
        <v>229</v>
      </c>
      <c r="J23" s="127">
        <v>221</v>
      </c>
      <c r="K23" s="216">
        <v>201</v>
      </c>
      <c r="L23" s="174">
        <v>185</v>
      </c>
      <c r="M23" s="174">
        <v>199</v>
      </c>
      <c r="N23" s="216">
        <v>65</v>
      </c>
      <c r="O23" s="29" t="s">
        <v>10</v>
      </c>
      <c r="P23" s="99" t="s">
        <v>111</v>
      </c>
      <c r="Q23" s="34" t="s">
        <v>524</v>
      </c>
    </row>
    <row r="24" spans="1:17" ht="45" x14ac:dyDescent="0.25">
      <c r="A24" s="26" t="s">
        <v>158</v>
      </c>
      <c r="B24" s="71">
        <v>15.7</v>
      </c>
      <c r="C24" s="71">
        <v>18.3</v>
      </c>
      <c r="D24" s="71">
        <v>18.053588999999999</v>
      </c>
      <c r="E24" s="71">
        <v>21.199020000000001</v>
      </c>
      <c r="F24" s="71">
        <v>25.093776999999999</v>
      </c>
      <c r="G24" s="71">
        <v>27.381663</v>
      </c>
      <c r="H24" s="71">
        <v>29.304248000000001</v>
      </c>
      <c r="I24" s="71">
        <v>33.410186000000003</v>
      </c>
      <c r="J24" s="71">
        <v>37.623758000000002</v>
      </c>
      <c r="K24" s="71">
        <v>41.996822999999999</v>
      </c>
      <c r="L24" s="161">
        <v>43.678925</v>
      </c>
      <c r="M24" s="296"/>
      <c r="N24" s="161"/>
      <c r="O24" s="29" t="s">
        <v>27</v>
      </c>
      <c r="P24" s="162" t="s">
        <v>542</v>
      </c>
      <c r="Q24" s="34" t="s">
        <v>524</v>
      </c>
    </row>
    <row r="25" spans="1:17" x14ac:dyDescent="0.25">
      <c r="A25" s="217" t="s">
        <v>447</v>
      </c>
      <c r="B25" s="218"/>
      <c r="C25" s="218"/>
      <c r="D25" s="218"/>
      <c r="E25" s="218"/>
      <c r="F25" s="218"/>
      <c r="G25" s="218"/>
      <c r="H25" s="219">
        <v>10.0039768600908</v>
      </c>
      <c r="I25" s="219">
        <v>10.867588571765101</v>
      </c>
      <c r="J25" s="219">
        <v>10.730605345237</v>
      </c>
      <c r="K25" s="219">
        <v>10.8062154100458</v>
      </c>
      <c r="L25" s="219">
        <v>10.89542550859</v>
      </c>
      <c r="M25" s="219">
        <v>11.758795892249999</v>
      </c>
      <c r="N25" s="219">
        <v>11.914077841515001</v>
      </c>
      <c r="O25" s="113" t="s">
        <v>10</v>
      </c>
      <c r="P25" s="272" t="s">
        <v>28</v>
      </c>
      <c r="Q25" s="34" t="s">
        <v>524</v>
      </c>
    </row>
    <row r="26" spans="1:17" ht="13.5" customHeight="1" x14ac:dyDescent="0.25">
      <c r="A26" s="118" t="s">
        <v>445</v>
      </c>
      <c r="B26" s="60"/>
      <c r="C26" s="60"/>
      <c r="D26" s="93">
        <v>258.23399999999998</v>
      </c>
      <c r="E26" s="93">
        <v>370.98099999999999</v>
      </c>
      <c r="F26" s="93">
        <v>519.399</v>
      </c>
      <c r="G26" s="93">
        <v>682.97799999999995</v>
      </c>
      <c r="H26" s="93">
        <v>612.49599999999998</v>
      </c>
      <c r="I26" s="93">
        <v>666.54499999999996</v>
      </c>
      <c r="J26" s="93">
        <v>809.85500000000002</v>
      </c>
      <c r="K26" s="93">
        <v>942.62699999999995</v>
      </c>
      <c r="L26" s="266">
        <v>981.59299999999996</v>
      </c>
      <c r="M26" s="267"/>
      <c r="N26" s="266"/>
      <c r="O26" s="133" t="s">
        <v>281</v>
      </c>
      <c r="P26" s="132" t="s">
        <v>282</v>
      </c>
      <c r="Q26" s="34" t="s">
        <v>524</v>
      </c>
    </row>
    <row r="27" spans="1:17" ht="13.7" customHeight="1" x14ac:dyDescent="0.25">
      <c r="A27" s="118" t="s">
        <v>446</v>
      </c>
      <c r="B27" s="131"/>
      <c r="C27" s="60"/>
      <c r="D27" s="93">
        <v>18.437999999999999</v>
      </c>
      <c r="E27" s="93">
        <v>30.262</v>
      </c>
      <c r="F27" s="93">
        <v>44.905999999999999</v>
      </c>
      <c r="G27" s="93">
        <v>45.781999999999996</v>
      </c>
      <c r="H27" s="93">
        <v>34.744999999999997</v>
      </c>
      <c r="I27" s="93">
        <v>41.134</v>
      </c>
      <c r="J27" s="93">
        <v>41.392000000000003</v>
      </c>
      <c r="K27" s="93">
        <v>42.323</v>
      </c>
      <c r="L27" s="266">
        <v>42.118000000000002</v>
      </c>
      <c r="M27" s="267"/>
      <c r="N27" s="266"/>
      <c r="O27" s="133" t="s">
        <v>281</v>
      </c>
      <c r="P27" s="132" t="s">
        <v>282</v>
      </c>
      <c r="Q27" s="34" t="s">
        <v>524</v>
      </c>
    </row>
    <row r="28" spans="1:17" x14ac:dyDescent="0.25">
      <c r="A28" s="16"/>
      <c r="B28" s="54"/>
      <c r="C28" s="54"/>
      <c r="D28" s="54"/>
      <c r="E28" s="54"/>
      <c r="F28" s="54"/>
      <c r="G28" s="54"/>
      <c r="H28" s="54"/>
      <c r="I28" s="54"/>
      <c r="J28" s="54"/>
      <c r="K28" s="54"/>
      <c r="L28" s="54"/>
      <c r="M28" s="54"/>
      <c r="N28" s="54"/>
      <c r="O28" s="49"/>
      <c r="P28" s="49"/>
      <c r="Q28" s="19"/>
    </row>
    <row r="29" spans="1:17" s="2" customFormat="1" x14ac:dyDescent="0.25">
      <c r="A29" s="8" t="s">
        <v>12</v>
      </c>
      <c r="B29" s="8">
        <v>2010</v>
      </c>
      <c r="C29" s="8">
        <v>2011</v>
      </c>
      <c r="D29" s="8">
        <v>2012</v>
      </c>
      <c r="E29" s="8">
        <v>2013</v>
      </c>
      <c r="F29" s="8">
        <v>2014</v>
      </c>
      <c r="G29" s="8">
        <v>2015</v>
      </c>
      <c r="H29" s="8">
        <v>2016</v>
      </c>
      <c r="I29" s="8">
        <v>2017</v>
      </c>
      <c r="J29" s="8">
        <v>2018</v>
      </c>
      <c r="K29" s="8">
        <v>2019</v>
      </c>
      <c r="L29" s="268">
        <v>2020</v>
      </c>
      <c r="M29" s="268">
        <v>2021</v>
      </c>
      <c r="N29" s="268">
        <v>2022</v>
      </c>
      <c r="O29" s="7" t="s">
        <v>119</v>
      </c>
      <c r="P29" s="7" t="s">
        <v>120</v>
      </c>
      <c r="Q29" s="7" t="s">
        <v>38</v>
      </c>
    </row>
    <row r="30" spans="1:17" x14ac:dyDescent="0.25">
      <c r="A30" s="314" t="s">
        <v>14</v>
      </c>
      <c r="B30" s="36">
        <v>26549</v>
      </c>
      <c r="C30" s="36">
        <v>25477</v>
      </c>
      <c r="D30" s="36">
        <v>25484</v>
      </c>
      <c r="E30" s="36">
        <v>25085</v>
      </c>
      <c r="F30" s="36">
        <v>26895</v>
      </c>
      <c r="G30" s="36">
        <v>23416</v>
      </c>
      <c r="H30" s="36">
        <v>23596</v>
      </c>
      <c r="I30" s="36">
        <v>24432</v>
      </c>
      <c r="J30" s="36">
        <v>25040</v>
      </c>
      <c r="K30" s="96">
        <v>24738</v>
      </c>
      <c r="L30" s="269">
        <v>24306</v>
      </c>
      <c r="M30" s="270">
        <v>25472</v>
      </c>
      <c r="N30" s="96"/>
      <c r="O30" s="113" t="s">
        <v>246</v>
      </c>
      <c r="P30" s="220" t="s">
        <v>362</v>
      </c>
      <c r="Q30" s="34" t="s">
        <v>524</v>
      </c>
    </row>
    <row r="31" spans="1:17" x14ac:dyDescent="0.25">
      <c r="Q31"/>
    </row>
    <row r="32" spans="1:17" x14ac:dyDescent="0.25">
      <c r="Q32"/>
    </row>
    <row r="42" spans="11:11" x14ac:dyDescent="0.25">
      <c r="K42" s="300"/>
    </row>
    <row r="43" spans="11:11" x14ac:dyDescent="0.25">
      <c r="K43" s="300"/>
    </row>
    <row r="44" spans="11:11" x14ac:dyDescent="0.25">
      <c r="K44" s="300"/>
    </row>
    <row r="45" spans="11:11" x14ac:dyDescent="0.25">
      <c r="K45" s="300"/>
    </row>
    <row r="61" spans="17:17" x14ac:dyDescent="0.25">
      <c r="Q61" s="166"/>
    </row>
  </sheetData>
  <mergeCells count="1">
    <mergeCell ref="A1:A2"/>
  </mergeCells>
  <hyperlinks>
    <hyperlink ref="P19" r:id="rId1" xr:uid="{00000000-0004-0000-0C00-000001000000}"/>
    <hyperlink ref="P24" r:id="rId2" display="http://task32.ieabioenergy.com/wp-content/uploads/2017/03/03-Fiona_Matthews.pdf" xr:uid="{00000000-0004-0000-0C00-000002000000}"/>
    <hyperlink ref="P20" r:id="rId3" xr:uid="{00000000-0004-0000-0C00-000007000000}"/>
    <hyperlink ref="P21" r:id="rId4" xr:uid="{00000000-0004-0000-0C00-000008000000}"/>
    <hyperlink ref="P22" r:id="rId5" xr:uid="{00000000-0004-0000-0C00-000009000000}"/>
    <hyperlink ref="P23" r:id="rId6" xr:uid="{00000000-0004-0000-0C00-00000A000000}"/>
    <hyperlink ref="P15" r:id="rId7" xr:uid="{00000000-0004-0000-0C00-00000B000000}"/>
    <hyperlink ref="P16" r:id="rId8" xr:uid="{00000000-0004-0000-0C00-00000C000000}"/>
    <hyperlink ref="P17" r:id="rId9" xr:uid="{00000000-0004-0000-0C00-00000D000000}"/>
    <hyperlink ref="P11" r:id="rId10" location="data/FO" xr:uid="{00000000-0004-0000-0C00-000011000000}"/>
    <hyperlink ref="P12" r:id="rId11" location="data/FO" xr:uid="{A9561755-46D4-4425-98E5-7C531CD15851}"/>
    <hyperlink ref="P13" r:id="rId12" location="data/FO" xr:uid="{EA03BEBD-420F-41E9-9CCA-83A5059F03EB}"/>
    <hyperlink ref="P26" r:id="rId13" location="data/FO" xr:uid="{C673F4D8-5281-46E2-8959-D594C0B99BDE}"/>
    <hyperlink ref="P27" r:id="rId14" location="data/FO" xr:uid="{9B3106D5-2C61-4809-BB92-EC426B67362F}"/>
    <hyperlink ref="P30" r:id="rId15" location="tab=Tables" display="tab=Tables" xr:uid="{B4AAD312-AEC7-4377-AEEC-BBE625090493}"/>
    <hyperlink ref="P25" r:id="rId16" xr:uid="{F14F3FD9-4DF7-46C4-AA9A-4F271E640F5A}"/>
  </hyperlinks>
  <pageMargins left="0.7" right="0.7" top="0.75" bottom="0.75" header="0.3" footer="0.3"/>
  <pageSetup orientation="portrait" r:id="rId17"/>
  <drawing r:id="rId1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8306C"/>
  </sheetPr>
  <dimension ref="A1:R118"/>
  <sheetViews>
    <sheetView zoomScale="70" zoomScaleNormal="70" workbookViewId="0">
      <pane xSplit="1" ySplit="3" topLeftCell="B4" activePane="bottomRight" state="frozen"/>
      <selection pane="topRight" activeCell="B1" sqref="B1"/>
      <selection pane="bottomLeft" activeCell="A4" sqref="A4"/>
      <selection pane="bottomRight" activeCell="M20" sqref="M20"/>
    </sheetView>
  </sheetViews>
  <sheetFormatPr defaultColWidth="8.85546875" defaultRowHeight="15" x14ac:dyDescent="0.25"/>
  <cols>
    <col min="1" max="1" width="86" style="10" bestFit="1" customWidth="1"/>
    <col min="2" max="14" width="11.7109375" style="10" customWidth="1"/>
    <col min="15" max="15" width="28.7109375" style="10" bestFit="1" customWidth="1"/>
    <col min="16" max="16" width="70.85546875" style="10" bestFit="1" customWidth="1"/>
    <col min="17" max="17" width="24.7109375" style="10" bestFit="1" customWidth="1"/>
    <col min="18" max="18" width="20.5703125" style="10" customWidth="1"/>
    <col min="19" max="16384" width="8.85546875" style="10"/>
  </cols>
  <sheetData>
    <row r="1" spans="1:18" x14ac:dyDescent="0.25">
      <c r="A1" s="383" t="s">
        <v>105</v>
      </c>
    </row>
    <row r="2" spans="1:18" x14ac:dyDescent="0.25">
      <c r="A2" s="384"/>
    </row>
    <row r="3" spans="1:18" s="2" customFormat="1" x14ac:dyDescent="0.25">
      <c r="A3" s="1" t="s">
        <v>9</v>
      </c>
      <c r="B3" s="1">
        <v>2010</v>
      </c>
      <c r="C3" s="1">
        <v>2011</v>
      </c>
      <c r="D3" s="1">
        <v>2012</v>
      </c>
      <c r="E3" s="1">
        <v>2013</v>
      </c>
      <c r="F3" s="1">
        <v>2014</v>
      </c>
      <c r="G3" s="1">
        <v>2015</v>
      </c>
      <c r="H3" s="1">
        <v>2016</v>
      </c>
      <c r="I3" s="31">
        <v>2017</v>
      </c>
      <c r="J3" s="107">
        <v>2018</v>
      </c>
      <c r="K3" s="107">
        <v>2019</v>
      </c>
      <c r="L3" s="107">
        <v>2020</v>
      </c>
      <c r="M3" s="107">
        <v>2021</v>
      </c>
      <c r="N3" s="107">
        <v>2022</v>
      </c>
      <c r="O3" s="6" t="s">
        <v>119</v>
      </c>
      <c r="P3" s="6" t="s">
        <v>120</v>
      </c>
      <c r="Q3" s="31" t="s">
        <v>38</v>
      </c>
    </row>
    <row r="4" spans="1:18" x14ac:dyDescent="0.25">
      <c r="A4" s="9" t="s">
        <v>161</v>
      </c>
      <c r="B4" s="4">
        <v>133</v>
      </c>
      <c r="C4" s="4">
        <v>158</v>
      </c>
      <c r="D4" s="4">
        <v>183</v>
      </c>
      <c r="E4" s="4">
        <v>209</v>
      </c>
      <c r="F4" s="4">
        <v>218</v>
      </c>
      <c r="G4" s="4">
        <v>225</v>
      </c>
      <c r="H4" s="4">
        <v>229</v>
      </c>
      <c r="I4" s="36">
        <v>234</v>
      </c>
      <c r="J4" s="96">
        <v>245</v>
      </c>
      <c r="K4" s="96">
        <v>257</v>
      </c>
      <c r="L4" s="96">
        <v>282</v>
      </c>
      <c r="M4" s="96">
        <v>341</v>
      </c>
      <c r="N4" s="96"/>
      <c r="O4" s="5" t="s">
        <v>11</v>
      </c>
      <c r="P4" s="35" t="s">
        <v>31</v>
      </c>
      <c r="Q4" s="34" t="s">
        <v>524</v>
      </c>
      <c r="R4" s="22"/>
    </row>
    <row r="5" spans="1:18" x14ac:dyDescent="0.25">
      <c r="A5" s="5" t="s">
        <v>297</v>
      </c>
      <c r="B5" s="4">
        <v>25</v>
      </c>
      <c r="C5" s="4">
        <v>38</v>
      </c>
      <c r="D5" s="4">
        <v>50</v>
      </c>
      <c r="E5" s="4">
        <v>61</v>
      </c>
      <c r="F5" s="4">
        <v>64</v>
      </c>
      <c r="G5" s="4">
        <v>65</v>
      </c>
      <c r="H5" s="4">
        <v>68</v>
      </c>
      <c r="I5" s="36">
        <v>71</v>
      </c>
      <c r="J5" s="96">
        <v>75</v>
      </c>
      <c r="K5" s="96">
        <v>95</v>
      </c>
      <c r="L5" s="96">
        <v>97</v>
      </c>
      <c r="M5" s="96">
        <v>101</v>
      </c>
      <c r="N5" s="96"/>
      <c r="O5" s="5" t="s">
        <v>11</v>
      </c>
      <c r="P5" s="11" t="s">
        <v>31</v>
      </c>
      <c r="Q5" s="34" t="s">
        <v>524</v>
      </c>
    </row>
    <row r="6" spans="1:18" x14ac:dyDescent="0.25">
      <c r="A6" s="5" t="s">
        <v>298</v>
      </c>
      <c r="B6" s="4">
        <v>14</v>
      </c>
      <c r="C6" s="4">
        <v>14</v>
      </c>
      <c r="D6" s="4">
        <v>14</v>
      </c>
      <c r="E6" s="4">
        <v>14</v>
      </c>
      <c r="F6" s="4">
        <v>14</v>
      </c>
      <c r="G6" s="4">
        <v>14</v>
      </c>
      <c r="H6" s="4">
        <v>14</v>
      </c>
      <c r="I6" s="4">
        <v>14</v>
      </c>
      <c r="J6" s="4">
        <v>14</v>
      </c>
      <c r="K6" s="96">
        <v>11</v>
      </c>
      <c r="L6" s="96">
        <v>29</v>
      </c>
      <c r="M6" s="96">
        <v>29</v>
      </c>
      <c r="N6" s="96"/>
      <c r="O6" s="5" t="s">
        <v>11</v>
      </c>
      <c r="P6" s="11" t="s">
        <v>31</v>
      </c>
      <c r="Q6" s="34" t="s">
        <v>524</v>
      </c>
    </row>
    <row r="7" spans="1:18" x14ac:dyDescent="0.25">
      <c r="A7" s="5" t="s">
        <v>299</v>
      </c>
      <c r="B7" s="4">
        <v>13</v>
      </c>
      <c r="C7" s="4">
        <v>13</v>
      </c>
      <c r="D7" s="4">
        <v>13</v>
      </c>
      <c r="E7" s="4">
        <v>13</v>
      </c>
      <c r="F7" s="4">
        <v>13</v>
      </c>
      <c r="G7" s="4">
        <v>13</v>
      </c>
      <c r="H7" s="4">
        <v>13</v>
      </c>
      <c r="I7" s="4">
        <v>13</v>
      </c>
      <c r="J7" s="4">
        <v>13</v>
      </c>
      <c r="K7" s="96">
        <v>11</v>
      </c>
      <c r="L7" s="96">
        <v>10</v>
      </c>
      <c r="M7" s="96">
        <v>10</v>
      </c>
      <c r="N7" s="96"/>
      <c r="O7" s="5" t="s">
        <v>11</v>
      </c>
      <c r="P7" s="11" t="s">
        <v>31</v>
      </c>
      <c r="Q7" s="34" t="s">
        <v>524</v>
      </c>
    </row>
    <row r="8" spans="1:18" x14ac:dyDescent="0.25">
      <c r="A8" s="5" t="s">
        <v>300</v>
      </c>
      <c r="B8" s="36">
        <v>81</v>
      </c>
      <c r="C8" s="36">
        <v>93</v>
      </c>
      <c r="D8" s="36">
        <v>106</v>
      </c>
      <c r="E8" s="36">
        <v>121</v>
      </c>
      <c r="F8" s="36">
        <v>127</v>
      </c>
      <c r="G8" s="36">
        <v>133</v>
      </c>
      <c r="H8" s="36">
        <v>134</v>
      </c>
      <c r="I8" s="36">
        <v>136</v>
      </c>
      <c r="J8" s="36">
        <v>143</v>
      </c>
      <c r="K8" s="96">
        <v>107</v>
      </c>
      <c r="L8" s="96">
        <v>119</v>
      </c>
      <c r="M8" s="96">
        <v>119</v>
      </c>
      <c r="N8" s="96"/>
      <c r="O8" s="5" t="s">
        <v>11</v>
      </c>
      <c r="P8" s="11" t="s">
        <v>31</v>
      </c>
      <c r="Q8" s="34" t="s">
        <v>524</v>
      </c>
    </row>
    <row r="9" spans="1:18" x14ac:dyDescent="0.25">
      <c r="A9" s="9" t="s">
        <v>301</v>
      </c>
      <c r="B9" s="4">
        <v>0</v>
      </c>
      <c r="C9" s="4">
        <v>1</v>
      </c>
      <c r="D9" s="4">
        <v>4</v>
      </c>
      <c r="E9" s="4">
        <v>1</v>
      </c>
      <c r="F9" s="4">
        <v>0</v>
      </c>
      <c r="G9" s="4">
        <v>0</v>
      </c>
      <c r="H9" s="4">
        <v>0</v>
      </c>
      <c r="I9" s="36">
        <v>1</v>
      </c>
      <c r="J9" s="96">
        <v>3</v>
      </c>
      <c r="K9" s="96">
        <v>6</v>
      </c>
      <c r="L9" s="96">
        <v>7</v>
      </c>
      <c r="M9" s="96">
        <v>15</v>
      </c>
      <c r="N9" s="96"/>
      <c r="O9" s="5" t="s">
        <v>11</v>
      </c>
      <c r="P9" s="11" t="s">
        <v>31</v>
      </c>
      <c r="Q9" s="34" t="s">
        <v>524</v>
      </c>
    </row>
    <row r="10" spans="1:18" x14ac:dyDescent="0.25">
      <c r="A10" s="9" t="s">
        <v>302</v>
      </c>
      <c r="B10" s="4">
        <v>19</v>
      </c>
      <c r="C10" s="4">
        <v>25</v>
      </c>
      <c r="D10" s="4">
        <v>25</v>
      </c>
      <c r="E10" s="4">
        <v>26</v>
      </c>
      <c r="F10" s="4">
        <v>9</v>
      </c>
      <c r="G10" s="4">
        <v>7</v>
      </c>
      <c r="H10" s="4">
        <v>4</v>
      </c>
      <c r="I10" s="36">
        <v>5</v>
      </c>
      <c r="J10" s="96">
        <v>11</v>
      </c>
      <c r="K10" s="319">
        <v>14</v>
      </c>
      <c r="L10" s="273">
        <v>18</v>
      </c>
      <c r="M10" s="273">
        <v>44</v>
      </c>
      <c r="N10" s="273"/>
      <c r="O10" s="5" t="s">
        <v>11</v>
      </c>
      <c r="P10" s="23" t="s">
        <v>31</v>
      </c>
      <c r="Q10" s="34" t="s">
        <v>524</v>
      </c>
    </row>
    <row r="11" spans="1:18" x14ac:dyDescent="0.25">
      <c r="A11" s="9" t="s">
        <v>303</v>
      </c>
      <c r="B11" s="72">
        <v>3</v>
      </c>
      <c r="C11" s="72">
        <v>8</v>
      </c>
      <c r="D11" s="72">
        <v>1</v>
      </c>
      <c r="E11" s="72">
        <v>3</v>
      </c>
      <c r="F11" s="72">
        <v>5</v>
      </c>
      <c r="G11" s="72">
        <v>4</v>
      </c>
      <c r="H11" s="4">
        <v>9</v>
      </c>
      <c r="I11" s="36">
        <v>4</v>
      </c>
      <c r="J11" s="96">
        <v>2</v>
      </c>
      <c r="K11" s="96">
        <v>3</v>
      </c>
      <c r="L11" s="271"/>
      <c r="M11" s="271"/>
      <c r="N11" s="96"/>
      <c r="O11" s="5" t="s">
        <v>11</v>
      </c>
      <c r="P11" s="23" t="s">
        <v>31</v>
      </c>
      <c r="Q11" s="34" t="s">
        <v>524</v>
      </c>
    </row>
    <row r="12" spans="1:18" x14ac:dyDescent="0.25">
      <c r="A12" s="9" t="s">
        <v>162</v>
      </c>
      <c r="B12" s="72">
        <v>29</v>
      </c>
      <c r="C12" s="72">
        <v>34</v>
      </c>
      <c r="D12" s="72">
        <v>35</v>
      </c>
      <c r="E12" s="72">
        <v>36</v>
      </c>
      <c r="F12" s="72">
        <v>36</v>
      </c>
      <c r="G12" s="72">
        <v>36</v>
      </c>
      <c r="H12" s="72">
        <v>36</v>
      </c>
      <c r="I12" s="36">
        <v>36</v>
      </c>
      <c r="J12" s="96">
        <v>36</v>
      </c>
      <c r="K12" s="96">
        <v>36</v>
      </c>
      <c r="L12" s="96">
        <v>35</v>
      </c>
      <c r="M12" s="96">
        <v>35</v>
      </c>
      <c r="N12" s="96"/>
      <c r="O12" s="5" t="s">
        <v>11</v>
      </c>
      <c r="P12" s="23" t="s">
        <v>31</v>
      </c>
      <c r="Q12" s="34" t="s">
        <v>524</v>
      </c>
    </row>
    <row r="13" spans="1:18" ht="30" x14ac:dyDescent="0.25">
      <c r="A13" s="9" t="s">
        <v>304</v>
      </c>
      <c r="B13" s="4">
        <v>359</v>
      </c>
      <c r="C13" s="4">
        <v>394</v>
      </c>
      <c r="D13" s="4">
        <v>425</v>
      </c>
      <c r="E13" s="4">
        <v>451</v>
      </c>
      <c r="F13" s="4">
        <v>474</v>
      </c>
      <c r="G13" s="4">
        <v>483</v>
      </c>
      <c r="H13" s="4">
        <v>490</v>
      </c>
      <c r="I13" s="4">
        <v>497</v>
      </c>
      <c r="J13" s="96">
        <v>514</v>
      </c>
      <c r="K13" s="96">
        <v>565</v>
      </c>
      <c r="L13" s="96">
        <v>545</v>
      </c>
      <c r="M13" s="96">
        <v>549</v>
      </c>
      <c r="N13" s="96"/>
      <c r="O13" s="91" t="s">
        <v>11</v>
      </c>
      <c r="P13" s="136" t="s">
        <v>557</v>
      </c>
      <c r="Q13" s="34" t="s">
        <v>524</v>
      </c>
    </row>
    <row r="14" spans="1:18" ht="30" x14ac:dyDescent="0.25">
      <c r="A14" s="9" t="s">
        <v>305</v>
      </c>
      <c r="B14" s="4">
        <v>46</v>
      </c>
      <c r="C14" s="4">
        <v>46</v>
      </c>
      <c r="D14" s="4">
        <v>48</v>
      </c>
      <c r="E14" s="4">
        <v>48</v>
      </c>
      <c r="F14" s="4">
        <v>49</v>
      </c>
      <c r="G14" s="4">
        <v>49</v>
      </c>
      <c r="H14" s="4">
        <v>49</v>
      </c>
      <c r="I14" s="4">
        <v>49</v>
      </c>
      <c r="J14" s="96">
        <v>49</v>
      </c>
      <c r="K14" s="96">
        <v>49</v>
      </c>
      <c r="L14" s="96">
        <v>49</v>
      </c>
      <c r="M14" s="96">
        <v>49</v>
      </c>
      <c r="N14" s="96"/>
      <c r="O14" s="91" t="s">
        <v>11</v>
      </c>
      <c r="P14" s="136" t="s">
        <v>557</v>
      </c>
      <c r="Q14" s="34" t="s">
        <v>524</v>
      </c>
    </row>
    <row r="15" spans="1:18" x14ac:dyDescent="0.25">
      <c r="A15" s="12"/>
      <c r="B15" s="73"/>
      <c r="C15" s="73"/>
      <c r="D15" s="73"/>
      <c r="E15" s="73"/>
      <c r="F15" s="73"/>
      <c r="G15" s="73"/>
      <c r="H15" s="73"/>
      <c r="I15" s="73"/>
      <c r="J15" s="112"/>
      <c r="K15" s="112"/>
      <c r="L15" s="112"/>
      <c r="M15" s="112"/>
      <c r="N15" s="112"/>
      <c r="O15" s="14"/>
      <c r="P15" s="14"/>
      <c r="Q15" s="15"/>
    </row>
    <row r="16" spans="1:18" s="2" customFormat="1" x14ac:dyDescent="0.25">
      <c r="A16" s="1" t="s">
        <v>32</v>
      </c>
      <c r="B16" s="1">
        <v>2010</v>
      </c>
      <c r="C16" s="1">
        <v>2011</v>
      </c>
      <c r="D16" s="1">
        <v>2012</v>
      </c>
      <c r="E16" s="1">
        <v>2013</v>
      </c>
      <c r="F16" s="1">
        <v>2014</v>
      </c>
      <c r="G16" s="1">
        <v>2015</v>
      </c>
      <c r="H16" s="1">
        <v>2016</v>
      </c>
      <c r="I16" s="31">
        <v>2017</v>
      </c>
      <c r="J16" s="107">
        <v>2018</v>
      </c>
      <c r="K16" s="107">
        <v>2019</v>
      </c>
      <c r="L16" s="107">
        <v>2020</v>
      </c>
      <c r="M16" s="107">
        <v>2021</v>
      </c>
      <c r="N16" s="107">
        <v>2022</v>
      </c>
      <c r="O16" s="6" t="s">
        <v>119</v>
      </c>
      <c r="P16" s="6" t="s">
        <v>120</v>
      </c>
      <c r="Q16" s="31" t="s">
        <v>38</v>
      </c>
    </row>
    <row r="17" spans="1:17" x14ac:dyDescent="0.25">
      <c r="A17" s="118" t="s">
        <v>375</v>
      </c>
      <c r="B17" s="75"/>
      <c r="C17" s="75"/>
      <c r="D17" s="75"/>
      <c r="E17" s="75"/>
      <c r="F17" s="76"/>
      <c r="G17" s="76"/>
      <c r="H17" s="76"/>
      <c r="I17" s="77"/>
      <c r="J17" s="93">
        <v>125.12774973833359</v>
      </c>
      <c r="K17" s="277"/>
      <c r="L17" s="93">
        <v>344.75902719999999</v>
      </c>
      <c r="M17" s="93">
        <v>346.13106220000003</v>
      </c>
      <c r="N17" s="93"/>
      <c r="O17" s="5" t="s">
        <v>11</v>
      </c>
      <c r="P17" s="312" t="s">
        <v>602</v>
      </c>
      <c r="Q17" s="34" t="s">
        <v>524</v>
      </c>
    </row>
    <row r="18" spans="1:17" ht="30" x14ac:dyDescent="0.25">
      <c r="A18" s="118" t="s">
        <v>376</v>
      </c>
      <c r="B18" s="75"/>
      <c r="C18" s="75"/>
      <c r="D18" s="75"/>
      <c r="E18" s="75"/>
      <c r="F18" s="76"/>
      <c r="G18" s="76"/>
      <c r="H18" s="76"/>
      <c r="I18" s="77"/>
      <c r="J18" s="93">
        <v>132</v>
      </c>
      <c r="K18" s="277"/>
      <c r="L18" s="93">
        <v>147</v>
      </c>
      <c r="M18" s="277"/>
      <c r="N18" s="93"/>
      <c r="O18" s="5" t="s">
        <v>373</v>
      </c>
      <c r="P18" s="317" t="s">
        <v>558</v>
      </c>
      <c r="Q18" s="34" t="s">
        <v>524</v>
      </c>
    </row>
    <row r="19" spans="1:17" ht="30" x14ac:dyDescent="0.25">
      <c r="A19" s="118" t="s">
        <v>377</v>
      </c>
      <c r="B19" s="75"/>
      <c r="C19" s="75"/>
      <c r="D19" s="75"/>
      <c r="E19" s="75"/>
      <c r="F19" s="76"/>
      <c r="G19" s="76"/>
      <c r="H19" s="76"/>
      <c r="I19" s="77"/>
      <c r="J19" s="93">
        <v>1124</v>
      </c>
      <c r="K19" s="277"/>
      <c r="L19" s="214">
        <v>1157</v>
      </c>
      <c r="M19" s="277"/>
      <c r="N19" s="273"/>
      <c r="O19" s="5" t="s">
        <v>373</v>
      </c>
      <c r="P19" s="317" t="s">
        <v>558</v>
      </c>
      <c r="Q19" s="34" t="s">
        <v>524</v>
      </c>
    </row>
    <row r="20" spans="1:17" ht="30" x14ac:dyDescent="0.25">
      <c r="A20" s="118" t="s">
        <v>293</v>
      </c>
      <c r="B20" s="102">
        <v>1.1486828861639999</v>
      </c>
      <c r="C20" s="102">
        <v>1.7767971438720001</v>
      </c>
      <c r="D20" s="102">
        <v>2.3515711422304002</v>
      </c>
      <c r="E20" s="102">
        <v>2.7847011393224004</v>
      </c>
      <c r="F20" s="102">
        <v>2.9103043657224004</v>
      </c>
      <c r="G20" s="102">
        <v>2.9395184556424003</v>
      </c>
      <c r="H20" s="102">
        <v>2.9615746506544003</v>
      </c>
      <c r="I20" s="102">
        <v>2.9615746506544003</v>
      </c>
      <c r="J20" s="153">
        <v>3.1052850880944005</v>
      </c>
      <c r="K20" s="153">
        <v>2.7302468885864002</v>
      </c>
      <c r="L20" s="153">
        <v>2.5661268259184005</v>
      </c>
      <c r="M20" s="153">
        <v>2.5661268259184005</v>
      </c>
      <c r="N20" s="273"/>
      <c r="O20" s="34" t="s">
        <v>11</v>
      </c>
      <c r="P20" s="23" t="s">
        <v>31</v>
      </c>
      <c r="Q20" s="37" t="s">
        <v>551</v>
      </c>
    </row>
    <row r="21" spans="1:17" x14ac:dyDescent="0.25">
      <c r="A21" s="118" t="s">
        <v>372</v>
      </c>
      <c r="B21" s="52">
        <v>4.5437535999999996</v>
      </c>
      <c r="C21" s="52">
        <v>4.8955854950000006</v>
      </c>
      <c r="D21" s="52">
        <v>5.7489427199999996</v>
      </c>
      <c r="E21" s="52">
        <v>6.97676476</v>
      </c>
      <c r="F21" s="52">
        <v>7.0215867599999999</v>
      </c>
      <c r="G21" s="52">
        <v>7.4140347599999998</v>
      </c>
      <c r="H21" s="52">
        <v>7.4140347599999998</v>
      </c>
      <c r="I21" s="52">
        <v>7.4140347599999998</v>
      </c>
      <c r="J21" s="93">
        <v>7.7701287599999995</v>
      </c>
      <c r="K21" s="93">
        <v>7.0534877600000003</v>
      </c>
      <c r="L21" s="93">
        <v>6.6845092599999996</v>
      </c>
      <c r="M21" s="93">
        <v>6.8245093900000002</v>
      </c>
      <c r="N21" s="273"/>
      <c r="O21" s="5" t="s">
        <v>11</v>
      </c>
      <c r="P21" s="23" t="s">
        <v>31</v>
      </c>
      <c r="Q21" s="34" t="s">
        <v>524</v>
      </c>
    </row>
    <row r="22" spans="1:17" x14ac:dyDescent="0.25">
      <c r="A22" s="9" t="s">
        <v>295</v>
      </c>
      <c r="B22" s="74">
        <v>1.6728379098658634</v>
      </c>
      <c r="C22" s="74">
        <v>2.1895623753332276</v>
      </c>
      <c r="D22" s="74">
        <v>2.939235055035978</v>
      </c>
      <c r="E22" s="74">
        <v>3.412219188887462</v>
      </c>
      <c r="F22" s="86">
        <v>3.5748673849910277</v>
      </c>
      <c r="G22" s="74">
        <v>3.6316947319653963</v>
      </c>
      <c r="H22" s="81">
        <v>3.8358738646334083</v>
      </c>
      <c r="I22" s="81">
        <v>3.9646129917931661</v>
      </c>
      <c r="J22" s="92">
        <v>4.328456563696955</v>
      </c>
      <c r="K22" s="92">
        <v>4.6165652124397916</v>
      </c>
      <c r="L22" s="92">
        <v>5.2080848328613385</v>
      </c>
      <c r="M22" s="92">
        <v>5.8887469880043204</v>
      </c>
      <c r="N22" s="273"/>
      <c r="O22" s="5" t="s">
        <v>11</v>
      </c>
      <c r="P22" s="23" t="s">
        <v>31</v>
      </c>
      <c r="Q22" s="34" t="s">
        <v>524</v>
      </c>
    </row>
    <row r="23" spans="1:17" ht="30" x14ac:dyDescent="0.25">
      <c r="A23" s="91" t="s">
        <v>323</v>
      </c>
      <c r="B23" s="93">
        <v>242.04900000000001</v>
      </c>
      <c r="C23" s="93">
        <v>236.482</v>
      </c>
      <c r="D23" s="93">
        <v>236.06399999999999</v>
      </c>
      <c r="E23" s="93">
        <v>231.46100000000001</v>
      </c>
      <c r="F23" s="93">
        <v>230.76499999999999</v>
      </c>
      <c r="G23" s="93">
        <v>237.999</v>
      </c>
      <c r="H23" s="93">
        <v>244.66800000000001</v>
      </c>
      <c r="I23" s="93">
        <v>247.768</v>
      </c>
      <c r="J23" s="93">
        <v>251.078</v>
      </c>
      <c r="K23" s="273">
        <v>250.333</v>
      </c>
      <c r="L23" s="273">
        <v>250.91</v>
      </c>
      <c r="M23" s="276"/>
      <c r="N23" s="273"/>
      <c r="O23" s="94" t="s">
        <v>11</v>
      </c>
      <c r="P23" s="136" t="s">
        <v>324</v>
      </c>
      <c r="Q23" s="34" t="s">
        <v>524</v>
      </c>
    </row>
    <row r="24" spans="1:17" x14ac:dyDescent="0.25">
      <c r="A24" s="91" t="s">
        <v>296</v>
      </c>
      <c r="B24" s="93">
        <v>106.681</v>
      </c>
      <c r="C24" s="93">
        <v>114.173</v>
      </c>
      <c r="D24" s="93">
        <v>125.92700000000001</v>
      </c>
      <c r="E24" s="93">
        <v>133.18</v>
      </c>
      <c r="F24" s="137">
        <v>141.63200000000001</v>
      </c>
      <c r="G24" s="93">
        <v>138.84100000000001</v>
      </c>
      <c r="H24" s="93">
        <v>137.6</v>
      </c>
      <c r="I24" s="93">
        <v>139.83099999999999</v>
      </c>
      <c r="J24" s="93">
        <v>135.92099999999999</v>
      </c>
      <c r="K24" s="93">
        <v>129.5</v>
      </c>
      <c r="L24" s="93">
        <v>126.872</v>
      </c>
      <c r="M24" s="93">
        <v>116.04900000000001</v>
      </c>
      <c r="N24" s="273"/>
      <c r="O24" s="94" t="s">
        <v>10</v>
      </c>
      <c r="P24" s="136" t="s">
        <v>345</v>
      </c>
      <c r="Q24" s="34" t="s">
        <v>601</v>
      </c>
    </row>
    <row r="25" spans="1:17" x14ac:dyDescent="0.25">
      <c r="A25" s="91" t="s">
        <v>371</v>
      </c>
      <c r="B25" s="93">
        <v>219.95400000000001</v>
      </c>
      <c r="C25" s="93">
        <v>235.99</v>
      </c>
      <c r="D25" s="93">
        <v>259.56400000000002</v>
      </c>
      <c r="E25" s="93">
        <v>272.798</v>
      </c>
      <c r="F25" s="137">
        <v>287.69200000000001</v>
      </c>
      <c r="G25" s="93">
        <v>284.05200000000002</v>
      </c>
      <c r="H25" s="93">
        <v>277.72000000000003</v>
      </c>
      <c r="I25" s="93">
        <v>282.05099999999999</v>
      </c>
      <c r="J25" s="93">
        <v>273.85599999999999</v>
      </c>
      <c r="K25" s="93">
        <v>261.06400000000002</v>
      </c>
      <c r="L25" s="93">
        <v>256.512</v>
      </c>
      <c r="M25" s="93">
        <v>235.90600000000001</v>
      </c>
      <c r="N25" s="273"/>
      <c r="O25" s="94" t="s">
        <v>10</v>
      </c>
      <c r="P25" s="136" t="s">
        <v>294</v>
      </c>
      <c r="Q25" s="34" t="s">
        <v>601</v>
      </c>
    </row>
    <row r="26" spans="1:17" x14ac:dyDescent="0.25">
      <c r="A26" s="9" t="s">
        <v>306</v>
      </c>
      <c r="B26" s="52">
        <v>64.168769999999981</v>
      </c>
      <c r="C26" s="52">
        <v>71.994010000000017</v>
      </c>
      <c r="D26" s="52">
        <v>80.27265000000007</v>
      </c>
      <c r="E26" s="52">
        <v>89.394360000000091</v>
      </c>
      <c r="F26" s="52">
        <v>96.577120000000036</v>
      </c>
      <c r="G26" s="52">
        <v>99.470280000000031</v>
      </c>
      <c r="H26" s="52">
        <v>105.34576000000007</v>
      </c>
      <c r="I26" s="52">
        <v>108.25581000000007</v>
      </c>
      <c r="J26" s="93">
        <v>115.4852600000001</v>
      </c>
      <c r="K26" s="93">
        <v>90.052050000000008</v>
      </c>
      <c r="L26" s="93">
        <v>93.352610000000027</v>
      </c>
      <c r="M26" s="93">
        <v>93.943090000000012</v>
      </c>
      <c r="N26" s="273"/>
      <c r="O26" s="5" t="s">
        <v>11</v>
      </c>
      <c r="P26" s="318" t="s">
        <v>307</v>
      </c>
      <c r="Q26" s="34" t="s">
        <v>524</v>
      </c>
    </row>
    <row r="27" spans="1:17" x14ac:dyDescent="0.25">
      <c r="A27" s="91" t="s">
        <v>325</v>
      </c>
      <c r="B27" s="167">
        <v>145.269084424125</v>
      </c>
      <c r="C27" s="167">
        <v>136.65718789888001</v>
      </c>
      <c r="D27" s="167">
        <v>137.89875816585001</v>
      </c>
      <c r="E27" s="167">
        <v>134.09974059557999</v>
      </c>
      <c r="F27" s="167">
        <v>133.591566472182</v>
      </c>
      <c r="G27" s="167">
        <v>132.33994453422201</v>
      </c>
      <c r="H27" s="167">
        <v>129.09859076708699</v>
      </c>
      <c r="I27" s="167">
        <v>130.28810506510001</v>
      </c>
      <c r="J27" s="167">
        <v>132.39132095135699</v>
      </c>
      <c r="K27" s="167">
        <v>134.12208120039199</v>
      </c>
      <c r="L27" s="167">
        <v>130.01857740944999</v>
      </c>
      <c r="M27" s="273"/>
      <c r="N27" s="273"/>
      <c r="O27" s="94" t="s">
        <v>11</v>
      </c>
      <c r="P27" s="144" t="s">
        <v>324</v>
      </c>
      <c r="Q27" s="34" t="s">
        <v>524</v>
      </c>
    </row>
    <row r="28" spans="1:17" x14ac:dyDescent="0.25">
      <c r="A28" s="12"/>
      <c r="B28" s="73"/>
      <c r="C28" s="73"/>
      <c r="D28" s="73"/>
      <c r="E28" s="73"/>
      <c r="F28" s="73"/>
      <c r="G28" s="73"/>
      <c r="H28" s="190"/>
      <c r="I28" s="190"/>
      <c r="J28" s="190"/>
      <c r="K28" s="190"/>
      <c r="L28" s="190"/>
      <c r="M28" s="190"/>
      <c r="N28" s="190"/>
      <c r="O28" s="14"/>
      <c r="P28" s="14"/>
      <c r="Q28" s="15"/>
    </row>
    <row r="29" spans="1:17" s="2" customFormat="1" x14ac:dyDescent="0.25">
      <c r="A29" s="1" t="s">
        <v>33</v>
      </c>
      <c r="B29" s="1">
        <v>2010</v>
      </c>
      <c r="C29" s="1">
        <v>2011</v>
      </c>
      <c r="D29" s="1">
        <v>2012</v>
      </c>
      <c r="E29" s="1">
        <v>2013</v>
      </c>
      <c r="F29" s="1">
        <v>2014</v>
      </c>
      <c r="G29" s="1">
        <v>2015</v>
      </c>
      <c r="H29" s="1">
        <v>2016</v>
      </c>
      <c r="I29" s="31">
        <v>2107</v>
      </c>
      <c r="J29" s="107">
        <v>2018</v>
      </c>
      <c r="K29" s="107">
        <v>2019</v>
      </c>
      <c r="L29" s="107">
        <v>2020</v>
      </c>
      <c r="M29" s="107">
        <v>2021</v>
      </c>
      <c r="N29" s="107">
        <v>2022</v>
      </c>
      <c r="O29" s="6" t="s">
        <v>119</v>
      </c>
      <c r="P29" s="6" t="s">
        <v>120</v>
      </c>
      <c r="Q29" s="31" t="s">
        <v>38</v>
      </c>
    </row>
    <row r="30" spans="1:17" x14ac:dyDescent="0.25">
      <c r="A30" s="26" t="s">
        <v>34</v>
      </c>
      <c r="B30" s="140"/>
      <c r="C30" s="62"/>
      <c r="D30" s="62"/>
      <c r="E30" s="62"/>
      <c r="F30" s="62"/>
      <c r="G30" s="62"/>
      <c r="H30" s="139"/>
      <c r="I30" s="55"/>
      <c r="J30" s="124"/>
      <c r="K30" s="124"/>
      <c r="M30" s="96"/>
      <c r="N30" s="96"/>
      <c r="O30" s="5" t="s">
        <v>11</v>
      </c>
      <c r="P30" s="23"/>
      <c r="Q30" s="28"/>
    </row>
    <row r="31" spans="1:17" ht="45" x14ac:dyDescent="0.25">
      <c r="A31" s="26" t="s">
        <v>36</v>
      </c>
      <c r="B31" s="62"/>
      <c r="C31" s="62"/>
      <c r="D31" s="62"/>
      <c r="E31" s="62"/>
      <c r="F31" s="117">
        <v>275000</v>
      </c>
      <c r="G31" s="62"/>
      <c r="H31" s="79"/>
      <c r="I31" s="79"/>
      <c r="J31" s="163"/>
      <c r="K31" s="163"/>
      <c r="L31" s="278">
        <v>372870</v>
      </c>
      <c r="M31" s="281"/>
      <c r="N31" s="93"/>
      <c r="O31" s="5" t="s">
        <v>547</v>
      </c>
      <c r="P31" s="23" t="s">
        <v>545</v>
      </c>
      <c r="Q31" s="28" t="s">
        <v>524</v>
      </c>
    </row>
    <row r="32" spans="1:17" ht="45" x14ac:dyDescent="0.25">
      <c r="A32" s="26" t="s">
        <v>37</v>
      </c>
      <c r="B32" s="62"/>
      <c r="C32" s="62"/>
      <c r="D32" s="62"/>
      <c r="E32" s="62"/>
      <c r="F32" s="70">
        <v>18000</v>
      </c>
      <c r="G32" s="62"/>
      <c r="H32" s="62"/>
      <c r="I32" s="55"/>
      <c r="J32" s="124"/>
      <c r="K32" s="124"/>
      <c r="L32" s="278">
        <v>24826</v>
      </c>
      <c r="M32" s="271"/>
      <c r="N32" s="96"/>
      <c r="O32" s="5" t="s">
        <v>547</v>
      </c>
      <c r="P32" s="23" t="s">
        <v>546</v>
      </c>
      <c r="Q32" s="28" t="s">
        <v>524</v>
      </c>
    </row>
    <row r="33" spans="1:17" ht="30" x14ac:dyDescent="0.25">
      <c r="A33" s="120" t="s">
        <v>163</v>
      </c>
      <c r="B33" s="62"/>
      <c r="C33" s="62"/>
      <c r="D33" s="62"/>
      <c r="E33" s="62"/>
      <c r="F33" s="70">
        <v>2.9</v>
      </c>
      <c r="G33" s="62"/>
      <c r="H33" s="62"/>
      <c r="I33" s="55"/>
      <c r="J33" s="124"/>
      <c r="K33" s="124"/>
      <c r="L33" s="96"/>
      <c r="M33" s="96"/>
      <c r="N33" s="96"/>
      <c r="O33" s="5" t="s">
        <v>11</v>
      </c>
      <c r="P33" s="23" t="s">
        <v>35</v>
      </c>
      <c r="Q33" s="28" t="s">
        <v>247</v>
      </c>
    </row>
    <row r="34" spans="1:17" x14ac:dyDescent="0.25">
      <c r="A34" s="119" t="s">
        <v>249</v>
      </c>
    </row>
    <row r="35" spans="1:17" x14ac:dyDescent="0.25">
      <c r="A35" s="119" t="s">
        <v>250</v>
      </c>
    </row>
    <row r="36" spans="1:17" x14ac:dyDescent="0.25">
      <c r="A36" s="119" t="s">
        <v>251</v>
      </c>
    </row>
    <row r="37" spans="1:17" x14ac:dyDescent="0.25">
      <c r="A37" s="119" t="s">
        <v>252</v>
      </c>
    </row>
    <row r="118" spans="3:3" x14ac:dyDescent="0.25">
      <c r="C118" s="10" t="s">
        <v>444</v>
      </c>
    </row>
  </sheetData>
  <mergeCells count="1">
    <mergeCell ref="A1:A2"/>
  </mergeCells>
  <hyperlinks>
    <hyperlink ref="P9" r:id="rId1" xr:uid="{00000000-0004-0000-0E00-000000000000}"/>
    <hyperlink ref="P21" r:id="rId2" xr:uid="{00000000-0004-0000-0E00-000001000000}"/>
    <hyperlink ref="P22" r:id="rId3" xr:uid="{00000000-0004-0000-0E00-000002000000}"/>
    <hyperlink ref="P11" r:id="rId4" xr:uid="{00000000-0004-0000-0E00-000003000000}"/>
    <hyperlink ref="P31" r:id="rId5" display="https://19january2017snapshot.epa.gov/sites/production/files/2015-12/documents/biogas-roadmap.pdf " xr:uid="{00000000-0004-0000-0E00-000004000000}"/>
    <hyperlink ref="P4" r:id="rId6" xr:uid="{00000000-0004-0000-0E00-000007000000}"/>
    <hyperlink ref="P12" r:id="rId7" xr:uid="{00000000-0004-0000-0E00-000008000000}"/>
    <hyperlink ref="P10" r:id="rId8" xr:uid="{00000000-0004-0000-0E00-000009000000}"/>
    <hyperlink ref="P8" r:id="rId9" xr:uid="{00000000-0004-0000-0E00-00000C000000}"/>
    <hyperlink ref="P5" r:id="rId10" xr:uid="{00000000-0004-0000-0E00-00000D000000}"/>
    <hyperlink ref="P6" r:id="rId11" xr:uid="{00000000-0004-0000-0E00-00000E000000}"/>
    <hyperlink ref="P7" r:id="rId12" xr:uid="{00000000-0004-0000-0E00-00000F000000}"/>
    <hyperlink ref="P13" r:id="rId13" display="https://www.epa.gov/lmop/landfill-technical-data" xr:uid="{00000000-0004-0000-0E00-000011000000}"/>
    <hyperlink ref="P26" r:id="rId14" xr:uid="{00000000-0004-0000-0E00-000013000000}"/>
    <hyperlink ref="P24" r:id="rId15" xr:uid="{BFDF1F7B-B158-4781-9035-5A931892B2B3}"/>
    <hyperlink ref="P23" r:id="rId16" location="iallsectors/methane/inventsect/all" xr:uid="{EE3E7210-79D7-45AF-9B56-43E8D2F6A1E1}"/>
    <hyperlink ref="P18" r:id="rId17" display="https://americanbiogascouncil.org/biogas-market-snapshot/" xr:uid="{5612BB44-D73B-4367-B0FE-CE680D3D38A5}"/>
    <hyperlink ref="P27" r:id="rId18" location="iallsectors/methane/inventsect/all" xr:uid="{84FC006D-B660-4D0A-A58A-F795CA9FF476}"/>
    <hyperlink ref="P32" r:id="rId19" display="https://19january2017snapshot.epa.gov/sites/production/files/2015-12/documents/biogas-roadmap.pdf" xr:uid="{00000000-0004-0000-0E00-000005000000}"/>
    <hyperlink ref="P33" r:id="rId20" xr:uid="{00000000-0004-0000-0E00-000006000000}"/>
    <hyperlink ref="P19" r:id="rId21" display="https://americanbiogascouncil.org/biogas-market-snapshot/" xr:uid="{F1B60058-35EB-4376-98C5-4E11435EE27E}"/>
    <hyperlink ref="P20" r:id="rId22" xr:uid="{00000000-0004-0000-0E00-000010000000}"/>
    <hyperlink ref="P25" r:id="rId23" xr:uid="{F7AD75F2-DA67-42FE-867E-EC571EA503D8}"/>
    <hyperlink ref="P14" r:id="rId24" display="https://www.epa.gov/lmop/landfill-technical-data" xr:uid="{82B406CC-DC71-428F-B7F6-54D417BABDF6}"/>
    <hyperlink ref="P17" r:id="rId25" xr:uid="{D509E0A9-874E-4F6F-98C5-77AF55B2F865}"/>
  </hyperlinks>
  <pageMargins left="0.7" right="0.7" top="0.75" bottom="0.75" header="0.3" footer="0.3"/>
  <pageSetup orientation="portrait" r:id="rId26"/>
  <drawing r:id="rId2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8306C"/>
  </sheetPr>
  <dimension ref="A1:Q145"/>
  <sheetViews>
    <sheetView zoomScale="90" zoomScaleNormal="90" workbookViewId="0">
      <pane xSplit="1" ySplit="3" topLeftCell="P68" activePane="bottomRight" state="frozen"/>
      <selection pane="topRight" activeCell="B1" sqref="B1"/>
      <selection pane="bottomLeft" activeCell="A4" sqref="A4"/>
      <selection pane="bottomRight" activeCell="L13" sqref="L13"/>
    </sheetView>
  </sheetViews>
  <sheetFormatPr defaultColWidth="70.7109375" defaultRowHeight="15" x14ac:dyDescent="0.25"/>
  <cols>
    <col min="1" max="1" width="78.5703125" style="10" bestFit="1" customWidth="1"/>
    <col min="2" max="14" width="11.7109375" style="10" customWidth="1"/>
    <col min="15" max="15" width="17.140625" style="10" bestFit="1" customWidth="1"/>
    <col min="16" max="16" width="107.7109375" style="10" customWidth="1"/>
    <col min="17" max="17" width="25.85546875" style="10" bestFit="1" customWidth="1"/>
    <col min="18" max="18" width="70.7109375" style="10"/>
    <col min="19" max="20" width="13.42578125" style="10" customWidth="1"/>
    <col min="21" max="21" width="13" style="10" customWidth="1"/>
    <col min="22" max="22" width="13.7109375" style="10" customWidth="1"/>
    <col min="23" max="16384" width="70.7109375" style="10"/>
  </cols>
  <sheetData>
    <row r="1" spans="1:17" x14ac:dyDescent="0.25">
      <c r="A1" s="383" t="s">
        <v>104</v>
      </c>
      <c r="C1" s="24"/>
    </row>
    <row r="2" spans="1:17" x14ac:dyDescent="0.25">
      <c r="A2" s="384"/>
    </row>
    <row r="3" spans="1:17" s="2" customFormat="1" x14ac:dyDescent="0.25">
      <c r="A3" s="1" t="s">
        <v>9</v>
      </c>
      <c r="B3" s="1">
        <v>2010</v>
      </c>
      <c r="C3" s="1">
        <v>2011</v>
      </c>
      <c r="D3" s="1">
        <v>2012</v>
      </c>
      <c r="E3" s="1">
        <v>2013</v>
      </c>
      <c r="F3" s="1">
        <v>2014</v>
      </c>
      <c r="G3" s="1">
        <v>2015</v>
      </c>
      <c r="H3" s="1">
        <v>2016</v>
      </c>
      <c r="I3" s="31">
        <v>2017</v>
      </c>
      <c r="J3" s="107">
        <v>2018</v>
      </c>
      <c r="K3" s="107">
        <v>2019</v>
      </c>
      <c r="L3" s="107">
        <v>2020</v>
      </c>
      <c r="M3" s="107">
        <v>2021</v>
      </c>
      <c r="N3" s="107">
        <v>2022</v>
      </c>
      <c r="O3" s="6" t="s">
        <v>119</v>
      </c>
      <c r="P3" s="6" t="s">
        <v>120</v>
      </c>
      <c r="Q3" s="1" t="s">
        <v>38</v>
      </c>
    </row>
    <row r="4" spans="1:17" x14ac:dyDescent="0.25">
      <c r="A4" s="118" t="s">
        <v>159</v>
      </c>
      <c r="B4" s="4">
        <v>86</v>
      </c>
      <c r="C4" s="72">
        <v>85</v>
      </c>
      <c r="D4" s="4">
        <v>85</v>
      </c>
      <c r="E4" s="4">
        <v>84</v>
      </c>
      <c r="F4" s="72">
        <v>84</v>
      </c>
      <c r="G4" s="4">
        <v>78</v>
      </c>
      <c r="H4" s="4">
        <v>77</v>
      </c>
      <c r="I4" s="141">
        <v>76</v>
      </c>
      <c r="J4" s="96">
        <v>75</v>
      </c>
      <c r="K4" s="96">
        <v>75</v>
      </c>
      <c r="L4" s="271"/>
      <c r="M4" s="271"/>
      <c r="N4" s="96"/>
      <c r="O4" s="5" t="s">
        <v>370</v>
      </c>
      <c r="P4" s="27" t="s">
        <v>364</v>
      </c>
      <c r="Q4" s="34" t="s">
        <v>524</v>
      </c>
    </row>
    <row r="5" spans="1:17" x14ac:dyDescent="0.25">
      <c r="A5" s="118" t="s">
        <v>309</v>
      </c>
      <c r="B5" s="4">
        <v>2</v>
      </c>
      <c r="C5" s="4">
        <v>0</v>
      </c>
      <c r="D5" s="4">
        <v>2</v>
      </c>
      <c r="E5" s="4">
        <v>2</v>
      </c>
      <c r="F5" s="4">
        <v>1</v>
      </c>
      <c r="G5" s="4">
        <v>0</v>
      </c>
      <c r="H5" s="4">
        <v>0</v>
      </c>
      <c r="I5" s="36">
        <v>0</v>
      </c>
      <c r="J5" s="96">
        <v>0</v>
      </c>
      <c r="K5" s="96">
        <v>0</v>
      </c>
      <c r="L5" s="96">
        <v>1</v>
      </c>
      <c r="M5" s="96">
        <v>2</v>
      </c>
      <c r="N5" s="96"/>
      <c r="O5" s="9" t="s">
        <v>10</v>
      </c>
      <c r="P5" s="11" t="s">
        <v>29</v>
      </c>
      <c r="Q5" s="34" t="s">
        <v>524</v>
      </c>
    </row>
    <row r="6" spans="1:17" x14ac:dyDescent="0.25">
      <c r="A6" s="118" t="s">
        <v>310</v>
      </c>
      <c r="B6" s="4">
        <v>2</v>
      </c>
      <c r="C6" s="4">
        <v>2</v>
      </c>
      <c r="D6" s="4">
        <v>2</v>
      </c>
      <c r="E6" s="4">
        <v>2</v>
      </c>
      <c r="F6" s="4">
        <v>2</v>
      </c>
      <c r="G6" s="4">
        <v>2</v>
      </c>
      <c r="H6" s="4">
        <v>1</v>
      </c>
      <c r="I6" s="36">
        <v>1</v>
      </c>
      <c r="J6" s="96">
        <v>1</v>
      </c>
      <c r="K6" s="96">
        <v>0</v>
      </c>
      <c r="L6" s="96">
        <v>2</v>
      </c>
      <c r="M6" s="96">
        <v>2</v>
      </c>
      <c r="N6" s="96"/>
      <c r="O6" s="9" t="s">
        <v>10</v>
      </c>
      <c r="P6" s="11" t="s">
        <v>29</v>
      </c>
      <c r="Q6" s="34" t="s">
        <v>524</v>
      </c>
    </row>
    <row r="7" spans="1:17" x14ac:dyDescent="0.25">
      <c r="A7" s="118" t="s">
        <v>311</v>
      </c>
      <c r="B7" s="4">
        <v>11</v>
      </c>
      <c r="C7" s="4">
        <v>10</v>
      </c>
      <c r="D7" s="4">
        <v>11</v>
      </c>
      <c r="E7" s="4">
        <v>13</v>
      </c>
      <c r="F7" s="4">
        <v>8</v>
      </c>
      <c r="G7" s="4">
        <v>9</v>
      </c>
      <c r="H7" s="4">
        <v>11</v>
      </c>
      <c r="I7" s="36">
        <v>11</v>
      </c>
      <c r="J7" s="96">
        <v>20</v>
      </c>
      <c r="K7" s="96">
        <v>16</v>
      </c>
      <c r="L7" s="96">
        <v>11</v>
      </c>
      <c r="M7" s="96">
        <v>13</v>
      </c>
      <c r="N7" s="96"/>
      <c r="O7" s="9" t="s">
        <v>10</v>
      </c>
      <c r="P7" s="11" t="s">
        <v>29</v>
      </c>
      <c r="Q7" s="34" t="s">
        <v>524</v>
      </c>
    </row>
    <row r="8" spans="1:17" x14ac:dyDescent="0.25">
      <c r="A8" s="118" t="s">
        <v>312</v>
      </c>
      <c r="B8" s="4">
        <v>20</v>
      </c>
      <c r="C8" s="4">
        <v>20</v>
      </c>
      <c r="D8" s="4">
        <v>16</v>
      </c>
      <c r="E8" s="4">
        <v>13</v>
      </c>
      <c r="F8" s="4">
        <v>15</v>
      </c>
      <c r="G8" s="4">
        <v>15</v>
      </c>
      <c r="H8" s="4">
        <v>15</v>
      </c>
      <c r="I8" s="36">
        <v>10</v>
      </c>
      <c r="J8" s="96">
        <v>16</v>
      </c>
      <c r="K8" s="96">
        <v>13</v>
      </c>
      <c r="L8" s="2">
        <v>14</v>
      </c>
      <c r="M8" s="96">
        <v>13</v>
      </c>
      <c r="N8" s="96"/>
      <c r="O8" s="9" t="s">
        <v>10</v>
      </c>
      <c r="P8" s="11" t="s">
        <v>29</v>
      </c>
      <c r="Q8" s="34" t="s">
        <v>524</v>
      </c>
    </row>
    <row r="9" spans="1:17" x14ac:dyDescent="0.25">
      <c r="A9" s="118" t="s">
        <v>160</v>
      </c>
      <c r="B9" s="4">
        <v>9</v>
      </c>
      <c r="C9" s="4">
        <v>9</v>
      </c>
      <c r="D9" s="4">
        <v>7</v>
      </c>
      <c r="E9" s="4">
        <v>5</v>
      </c>
      <c r="F9" s="4">
        <v>7</v>
      </c>
      <c r="G9" s="4">
        <v>7</v>
      </c>
      <c r="H9" s="4">
        <v>7</v>
      </c>
      <c r="I9" s="36">
        <v>8</v>
      </c>
      <c r="J9" s="96">
        <v>6</v>
      </c>
      <c r="K9" s="96">
        <v>6</v>
      </c>
      <c r="L9" s="96">
        <v>8</v>
      </c>
      <c r="M9" s="96">
        <v>8</v>
      </c>
      <c r="N9" s="96"/>
      <c r="O9" s="9" t="s">
        <v>10</v>
      </c>
      <c r="P9" s="11" t="s">
        <v>29</v>
      </c>
      <c r="Q9" s="34" t="s">
        <v>524</v>
      </c>
    </row>
    <row r="10" spans="1:17" x14ac:dyDescent="0.25">
      <c r="A10" s="12"/>
      <c r="B10" s="112"/>
      <c r="C10" s="73"/>
      <c r="D10" s="73"/>
      <c r="E10" s="73"/>
      <c r="F10" s="73"/>
      <c r="G10" s="73"/>
      <c r="H10" s="73"/>
      <c r="I10" s="73"/>
      <c r="J10" s="73"/>
      <c r="K10" s="73"/>
      <c r="L10" s="73"/>
      <c r="M10" s="73"/>
      <c r="N10" s="73"/>
      <c r="O10" s="13"/>
      <c r="P10" s="14"/>
      <c r="Q10" s="25"/>
    </row>
    <row r="11" spans="1:17" s="2" customFormat="1" x14ac:dyDescent="0.25">
      <c r="A11" s="1" t="s">
        <v>16</v>
      </c>
      <c r="B11" s="1">
        <v>2010</v>
      </c>
      <c r="C11" s="1">
        <v>2011</v>
      </c>
      <c r="D11" s="1">
        <v>2012</v>
      </c>
      <c r="E11" s="1">
        <v>2013</v>
      </c>
      <c r="F11" s="1">
        <v>2014</v>
      </c>
      <c r="G11" s="1">
        <v>2015</v>
      </c>
      <c r="H11" s="1">
        <v>2016</v>
      </c>
      <c r="I11" s="31">
        <v>2017</v>
      </c>
      <c r="J11" s="107">
        <v>2018</v>
      </c>
      <c r="K11" s="107">
        <v>2019</v>
      </c>
      <c r="L11" s="107">
        <v>2020</v>
      </c>
      <c r="M11" s="107">
        <v>2021</v>
      </c>
      <c r="N11" s="107">
        <v>2022</v>
      </c>
      <c r="O11" s="6" t="s">
        <v>119</v>
      </c>
      <c r="P11" s="6" t="s">
        <v>120</v>
      </c>
      <c r="Q11" s="1" t="s">
        <v>38</v>
      </c>
    </row>
    <row r="12" spans="1:17" s="2" customFormat="1" ht="30" x14ac:dyDescent="0.25">
      <c r="A12" s="118" t="s">
        <v>287</v>
      </c>
      <c r="B12" s="93">
        <f t="shared" ref="B12" si="0">+SUM(B13:B15)</f>
        <v>251.05</v>
      </c>
      <c r="C12" s="93">
        <f t="shared" ref="C12" si="1">+SUM(C13:C15)</f>
        <v>250.5</v>
      </c>
      <c r="D12" s="93">
        <f t="shared" ref="D12" si="2">+SUM(D13:D15)</f>
        <v>251.83999999999997</v>
      </c>
      <c r="E12" s="93">
        <f t="shared" ref="E12" si="3">+SUM(E13:E15)</f>
        <v>255.02</v>
      </c>
      <c r="F12" s="93">
        <f t="shared" ref="F12:H12" si="4">+SUM(F13:F15)</f>
        <v>258.95</v>
      </c>
      <c r="G12" s="93">
        <f t="shared" si="4"/>
        <v>262.11</v>
      </c>
      <c r="H12" s="93">
        <f t="shared" si="4"/>
        <v>266.82</v>
      </c>
      <c r="I12" s="93">
        <f>+SUM(I13:I15)</f>
        <v>267.78999999999996</v>
      </c>
      <c r="J12" s="93">
        <v>265.26527999999996</v>
      </c>
      <c r="K12" s="108"/>
      <c r="L12" s="107"/>
      <c r="M12" s="107"/>
      <c r="N12" s="107"/>
      <c r="O12" s="9" t="s">
        <v>11</v>
      </c>
      <c r="P12" s="27" t="s">
        <v>366</v>
      </c>
      <c r="Q12" s="94" t="s">
        <v>443</v>
      </c>
    </row>
    <row r="13" spans="1:17" s="2" customFormat="1" ht="30" x14ac:dyDescent="0.25">
      <c r="A13" s="118" t="s">
        <v>285</v>
      </c>
      <c r="B13" s="93">
        <f>65.26+20.17</f>
        <v>85.43</v>
      </c>
      <c r="C13" s="93">
        <v>87</v>
      </c>
      <c r="D13" s="93">
        <v>86.89</v>
      </c>
      <c r="E13" s="93">
        <v>87.56</v>
      </c>
      <c r="F13" s="93">
        <v>89.57</v>
      </c>
      <c r="G13" s="93">
        <f>67.56+23.39</f>
        <v>90.95</v>
      </c>
      <c r="H13" s="93">
        <f>68.63+25.11</f>
        <v>93.74</v>
      </c>
      <c r="I13" s="93">
        <f>67.18+26.99</f>
        <v>94.17</v>
      </c>
      <c r="J13" s="93">
        <v>85.186080000000004</v>
      </c>
      <c r="K13" s="108"/>
      <c r="L13" s="107"/>
      <c r="M13" s="107"/>
      <c r="N13" s="107"/>
      <c r="O13" s="9" t="s">
        <v>11</v>
      </c>
      <c r="P13" s="27" t="s">
        <v>366</v>
      </c>
      <c r="Q13" s="94" t="s">
        <v>443</v>
      </c>
    </row>
    <row r="14" spans="1:17" s="2" customFormat="1" ht="30" x14ac:dyDescent="0.25">
      <c r="A14" s="118" t="s">
        <v>286</v>
      </c>
      <c r="B14" s="93">
        <v>29.31</v>
      </c>
      <c r="C14" s="93">
        <v>31.8</v>
      </c>
      <c r="D14" s="93">
        <v>32.5</v>
      </c>
      <c r="E14" s="93">
        <v>33.159999999999997</v>
      </c>
      <c r="F14" s="93">
        <v>33.21</v>
      </c>
      <c r="G14" s="93">
        <v>33.549999999999997</v>
      </c>
      <c r="H14" s="93">
        <v>33.9</v>
      </c>
      <c r="I14" s="93">
        <v>34.03</v>
      </c>
      <c r="J14" s="93">
        <v>31.389120000000002</v>
      </c>
      <c r="K14" s="108"/>
      <c r="L14" s="107"/>
      <c r="M14" s="107"/>
      <c r="N14" s="107"/>
      <c r="O14" s="9" t="s">
        <v>11</v>
      </c>
      <c r="P14" s="27" t="s">
        <v>366</v>
      </c>
      <c r="Q14" s="94" t="s">
        <v>443</v>
      </c>
    </row>
    <row r="15" spans="1:17" s="2" customFormat="1" ht="30" x14ac:dyDescent="0.25">
      <c r="A15" s="118" t="s">
        <v>288</v>
      </c>
      <c r="B15" s="93">
        <v>136.31</v>
      </c>
      <c r="C15" s="93">
        <v>131.69999999999999</v>
      </c>
      <c r="D15" s="93">
        <v>132.44999999999999</v>
      </c>
      <c r="E15" s="93">
        <v>134.30000000000001</v>
      </c>
      <c r="F15" s="93">
        <v>136.16999999999999</v>
      </c>
      <c r="G15" s="93">
        <v>137.61000000000001</v>
      </c>
      <c r="H15" s="93">
        <v>139.18</v>
      </c>
      <c r="I15" s="93">
        <v>139.59</v>
      </c>
      <c r="J15" s="93">
        <v>132.63263999999998</v>
      </c>
      <c r="K15" s="108"/>
      <c r="L15" s="107"/>
      <c r="M15" s="107"/>
      <c r="N15" s="107"/>
      <c r="O15" s="9" t="s">
        <v>11</v>
      </c>
      <c r="P15" s="27" t="s">
        <v>366</v>
      </c>
      <c r="Q15" s="94" t="s">
        <v>443</v>
      </c>
    </row>
    <row r="16" spans="1:17" s="2" customFormat="1" ht="30" x14ac:dyDescent="0.25">
      <c r="A16" s="118" t="s">
        <v>289</v>
      </c>
      <c r="B16" s="93">
        <v>17.633246400000001</v>
      </c>
      <c r="C16" s="93">
        <v>15.396998400000001</v>
      </c>
      <c r="D16" s="93">
        <v>15.3933696</v>
      </c>
      <c r="E16" s="93">
        <v>15.428750400000002</v>
      </c>
      <c r="F16" s="93">
        <v>15.1556832</v>
      </c>
      <c r="G16" s="93">
        <v>15.0876432</v>
      </c>
      <c r="H16" s="93">
        <v>15.416956799999999</v>
      </c>
      <c r="I16" s="93">
        <v>14.830905599999999</v>
      </c>
      <c r="J16" s="93">
        <v>15.225537600000001</v>
      </c>
      <c r="K16" s="93">
        <v>14.1151248</v>
      </c>
      <c r="L16" s="93">
        <v>14.076115199999998</v>
      </c>
      <c r="M16" s="93">
        <v>13.8103056</v>
      </c>
      <c r="N16" s="93"/>
      <c r="O16" s="9" t="s">
        <v>10</v>
      </c>
      <c r="P16" s="11" t="s">
        <v>30</v>
      </c>
      <c r="Q16" s="94" t="s">
        <v>595</v>
      </c>
    </row>
    <row r="17" spans="1:17" s="2" customFormat="1" ht="30" x14ac:dyDescent="0.25">
      <c r="A17" s="118" t="s">
        <v>314</v>
      </c>
      <c r="B17" s="93">
        <v>2.0747664000000001</v>
      </c>
      <c r="C17" s="93">
        <v>1.8180288</v>
      </c>
      <c r="D17" s="93">
        <v>1.8016992000000001</v>
      </c>
      <c r="E17" s="93">
        <v>1.6919280000000001</v>
      </c>
      <c r="F17" s="93">
        <v>1.773576</v>
      </c>
      <c r="G17" s="93">
        <v>1.8016992000000001</v>
      </c>
      <c r="H17" s="93">
        <v>2.0248704000000002</v>
      </c>
      <c r="I17" s="93">
        <v>1.9268928000000001</v>
      </c>
      <c r="J17" s="93">
        <v>1.8597599999999999</v>
      </c>
      <c r="K17" s="93">
        <v>1.5123024</v>
      </c>
      <c r="L17" s="93">
        <v>1.49688</v>
      </c>
      <c r="M17" s="93">
        <v>1.5531264</v>
      </c>
      <c r="N17" s="93"/>
      <c r="O17" s="9" t="s">
        <v>10</v>
      </c>
      <c r="P17" s="11" t="s">
        <v>340</v>
      </c>
      <c r="Q17" s="94" t="s">
        <v>595</v>
      </c>
    </row>
    <row r="18" spans="1:17" s="2" customFormat="1" ht="30" x14ac:dyDescent="0.25">
      <c r="A18" s="118" t="s">
        <v>313</v>
      </c>
      <c r="B18" s="93">
        <v>19.708920000000003</v>
      </c>
      <c r="C18" s="93">
        <v>17.251315199999997</v>
      </c>
      <c r="D18" s="93">
        <v>17.195068800000001</v>
      </c>
      <c r="E18" s="93">
        <v>17.119771199999999</v>
      </c>
      <c r="F18" s="93">
        <v>16.929259200000001</v>
      </c>
      <c r="G18" s="93">
        <v>16.8893424</v>
      </c>
      <c r="H18" s="93">
        <v>17.441827199999999</v>
      </c>
      <c r="I18" s="93">
        <v>16.758705599999999</v>
      </c>
      <c r="J18" s="93">
        <v>17.085297599999997</v>
      </c>
      <c r="K18" s="93">
        <v>15.626520000000001</v>
      </c>
      <c r="L18" s="93">
        <v>15.572995199999999</v>
      </c>
      <c r="M18" s="93">
        <v>15.362524799999999</v>
      </c>
      <c r="N18" s="302"/>
      <c r="O18" s="9" t="s">
        <v>10</v>
      </c>
      <c r="P18" s="11" t="s">
        <v>341</v>
      </c>
      <c r="Q18" s="94" t="s">
        <v>595</v>
      </c>
    </row>
    <row r="19" spans="1:17" s="2" customFormat="1" ht="30" x14ac:dyDescent="0.25">
      <c r="A19" s="118" t="s">
        <v>292</v>
      </c>
      <c r="B19" s="92">
        <v>0.36469440000000003</v>
      </c>
      <c r="C19" s="92">
        <v>0.35199360000000002</v>
      </c>
      <c r="D19" s="92">
        <v>0.37920959999999998</v>
      </c>
      <c r="E19" s="92">
        <v>0.41368320000000003</v>
      </c>
      <c r="F19" s="92">
        <v>0.40279680000000001</v>
      </c>
      <c r="G19" s="92">
        <v>0.41005440000000004</v>
      </c>
      <c r="H19" s="92">
        <v>0.4209408</v>
      </c>
      <c r="I19" s="92">
        <v>0.38283839999999997</v>
      </c>
      <c r="J19" s="92">
        <v>0.42366240000000005</v>
      </c>
      <c r="K19" s="92">
        <v>0.26943839999999997</v>
      </c>
      <c r="L19" s="92">
        <v>0.25401600000000002</v>
      </c>
      <c r="M19" s="92">
        <v>0.2286144</v>
      </c>
      <c r="N19" s="92"/>
      <c r="O19" s="9" t="s">
        <v>10</v>
      </c>
      <c r="P19" s="11" t="s">
        <v>341</v>
      </c>
      <c r="Q19" s="94" t="s">
        <v>595</v>
      </c>
    </row>
    <row r="20" spans="1:17" s="2" customFormat="1" ht="30" x14ac:dyDescent="0.25">
      <c r="A20" s="118" t="s">
        <v>290</v>
      </c>
      <c r="B20" s="93">
        <v>15.985771199999999</v>
      </c>
      <c r="C20" s="93">
        <v>13.940942400000001</v>
      </c>
      <c r="D20" s="93">
        <v>13.3875504</v>
      </c>
      <c r="E20" s="93">
        <v>13.2215328</v>
      </c>
      <c r="F20" s="93">
        <v>13.1172048</v>
      </c>
      <c r="G20" s="93">
        <v>13.110854400000001</v>
      </c>
      <c r="H20" s="93">
        <v>13.461033599999999</v>
      </c>
      <c r="I20" s="93">
        <v>12.877704</v>
      </c>
      <c r="J20" s="93">
        <v>13.2550992</v>
      </c>
      <c r="K20" s="214">
        <v>12.4141248</v>
      </c>
      <c r="L20" s="93">
        <v>12.4576704</v>
      </c>
      <c r="M20" s="93">
        <v>12.079368000000001</v>
      </c>
      <c r="N20" s="93"/>
      <c r="O20" s="9" t="s">
        <v>10</v>
      </c>
      <c r="P20" s="11" t="s">
        <v>341</v>
      </c>
      <c r="Q20" s="94" t="s">
        <v>595</v>
      </c>
    </row>
    <row r="21" spans="1:17" s="2" customFormat="1" ht="30" x14ac:dyDescent="0.25">
      <c r="A21" s="121" t="s">
        <v>291</v>
      </c>
      <c r="B21" s="92">
        <v>3.2196528</v>
      </c>
      <c r="C21" s="92">
        <v>2.8150416000000003</v>
      </c>
      <c r="D21" s="92">
        <v>3.2450543999999999</v>
      </c>
      <c r="E21" s="92">
        <v>3.3076512</v>
      </c>
      <c r="F21" s="92">
        <v>3.2214672000000002</v>
      </c>
      <c r="G21" s="92">
        <v>3.1770144</v>
      </c>
      <c r="H21" s="92">
        <v>3.3566400000000001</v>
      </c>
      <c r="I21" s="92">
        <v>3.3013007999999999</v>
      </c>
      <c r="J21" s="92">
        <v>3.2269104</v>
      </c>
      <c r="K21" s="92">
        <v>2.7642384</v>
      </c>
      <c r="L21" s="92">
        <v>2.6816831999999997</v>
      </c>
      <c r="M21" s="92">
        <v>2.8912464</v>
      </c>
      <c r="N21" s="92"/>
      <c r="O21" s="9" t="s">
        <v>10</v>
      </c>
      <c r="P21" s="11" t="s">
        <v>341</v>
      </c>
      <c r="Q21" s="94" t="s">
        <v>595</v>
      </c>
    </row>
    <row r="22" spans="1:17" s="2" customFormat="1" ht="30" x14ac:dyDescent="0.25">
      <c r="A22" s="121" t="s">
        <v>276</v>
      </c>
      <c r="B22" s="92">
        <v>0.1378944</v>
      </c>
      <c r="C22" s="92">
        <v>0.14333760000000001</v>
      </c>
      <c r="D22" s="92">
        <v>0.18416160000000001</v>
      </c>
      <c r="E22" s="92">
        <v>0.17690400000000001</v>
      </c>
      <c r="F22" s="92">
        <v>0.1868832</v>
      </c>
      <c r="G22" s="92">
        <v>0.19141919999999998</v>
      </c>
      <c r="H22" s="92">
        <v>0.2032128</v>
      </c>
      <c r="I22" s="92">
        <v>0.1959552</v>
      </c>
      <c r="J22" s="92">
        <v>0.1787184</v>
      </c>
      <c r="K22" s="92">
        <v>0.1787184</v>
      </c>
      <c r="L22" s="92">
        <v>0.1796256</v>
      </c>
      <c r="M22" s="92">
        <v>0.163296</v>
      </c>
      <c r="N22" s="92"/>
      <c r="O22" s="9" t="s">
        <v>10</v>
      </c>
      <c r="P22" s="11" t="s">
        <v>341</v>
      </c>
      <c r="Q22" s="94" t="s">
        <v>595</v>
      </c>
    </row>
    <row r="23" spans="1:17" s="2" customFormat="1" x14ac:dyDescent="0.25">
      <c r="A23" s="118" t="s">
        <v>315</v>
      </c>
      <c r="B23" s="93">
        <v>144.934</v>
      </c>
      <c r="C23" s="93">
        <v>135.24100000000001</v>
      </c>
      <c r="D23" s="93">
        <v>135.73500000000001</v>
      </c>
      <c r="E23" s="90">
        <v>135.76400000000001</v>
      </c>
      <c r="F23" s="93">
        <v>134.40799999999999</v>
      </c>
      <c r="G23" s="93">
        <v>133.11699999999999</v>
      </c>
      <c r="H23" s="93">
        <v>135.95699999999999</v>
      </c>
      <c r="I23" s="93">
        <v>130.94200000000001</v>
      </c>
      <c r="J23" s="93">
        <v>134.465</v>
      </c>
      <c r="K23" s="93">
        <v>115.114</v>
      </c>
      <c r="L23" s="93">
        <v>114.81399999999999</v>
      </c>
      <c r="M23" s="93">
        <v>113.173</v>
      </c>
      <c r="N23" s="93"/>
      <c r="O23" s="9" t="s">
        <v>10</v>
      </c>
      <c r="P23" s="11" t="s">
        <v>342</v>
      </c>
      <c r="Q23" s="34" t="s">
        <v>596</v>
      </c>
    </row>
    <row r="24" spans="1:17" s="2" customFormat="1" x14ac:dyDescent="0.25">
      <c r="A24" s="118" t="s">
        <v>316</v>
      </c>
      <c r="B24" s="93">
        <v>17.501999999999999</v>
      </c>
      <c r="C24" s="93">
        <v>16.765999999999998</v>
      </c>
      <c r="D24" s="93">
        <v>16.309999999999999</v>
      </c>
      <c r="E24" s="93">
        <v>15.167999999999999</v>
      </c>
      <c r="F24" s="93">
        <v>15.782999999999999</v>
      </c>
      <c r="G24" s="93">
        <v>16.623000000000001</v>
      </c>
      <c r="H24" s="93">
        <v>18.259</v>
      </c>
      <c r="I24" s="93">
        <v>17.72</v>
      </c>
      <c r="J24" s="93">
        <v>16.724</v>
      </c>
      <c r="K24" s="93">
        <v>12.308</v>
      </c>
      <c r="L24" s="93">
        <v>11.939</v>
      </c>
      <c r="M24" s="93">
        <v>12.721</v>
      </c>
      <c r="N24" s="93"/>
      <c r="O24" s="9" t="s">
        <v>10</v>
      </c>
      <c r="P24" s="11" t="s">
        <v>343</v>
      </c>
      <c r="Q24" s="34" t="s">
        <v>596</v>
      </c>
    </row>
    <row r="25" spans="1:17" s="2" customFormat="1" x14ac:dyDescent="0.25">
      <c r="A25" s="118" t="s">
        <v>317</v>
      </c>
      <c r="B25" s="93">
        <v>162.43600000000001</v>
      </c>
      <c r="C25" s="93">
        <v>152.00700000000001</v>
      </c>
      <c r="D25" s="93">
        <v>152.04499999999999</v>
      </c>
      <c r="E25" s="93">
        <v>150.93199999999999</v>
      </c>
      <c r="F25" s="93">
        <v>150.191</v>
      </c>
      <c r="G25" s="93">
        <v>149.74</v>
      </c>
      <c r="H25" s="93">
        <v>154.21600000000001</v>
      </c>
      <c r="I25" s="93">
        <v>148.66200000000001</v>
      </c>
      <c r="J25" s="93">
        <v>151.18799999999999</v>
      </c>
      <c r="K25" s="93">
        <v>127.422</v>
      </c>
      <c r="L25" s="93">
        <v>126.752</v>
      </c>
      <c r="M25" s="93">
        <v>125.89400000000001</v>
      </c>
      <c r="N25" s="93"/>
      <c r="O25" s="9" t="s">
        <v>10</v>
      </c>
      <c r="P25" s="11" t="s">
        <v>344</v>
      </c>
      <c r="Q25" s="34" t="s">
        <v>596</v>
      </c>
    </row>
    <row r="26" spans="1:17" s="2" customFormat="1" x14ac:dyDescent="0.25">
      <c r="A26" s="118" t="s">
        <v>292</v>
      </c>
      <c r="B26" s="92">
        <v>3.3220000000000001</v>
      </c>
      <c r="C26" s="92">
        <v>3.4329999999999998</v>
      </c>
      <c r="D26" s="92">
        <v>3.91</v>
      </c>
      <c r="E26" s="92">
        <v>4.4589999999999996</v>
      </c>
      <c r="F26" s="92">
        <v>4.4290000000000003</v>
      </c>
      <c r="G26" s="92">
        <v>4.2949999999999999</v>
      </c>
      <c r="H26" s="92">
        <v>4.4340000000000002</v>
      </c>
      <c r="I26" s="92">
        <v>4.1719999999999997</v>
      </c>
      <c r="J26" s="92">
        <v>4.5679999999999996</v>
      </c>
      <c r="K26" s="92">
        <v>2.4540000000000002</v>
      </c>
      <c r="L26" s="320">
        <v>2.2839999999999998</v>
      </c>
      <c r="M26" s="92">
        <v>2.0289999999999999</v>
      </c>
      <c r="N26" s="92"/>
      <c r="O26" s="9" t="s">
        <v>10</v>
      </c>
      <c r="P26" s="11" t="s">
        <v>344</v>
      </c>
      <c r="Q26" s="34" t="s">
        <v>596</v>
      </c>
    </row>
    <row r="27" spans="1:17" s="2" customFormat="1" x14ac:dyDescent="0.25">
      <c r="A27" s="118" t="s">
        <v>290</v>
      </c>
      <c r="B27" s="93">
        <v>130.46700000000001</v>
      </c>
      <c r="C27" s="93">
        <v>121.648</v>
      </c>
      <c r="D27" s="93">
        <v>117.598</v>
      </c>
      <c r="E27" s="93">
        <v>115.574</v>
      </c>
      <c r="F27" s="93">
        <v>115.709</v>
      </c>
      <c r="G27" s="93">
        <v>114.886</v>
      </c>
      <c r="H27" s="93">
        <v>17.88</v>
      </c>
      <c r="I27" s="93">
        <v>112.857</v>
      </c>
      <c r="J27" s="93">
        <v>116.339</v>
      </c>
      <c r="K27" s="93">
        <v>101</v>
      </c>
      <c r="L27" s="320">
        <v>101.36199999999999</v>
      </c>
      <c r="M27" s="93">
        <v>98.516000000000005</v>
      </c>
      <c r="N27" s="303"/>
      <c r="O27" s="9" t="s">
        <v>10</v>
      </c>
      <c r="P27" s="11" t="s">
        <v>344</v>
      </c>
      <c r="Q27" s="34" t="s">
        <v>596</v>
      </c>
    </row>
    <row r="28" spans="1:17" s="2" customFormat="1" x14ac:dyDescent="0.25">
      <c r="A28" s="121" t="s">
        <v>291</v>
      </c>
      <c r="B28" s="93">
        <v>27.509</v>
      </c>
      <c r="C28" s="93">
        <v>25.664000000000001</v>
      </c>
      <c r="D28" s="93">
        <v>28.922999999999998</v>
      </c>
      <c r="E28" s="93">
        <v>29.341999999999999</v>
      </c>
      <c r="F28" s="93">
        <v>28.411000000000001</v>
      </c>
      <c r="G28" s="93">
        <v>28.821000000000002</v>
      </c>
      <c r="H28" s="93">
        <v>30.094999999999999</v>
      </c>
      <c r="I28" s="93">
        <v>29.794</v>
      </c>
      <c r="J28" s="93">
        <v>28.686</v>
      </c>
      <c r="K28" s="93">
        <v>22.472999999999999</v>
      </c>
      <c r="L28" s="320">
        <v>21.629000000000001</v>
      </c>
      <c r="M28" s="93">
        <v>23.994</v>
      </c>
      <c r="N28" s="303"/>
      <c r="O28" s="9" t="s">
        <v>10</v>
      </c>
      <c r="P28" s="11" t="s">
        <v>344</v>
      </c>
      <c r="Q28" s="34" t="s">
        <v>596</v>
      </c>
    </row>
    <row r="29" spans="1:17" s="2" customFormat="1" x14ac:dyDescent="0.25">
      <c r="A29" s="121" t="s">
        <v>276</v>
      </c>
      <c r="B29" s="92">
        <v>1.1379999999999999</v>
      </c>
      <c r="C29" s="92">
        <v>1.262</v>
      </c>
      <c r="D29" s="92">
        <v>1.6140000000000001</v>
      </c>
      <c r="E29" s="92">
        <v>1.5569999999999999</v>
      </c>
      <c r="F29" s="92">
        <v>1.643</v>
      </c>
      <c r="G29" s="92">
        <v>1.7390000000000001</v>
      </c>
      <c r="H29" s="92">
        <v>1.806</v>
      </c>
      <c r="I29" s="92">
        <v>1.839</v>
      </c>
      <c r="J29" s="92">
        <v>1.5960000000000001</v>
      </c>
      <c r="K29" s="92">
        <v>1.4950000000000001</v>
      </c>
      <c r="L29" s="321">
        <v>1.478</v>
      </c>
      <c r="M29" s="92">
        <v>1.355</v>
      </c>
      <c r="N29" s="92"/>
      <c r="O29" s="9" t="s">
        <v>10</v>
      </c>
      <c r="P29" s="11" t="s">
        <v>344</v>
      </c>
      <c r="Q29" s="34" t="s">
        <v>596</v>
      </c>
    </row>
    <row r="30" spans="1:17" x14ac:dyDescent="0.25">
      <c r="A30" s="12"/>
      <c r="B30" s="73"/>
      <c r="C30" s="73"/>
      <c r="D30" s="73"/>
      <c r="E30" s="73"/>
      <c r="F30" s="73"/>
      <c r="G30" s="73"/>
      <c r="H30" s="73"/>
      <c r="I30" s="73"/>
      <c r="J30" s="73"/>
      <c r="K30" s="73"/>
      <c r="L30" s="73"/>
      <c r="M30" s="73"/>
      <c r="N30" s="73"/>
      <c r="O30" s="13"/>
      <c r="P30" s="14"/>
      <c r="Q30" s="25"/>
    </row>
    <row r="31" spans="1:17" s="2" customFormat="1" x14ac:dyDescent="0.25">
      <c r="A31" s="1" t="s">
        <v>12</v>
      </c>
      <c r="B31" s="1">
        <v>2010</v>
      </c>
      <c r="C31" s="1">
        <v>2011</v>
      </c>
      <c r="D31" s="1">
        <v>2012</v>
      </c>
      <c r="E31" s="1">
        <v>2013</v>
      </c>
      <c r="F31" s="1">
        <v>2014</v>
      </c>
      <c r="G31" s="1">
        <v>2015</v>
      </c>
      <c r="H31" s="1">
        <v>2016</v>
      </c>
      <c r="I31" s="31">
        <v>2017</v>
      </c>
      <c r="J31" s="107">
        <v>2018</v>
      </c>
      <c r="K31" s="107">
        <v>2019</v>
      </c>
      <c r="L31" s="107">
        <v>2020</v>
      </c>
      <c r="M31" s="107">
        <v>2021</v>
      </c>
      <c r="N31" s="107">
        <v>2022</v>
      </c>
      <c r="O31" s="6" t="s">
        <v>119</v>
      </c>
      <c r="P31" s="6" t="s">
        <v>120</v>
      </c>
      <c r="Q31" s="1" t="s">
        <v>38</v>
      </c>
    </row>
    <row r="32" spans="1:17" x14ac:dyDescent="0.25">
      <c r="A32" s="168" t="s">
        <v>365</v>
      </c>
      <c r="B32" s="60"/>
      <c r="C32" s="4">
        <v>640</v>
      </c>
      <c r="D32" s="4">
        <v>290</v>
      </c>
      <c r="E32" s="4">
        <v>550</v>
      </c>
      <c r="F32" s="4">
        <v>348</v>
      </c>
      <c r="G32" s="4">
        <v>524</v>
      </c>
      <c r="H32" s="4">
        <v>227</v>
      </c>
      <c r="I32" s="4">
        <v>142</v>
      </c>
      <c r="J32" s="4">
        <v>54</v>
      </c>
      <c r="K32" s="96">
        <v>57</v>
      </c>
      <c r="L32" s="96">
        <v>54</v>
      </c>
      <c r="M32" s="96"/>
      <c r="N32" s="96"/>
      <c r="O32" s="91" t="s">
        <v>245</v>
      </c>
      <c r="P32" s="116" t="s">
        <v>544</v>
      </c>
      <c r="Q32" s="34" t="s">
        <v>524</v>
      </c>
    </row>
    <row r="33" spans="1:17" x14ac:dyDescent="0.25">
      <c r="A33" s="121" t="s">
        <v>367</v>
      </c>
      <c r="B33" s="97"/>
      <c r="C33" s="97"/>
      <c r="D33" s="97"/>
      <c r="E33" s="57">
        <v>5350</v>
      </c>
      <c r="F33" s="57">
        <v>4753</v>
      </c>
      <c r="G33" s="97"/>
      <c r="H33" s="57">
        <v>4640</v>
      </c>
      <c r="I33" s="97"/>
      <c r="J33" s="57">
        <v>4600</v>
      </c>
      <c r="K33" s="280"/>
      <c r="L33" s="280"/>
      <c r="M33" s="122"/>
      <c r="N33" s="122"/>
      <c r="O33" s="91" t="s">
        <v>370</v>
      </c>
      <c r="P33" s="116" t="s">
        <v>364</v>
      </c>
      <c r="Q33" s="34" t="s">
        <v>337</v>
      </c>
    </row>
    <row r="34" spans="1:17" x14ac:dyDescent="0.25">
      <c r="A34" s="121" t="s">
        <v>369</v>
      </c>
      <c r="B34" s="97"/>
      <c r="C34" s="97"/>
      <c r="D34" s="97"/>
      <c r="E34" s="57">
        <f>+E33+8557</f>
        <v>13907</v>
      </c>
      <c r="F34" s="57">
        <v>13878</v>
      </c>
      <c r="G34" s="97"/>
      <c r="H34" s="57">
        <v>13756</v>
      </c>
      <c r="I34" s="97"/>
      <c r="J34" s="57">
        <v>13601</v>
      </c>
      <c r="K34" s="280"/>
      <c r="L34" s="280"/>
      <c r="M34" s="122"/>
      <c r="N34" s="122"/>
      <c r="O34" s="91" t="s">
        <v>370</v>
      </c>
      <c r="P34" s="116" t="s">
        <v>364</v>
      </c>
      <c r="Q34" s="34" t="s">
        <v>337</v>
      </c>
    </row>
    <row r="35" spans="1:17" x14ac:dyDescent="0.25">
      <c r="A35" s="121" t="s">
        <v>368</v>
      </c>
      <c r="B35" s="97"/>
      <c r="C35" s="97"/>
      <c r="D35" s="97"/>
      <c r="E35" s="57">
        <v>5600</v>
      </c>
      <c r="F35" s="57">
        <v>5561.0000000000009</v>
      </c>
      <c r="G35" s="97"/>
      <c r="H35" s="57">
        <v>5576.2000000000007</v>
      </c>
      <c r="I35" s="97"/>
      <c r="J35" s="57">
        <v>5567</v>
      </c>
      <c r="K35" s="280"/>
      <c r="L35" s="280"/>
      <c r="M35" s="122"/>
      <c r="N35" s="122"/>
      <c r="O35" s="91" t="s">
        <v>370</v>
      </c>
      <c r="P35" s="116" t="s">
        <v>364</v>
      </c>
      <c r="Q35" s="34" t="s">
        <v>337</v>
      </c>
    </row>
    <row r="39" spans="1:17" x14ac:dyDescent="0.25">
      <c r="P39" s="33"/>
    </row>
    <row r="40" spans="1:17" x14ac:dyDescent="0.25">
      <c r="P40" s="33"/>
    </row>
    <row r="41" spans="1:17" x14ac:dyDescent="0.25">
      <c r="P41" s="33"/>
    </row>
    <row r="42" spans="1:17" x14ac:dyDescent="0.25">
      <c r="P42" s="33"/>
    </row>
    <row r="136" spans="2:14" x14ac:dyDescent="0.25">
      <c r="B136"/>
      <c r="C136"/>
      <c r="D136"/>
      <c r="E136"/>
      <c r="F136"/>
      <c r="G136"/>
      <c r="H136"/>
      <c r="I136"/>
      <c r="J136"/>
      <c r="K136"/>
      <c r="L136"/>
      <c r="M136"/>
      <c r="N136"/>
    </row>
    <row r="137" spans="2:14" x14ac:dyDescent="0.25">
      <c r="B137"/>
      <c r="C137"/>
      <c r="D137"/>
      <c r="E137"/>
      <c r="F137"/>
      <c r="G137"/>
      <c r="H137"/>
      <c r="I137"/>
      <c r="J137"/>
      <c r="K137"/>
      <c r="L137"/>
      <c r="M137"/>
      <c r="N137"/>
    </row>
    <row r="138" spans="2:14" x14ac:dyDescent="0.25">
      <c r="B138"/>
      <c r="C138"/>
      <c r="D138"/>
      <c r="E138"/>
      <c r="F138"/>
      <c r="G138"/>
      <c r="H138"/>
      <c r="I138"/>
      <c r="J138"/>
      <c r="K138"/>
      <c r="L138"/>
      <c r="M138"/>
      <c r="N138"/>
    </row>
    <row r="139" spans="2:14" x14ac:dyDescent="0.25">
      <c r="B139"/>
      <c r="C139"/>
      <c r="D139"/>
      <c r="E139"/>
      <c r="F139"/>
      <c r="G139"/>
      <c r="H139"/>
      <c r="I139"/>
      <c r="J139"/>
      <c r="K139"/>
      <c r="L139"/>
      <c r="M139"/>
      <c r="N139"/>
    </row>
    <row r="140" spans="2:14" x14ac:dyDescent="0.25">
      <c r="B140"/>
      <c r="C140"/>
      <c r="D140"/>
      <c r="E140"/>
      <c r="F140"/>
      <c r="G140"/>
      <c r="H140"/>
      <c r="I140"/>
      <c r="J140"/>
      <c r="K140"/>
      <c r="L140"/>
      <c r="M140"/>
      <c r="N140"/>
    </row>
    <row r="141" spans="2:14" x14ac:dyDescent="0.25">
      <c r="B141"/>
      <c r="C141"/>
      <c r="D141"/>
      <c r="E141"/>
      <c r="F141"/>
      <c r="G141"/>
      <c r="H141"/>
      <c r="I141"/>
      <c r="J141"/>
      <c r="K141"/>
      <c r="L141"/>
      <c r="M141"/>
      <c r="N141"/>
    </row>
    <row r="142" spans="2:14" x14ac:dyDescent="0.25">
      <c r="B142"/>
      <c r="C142"/>
      <c r="D142"/>
      <c r="E142"/>
      <c r="F142"/>
      <c r="G142"/>
      <c r="H142"/>
      <c r="I142"/>
      <c r="J142"/>
      <c r="K142"/>
      <c r="L142"/>
      <c r="M142"/>
      <c r="N142"/>
    </row>
    <row r="143" spans="2:14" x14ac:dyDescent="0.25">
      <c r="B143"/>
      <c r="C143"/>
      <c r="D143"/>
      <c r="E143"/>
      <c r="F143"/>
      <c r="G143"/>
      <c r="H143"/>
      <c r="I143"/>
      <c r="J143"/>
      <c r="K143"/>
      <c r="L143"/>
      <c r="M143"/>
      <c r="N143"/>
    </row>
    <row r="144" spans="2:14" x14ac:dyDescent="0.25">
      <c r="B144"/>
      <c r="C144"/>
      <c r="D144"/>
      <c r="E144"/>
      <c r="F144"/>
      <c r="G144"/>
      <c r="H144"/>
      <c r="I144"/>
      <c r="J144"/>
      <c r="K144"/>
      <c r="L144"/>
      <c r="M144"/>
      <c r="N144"/>
    </row>
    <row r="145" spans="2:14" x14ac:dyDescent="0.25">
      <c r="B145"/>
      <c r="C145"/>
      <c r="D145"/>
      <c r="E145"/>
      <c r="F145"/>
      <c r="G145"/>
      <c r="H145"/>
      <c r="I145"/>
      <c r="J145"/>
      <c r="K145"/>
      <c r="L145"/>
      <c r="M145"/>
      <c r="N145"/>
    </row>
  </sheetData>
  <mergeCells count="1">
    <mergeCell ref="A1:A2"/>
  </mergeCells>
  <hyperlinks>
    <hyperlink ref="P6" r:id="rId1" xr:uid="{00000000-0004-0000-0D00-000000000000}"/>
    <hyperlink ref="P9" r:id="rId2" xr:uid="{00000000-0004-0000-0D00-000001000000}"/>
    <hyperlink ref="P8" r:id="rId3" xr:uid="{00000000-0004-0000-0D00-000003000000}"/>
    <hyperlink ref="P5" r:id="rId4" xr:uid="{00000000-0004-0000-0D00-000005000000}"/>
    <hyperlink ref="P7" r:id="rId5" xr:uid="{00000000-0004-0000-0D00-000006000000}"/>
    <hyperlink ref="P18" r:id="rId6" xr:uid="{00000000-0004-0000-0D00-000013000000}"/>
    <hyperlink ref="P16" r:id="rId7" xr:uid="{6F1E3797-93F4-493D-B544-133DAC35DA2C}"/>
    <hyperlink ref="P17" r:id="rId8" xr:uid="{45695B7F-145B-4C16-A096-5C5B58306B48}"/>
    <hyperlink ref="P25" r:id="rId9" xr:uid="{3F3DD583-9CC2-4724-9519-B5B03F985D48}"/>
    <hyperlink ref="P23" r:id="rId10" xr:uid="{CDD5CF98-AA33-40AD-859A-3241FE2B173C}"/>
    <hyperlink ref="P24" r:id="rId11" xr:uid="{36200734-EF4B-4115-A035-EFCB1EDCD6EF}"/>
    <hyperlink ref="P19:P22" r:id="rId12" display="http://www.eia.gov/electricity/annual/html/epa_05_07_c.html" xr:uid="{DD43B783-73BD-474F-A973-0E6DE10E688A}"/>
    <hyperlink ref="P26" r:id="rId13" xr:uid="{1EBFA374-F742-4FFD-90A5-84179535B0A2}"/>
    <hyperlink ref="P27" r:id="rId14" xr:uid="{7D313A09-DDFE-4EFA-A58E-48CD045CB430}"/>
    <hyperlink ref="P28" r:id="rId15" xr:uid="{00AF1590-14FF-4056-9FBD-16A4D06FD33B}"/>
    <hyperlink ref="P29" r:id="rId16" xr:uid="{7D59E737-5179-413E-9DCE-BE484ECFDB69}"/>
    <hyperlink ref="P4" r:id="rId17" xr:uid="{21A0BB1F-B70D-4BA7-9A53-B2ACA3959B0A}"/>
    <hyperlink ref="P32" r:id="rId18" xr:uid="{5ABD12C8-5B00-49E1-BDE7-A1811D7F9707}"/>
    <hyperlink ref="P12" r:id="rId19" xr:uid="{BC4BD56F-9414-4588-8027-F6A77BB58C11}"/>
    <hyperlink ref="P13" r:id="rId20" xr:uid="{F03019D1-727C-4DC8-8E08-CED482E8B125}"/>
    <hyperlink ref="P14" r:id="rId21" xr:uid="{D691A14A-2111-42E0-946B-9AC252799FFB}"/>
    <hyperlink ref="P15" r:id="rId22" xr:uid="{A1F5347D-486A-49FE-81F3-C88C98E66F40}"/>
    <hyperlink ref="P33" r:id="rId23" xr:uid="{560419AD-C768-49CC-A761-FA82334ED982}"/>
    <hyperlink ref="P34" r:id="rId24" xr:uid="{ECD0B995-59E5-49A1-8C84-C18DF0B2485D}"/>
    <hyperlink ref="P35" r:id="rId25" xr:uid="{554BBABA-D566-45F6-96D8-337B93DB72A2}"/>
  </hyperlinks>
  <pageMargins left="0.7" right="0.7" top="0.75" bottom="0.75" header="0.3" footer="0.3"/>
  <pageSetup orientation="portrait" r:id="rId26"/>
  <drawing r:id="rId2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93404"/>
  </sheetPr>
  <dimension ref="A1:S143"/>
  <sheetViews>
    <sheetView zoomScale="70" zoomScaleNormal="70" workbookViewId="0">
      <pane xSplit="1" ySplit="3" topLeftCell="B30" activePane="bottomRight" state="frozen"/>
      <selection pane="topRight" activeCell="B1" sqref="B1"/>
      <selection pane="bottomLeft" activeCell="A4" sqref="A4"/>
      <selection pane="bottomRight" activeCell="O95" sqref="O95"/>
    </sheetView>
  </sheetViews>
  <sheetFormatPr defaultColWidth="8.85546875" defaultRowHeight="15" x14ac:dyDescent="0.25"/>
  <cols>
    <col min="1" max="1" width="96.140625" style="10" bestFit="1" customWidth="1"/>
    <col min="2" max="5" width="11.7109375" style="2" customWidth="1"/>
    <col min="6" max="6" width="24.7109375" style="2" customWidth="1"/>
    <col min="7" max="16" width="11.7109375" style="2" customWidth="1"/>
    <col min="17" max="17" width="24.42578125" style="10" customWidth="1"/>
    <col min="18" max="18" width="114" style="10" customWidth="1"/>
    <col min="19" max="19" width="73.5703125" style="10" customWidth="1"/>
    <col min="20" max="20" width="12.85546875" style="10" customWidth="1"/>
    <col min="21" max="16384" width="8.85546875" style="10"/>
  </cols>
  <sheetData>
    <row r="1" spans="1:19" x14ac:dyDescent="0.25">
      <c r="A1" s="385" t="s">
        <v>40</v>
      </c>
    </row>
    <row r="2" spans="1:19" x14ac:dyDescent="0.25">
      <c r="A2" s="386"/>
    </row>
    <row r="3" spans="1:19" s="2" customFormat="1" x14ac:dyDescent="0.25">
      <c r="A3" s="107" t="s">
        <v>41</v>
      </c>
      <c r="B3" s="107">
        <v>2008</v>
      </c>
      <c r="C3" s="107">
        <v>2009</v>
      </c>
      <c r="D3" s="107">
        <v>2010</v>
      </c>
      <c r="E3" s="107">
        <v>2011</v>
      </c>
      <c r="F3" s="107">
        <v>2012</v>
      </c>
      <c r="G3" s="107">
        <v>2013</v>
      </c>
      <c r="H3" s="107">
        <v>2014</v>
      </c>
      <c r="I3" s="107">
        <v>2015</v>
      </c>
      <c r="J3" s="107">
        <v>2016</v>
      </c>
      <c r="K3" s="107">
        <v>2017</v>
      </c>
      <c r="L3" s="107">
        <v>2018</v>
      </c>
      <c r="M3" s="107">
        <v>2019</v>
      </c>
      <c r="N3" s="107">
        <v>2020</v>
      </c>
      <c r="O3" s="107">
        <v>2021</v>
      </c>
      <c r="P3" s="107">
        <v>2022</v>
      </c>
      <c r="Q3" s="107" t="s">
        <v>107</v>
      </c>
      <c r="R3" s="123" t="s">
        <v>108</v>
      </c>
      <c r="S3" s="123" t="s">
        <v>38</v>
      </c>
    </row>
    <row r="4" spans="1:19" ht="30" x14ac:dyDescent="0.25">
      <c r="A4" s="121" t="s">
        <v>346</v>
      </c>
      <c r="B4" s="108"/>
      <c r="C4" s="122">
        <v>13.343999999999999</v>
      </c>
      <c r="D4" s="122">
        <v>19.021999999999998</v>
      </c>
      <c r="E4" s="122">
        <v>19.978000000000002</v>
      </c>
      <c r="F4" s="122">
        <v>22.617999999999999</v>
      </c>
      <c r="G4" s="122">
        <v>25.568000000000001</v>
      </c>
      <c r="H4" s="122">
        <v>25.721</v>
      </c>
      <c r="I4" s="122">
        <v>24.895</v>
      </c>
      <c r="J4" s="122">
        <v>25.52</v>
      </c>
      <c r="K4" s="122">
        <v>27.279</v>
      </c>
      <c r="L4" s="122">
        <v>25.843</v>
      </c>
      <c r="M4" s="122">
        <v>29.795999999999999</v>
      </c>
      <c r="N4" s="122"/>
      <c r="O4" s="122"/>
      <c r="P4" s="122"/>
      <c r="Q4" s="94" t="s">
        <v>215</v>
      </c>
      <c r="R4" s="95" t="s">
        <v>480</v>
      </c>
      <c r="S4" s="94" t="s">
        <v>453</v>
      </c>
    </row>
    <row r="5" spans="1:19" ht="30" x14ac:dyDescent="0.25">
      <c r="A5" s="121" t="s">
        <v>216</v>
      </c>
      <c r="B5" s="108"/>
      <c r="C5" s="122">
        <v>33.427</v>
      </c>
      <c r="D5" s="122">
        <v>35.694000000000003</v>
      </c>
      <c r="E5" s="122">
        <v>38.137999999999998</v>
      </c>
      <c r="F5" s="122">
        <v>38.066000000000003</v>
      </c>
      <c r="G5" s="122">
        <v>38.454000000000001</v>
      </c>
      <c r="H5" s="122">
        <v>38.9</v>
      </c>
      <c r="I5" s="122">
        <v>39.799999999999997</v>
      </c>
      <c r="J5" s="122">
        <v>41.9</v>
      </c>
      <c r="K5" s="122">
        <v>44.3</v>
      </c>
      <c r="L5" s="122">
        <v>47.2</v>
      </c>
      <c r="M5" s="108"/>
      <c r="N5" s="107"/>
      <c r="O5" s="107"/>
      <c r="P5" s="107"/>
      <c r="Q5" s="94" t="s">
        <v>215</v>
      </c>
      <c r="R5" s="95" t="s">
        <v>480</v>
      </c>
      <c r="S5" s="94" t="s">
        <v>453</v>
      </c>
    </row>
    <row r="6" spans="1:19" ht="30" x14ac:dyDescent="0.25">
      <c r="A6" s="151" t="s">
        <v>217</v>
      </c>
      <c r="B6" s="108"/>
      <c r="C6" s="122">
        <v>8.4030000000000005</v>
      </c>
      <c r="D6" s="122">
        <v>9.109</v>
      </c>
      <c r="E6" s="122">
        <v>11.792</v>
      </c>
      <c r="F6" s="122">
        <v>10.012</v>
      </c>
      <c r="G6" s="122">
        <v>9.9290000000000003</v>
      </c>
      <c r="H6" s="122">
        <v>14.571</v>
      </c>
      <c r="I6" s="122">
        <v>17.023</v>
      </c>
      <c r="J6" s="122">
        <v>17.603999999999999</v>
      </c>
      <c r="K6" s="122">
        <v>22.382000000000001</v>
      </c>
      <c r="L6" s="122">
        <v>32.289000000000001</v>
      </c>
      <c r="M6" s="122">
        <v>30.452999999999999</v>
      </c>
      <c r="N6" s="122"/>
      <c r="O6" s="122"/>
      <c r="P6" s="122"/>
      <c r="Q6" s="94" t="s">
        <v>215</v>
      </c>
      <c r="R6" s="95" t="s">
        <v>480</v>
      </c>
      <c r="S6" s="94" t="s">
        <v>453</v>
      </c>
    </row>
    <row r="7" spans="1:19" x14ac:dyDescent="0.25">
      <c r="A7" s="16"/>
      <c r="B7" s="54"/>
      <c r="C7" s="54"/>
      <c r="D7" s="54"/>
      <c r="E7" s="54"/>
      <c r="F7" s="54"/>
      <c r="G7" s="54"/>
      <c r="H7" s="54"/>
      <c r="I7" s="54"/>
      <c r="J7" s="54"/>
      <c r="K7" s="54"/>
      <c r="L7" s="54"/>
      <c r="M7" s="54"/>
      <c r="N7" s="54"/>
      <c r="O7" s="54"/>
      <c r="P7" s="54"/>
      <c r="Q7" s="49"/>
      <c r="R7" s="49"/>
      <c r="S7" s="19"/>
    </row>
    <row r="8" spans="1:19" s="2" customFormat="1" x14ac:dyDescent="0.25">
      <c r="A8" s="8" t="s">
        <v>42</v>
      </c>
      <c r="B8" s="8">
        <v>2008</v>
      </c>
      <c r="C8" s="8">
        <v>2009</v>
      </c>
      <c r="D8" s="8">
        <v>2010</v>
      </c>
      <c r="E8" s="8">
        <v>2011</v>
      </c>
      <c r="F8" s="8">
        <v>2012</v>
      </c>
      <c r="G8" s="8">
        <v>2013</v>
      </c>
      <c r="H8" s="8">
        <v>2014</v>
      </c>
      <c r="I8" s="8">
        <v>2015</v>
      </c>
      <c r="J8" s="8">
        <v>2016</v>
      </c>
      <c r="K8" s="107">
        <v>2017</v>
      </c>
      <c r="L8" s="107">
        <v>2018</v>
      </c>
      <c r="M8" s="107">
        <v>2019</v>
      </c>
      <c r="N8" s="107">
        <v>2020</v>
      </c>
      <c r="O8" s="107">
        <v>2021</v>
      </c>
      <c r="P8" s="107">
        <v>2022</v>
      </c>
      <c r="Q8" s="107" t="s">
        <v>107</v>
      </c>
      <c r="R8" s="123" t="s">
        <v>108</v>
      </c>
      <c r="S8" s="3"/>
    </row>
    <row r="9" spans="1:19" ht="75" x14ac:dyDescent="0.25">
      <c r="A9" s="121" t="s">
        <v>223</v>
      </c>
      <c r="B9" s="97"/>
      <c r="C9" s="97"/>
      <c r="D9" s="97"/>
      <c r="E9" s="97"/>
      <c r="F9" s="97"/>
      <c r="G9" s="92">
        <v>1.52</v>
      </c>
      <c r="H9" s="92">
        <v>1.528</v>
      </c>
      <c r="I9" s="97"/>
      <c r="J9" s="96">
        <v>1.68</v>
      </c>
      <c r="K9" s="96">
        <v>1.65</v>
      </c>
      <c r="L9" s="97"/>
      <c r="M9" s="97"/>
      <c r="N9" s="96"/>
      <c r="O9" s="96"/>
      <c r="P9" s="96"/>
      <c r="Q9" s="94" t="s">
        <v>218</v>
      </c>
      <c r="R9" s="95" t="s">
        <v>553</v>
      </c>
      <c r="S9" s="94" t="s">
        <v>524</v>
      </c>
    </row>
    <row r="10" spans="1:19" ht="63.75" customHeight="1" x14ac:dyDescent="0.25">
      <c r="A10" s="121" t="s">
        <v>224</v>
      </c>
      <c r="B10" s="97"/>
      <c r="C10" s="97"/>
      <c r="D10" s="97"/>
      <c r="E10" s="97"/>
      <c r="F10" s="97"/>
      <c r="G10" s="92">
        <v>2.5</v>
      </c>
      <c r="H10" s="92">
        <v>2.6949999999999998</v>
      </c>
      <c r="I10" s="97"/>
      <c r="J10" s="96">
        <v>2.98</v>
      </c>
      <c r="K10" s="96">
        <v>2.96</v>
      </c>
      <c r="L10" s="97"/>
      <c r="M10" s="97"/>
      <c r="N10" s="96"/>
      <c r="O10" s="96"/>
      <c r="P10" s="96"/>
      <c r="Q10" s="94" t="s">
        <v>218</v>
      </c>
      <c r="R10" s="95" t="s">
        <v>553</v>
      </c>
      <c r="S10" s="94" t="s">
        <v>524</v>
      </c>
    </row>
    <row r="11" spans="1:19" ht="63.75" customHeight="1" x14ac:dyDescent="0.25">
      <c r="A11" s="121" t="s">
        <v>225</v>
      </c>
      <c r="B11" s="97"/>
      <c r="C11" s="97"/>
      <c r="D11" s="97"/>
      <c r="E11" s="97"/>
      <c r="F11" s="97"/>
      <c r="G11" s="92">
        <v>4.0199999999999996</v>
      </c>
      <c r="H11" s="92">
        <v>4.2229999999999999</v>
      </c>
      <c r="I11" s="97"/>
      <c r="J11" s="96">
        <v>4.6500000000000004</v>
      </c>
      <c r="K11" s="96">
        <v>4.5999999999999996</v>
      </c>
      <c r="L11" s="97"/>
      <c r="M11" s="97"/>
      <c r="N11" s="96"/>
      <c r="O11" s="96"/>
      <c r="P11" s="96"/>
      <c r="Q11" s="94" t="s">
        <v>218</v>
      </c>
      <c r="R11" s="95" t="s">
        <v>553</v>
      </c>
      <c r="S11" s="94" t="s">
        <v>524</v>
      </c>
    </row>
    <row r="12" spans="1:19" ht="63" customHeight="1" x14ac:dyDescent="0.25">
      <c r="A12" s="121" t="s">
        <v>220</v>
      </c>
      <c r="B12" s="97"/>
      <c r="C12" s="97"/>
      <c r="D12" s="97"/>
      <c r="E12" s="97"/>
      <c r="F12" s="97"/>
      <c r="G12" s="93">
        <v>125.75</v>
      </c>
      <c r="H12" s="96">
        <v>127</v>
      </c>
      <c r="I12" s="97"/>
      <c r="J12" s="96">
        <v>157</v>
      </c>
      <c r="K12" s="96">
        <v>162</v>
      </c>
      <c r="L12" s="97"/>
      <c r="M12" s="97"/>
      <c r="N12" s="96"/>
      <c r="O12" s="96"/>
      <c r="P12" s="96"/>
      <c r="Q12" s="94" t="s">
        <v>218</v>
      </c>
      <c r="R12" s="95" t="s">
        <v>553</v>
      </c>
      <c r="S12" s="94" t="s">
        <v>524</v>
      </c>
    </row>
    <row r="13" spans="1:19" ht="63" customHeight="1" x14ac:dyDescent="0.25">
      <c r="A13" s="121" t="s">
        <v>221</v>
      </c>
      <c r="B13" s="97"/>
      <c r="C13" s="97"/>
      <c r="D13" s="97"/>
      <c r="E13" s="97"/>
      <c r="F13" s="97"/>
      <c r="G13" s="96">
        <v>244</v>
      </c>
      <c r="H13" s="96">
        <v>266</v>
      </c>
      <c r="I13" s="97"/>
      <c r="J13" s="96">
        <v>302</v>
      </c>
      <c r="K13" s="96">
        <v>309</v>
      </c>
      <c r="L13" s="97"/>
      <c r="M13" s="97"/>
      <c r="N13" s="96"/>
      <c r="O13" s="96"/>
      <c r="P13" s="96"/>
      <c r="Q13" s="94" t="s">
        <v>218</v>
      </c>
      <c r="R13" s="95" t="s">
        <v>553</v>
      </c>
      <c r="S13" s="94" t="s">
        <v>524</v>
      </c>
    </row>
    <row r="14" spans="1:19" ht="66" customHeight="1" x14ac:dyDescent="0.25">
      <c r="A14" s="121" t="s">
        <v>222</v>
      </c>
      <c r="B14" s="97"/>
      <c r="C14" s="97"/>
      <c r="D14" s="97"/>
      <c r="E14" s="97"/>
      <c r="F14" s="96">
        <v>353</v>
      </c>
      <c r="G14" s="96">
        <v>369</v>
      </c>
      <c r="H14" s="96">
        <v>393</v>
      </c>
      <c r="I14" s="97"/>
      <c r="J14" s="96">
        <v>459</v>
      </c>
      <c r="K14" s="96">
        <v>470</v>
      </c>
      <c r="L14" s="97"/>
      <c r="M14" s="97"/>
      <c r="N14" s="96"/>
      <c r="O14" s="96"/>
      <c r="P14" s="96"/>
      <c r="Q14" s="94" t="s">
        <v>218</v>
      </c>
      <c r="R14" s="95" t="s">
        <v>553</v>
      </c>
      <c r="S14" s="94" t="s">
        <v>524</v>
      </c>
    </row>
    <row r="15" spans="1:19" ht="65.25" customHeight="1" x14ac:dyDescent="0.25">
      <c r="A15" s="151" t="s">
        <v>255</v>
      </c>
      <c r="B15" s="53"/>
      <c r="C15" s="53"/>
      <c r="D15" s="53"/>
      <c r="E15" s="53"/>
      <c r="F15" s="53"/>
      <c r="G15" s="64">
        <v>2.64</v>
      </c>
      <c r="H15" s="64">
        <v>2.76</v>
      </c>
      <c r="I15" s="53"/>
      <c r="J15" s="64">
        <v>2.78</v>
      </c>
      <c r="K15" s="64">
        <v>2.79</v>
      </c>
      <c r="L15" s="53"/>
      <c r="M15" s="53"/>
      <c r="N15" s="64"/>
      <c r="O15" s="64"/>
      <c r="P15" s="64"/>
      <c r="Q15" s="94" t="s">
        <v>218</v>
      </c>
      <c r="R15" s="95" t="s">
        <v>553</v>
      </c>
      <c r="S15" s="94" t="s">
        <v>524</v>
      </c>
    </row>
    <row r="16" spans="1:19" x14ac:dyDescent="0.25">
      <c r="A16" s="16"/>
      <c r="B16" s="54"/>
      <c r="C16" s="54"/>
      <c r="D16" s="54"/>
      <c r="E16" s="54"/>
      <c r="F16" s="54"/>
      <c r="G16" s="54"/>
      <c r="H16" s="54"/>
      <c r="I16" s="54"/>
      <c r="J16" s="54"/>
      <c r="K16" s="54"/>
      <c r="L16" s="54"/>
      <c r="M16" s="54"/>
      <c r="N16" s="54"/>
      <c r="O16" s="54"/>
      <c r="P16" s="54"/>
      <c r="Q16" s="49"/>
      <c r="R16" s="49"/>
      <c r="S16" s="19"/>
    </row>
    <row r="17" spans="1:19" s="2" customFormat="1" x14ac:dyDescent="0.25">
      <c r="A17" s="8" t="s">
        <v>45</v>
      </c>
      <c r="B17" s="8">
        <v>2008</v>
      </c>
      <c r="C17" s="8">
        <v>2009</v>
      </c>
      <c r="D17" s="8">
        <v>2010</v>
      </c>
      <c r="E17" s="8">
        <v>2011</v>
      </c>
      <c r="F17" s="8">
        <v>2012</v>
      </c>
      <c r="G17" s="8">
        <v>2013</v>
      </c>
      <c r="H17" s="8">
        <v>2014</v>
      </c>
      <c r="I17" s="8">
        <v>2015</v>
      </c>
      <c r="J17" s="8">
        <v>2016</v>
      </c>
      <c r="K17" s="107">
        <v>2017</v>
      </c>
      <c r="L17" s="107">
        <v>2018</v>
      </c>
      <c r="M17" s="107">
        <v>2019</v>
      </c>
      <c r="N17" s="107">
        <v>2020</v>
      </c>
      <c r="O17" s="107">
        <v>2021</v>
      </c>
      <c r="P17" s="107">
        <v>2022</v>
      </c>
      <c r="Q17" s="107" t="s">
        <v>107</v>
      </c>
      <c r="R17" s="123" t="s">
        <v>108</v>
      </c>
      <c r="S17" s="7" t="s">
        <v>38</v>
      </c>
    </row>
    <row r="18" spans="1:19" ht="30" x14ac:dyDescent="0.25">
      <c r="A18" s="151" t="s">
        <v>46</v>
      </c>
      <c r="B18" s="53"/>
      <c r="C18" s="53"/>
      <c r="D18" s="53"/>
      <c r="E18" s="53"/>
      <c r="F18" s="53"/>
      <c r="G18" s="53"/>
      <c r="H18" s="64">
        <v>150</v>
      </c>
      <c r="I18" s="53"/>
      <c r="J18" s="96">
        <v>150</v>
      </c>
      <c r="K18" s="109"/>
      <c r="L18" s="109"/>
      <c r="M18" s="109"/>
      <c r="N18" s="104"/>
      <c r="O18" s="104"/>
      <c r="P18" s="104"/>
      <c r="Q18" s="94" t="s">
        <v>219</v>
      </c>
      <c r="R18" s="95" t="s">
        <v>347</v>
      </c>
      <c r="S18" s="94" t="s">
        <v>337</v>
      </c>
    </row>
    <row r="19" spans="1:19" x14ac:dyDescent="0.25">
      <c r="A19" s="16"/>
      <c r="B19" s="54"/>
      <c r="C19" s="54"/>
      <c r="D19" s="54"/>
      <c r="E19" s="54"/>
      <c r="F19" s="54"/>
      <c r="G19" s="54"/>
      <c r="H19" s="54"/>
      <c r="I19" s="54"/>
      <c r="J19" s="54"/>
      <c r="K19" s="54"/>
      <c r="L19" s="54"/>
      <c r="M19" s="54"/>
      <c r="N19" s="54"/>
      <c r="O19" s="54"/>
      <c r="P19" s="54"/>
      <c r="Q19" s="106"/>
      <c r="R19" s="49"/>
      <c r="S19" s="19"/>
    </row>
    <row r="20" spans="1:19" s="2" customFormat="1" x14ac:dyDescent="0.25">
      <c r="A20" s="89" t="s">
        <v>47</v>
      </c>
      <c r="B20" s="8">
        <v>2008</v>
      </c>
      <c r="C20" s="8">
        <v>2009</v>
      </c>
      <c r="D20" s="8">
        <v>2010</v>
      </c>
      <c r="E20" s="8">
        <v>2011</v>
      </c>
      <c r="F20" s="8">
        <v>2012</v>
      </c>
      <c r="G20" s="8">
        <v>2013</v>
      </c>
      <c r="H20" s="8">
        <v>2014</v>
      </c>
      <c r="I20" s="8">
        <v>2015</v>
      </c>
      <c r="J20" s="8">
        <v>2016</v>
      </c>
      <c r="K20" s="104">
        <v>2017</v>
      </c>
      <c r="L20" s="104">
        <v>2018</v>
      </c>
      <c r="M20" s="104">
        <v>2019</v>
      </c>
      <c r="N20" s="104">
        <v>2020</v>
      </c>
      <c r="O20" s="104">
        <v>2021</v>
      </c>
      <c r="P20" s="104">
        <v>2022</v>
      </c>
      <c r="Q20" s="107" t="s">
        <v>107</v>
      </c>
      <c r="R20" s="105" t="s">
        <v>108</v>
      </c>
      <c r="S20" s="7" t="s">
        <v>38</v>
      </c>
    </row>
    <row r="21" spans="1:19" ht="60" x14ac:dyDescent="0.25">
      <c r="A21" s="121" t="s">
        <v>49</v>
      </c>
      <c r="B21" s="122">
        <v>32</v>
      </c>
      <c r="C21" s="122">
        <v>42</v>
      </c>
      <c r="D21" s="122">
        <v>50</v>
      </c>
      <c r="E21" s="122">
        <v>64</v>
      </c>
      <c r="F21" s="122">
        <v>89</v>
      </c>
      <c r="G21" s="122">
        <v>97</v>
      </c>
      <c r="H21" s="122">
        <v>97</v>
      </c>
      <c r="I21" s="96">
        <v>97</v>
      </c>
      <c r="J21" s="96">
        <v>97</v>
      </c>
      <c r="K21" s="61">
        <v>109</v>
      </c>
      <c r="L21" s="61">
        <v>139</v>
      </c>
      <c r="M21" s="61">
        <v>139</v>
      </c>
      <c r="N21" s="61"/>
      <c r="O21" s="61">
        <v>171</v>
      </c>
      <c r="P21" s="96"/>
      <c r="Q21" s="94" t="s">
        <v>326</v>
      </c>
      <c r="R21" s="80" t="s">
        <v>559</v>
      </c>
      <c r="S21" s="94" t="s">
        <v>554</v>
      </c>
    </row>
    <row r="22" spans="1:19" ht="30" x14ac:dyDescent="0.25">
      <c r="A22" s="121" t="s">
        <v>50</v>
      </c>
      <c r="B22" s="108"/>
      <c r="C22" s="108"/>
      <c r="D22" s="108"/>
      <c r="E22" s="122">
        <v>50</v>
      </c>
      <c r="F22" s="122">
        <v>75</v>
      </c>
      <c r="G22" s="122">
        <v>97</v>
      </c>
      <c r="H22" s="122">
        <v>98</v>
      </c>
      <c r="I22" s="96">
        <v>99</v>
      </c>
      <c r="J22" s="96">
        <v>100</v>
      </c>
      <c r="K22" s="109"/>
      <c r="L22" s="109"/>
      <c r="M22" s="109"/>
      <c r="N22" s="104"/>
      <c r="O22" s="61">
        <v>100</v>
      </c>
      <c r="P22" s="96"/>
      <c r="Q22" s="94" t="s">
        <v>326</v>
      </c>
      <c r="R22" s="100" t="s">
        <v>327</v>
      </c>
      <c r="S22" s="94" t="s">
        <v>573</v>
      </c>
    </row>
    <row r="23" spans="1:19" ht="30" x14ac:dyDescent="0.25">
      <c r="A23" s="121" t="s">
        <v>51</v>
      </c>
      <c r="B23" s="122">
        <v>32</v>
      </c>
      <c r="C23" s="122">
        <v>42</v>
      </c>
      <c r="D23" s="122">
        <v>50</v>
      </c>
      <c r="E23" s="122">
        <v>114</v>
      </c>
      <c r="F23" s="122">
        <v>164</v>
      </c>
      <c r="G23" s="122">
        <v>194</v>
      </c>
      <c r="H23" s="122">
        <v>195</v>
      </c>
      <c r="I23" s="96">
        <v>196</v>
      </c>
      <c r="J23" s="96">
        <v>197</v>
      </c>
      <c r="K23" s="109"/>
      <c r="L23" s="109"/>
      <c r="M23" s="109"/>
      <c r="N23" s="104"/>
      <c r="O23" s="61">
        <v>271</v>
      </c>
      <c r="P23" s="96"/>
      <c r="Q23" s="94" t="s">
        <v>326</v>
      </c>
      <c r="R23" s="80" t="s">
        <v>327</v>
      </c>
      <c r="S23" s="94" t="s">
        <v>574</v>
      </c>
    </row>
    <row r="24" spans="1:19" ht="45" x14ac:dyDescent="0.25">
      <c r="A24" s="121" t="s">
        <v>48</v>
      </c>
      <c r="B24" s="122">
        <v>17197</v>
      </c>
      <c r="C24" s="122">
        <v>24361</v>
      </c>
      <c r="D24" s="122">
        <v>30334</v>
      </c>
      <c r="E24" s="122">
        <v>36053</v>
      </c>
      <c r="F24" s="122">
        <v>38978</v>
      </c>
      <c r="G24" s="122">
        <v>39626</v>
      </c>
      <c r="H24" s="122">
        <v>40424</v>
      </c>
      <c r="I24" s="225"/>
      <c r="J24" s="225"/>
      <c r="K24" s="110"/>
      <c r="L24" s="110"/>
      <c r="M24" s="110"/>
      <c r="N24" s="104"/>
      <c r="O24" s="104"/>
      <c r="P24" s="104"/>
      <c r="Q24" s="94" t="s">
        <v>326</v>
      </c>
      <c r="R24" s="100" t="s">
        <v>327</v>
      </c>
      <c r="S24" s="94" t="s">
        <v>237</v>
      </c>
    </row>
    <row r="25" spans="1:19" ht="88.5" customHeight="1" x14ac:dyDescent="0.25">
      <c r="A25" s="121" t="s">
        <v>52</v>
      </c>
      <c r="B25" s="97"/>
      <c r="C25" s="97"/>
      <c r="D25" s="97"/>
      <c r="E25" s="97"/>
      <c r="F25" s="97"/>
      <c r="G25" s="97"/>
      <c r="H25" s="122">
        <v>14200</v>
      </c>
      <c r="I25" s="96" t="s">
        <v>53</v>
      </c>
      <c r="J25" s="124"/>
      <c r="K25" s="122">
        <v>13000</v>
      </c>
      <c r="L25" s="111"/>
      <c r="M25" s="61" t="s">
        <v>53</v>
      </c>
      <c r="N25" s="61"/>
      <c r="O25" s="61" t="s">
        <v>555</v>
      </c>
      <c r="P25" s="61"/>
      <c r="Q25" s="94" t="s">
        <v>328</v>
      </c>
      <c r="R25" s="100" t="s">
        <v>556</v>
      </c>
      <c r="S25" s="94" t="s">
        <v>575</v>
      </c>
    </row>
    <row r="26" spans="1:19" x14ac:dyDescent="0.25">
      <c r="A26" s="121" t="s">
        <v>55</v>
      </c>
      <c r="B26" s="97"/>
      <c r="C26" s="97"/>
      <c r="D26" s="97"/>
      <c r="E26" s="97"/>
      <c r="F26" s="97"/>
      <c r="G26" s="97"/>
      <c r="H26" s="96" t="s">
        <v>56</v>
      </c>
      <c r="I26" s="96" t="s">
        <v>56</v>
      </c>
      <c r="J26" s="124"/>
      <c r="K26" s="96" t="s">
        <v>56</v>
      </c>
      <c r="L26" s="111"/>
      <c r="M26" s="111"/>
      <c r="N26" s="61"/>
      <c r="O26" s="61"/>
      <c r="P26" s="61"/>
      <c r="Q26" s="94" t="s">
        <v>218</v>
      </c>
      <c r="R26" s="100" t="s">
        <v>44</v>
      </c>
      <c r="S26" s="94" t="s">
        <v>337</v>
      </c>
    </row>
    <row r="27" spans="1:19" x14ac:dyDescent="0.25">
      <c r="A27" s="154" t="s">
        <v>57</v>
      </c>
      <c r="B27" s="108"/>
      <c r="C27" s="108"/>
      <c r="D27" s="108"/>
      <c r="E27" s="108"/>
      <c r="F27" s="108"/>
      <c r="G27" s="108"/>
      <c r="H27" s="122">
        <v>1800</v>
      </c>
      <c r="I27" s="122">
        <v>2500</v>
      </c>
      <c r="J27" s="122">
        <v>2900</v>
      </c>
      <c r="K27" s="109"/>
      <c r="L27" s="109"/>
      <c r="M27" s="109"/>
      <c r="N27" s="104"/>
      <c r="O27" s="104"/>
      <c r="P27" s="104"/>
      <c r="Q27" s="94" t="s">
        <v>17</v>
      </c>
      <c r="R27" s="95" t="s">
        <v>327</v>
      </c>
      <c r="S27" s="94" t="s">
        <v>236</v>
      </c>
    </row>
    <row r="28" spans="1:19" x14ac:dyDescent="0.25">
      <c r="A28" s="121" t="s">
        <v>58</v>
      </c>
      <c r="B28" s="108"/>
      <c r="C28" s="108"/>
      <c r="D28" s="108"/>
      <c r="E28" s="108"/>
      <c r="F28" s="108"/>
      <c r="G28" s="108"/>
      <c r="H28" s="108"/>
      <c r="I28" s="108"/>
      <c r="J28" s="96">
        <v>500</v>
      </c>
      <c r="K28" s="145"/>
      <c r="L28" s="145"/>
      <c r="M28" s="145"/>
      <c r="N28" s="288"/>
      <c r="O28" s="288"/>
      <c r="P28" s="288"/>
      <c r="Q28" s="94" t="s">
        <v>17</v>
      </c>
      <c r="R28" s="95" t="s">
        <v>327</v>
      </c>
      <c r="S28" s="94" t="s">
        <v>236</v>
      </c>
    </row>
    <row r="29" spans="1:19" x14ac:dyDescent="0.25">
      <c r="A29" s="121" t="s">
        <v>59</v>
      </c>
      <c r="B29" s="108"/>
      <c r="C29" s="108"/>
      <c r="D29" s="108"/>
      <c r="E29" s="108"/>
      <c r="F29" s="108"/>
      <c r="G29" s="108"/>
      <c r="H29" s="108"/>
      <c r="I29" s="226">
        <v>90</v>
      </c>
      <c r="J29" s="96">
        <v>125</v>
      </c>
      <c r="K29" s="145"/>
      <c r="L29" s="145"/>
      <c r="M29" s="145"/>
      <c r="N29" s="288"/>
      <c r="O29" s="288"/>
      <c r="P29" s="288"/>
      <c r="Q29" s="94" t="s">
        <v>17</v>
      </c>
      <c r="R29" s="95" t="s">
        <v>327</v>
      </c>
      <c r="S29" s="94" t="s">
        <v>236</v>
      </c>
    </row>
    <row r="30" spans="1:19" x14ac:dyDescent="0.25">
      <c r="A30" s="121" t="s">
        <v>60</v>
      </c>
      <c r="B30" s="108"/>
      <c r="C30" s="108"/>
      <c r="D30" s="108"/>
      <c r="E30" s="108"/>
      <c r="F30" s="108"/>
      <c r="G30" s="108"/>
      <c r="H30" s="108"/>
      <c r="I30" s="96">
        <v>200</v>
      </c>
      <c r="J30" s="96">
        <v>300</v>
      </c>
      <c r="K30" s="145"/>
      <c r="L30" s="145"/>
      <c r="M30" s="145"/>
      <c r="N30" s="288"/>
      <c r="O30" s="288"/>
      <c r="P30" s="288"/>
      <c r="Q30" s="94" t="s">
        <v>17</v>
      </c>
      <c r="R30" s="95" t="s">
        <v>327</v>
      </c>
      <c r="S30" s="94" t="s">
        <v>236</v>
      </c>
    </row>
    <row r="31" spans="1:19" x14ac:dyDescent="0.25">
      <c r="A31" s="121" t="s">
        <v>61</v>
      </c>
      <c r="B31" s="108"/>
      <c r="C31" s="108"/>
      <c r="D31" s="108"/>
      <c r="E31" s="108"/>
      <c r="F31" s="108"/>
      <c r="G31" s="108"/>
      <c r="H31" s="108"/>
      <c r="I31" s="108"/>
      <c r="J31" s="96">
        <v>250</v>
      </c>
      <c r="K31" s="145"/>
      <c r="L31" s="145"/>
      <c r="M31" s="145"/>
      <c r="N31" s="288"/>
      <c r="O31" s="288"/>
      <c r="P31" s="288"/>
      <c r="Q31" s="94" t="s">
        <v>17</v>
      </c>
      <c r="R31" s="95" t="s">
        <v>327</v>
      </c>
      <c r="S31" s="94" t="s">
        <v>236</v>
      </c>
    </row>
    <row r="32" spans="1:19" x14ac:dyDescent="0.25">
      <c r="A32" s="121" t="s">
        <v>256</v>
      </c>
      <c r="B32" s="108"/>
      <c r="C32" s="108"/>
      <c r="D32" s="108"/>
      <c r="E32" s="108"/>
      <c r="F32" s="108"/>
      <c r="G32" s="108"/>
      <c r="H32" s="108"/>
      <c r="I32" s="108"/>
      <c r="J32" s="96">
        <v>2250</v>
      </c>
      <c r="K32" s="145"/>
      <c r="L32" s="145"/>
      <c r="M32" s="145"/>
      <c r="N32" s="288"/>
      <c r="O32" s="288"/>
      <c r="P32" s="288"/>
      <c r="Q32" s="94" t="s">
        <v>17</v>
      </c>
      <c r="R32" s="95" t="s">
        <v>327</v>
      </c>
      <c r="S32" s="94" t="s">
        <v>236</v>
      </c>
    </row>
    <row r="33" spans="1:19" x14ac:dyDescent="0.25">
      <c r="A33" s="322" t="s">
        <v>62</v>
      </c>
      <c r="B33" s="96"/>
      <c r="C33" s="96"/>
      <c r="D33" s="96"/>
      <c r="E33" s="96"/>
      <c r="F33" s="96"/>
      <c r="G33" s="96"/>
      <c r="H33" s="122"/>
      <c r="I33" s="96"/>
      <c r="J33" s="96"/>
      <c r="K33" s="61"/>
      <c r="L33" s="61"/>
      <c r="M33" s="61"/>
      <c r="N33" s="61"/>
      <c r="O33" s="61"/>
      <c r="P33" s="61"/>
      <c r="Q33" s="94"/>
      <c r="R33" s="100"/>
      <c r="S33" s="94"/>
    </row>
    <row r="34" spans="1:19" x14ac:dyDescent="0.25">
      <c r="A34" s="121" t="s">
        <v>58</v>
      </c>
      <c r="B34" s="108"/>
      <c r="C34" s="108"/>
      <c r="D34" s="108"/>
      <c r="E34" s="108"/>
      <c r="F34" s="108"/>
      <c r="G34" s="108"/>
      <c r="H34" s="108"/>
      <c r="I34" s="108"/>
      <c r="J34" s="108"/>
      <c r="K34" s="111"/>
      <c r="L34" s="111"/>
      <c r="M34" s="111"/>
      <c r="N34" s="61"/>
      <c r="O34" s="61"/>
      <c r="P34" s="61"/>
      <c r="Q34" s="94" t="s">
        <v>17</v>
      </c>
      <c r="R34" s="95" t="s">
        <v>327</v>
      </c>
      <c r="S34" s="94" t="s">
        <v>238</v>
      </c>
    </row>
    <row r="35" spans="1:19" x14ac:dyDescent="0.25">
      <c r="A35" s="121" t="s">
        <v>59</v>
      </c>
      <c r="B35" s="108"/>
      <c r="C35" s="108"/>
      <c r="D35" s="108"/>
      <c r="E35" s="108"/>
      <c r="F35" s="108"/>
      <c r="G35" s="108"/>
      <c r="H35" s="108"/>
      <c r="I35" s="96">
        <v>90</v>
      </c>
      <c r="J35" s="96">
        <v>125</v>
      </c>
      <c r="K35" s="109"/>
      <c r="L35" s="109"/>
      <c r="M35" s="109"/>
      <c r="N35" s="104"/>
      <c r="O35" s="104"/>
      <c r="P35" s="104"/>
      <c r="Q35" s="94" t="s">
        <v>17</v>
      </c>
      <c r="R35" s="95" t="s">
        <v>327</v>
      </c>
      <c r="S35" s="94" t="s">
        <v>238</v>
      </c>
    </row>
    <row r="36" spans="1:19" x14ac:dyDescent="0.25">
      <c r="A36" s="121" t="s">
        <v>60</v>
      </c>
      <c r="B36" s="108"/>
      <c r="C36" s="108"/>
      <c r="D36" s="108"/>
      <c r="E36" s="108"/>
      <c r="F36" s="108"/>
      <c r="G36" s="108"/>
      <c r="H36" s="108"/>
      <c r="I36" s="96">
        <v>120</v>
      </c>
      <c r="J36" s="96">
        <v>235</v>
      </c>
      <c r="K36" s="108"/>
      <c r="L36" s="108"/>
      <c r="M36" s="108"/>
      <c r="N36" s="107"/>
      <c r="O36" s="107"/>
      <c r="P36" s="107"/>
      <c r="Q36" s="94" t="s">
        <v>17</v>
      </c>
      <c r="R36" s="95" t="s">
        <v>327</v>
      </c>
      <c r="S36" s="94" t="s">
        <v>238</v>
      </c>
    </row>
    <row r="37" spans="1:19" x14ac:dyDescent="0.25">
      <c r="A37" s="121" t="s">
        <v>61</v>
      </c>
      <c r="B37" s="108"/>
      <c r="C37" s="108"/>
      <c r="D37" s="108"/>
      <c r="E37" s="108"/>
      <c r="F37" s="108"/>
      <c r="G37" s="108"/>
      <c r="H37" s="108"/>
      <c r="I37" s="96">
        <v>55</v>
      </c>
      <c r="J37" s="96">
        <v>70</v>
      </c>
      <c r="K37" s="108"/>
      <c r="L37" s="108"/>
      <c r="M37" s="108"/>
      <c r="N37" s="107"/>
      <c r="O37" s="107"/>
      <c r="P37" s="107"/>
      <c r="Q37" s="94" t="s">
        <v>17</v>
      </c>
      <c r="R37" s="95" t="s">
        <v>327</v>
      </c>
      <c r="S37" s="94" t="s">
        <v>238</v>
      </c>
    </row>
    <row r="38" spans="1:19" x14ac:dyDescent="0.25">
      <c r="A38" s="121" t="s">
        <v>256</v>
      </c>
      <c r="B38" s="108"/>
      <c r="C38" s="108"/>
      <c r="D38" s="108"/>
      <c r="E38" s="108"/>
      <c r="F38" s="108"/>
      <c r="G38" s="108"/>
      <c r="H38" s="108"/>
      <c r="I38" s="108"/>
      <c r="J38" s="96">
        <v>725</v>
      </c>
      <c r="K38" s="108"/>
      <c r="L38" s="108"/>
      <c r="M38" s="108"/>
      <c r="N38" s="107"/>
      <c r="O38" s="107"/>
      <c r="P38" s="107"/>
      <c r="Q38" s="94" t="s">
        <v>17</v>
      </c>
      <c r="R38" s="95" t="s">
        <v>327</v>
      </c>
      <c r="S38" s="94" t="s">
        <v>238</v>
      </c>
    </row>
    <row r="39" spans="1:19" x14ac:dyDescent="0.25">
      <c r="A39" s="154" t="s">
        <v>63</v>
      </c>
      <c r="B39" s="96"/>
      <c r="C39" s="96"/>
      <c r="D39" s="96"/>
      <c r="E39" s="96"/>
      <c r="F39" s="96"/>
      <c r="G39" s="96"/>
      <c r="H39" s="96"/>
      <c r="I39" s="96"/>
      <c r="J39" s="96"/>
      <c r="K39" s="96"/>
      <c r="L39" s="96"/>
      <c r="M39" s="96"/>
      <c r="N39" s="96"/>
      <c r="O39" s="96"/>
      <c r="P39" s="96"/>
      <c r="Q39" s="94"/>
      <c r="R39" s="95"/>
      <c r="S39" s="94"/>
    </row>
    <row r="40" spans="1:19" x14ac:dyDescent="0.25">
      <c r="A40" s="121" t="s">
        <v>58</v>
      </c>
      <c r="B40" s="108"/>
      <c r="C40" s="108"/>
      <c r="D40" s="108"/>
      <c r="E40" s="108"/>
      <c r="F40" s="108"/>
      <c r="G40" s="108"/>
      <c r="H40" s="108"/>
      <c r="I40" s="108"/>
      <c r="J40" s="108"/>
      <c r="K40" s="124"/>
      <c r="L40" s="124"/>
      <c r="M40" s="124"/>
      <c r="N40" s="96"/>
      <c r="O40" s="96"/>
      <c r="P40" s="96"/>
      <c r="Q40" s="94" t="s">
        <v>17</v>
      </c>
      <c r="R40" s="95" t="s">
        <v>327</v>
      </c>
      <c r="S40" s="94" t="s">
        <v>238</v>
      </c>
    </row>
    <row r="41" spans="1:19" x14ac:dyDescent="0.25">
      <c r="A41" s="121" t="s">
        <v>59</v>
      </c>
      <c r="B41" s="108"/>
      <c r="C41" s="108"/>
      <c r="D41" s="108"/>
      <c r="E41" s="108"/>
      <c r="F41" s="108"/>
      <c r="G41" s="108"/>
      <c r="H41" s="108"/>
      <c r="I41" s="96">
        <v>0</v>
      </c>
      <c r="J41" s="96">
        <v>0</v>
      </c>
      <c r="K41" s="53"/>
      <c r="L41" s="53"/>
      <c r="M41" s="53"/>
      <c r="N41" s="64"/>
      <c r="O41" s="64"/>
      <c r="P41" s="64"/>
      <c r="Q41" s="94" t="s">
        <v>17</v>
      </c>
      <c r="R41" s="95" t="s">
        <v>327</v>
      </c>
      <c r="S41" s="94" t="s">
        <v>238</v>
      </c>
    </row>
    <row r="42" spans="1:19" x14ac:dyDescent="0.25">
      <c r="A42" s="121" t="s">
        <v>60</v>
      </c>
      <c r="B42" s="108"/>
      <c r="C42" s="108"/>
      <c r="D42" s="108"/>
      <c r="E42" s="108"/>
      <c r="F42" s="108"/>
      <c r="G42" s="108"/>
      <c r="H42" s="108"/>
      <c r="I42" s="96">
        <v>80</v>
      </c>
      <c r="J42" s="96">
        <f>J30-J36</f>
        <v>65</v>
      </c>
      <c r="K42" s="53"/>
      <c r="L42" s="53"/>
      <c r="M42" s="53"/>
      <c r="N42" s="64"/>
      <c r="O42" s="64"/>
      <c r="P42" s="64"/>
      <c r="Q42" s="94" t="s">
        <v>17</v>
      </c>
      <c r="R42" s="95" t="s">
        <v>327</v>
      </c>
      <c r="S42" s="94" t="s">
        <v>238</v>
      </c>
    </row>
    <row r="43" spans="1:19" x14ac:dyDescent="0.25">
      <c r="A43" s="121" t="s">
        <v>61</v>
      </c>
      <c r="B43" s="108"/>
      <c r="C43" s="108"/>
      <c r="D43" s="108"/>
      <c r="E43" s="108"/>
      <c r="F43" s="108"/>
      <c r="G43" s="108"/>
      <c r="H43" s="108"/>
      <c r="I43" s="108"/>
      <c r="J43" s="96">
        <f>J31-J37</f>
        <v>180</v>
      </c>
      <c r="K43" s="53"/>
      <c r="L43" s="53"/>
      <c r="M43" s="53"/>
      <c r="N43" s="64"/>
      <c r="O43" s="64"/>
      <c r="P43" s="64"/>
      <c r="Q43" s="94" t="s">
        <v>17</v>
      </c>
      <c r="R43" s="95" t="s">
        <v>327</v>
      </c>
      <c r="S43" s="94" t="s">
        <v>238</v>
      </c>
    </row>
    <row r="44" spans="1:19" x14ac:dyDescent="0.25">
      <c r="A44" s="121" t="s">
        <v>256</v>
      </c>
      <c r="B44" s="108"/>
      <c r="C44" s="108"/>
      <c r="D44" s="108"/>
      <c r="E44" s="108"/>
      <c r="F44" s="108"/>
      <c r="G44" s="108"/>
      <c r="H44" s="108"/>
      <c r="I44" s="108"/>
      <c r="J44" s="96">
        <f>J32-J38</f>
        <v>1525</v>
      </c>
      <c r="K44" s="53"/>
      <c r="L44" s="53"/>
      <c r="M44" s="53"/>
      <c r="N44" s="64"/>
      <c r="O44" s="64"/>
      <c r="P44" s="64"/>
      <c r="Q44" s="94" t="s">
        <v>17</v>
      </c>
      <c r="R44" s="95" t="s">
        <v>327</v>
      </c>
      <c r="S44" s="94" t="s">
        <v>238</v>
      </c>
    </row>
    <row r="45" spans="1:19" ht="45" x14ac:dyDescent="0.25">
      <c r="A45" s="121" t="s">
        <v>227</v>
      </c>
      <c r="B45" s="97"/>
      <c r="C45" s="97"/>
      <c r="D45" s="97"/>
      <c r="E45" s="97"/>
      <c r="F45" s="97"/>
      <c r="G45" s="97"/>
      <c r="H45" s="96">
        <v>2.7</v>
      </c>
      <c r="I45" s="108"/>
      <c r="J45" s="108"/>
      <c r="K45" s="124"/>
      <c r="L45" s="124"/>
      <c r="M45" s="124"/>
      <c r="N45" s="96"/>
      <c r="O45" s="96"/>
      <c r="P45" s="96">
        <v>3</v>
      </c>
      <c r="Q45" s="94" t="s">
        <v>219</v>
      </c>
      <c r="R45" s="100" t="s">
        <v>560</v>
      </c>
      <c r="S45" s="94" t="s">
        <v>106</v>
      </c>
    </row>
    <row r="46" spans="1:19" ht="45" x14ac:dyDescent="0.25">
      <c r="A46" s="323" t="s">
        <v>228</v>
      </c>
      <c r="B46" s="53"/>
      <c r="C46" s="53"/>
      <c r="D46" s="53"/>
      <c r="E46" s="64">
        <v>575</v>
      </c>
      <c r="F46" s="64">
        <v>425</v>
      </c>
      <c r="G46" s="64">
        <v>125</v>
      </c>
      <c r="H46" s="64">
        <v>300</v>
      </c>
      <c r="I46" s="64">
        <v>450</v>
      </c>
      <c r="J46" s="64">
        <v>375</v>
      </c>
      <c r="K46" s="53"/>
      <c r="L46" s="53"/>
      <c r="M46" s="53"/>
      <c r="N46" s="64"/>
      <c r="O46" s="64"/>
      <c r="P46" s="64"/>
      <c r="Q46" s="91" t="s">
        <v>226</v>
      </c>
      <c r="R46" s="37" t="s">
        <v>54</v>
      </c>
      <c r="S46" s="94" t="s">
        <v>237</v>
      </c>
    </row>
    <row r="47" spans="1:19" ht="30" x14ac:dyDescent="0.25">
      <c r="A47" s="230" t="s">
        <v>568</v>
      </c>
      <c r="B47" s="124"/>
      <c r="C47" s="124"/>
      <c r="D47" s="124"/>
      <c r="E47" s="124"/>
      <c r="F47" s="124"/>
      <c r="G47" s="124"/>
      <c r="H47" s="124"/>
      <c r="I47" s="124"/>
      <c r="J47" s="124"/>
      <c r="K47" s="96">
        <v>1297</v>
      </c>
      <c r="L47" s="96">
        <v>1550</v>
      </c>
      <c r="M47" s="96">
        <v>2216</v>
      </c>
      <c r="N47" s="96"/>
      <c r="O47" s="96">
        <f>+(P47-M47)/M47*100</f>
        <v>280.14440433212997</v>
      </c>
      <c r="P47" s="278">
        <v>8424</v>
      </c>
      <c r="Q47" s="179" t="s">
        <v>17</v>
      </c>
      <c r="R47" s="103" t="s">
        <v>594</v>
      </c>
      <c r="S47" s="94" t="s">
        <v>561</v>
      </c>
    </row>
    <row r="48" spans="1:19" ht="30" x14ac:dyDescent="0.25">
      <c r="A48" s="324" t="s">
        <v>509</v>
      </c>
      <c r="B48" s="124"/>
      <c r="C48" s="124"/>
      <c r="D48" s="124"/>
      <c r="E48" s="124"/>
      <c r="F48" s="124"/>
      <c r="G48" s="124"/>
      <c r="H48" s="124"/>
      <c r="I48" s="124"/>
      <c r="J48" s="124"/>
      <c r="K48" s="96">
        <v>53</v>
      </c>
      <c r="L48" s="96">
        <v>46</v>
      </c>
      <c r="M48" s="96">
        <v>58</v>
      </c>
      <c r="N48" s="96"/>
      <c r="O48" s="96"/>
      <c r="P48" s="278">
        <v>238</v>
      </c>
      <c r="Q48" s="179" t="s">
        <v>17</v>
      </c>
      <c r="R48" s="103" t="s">
        <v>594</v>
      </c>
      <c r="S48" s="94" t="s">
        <v>561</v>
      </c>
    </row>
    <row r="49" spans="1:19" ht="30" x14ac:dyDescent="0.25">
      <c r="A49" s="324" t="s">
        <v>510</v>
      </c>
      <c r="B49" s="124"/>
      <c r="C49" s="124"/>
      <c r="D49" s="124"/>
      <c r="E49" s="124"/>
      <c r="F49" s="124"/>
      <c r="G49" s="124"/>
      <c r="H49" s="124"/>
      <c r="I49" s="124"/>
      <c r="J49" s="124"/>
      <c r="K49" s="96">
        <v>57</v>
      </c>
      <c r="L49" s="96">
        <v>106</v>
      </c>
      <c r="M49" s="96">
        <v>116</v>
      </c>
      <c r="N49" s="96"/>
      <c r="O49" s="96"/>
      <c r="P49" s="278">
        <v>562</v>
      </c>
      <c r="Q49" s="179" t="s">
        <v>17</v>
      </c>
      <c r="R49" s="103" t="s">
        <v>594</v>
      </c>
      <c r="S49" s="94" t="s">
        <v>561</v>
      </c>
    </row>
    <row r="50" spans="1:19" ht="30" x14ac:dyDescent="0.25">
      <c r="A50" s="324" t="s">
        <v>511</v>
      </c>
      <c r="B50" s="124"/>
      <c r="C50" s="124"/>
      <c r="D50" s="124"/>
      <c r="E50" s="124"/>
      <c r="F50" s="124"/>
      <c r="G50" s="124"/>
      <c r="H50" s="124"/>
      <c r="I50" s="124"/>
      <c r="J50" s="124"/>
      <c r="K50" s="96">
        <v>148</v>
      </c>
      <c r="L50" s="96">
        <v>176</v>
      </c>
      <c r="M50" s="96">
        <v>341</v>
      </c>
      <c r="N50" s="96"/>
      <c r="O50" s="96"/>
      <c r="P50" s="278">
        <v>821</v>
      </c>
      <c r="Q50" s="179" t="s">
        <v>17</v>
      </c>
      <c r="R50" s="103" t="s">
        <v>594</v>
      </c>
      <c r="S50" s="94" t="s">
        <v>561</v>
      </c>
    </row>
    <row r="51" spans="1:19" ht="30" x14ac:dyDescent="0.25">
      <c r="A51" s="324" t="s">
        <v>512</v>
      </c>
      <c r="B51" s="124"/>
      <c r="C51" s="124"/>
      <c r="D51" s="124"/>
      <c r="E51" s="124"/>
      <c r="F51" s="124"/>
      <c r="G51" s="124"/>
      <c r="H51" s="124"/>
      <c r="I51" s="124"/>
      <c r="J51" s="124"/>
      <c r="K51" s="96">
        <v>85</v>
      </c>
      <c r="L51" s="96">
        <v>106</v>
      </c>
      <c r="M51" s="96">
        <v>60</v>
      </c>
      <c r="N51" s="96"/>
      <c r="O51" s="96"/>
      <c r="P51" s="278">
        <v>378</v>
      </c>
      <c r="Q51" s="179" t="s">
        <v>17</v>
      </c>
      <c r="R51" s="103" t="s">
        <v>594</v>
      </c>
      <c r="S51" s="94" t="s">
        <v>561</v>
      </c>
    </row>
    <row r="52" spans="1:19" ht="30" x14ac:dyDescent="0.25">
      <c r="A52" s="324" t="s">
        <v>513</v>
      </c>
      <c r="B52" s="124"/>
      <c r="C52" s="124"/>
      <c r="D52" s="124"/>
      <c r="E52" s="124"/>
      <c r="F52" s="124"/>
      <c r="G52" s="124"/>
      <c r="H52" s="124"/>
      <c r="I52" s="124"/>
      <c r="J52" s="124"/>
      <c r="K52" s="96">
        <v>68</v>
      </c>
      <c r="L52" s="96">
        <v>88</v>
      </c>
      <c r="M52" s="96">
        <v>138</v>
      </c>
      <c r="N52" s="96"/>
      <c r="O52" s="96"/>
      <c r="P52" s="278">
        <v>601</v>
      </c>
      <c r="Q52" s="179" t="s">
        <v>17</v>
      </c>
      <c r="R52" s="103" t="s">
        <v>594</v>
      </c>
      <c r="S52" s="94" t="s">
        <v>561</v>
      </c>
    </row>
    <row r="53" spans="1:19" ht="30" x14ac:dyDescent="0.25">
      <c r="A53" s="324" t="s">
        <v>514</v>
      </c>
      <c r="B53" s="124"/>
      <c r="C53" s="124"/>
      <c r="D53" s="124"/>
      <c r="E53" s="124"/>
      <c r="F53" s="124"/>
      <c r="G53" s="124"/>
      <c r="H53" s="124"/>
      <c r="I53" s="124"/>
      <c r="J53" s="124"/>
      <c r="K53" s="96">
        <v>110</v>
      </c>
      <c r="L53" s="96">
        <v>72</v>
      </c>
      <c r="M53" s="96">
        <v>82</v>
      </c>
      <c r="N53" s="96"/>
      <c r="O53" s="96"/>
      <c r="P53" s="278">
        <v>414</v>
      </c>
      <c r="Q53" s="179" t="s">
        <v>17</v>
      </c>
      <c r="R53" s="103" t="s">
        <v>594</v>
      </c>
      <c r="S53" s="94" t="s">
        <v>561</v>
      </c>
    </row>
    <row r="54" spans="1:19" ht="30" x14ac:dyDescent="0.25">
      <c r="A54" s="324" t="s">
        <v>515</v>
      </c>
      <c r="B54" s="124"/>
      <c r="C54" s="124"/>
      <c r="D54" s="124"/>
      <c r="E54" s="124"/>
      <c r="F54" s="124"/>
      <c r="G54" s="124"/>
      <c r="H54" s="124"/>
      <c r="I54" s="124"/>
      <c r="J54" s="124"/>
      <c r="K54" s="96">
        <v>218</v>
      </c>
      <c r="L54" s="96">
        <v>207</v>
      </c>
      <c r="M54" s="96">
        <v>404</v>
      </c>
      <c r="N54" s="96"/>
      <c r="O54" s="96"/>
      <c r="P54" s="278">
        <v>1130</v>
      </c>
      <c r="Q54" s="179" t="s">
        <v>17</v>
      </c>
      <c r="R54" s="103" t="s">
        <v>594</v>
      </c>
      <c r="S54" s="94" t="s">
        <v>561</v>
      </c>
    </row>
    <row r="55" spans="1:19" ht="30" x14ac:dyDescent="0.25">
      <c r="A55" s="324" t="s">
        <v>516</v>
      </c>
      <c r="B55" s="124"/>
      <c r="C55" s="124"/>
      <c r="D55" s="124"/>
      <c r="E55" s="124"/>
      <c r="F55" s="124"/>
      <c r="G55" s="124"/>
      <c r="H55" s="124"/>
      <c r="I55" s="124"/>
      <c r="J55" s="124"/>
      <c r="K55" s="96">
        <v>157</v>
      </c>
      <c r="L55" s="96">
        <v>373</v>
      </c>
      <c r="M55" s="96">
        <v>345</v>
      </c>
      <c r="N55" s="96"/>
      <c r="O55" s="96"/>
      <c r="P55" s="278">
        <v>2074</v>
      </c>
      <c r="Q55" s="179" t="s">
        <v>17</v>
      </c>
      <c r="R55" s="103" t="s">
        <v>594</v>
      </c>
      <c r="S55" s="94" t="s">
        <v>561</v>
      </c>
    </row>
    <row r="56" spans="1:19" ht="30" x14ac:dyDescent="0.25">
      <c r="A56" s="324" t="s">
        <v>517</v>
      </c>
      <c r="B56" s="124"/>
      <c r="C56" s="124"/>
      <c r="D56" s="124"/>
      <c r="E56" s="124"/>
      <c r="F56" s="124"/>
      <c r="G56" s="124"/>
      <c r="H56" s="124"/>
      <c r="I56" s="124"/>
      <c r="J56" s="124"/>
      <c r="K56" s="96">
        <v>63</v>
      </c>
      <c r="L56" s="96">
        <v>43</v>
      </c>
      <c r="M56" s="96">
        <v>114</v>
      </c>
      <c r="N56" s="96"/>
      <c r="O56" s="96"/>
      <c r="P56" s="278">
        <v>223</v>
      </c>
      <c r="Q56" s="179" t="s">
        <v>17</v>
      </c>
      <c r="R56" s="103" t="s">
        <v>594</v>
      </c>
      <c r="S56" s="94" t="s">
        <v>561</v>
      </c>
    </row>
    <row r="57" spans="1:19" ht="30" x14ac:dyDescent="0.25">
      <c r="A57" s="324" t="s">
        <v>518</v>
      </c>
      <c r="B57" s="124"/>
      <c r="C57" s="124"/>
      <c r="D57" s="124"/>
      <c r="E57" s="124"/>
      <c r="F57" s="124"/>
      <c r="G57" s="124"/>
      <c r="H57" s="124"/>
      <c r="I57" s="124"/>
      <c r="J57" s="124"/>
      <c r="K57" s="96">
        <v>9</v>
      </c>
      <c r="L57" s="96">
        <v>21</v>
      </c>
      <c r="M57" s="96">
        <v>16</v>
      </c>
      <c r="N57" s="96"/>
      <c r="O57" s="96"/>
      <c r="P57" s="278">
        <v>103</v>
      </c>
      <c r="Q57" s="179" t="s">
        <v>17</v>
      </c>
      <c r="R57" s="103" t="s">
        <v>594</v>
      </c>
      <c r="S57" s="94" t="s">
        <v>561</v>
      </c>
    </row>
    <row r="58" spans="1:19" ht="30" x14ac:dyDescent="0.25">
      <c r="A58" s="324" t="s">
        <v>519</v>
      </c>
      <c r="B58" s="124"/>
      <c r="C58" s="124"/>
      <c r="D58" s="124"/>
      <c r="E58" s="124"/>
      <c r="F58" s="124"/>
      <c r="G58" s="124"/>
      <c r="H58" s="124"/>
      <c r="I58" s="124"/>
      <c r="J58" s="124"/>
      <c r="K58" s="96">
        <v>164</v>
      </c>
      <c r="L58" s="96">
        <v>121</v>
      </c>
      <c r="M58" s="96">
        <v>113</v>
      </c>
      <c r="N58" s="96"/>
      <c r="O58" s="96"/>
      <c r="P58" s="278">
        <v>783</v>
      </c>
      <c r="Q58" s="179" t="s">
        <v>17</v>
      </c>
      <c r="R58" s="103" t="s">
        <v>594</v>
      </c>
      <c r="S58" s="94" t="s">
        <v>561</v>
      </c>
    </row>
    <row r="59" spans="1:19" ht="30" x14ac:dyDescent="0.25">
      <c r="A59" s="324" t="s">
        <v>520</v>
      </c>
      <c r="B59" s="124"/>
      <c r="C59" s="124"/>
      <c r="D59" s="124"/>
      <c r="E59" s="124"/>
      <c r="F59" s="124"/>
      <c r="G59" s="124"/>
      <c r="H59" s="124"/>
      <c r="I59" s="124"/>
      <c r="J59" s="124"/>
      <c r="K59" s="96">
        <v>160</v>
      </c>
      <c r="L59" s="96">
        <v>186</v>
      </c>
      <c r="M59" s="96">
        <v>423</v>
      </c>
      <c r="N59" s="96"/>
      <c r="O59" s="96"/>
      <c r="P59" s="278">
        <v>1041</v>
      </c>
      <c r="Q59" s="179" t="s">
        <v>17</v>
      </c>
      <c r="R59" s="103" t="s">
        <v>594</v>
      </c>
      <c r="S59" s="94" t="s">
        <v>561</v>
      </c>
    </row>
    <row r="60" spans="1:19" ht="30" x14ac:dyDescent="0.25">
      <c r="A60" s="324" t="s">
        <v>521</v>
      </c>
      <c r="B60" s="124"/>
      <c r="C60" s="124"/>
      <c r="D60" s="124"/>
      <c r="E60" s="124"/>
      <c r="F60" s="124"/>
      <c r="G60" s="124"/>
      <c r="H60" s="124"/>
      <c r="I60" s="124"/>
      <c r="J60" s="124"/>
      <c r="K60" s="96">
        <v>1</v>
      </c>
      <c r="L60" s="96">
        <v>0</v>
      </c>
      <c r="M60" s="96">
        <v>0</v>
      </c>
      <c r="N60" s="96"/>
      <c r="O60" s="96"/>
      <c r="P60" s="278">
        <v>20</v>
      </c>
      <c r="Q60" s="179" t="s">
        <v>17</v>
      </c>
      <c r="R60" s="103" t="s">
        <v>594</v>
      </c>
      <c r="S60" s="94" t="s">
        <v>561</v>
      </c>
    </row>
    <row r="61" spans="1:19" ht="30" x14ac:dyDescent="0.25">
      <c r="A61" s="324" t="s">
        <v>522</v>
      </c>
      <c r="B61" s="124"/>
      <c r="C61" s="124"/>
      <c r="D61" s="124"/>
      <c r="E61" s="124"/>
      <c r="F61" s="124"/>
      <c r="G61" s="124"/>
      <c r="H61" s="124"/>
      <c r="I61" s="124"/>
      <c r="J61" s="124"/>
      <c r="K61" s="96">
        <v>4</v>
      </c>
      <c r="L61" s="96">
        <v>5</v>
      </c>
      <c r="M61" s="96">
        <v>6</v>
      </c>
      <c r="N61" s="96"/>
      <c r="O61" s="96"/>
      <c r="P61" s="278">
        <v>36</v>
      </c>
      <c r="Q61" s="179" t="s">
        <v>17</v>
      </c>
      <c r="R61" s="103" t="s">
        <v>594</v>
      </c>
      <c r="S61" s="94" t="s">
        <v>561</v>
      </c>
    </row>
    <row r="62" spans="1:19" x14ac:dyDescent="0.25">
      <c r="A62" s="16"/>
      <c r="B62" s="54"/>
      <c r="C62" s="54"/>
      <c r="D62" s="54"/>
      <c r="E62" s="54"/>
      <c r="F62" s="54"/>
      <c r="G62" s="54"/>
      <c r="H62" s="54"/>
      <c r="I62" s="54"/>
      <c r="J62" s="54"/>
      <c r="K62" s="54"/>
      <c r="L62" s="54"/>
      <c r="M62" s="54"/>
      <c r="N62" s="54"/>
      <c r="O62" s="54"/>
      <c r="P62" s="54"/>
      <c r="Q62" s="49"/>
      <c r="R62" s="49"/>
      <c r="S62" s="19"/>
    </row>
    <row r="63" spans="1:19" s="2" customFormat="1" x14ac:dyDescent="0.25">
      <c r="A63" s="8" t="s">
        <v>64</v>
      </c>
      <c r="B63" s="8">
        <v>2008</v>
      </c>
      <c r="C63" s="8">
        <v>2009</v>
      </c>
      <c r="D63" s="8">
        <v>2010</v>
      </c>
      <c r="E63" s="8">
        <v>2011</v>
      </c>
      <c r="F63" s="8">
        <v>2012</v>
      </c>
      <c r="G63" s="8">
        <v>2013</v>
      </c>
      <c r="H63" s="8">
        <v>2014</v>
      </c>
      <c r="I63" s="8">
        <v>2015</v>
      </c>
      <c r="J63" s="8">
        <v>2016</v>
      </c>
      <c r="K63" s="107">
        <v>2017</v>
      </c>
      <c r="L63" s="107">
        <v>2018</v>
      </c>
      <c r="M63" s="107">
        <v>2019</v>
      </c>
      <c r="N63" s="107">
        <v>2020</v>
      </c>
      <c r="O63" s="107">
        <v>2021</v>
      </c>
      <c r="P63" s="107">
        <v>2022</v>
      </c>
      <c r="Q63" s="107" t="s">
        <v>107</v>
      </c>
      <c r="R63" s="123" t="s">
        <v>108</v>
      </c>
      <c r="S63" s="7" t="s">
        <v>38</v>
      </c>
    </row>
    <row r="64" spans="1:19" x14ac:dyDescent="0.25">
      <c r="A64" s="121" t="s">
        <v>229</v>
      </c>
      <c r="B64" s="97"/>
      <c r="C64" s="97"/>
      <c r="D64" s="97"/>
      <c r="E64" s="97"/>
      <c r="F64" s="97"/>
      <c r="G64" s="97"/>
      <c r="H64" s="96">
        <v>6.8</v>
      </c>
      <c r="I64" s="97"/>
      <c r="J64" s="96">
        <v>9.4</v>
      </c>
      <c r="K64" s="97"/>
      <c r="L64" s="97"/>
      <c r="M64" s="97"/>
      <c r="N64" s="96"/>
      <c r="O64" s="96"/>
      <c r="P64" s="96"/>
      <c r="Q64" s="94" t="s">
        <v>219</v>
      </c>
      <c r="R64" s="100" t="s">
        <v>43</v>
      </c>
      <c r="S64" s="94" t="s">
        <v>106</v>
      </c>
    </row>
    <row r="65" spans="1:19" x14ac:dyDescent="0.25">
      <c r="A65" s="151" t="s">
        <v>230</v>
      </c>
      <c r="B65" s="53"/>
      <c r="C65" s="53"/>
      <c r="D65" s="53"/>
      <c r="E65" s="53"/>
      <c r="F65" s="53"/>
      <c r="G65" s="53"/>
      <c r="H65" s="64">
        <v>10</v>
      </c>
      <c r="I65" s="53"/>
      <c r="J65" s="64">
        <v>12.7</v>
      </c>
      <c r="K65" s="53"/>
      <c r="L65" s="53"/>
      <c r="M65" s="53"/>
      <c r="N65" s="64"/>
      <c r="O65" s="64"/>
      <c r="P65" s="64"/>
      <c r="Q65" s="94" t="s">
        <v>219</v>
      </c>
      <c r="R65" s="100" t="s">
        <v>43</v>
      </c>
      <c r="S65" s="94" t="s">
        <v>106</v>
      </c>
    </row>
    <row r="66" spans="1:19" x14ac:dyDescent="0.25">
      <c r="A66" s="16"/>
      <c r="B66" s="54"/>
      <c r="C66" s="54"/>
      <c r="D66" s="54"/>
      <c r="E66" s="54"/>
      <c r="F66" s="54"/>
      <c r="G66" s="54"/>
      <c r="H66" s="54"/>
      <c r="I66" s="54"/>
      <c r="J66" s="54"/>
      <c r="K66" s="54"/>
      <c r="L66" s="54"/>
      <c r="M66" s="54"/>
      <c r="N66" s="54"/>
      <c r="O66" s="54"/>
      <c r="P66" s="54"/>
      <c r="Q66" s="49"/>
      <c r="R66" s="49"/>
      <c r="S66" s="19"/>
    </row>
    <row r="67" spans="1:19" s="2" customFormat="1" x14ac:dyDescent="0.25">
      <c r="A67" s="8" t="s">
        <v>65</v>
      </c>
      <c r="B67" s="8">
        <v>2008</v>
      </c>
      <c r="C67" s="8">
        <v>2009</v>
      </c>
      <c r="D67" s="8">
        <v>2010</v>
      </c>
      <c r="E67" s="8">
        <v>2011</v>
      </c>
      <c r="F67" s="8">
        <v>2012</v>
      </c>
      <c r="G67" s="8">
        <v>2013</v>
      </c>
      <c r="H67" s="8">
        <v>2014</v>
      </c>
      <c r="I67" s="8">
        <v>2015</v>
      </c>
      <c r="J67" s="8">
        <v>2016</v>
      </c>
      <c r="K67" s="107">
        <v>2017</v>
      </c>
      <c r="L67" s="107">
        <v>2018</v>
      </c>
      <c r="M67" s="107">
        <v>2019</v>
      </c>
      <c r="N67" s="107">
        <v>2020</v>
      </c>
      <c r="O67" s="107">
        <v>2021</v>
      </c>
      <c r="P67" s="107">
        <v>2022</v>
      </c>
      <c r="Q67" s="107" t="s">
        <v>107</v>
      </c>
      <c r="R67" s="123" t="s">
        <v>108</v>
      </c>
      <c r="S67" s="7" t="s">
        <v>38</v>
      </c>
    </row>
    <row r="68" spans="1:19" x14ac:dyDescent="0.25">
      <c r="A68" s="121" t="s">
        <v>66</v>
      </c>
      <c r="B68" s="97"/>
      <c r="C68" s="97"/>
      <c r="D68" s="97"/>
      <c r="E68" s="97"/>
      <c r="F68" s="96">
        <v>316</v>
      </c>
      <c r="G68" s="96">
        <v>345</v>
      </c>
      <c r="H68" s="96">
        <v>409</v>
      </c>
      <c r="I68" s="96">
        <v>442</v>
      </c>
      <c r="J68" s="96">
        <v>449</v>
      </c>
      <c r="K68" s="97"/>
      <c r="L68" s="97"/>
      <c r="M68" s="97"/>
      <c r="N68" s="96"/>
      <c r="O68" s="96"/>
      <c r="P68" s="96"/>
      <c r="Q68" s="94" t="s">
        <v>587</v>
      </c>
      <c r="R68" s="95" t="s">
        <v>231</v>
      </c>
      <c r="S68" s="94" t="s">
        <v>106</v>
      </c>
    </row>
    <row r="69" spans="1:19" x14ac:dyDescent="0.25">
      <c r="A69" s="121" t="s">
        <v>67</v>
      </c>
      <c r="B69" s="97"/>
      <c r="C69" s="97"/>
      <c r="D69" s="97"/>
      <c r="E69" s="97"/>
      <c r="F69" s="122">
        <v>2061</v>
      </c>
      <c r="G69" s="122">
        <v>2010</v>
      </c>
      <c r="H69" s="122">
        <v>2116</v>
      </c>
      <c r="I69" s="122">
        <v>2336</v>
      </c>
      <c r="J69" s="97"/>
      <c r="K69" s="97"/>
      <c r="L69" s="97"/>
      <c r="M69" s="97"/>
      <c r="N69" s="96"/>
      <c r="O69" s="96"/>
      <c r="P69" s="96"/>
      <c r="Q69" s="94" t="s">
        <v>587</v>
      </c>
      <c r="R69" s="95" t="s">
        <v>231</v>
      </c>
      <c r="S69" s="94" t="s">
        <v>106</v>
      </c>
    </row>
    <row r="70" spans="1:19" x14ac:dyDescent="0.25">
      <c r="A70" s="121" t="s">
        <v>68</v>
      </c>
      <c r="B70" s="97"/>
      <c r="C70" s="97"/>
      <c r="D70" s="97"/>
      <c r="E70" s="97"/>
      <c r="F70" s="122">
        <v>2377</v>
      </c>
      <c r="G70" s="122">
        <v>2355</v>
      </c>
      <c r="H70" s="122">
        <v>2763</v>
      </c>
      <c r="I70" s="122">
        <v>2772</v>
      </c>
      <c r="J70" s="97"/>
      <c r="K70" s="97"/>
      <c r="L70" s="97"/>
      <c r="M70" s="97"/>
      <c r="N70" s="96"/>
      <c r="O70" s="96"/>
      <c r="P70" s="96"/>
      <c r="Q70" s="94" t="s">
        <v>587</v>
      </c>
      <c r="R70" s="95" t="s">
        <v>231</v>
      </c>
      <c r="S70" s="94" t="s">
        <v>106</v>
      </c>
    </row>
    <row r="71" spans="1:19" x14ac:dyDescent="0.25">
      <c r="A71" s="121" t="s">
        <v>234</v>
      </c>
      <c r="B71" s="93">
        <v>133.1</v>
      </c>
      <c r="C71" s="93">
        <v>188.7</v>
      </c>
      <c r="D71" s="93">
        <v>152.19999999999999</v>
      </c>
      <c r="E71" s="93">
        <v>201.7</v>
      </c>
      <c r="F71" s="93">
        <v>323.8</v>
      </c>
      <c r="G71" s="97"/>
      <c r="H71" s="97"/>
      <c r="I71" s="97"/>
      <c r="J71" s="97"/>
      <c r="K71" s="97"/>
      <c r="L71" s="97"/>
      <c r="M71" s="97"/>
      <c r="N71" s="96"/>
      <c r="O71" s="96"/>
      <c r="P71" s="96"/>
      <c r="Q71" s="91" t="s">
        <v>232</v>
      </c>
      <c r="R71" s="95" t="s">
        <v>233</v>
      </c>
      <c r="S71" s="94" t="s">
        <v>106</v>
      </c>
    </row>
    <row r="72" spans="1:19" x14ac:dyDescent="0.25">
      <c r="A72" s="121" t="s">
        <v>235</v>
      </c>
      <c r="B72" s="93">
        <v>14.75</v>
      </c>
      <c r="C72" s="93">
        <v>21.87</v>
      </c>
      <c r="D72" s="93">
        <v>43.33</v>
      </c>
      <c r="E72" s="93">
        <v>34.67</v>
      </c>
      <c r="F72" s="93">
        <v>35.229999999999997</v>
      </c>
      <c r="G72" s="97"/>
      <c r="H72" s="97"/>
      <c r="I72" s="97"/>
      <c r="J72" s="97"/>
      <c r="K72" s="97"/>
      <c r="L72" s="97"/>
      <c r="M72" s="97"/>
      <c r="N72" s="96"/>
      <c r="O72" s="96"/>
      <c r="P72" s="96"/>
      <c r="Q72" s="91" t="s">
        <v>232</v>
      </c>
      <c r="R72" s="95" t="s">
        <v>233</v>
      </c>
      <c r="S72" s="94" t="s">
        <v>106</v>
      </c>
    </row>
    <row r="73" spans="1:19" x14ac:dyDescent="0.25">
      <c r="A73" s="227" t="s">
        <v>71</v>
      </c>
    </row>
    <row r="74" spans="1:19" x14ac:dyDescent="0.25">
      <c r="A74" s="10" t="s">
        <v>72</v>
      </c>
    </row>
    <row r="75" spans="1:19" x14ac:dyDescent="0.25">
      <c r="A75" s="10" t="s">
        <v>71</v>
      </c>
    </row>
    <row r="76" spans="1:19" x14ac:dyDescent="0.25">
      <c r="A76" s="10" t="s">
        <v>73</v>
      </c>
    </row>
    <row r="77" spans="1:19" x14ac:dyDescent="0.25">
      <c r="A77" s="10" t="s">
        <v>70</v>
      </c>
    </row>
    <row r="78" spans="1:19" x14ac:dyDescent="0.25">
      <c r="A78" s="10" t="s">
        <v>71</v>
      </c>
    </row>
    <row r="79" spans="1:19" x14ac:dyDescent="0.25">
      <c r="A79" s="10" t="s">
        <v>73</v>
      </c>
    </row>
    <row r="80" spans="1:19" x14ac:dyDescent="0.25">
      <c r="A80" s="10" t="s">
        <v>74</v>
      </c>
    </row>
    <row r="81" spans="1:1" x14ac:dyDescent="0.25">
      <c r="A81" s="10" t="s">
        <v>70</v>
      </c>
    </row>
    <row r="82" spans="1:1" x14ac:dyDescent="0.25">
      <c r="A82" s="10" t="s">
        <v>70</v>
      </c>
    </row>
    <row r="83" spans="1:1" x14ac:dyDescent="0.25">
      <c r="A83" s="10" t="s">
        <v>71</v>
      </c>
    </row>
    <row r="84" spans="1:1" x14ac:dyDescent="0.25">
      <c r="A84" s="10" t="s">
        <v>73</v>
      </c>
    </row>
    <row r="85" spans="1:1" x14ac:dyDescent="0.25">
      <c r="A85" s="10" t="s">
        <v>71</v>
      </c>
    </row>
    <row r="86" spans="1:1" x14ac:dyDescent="0.25">
      <c r="A86" s="10" t="s">
        <v>72</v>
      </c>
    </row>
    <row r="87" spans="1:1" x14ac:dyDescent="0.25">
      <c r="A87" s="10" t="s">
        <v>73</v>
      </c>
    </row>
    <row r="88" spans="1:1" x14ac:dyDescent="0.25">
      <c r="A88" s="10" t="s">
        <v>75</v>
      </c>
    </row>
    <row r="89" spans="1:1" x14ac:dyDescent="0.25">
      <c r="A89" s="10" t="s">
        <v>72</v>
      </c>
    </row>
    <row r="117" spans="1:10" x14ac:dyDescent="0.25">
      <c r="C117"/>
      <c r="D117"/>
      <c r="E117"/>
      <c r="F117"/>
    </row>
    <row r="118" spans="1:10" x14ac:dyDescent="0.25">
      <c r="A118"/>
      <c r="B118"/>
      <c r="C118"/>
      <c r="D118"/>
      <c r="E118"/>
      <c r="F118"/>
      <c r="G118"/>
      <c r="H118"/>
      <c r="I118"/>
      <c r="J118"/>
    </row>
    <row r="119" spans="1:10" x14ac:dyDescent="0.25">
      <c r="A119"/>
      <c r="B119"/>
      <c r="C119"/>
      <c r="D119"/>
      <c r="E119"/>
      <c r="F119"/>
      <c r="G119"/>
      <c r="H119"/>
      <c r="I119"/>
      <c r="J119"/>
    </row>
    <row r="120" spans="1:10" x14ac:dyDescent="0.25">
      <c r="A120"/>
      <c r="B120"/>
      <c r="C120"/>
      <c r="D120"/>
      <c r="E120"/>
      <c r="F120"/>
      <c r="G120"/>
      <c r="H120"/>
      <c r="I120"/>
      <c r="J120"/>
    </row>
    <row r="121" spans="1:10" x14ac:dyDescent="0.25">
      <c r="A121"/>
      <c r="B121"/>
      <c r="C121"/>
      <c r="D121"/>
      <c r="E121"/>
      <c r="F121"/>
      <c r="G121"/>
      <c r="H121"/>
      <c r="I121"/>
      <c r="J121"/>
    </row>
    <row r="122" spans="1:10" x14ac:dyDescent="0.25">
      <c r="A122"/>
      <c r="B122"/>
      <c r="C122"/>
      <c r="D122"/>
      <c r="E122"/>
      <c r="F122"/>
      <c r="G122"/>
      <c r="H122"/>
      <c r="I122"/>
      <c r="J122"/>
    </row>
    <row r="123" spans="1:10" x14ac:dyDescent="0.25">
      <c r="A123"/>
      <c r="B123"/>
      <c r="C123"/>
      <c r="D123"/>
      <c r="E123"/>
      <c r="F123"/>
      <c r="G123"/>
      <c r="H123"/>
      <c r="I123"/>
      <c r="J123"/>
    </row>
    <row r="124" spans="1:10" x14ac:dyDescent="0.25">
      <c r="A124"/>
      <c r="B124"/>
      <c r="C124"/>
      <c r="D124"/>
      <c r="E124"/>
      <c r="F124"/>
      <c r="G124"/>
      <c r="H124"/>
      <c r="I124"/>
      <c r="J124"/>
    </row>
    <row r="125" spans="1:10" x14ac:dyDescent="0.25">
      <c r="A125"/>
      <c r="B125"/>
      <c r="C125"/>
      <c r="D125"/>
      <c r="E125"/>
      <c r="F125"/>
      <c r="G125"/>
      <c r="H125"/>
      <c r="I125"/>
      <c r="J125"/>
    </row>
    <row r="126" spans="1:10" x14ac:dyDescent="0.25">
      <c r="A126"/>
      <c r="B126"/>
      <c r="C126"/>
      <c r="D126"/>
      <c r="E126"/>
      <c r="F126"/>
      <c r="G126"/>
      <c r="H126"/>
      <c r="I126"/>
      <c r="J126"/>
    </row>
    <row r="127" spans="1:10" x14ac:dyDescent="0.25">
      <c r="A127"/>
      <c r="B127"/>
      <c r="C127"/>
      <c r="D127"/>
      <c r="E127"/>
      <c r="F127"/>
      <c r="G127"/>
      <c r="H127"/>
      <c r="I127"/>
      <c r="J127"/>
    </row>
    <row r="128" spans="1:10" x14ac:dyDescent="0.25">
      <c r="A128"/>
      <c r="B128"/>
      <c r="C128"/>
      <c r="D128"/>
      <c r="E128"/>
      <c r="F128"/>
      <c r="G128"/>
      <c r="H128"/>
      <c r="I128"/>
      <c r="J128"/>
    </row>
    <row r="129" spans="1:17" x14ac:dyDescent="0.25">
      <c r="A129"/>
      <c r="B129"/>
      <c r="C129"/>
      <c r="D129"/>
      <c r="E129"/>
      <c r="F129"/>
      <c r="G129"/>
      <c r="H129"/>
      <c r="I129"/>
      <c r="J129"/>
    </row>
    <row r="130" spans="1:17" x14ac:dyDescent="0.25">
      <c r="A130"/>
      <c r="B130"/>
      <c r="C130"/>
      <c r="D130"/>
      <c r="E130"/>
      <c r="F130"/>
      <c r="G130"/>
      <c r="H130"/>
      <c r="I130"/>
      <c r="J130"/>
    </row>
    <row r="131" spans="1:17" x14ac:dyDescent="0.25">
      <c r="A131"/>
      <c r="B131"/>
      <c r="C131"/>
      <c r="D131"/>
      <c r="E131"/>
      <c r="F131"/>
      <c r="G131"/>
      <c r="H131"/>
      <c r="I131"/>
      <c r="J131"/>
    </row>
    <row r="132" spans="1:17" x14ac:dyDescent="0.25">
      <c r="A132"/>
      <c r="B132"/>
      <c r="C132"/>
      <c r="D132"/>
      <c r="E132"/>
      <c r="F132"/>
      <c r="G132"/>
      <c r="H132"/>
      <c r="I132"/>
      <c r="J132"/>
    </row>
    <row r="133" spans="1:17" x14ac:dyDescent="0.25">
      <c r="A133"/>
      <c r="B133"/>
      <c r="C133"/>
      <c r="D133"/>
      <c r="E133"/>
      <c r="F133"/>
      <c r="G133"/>
      <c r="H133"/>
      <c r="I133"/>
      <c r="J133"/>
    </row>
    <row r="134" spans="1:17" x14ac:dyDescent="0.25">
      <c r="A134"/>
      <c r="B134"/>
      <c r="C134"/>
      <c r="D134"/>
      <c r="E134"/>
      <c r="F134"/>
      <c r="G134"/>
      <c r="H134"/>
      <c r="I134"/>
      <c r="J134"/>
    </row>
    <row r="135" spans="1:17" x14ac:dyDescent="0.25">
      <c r="A135"/>
      <c r="B135"/>
      <c r="C135"/>
      <c r="D135"/>
      <c r="E135"/>
      <c r="F135"/>
      <c r="G135"/>
      <c r="H135"/>
      <c r="I135"/>
      <c r="J135"/>
      <c r="K135"/>
      <c r="L135"/>
      <c r="M135"/>
      <c r="N135"/>
      <c r="O135"/>
      <c r="P135"/>
      <c r="Q135"/>
    </row>
    <row r="136" spans="1:17" x14ac:dyDescent="0.25">
      <c r="A136"/>
      <c r="B136"/>
      <c r="C136"/>
      <c r="D136"/>
      <c r="E136"/>
      <c r="F136"/>
      <c r="G136"/>
      <c r="H136"/>
      <c r="I136"/>
      <c r="J136"/>
      <c r="K136"/>
      <c r="L136"/>
      <c r="M136"/>
      <c r="N136"/>
      <c r="O136"/>
      <c r="P136"/>
      <c r="Q136"/>
    </row>
    <row r="137" spans="1:17" x14ac:dyDescent="0.25">
      <c r="A137"/>
      <c r="B137"/>
      <c r="C137"/>
      <c r="D137"/>
      <c r="E137"/>
      <c r="F137"/>
      <c r="G137"/>
      <c r="H137"/>
      <c r="I137"/>
      <c r="J137"/>
      <c r="K137"/>
      <c r="L137"/>
      <c r="M137"/>
      <c r="N137"/>
      <c r="O137"/>
      <c r="P137"/>
      <c r="Q137"/>
    </row>
    <row r="138" spans="1:17" x14ac:dyDescent="0.25">
      <c r="A138"/>
      <c r="B138"/>
      <c r="C138"/>
      <c r="D138"/>
      <c r="E138"/>
      <c r="F138"/>
      <c r="G138"/>
      <c r="H138"/>
      <c r="I138"/>
      <c r="J138"/>
      <c r="K138"/>
      <c r="L138"/>
      <c r="M138"/>
      <c r="N138"/>
      <c r="O138"/>
      <c r="P138"/>
      <c r="Q138"/>
    </row>
    <row r="139" spans="1:17" x14ac:dyDescent="0.25">
      <c r="A139"/>
      <c r="B139"/>
      <c r="C139"/>
      <c r="D139"/>
      <c r="E139"/>
      <c r="F139"/>
      <c r="G139"/>
      <c r="H139"/>
      <c r="I139"/>
      <c r="J139"/>
      <c r="K139"/>
      <c r="L139"/>
      <c r="M139"/>
      <c r="N139"/>
      <c r="O139"/>
      <c r="P139"/>
      <c r="Q139"/>
    </row>
    <row r="140" spans="1:17" x14ac:dyDescent="0.25">
      <c r="A140"/>
      <c r="B140"/>
      <c r="C140"/>
      <c r="D140"/>
      <c r="E140"/>
      <c r="F140"/>
      <c r="G140"/>
      <c r="H140"/>
      <c r="I140"/>
      <c r="J140"/>
      <c r="K140"/>
      <c r="L140"/>
      <c r="M140"/>
      <c r="N140"/>
      <c r="O140"/>
      <c r="P140"/>
      <c r="Q140"/>
    </row>
    <row r="141" spans="1:17" x14ac:dyDescent="0.25">
      <c r="A141"/>
      <c r="B141"/>
      <c r="C141"/>
      <c r="D141"/>
      <c r="E141"/>
      <c r="F141"/>
      <c r="G141"/>
      <c r="H141"/>
      <c r="I141"/>
      <c r="J141"/>
      <c r="K141"/>
      <c r="L141"/>
      <c r="M141"/>
      <c r="N141"/>
      <c r="O141"/>
      <c r="P141"/>
      <c r="Q141"/>
    </row>
    <row r="142" spans="1:17" x14ac:dyDescent="0.25">
      <c r="A142"/>
      <c r="B142"/>
      <c r="C142"/>
      <c r="D142"/>
      <c r="E142"/>
      <c r="F142"/>
      <c r="G142"/>
      <c r="H142"/>
      <c r="I142"/>
      <c r="J142"/>
      <c r="K142"/>
      <c r="L142"/>
      <c r="M142"/>
      <c r="N142"/>
      <c r="O142"/>
      <c r="P142"/>
      <c r="Q142"/>
    </row>
    <row r="143" spans="1:17" x14ac:dyDescent="0.25">
      <c r="A143"/>
      <c r="B143"/>
      <c r="C143"/>
      <c r="D143"/>
      <c r="E143"/>
      <c r="F143"/>
      <c r="G143"/>
      <c r="H143"/>
      <c r="I143"/>
      <c r="J143"/>
      <c r="K143"/>
      <c r="L143"/>
      <c r="M143"/>
      <c r="N143"/>
      <c r="O143"/>
      <c r="P143"/>
      <c r="Q143"/>
    </row>
  </sheetData>
  <mergeCells count="1">
    <mergeCell ref="A1:A2"/>
  </mergeCells>
  <phoneticPr fontId="39" type="noConversion"/>
  <hyperlinks>
    <hyperlink ref="R26" r:id="rId1" xr:uid="{6432A0B4-39CB-45E9-8D19-AEAEF85BC64D}"/>
    <hyperlink ref="R45" r:id="rId2" display="https://www.biopreferred.gov/BPResources/files/BiobasedProductsEconomicAnalysis2016.pdf" xr:uid="{03A1ABD6-6B79-4902-A49C-AF4ABC0B0E84}"/>
    <hyperlink ref="R64" r:id="rId3" xr:uid="{E522DB4D-96EB-4293-BF2D-13F475C73683}"/>
    <hyperlink ref="R65" r:id="rId4" xr:uid="{26F9C5C5-344C-4DCE-9139-110EC1291247}"/>
    <hyperlink ref="R68" r:id="rId5" xr:uid="{ACA2D577-258D-447B-8F88-1AA11EE3FDC7}"/>
    <hyperlink ref="R69" r:id="rId6" xr:uid="{747B0F22-4D44-48C2-B409-047EB2EEA889}"/>
    <hyperlink ref="R70" r:id="rId7" xr:uid="{9E455348-0BD9-4A29-B1FF-1D5ADABED15F}"/>
    <hyperlink ref="R72" r:id="rId8" xr:uid="{94C8C096-C5C2-45BF-B1AB-114142B793EC}"/>
    <hyperlink ref="R71" r:id="rId9" xr:uid="{AFCE5D46-1156-4202-9315-84742C33F9A3}"/>
    <hyperlink ref="R27" r:id="rId10" xr:uid="{D1F684C5-9F5A-49D9-9F33-0422BB182942}"/>
    <hyperlink ref="R28" r:id="rId11" xr:uid="{85F17F1F-DA80-4616-BE0D-4B38D3FE4CE2}"/>
    <hyperlink ref="R29" r:id="rId12" xr:uid="{3728F716-1021-4546-885E-2D1085780537}"/>
    <hyperlink ref="R30" r:id="rId13" xr:uid="{0802F8C1-9CAF-4940-9B00-86CDDFC7EE7D}"/>
    <hyperlink ref="R31" r:id="rId14" xr:uid="{15476A98-4182-474A-A35F-B166ED1ECA3E}"/>
    <hyperlink ref="R32" r:id="rId15" xr:uid="{D983860A-1871-4DE6-A7FF-A1297BD70AFC}"/>
    <hyperlink ref="R34" r:id="rId16" xr:uid="{0299722F-CD5C-44DE-897D-DAAE63EB8A44}"/>
    <hyperlink ref="R35" r:id="rId17" xr:uid="{2E8FA4DA-BC16-4FC0-9AD7-820214D0C65E}"/>
    <hyperlink ref="R36" r:id="rId18" xr:uid="{3518C817-E764-4FA0-B8A8-9B950E31B9A3}"/>
    <hyperlink ref="R37" r:id="rId19" xr:uid="{4AEA1C5A-325F-4A4A-B6F3-56A06B5210FC}"/>
    <hyperlink ref="R38" r:id="rId20" xr:uid="{D10166DA-3211-4178-A4F1-82B6BE91685D}"/>
    <hyperlink ref="R40" r:id="rId21" xr:uid="{43AC6925-887B-4DF7-8E5B-3996BBF2F0B6}"/>
    <hyperlink ref="R41" r:id="rId22" xr:uid="{C77D046D-DB97-46A6-8F77-B8B33B1520AA}"/>
    <hyperlink ref="R42" r:id="rId23" xr:uid="{4E0CD2DB-3A2C-4C7B-B231-C8B82614B51E}"/>
    <hyperlink ref="R43" r:id="rId24" xr:uid="{F4FEFE98-A3AE-4C56-8C6C-CF75F97E7C84}"/>
    <hyperlink ref="R44" r:id="rId25" xr:uid="{DA64F98D-AE0F-44E8-9077-DE882ADB6042}"/>
    <hyperlink ref="R22" r:id="rId26" xr:uid="{097554BE-01AD-4B1F-81E8-CCEF635D03BF}"/>
    <hyperlink ref="R4" r:id="rId27" xr:uid="{754F1BF1-E8B8-4928-9CD4-4B2D1168DE63}"/>
    <hyperlink ref="R5" r:id="rId28" xr:uid="{CFADE760-0FAB-4EED-99BC-D51C9C8717B4}"/>
    <hyperlink ref="R24" r:id="rId29" xr:uid="{37D14DDC-0730-4B60-9329-A6F0E9495BDC}"/>
  </hyperlinks>
  <pageMargins left="0.7" right="0.7" top="0.75" bottom="0.75" header="0.3" footer="0.3"/>
  <pageSetup orientation="portrait" r:id="rId30"/>
  <drawing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93404"/>
  </sheetPr>
  <dimension ref="A1:S73"/>
  <sheetViews>
    <sheetView zoomScale="70" zoomScaleNormal="70" workbookViewId="0">
      <pane xSplit="1" ySplit="3" topLeftCell="B18" activePane="bottomRight" state="frozen"/>
      <selection pane="topRight" activeCell="B1" sqref="B1"/>
      <selection pane="bottomLeft" activeCell="A4" sqref="A4"/>
      <selection pane="bottomRight" activeCell="C51" sqref="C51"/>
    </sheetView>
  </sheetViews>
  <sheetFormatPr defaultColWidth="8.85546875" defaultRowHeight="15" x14ac:dyDescent="0.25"/>
  <cols>
    <col min="1" max="1" width="87.5703125" style="10" customWidth="1"/>
    <col min="2" max="16" width="11.7109375" style="2" customWidth="1"/>
    <col min="17" max="17" width="41.42578125" style="10" customWidth="1"/>
    <col min="18" max="18" width="140.140625" style="10" customWidth="1"/>
    <col min="19" max="19" width="26.140625" style="10" customWidth="1"/>
    <col min="20" max="16384" width="8.85546875" style="10"/>
  </cols>
  <sheetData>
    <row r="1" spans="1:19" x14ac:dyDescent="0.25">
      <c r="A1" s="385" t="s">
        <v>76</v>
      </c>
    </row>
    <row r="2" spans="1:19" x14ac:dyDescent="0.25">
      <c r="A2" s="385"/>
      <c r="L2" s="291"/>
    </row>
    <row r="3" spans="1:19" s="2" customFormat="1" x14ac:dyDescent="0.25">
      <c r="A3" s="107" t="s">
        <v>77</v>
      </c>
      <c r="B3" s="107">
        <v>2008</v>
      </c>
      <c r="C3" s="107">
        <v>2009</v>
      </c>
      <c r="D3" s="107">
        <v>2010</v>
      </c>
      <c r="E3" s="107">
        <v>2011</v>
      </c>
      <c r="F3" s="107">
        <v>2012</v>
      </c>
      <c r="G3" s="107">
        <v>2013</v>
      </c>
      <c r="H3" s="107">
        <v>2014</v>
      </c>
      <c r="I3" s="107">
        <v>2015</v>
      </c>
      <c r="J3" s="107">
        <v>2016</v>
      </c>
      <c r="K3" s="107">
        <v>2017</v>
      </c>
      <c r="L3" s="107">
        <v>2018</v>
      </c>
      <c r="M3" s="107">
        <v>2019</v>
      </c>
      <c r="N3" s="107">
        <v>2020</v>
      </c>
      <c r="O3" s="107">
        <v>2021</v>
      </c>
      <c r="P3" s="107">
        <v>2022</v>
      </c>
      <c r="Q3" s="107" t="s">
        <v>107</v>
      </c>
      <c r="R3" s="123" t="s">
        <v>108</v>
      </c>
      <c r="S3" s="123" t="s">
        <v>38</v>
      </c>
    </row>
    <row r="4" spans="1:19" x14ac:dyDescent="0.25">
      <c r="A4" s="121" t="s">
        <v>199</v>
      </c>
      <c r="B4" s="122">
        <v>56</v>
      </c>
      <c r="C4" s="122">
        <v>60.4</v>
      </c>
      <c r="D4" s="122">
        <v>61.8</v>
      </c>
      <c r="E4" s="122">
        <v>62.9</v>
      </c>
      <c r="F4" s="122">
        <v>67.5</v>
      </c>
      <c r="G4" s="122">
        <v>69</v>
      </c>
      <c r="H4" s="122">
        <v>67.099999999999994</v>
      </c>
      <c r="I4" s="122">
        <v>78.3</v>
      </c>
      <c r="J4" s="122">
        <v>79.8</v>
      </c>
      <c r="K4" s="122">
        <v>78.3</v>
      </c>
      <c r="L4" s="122">
        <v>81.900000000000006</v>
      </c>
      <c r="M4" s="122">
        <v>83.7</v>
      </c>
      <c r="N4" s="122">
        <v>80.599999999999994</v>
      </c>
      <c r="O4" s="122">
        <v>89.1</v>
      </c>
      <c r="P4" s="122"/>
      <c r="Q4" s="94" t="s">
        <v>78</v>
      </c>
      <c r="R4" s="95" t="s">
        <v>200</v>
      </c>
      <c r="S4" s="94" t="s">
        <v>561</v>
      </c>
    </row>
    <row r="5" spans="1:19" x14ac:dyDescent="0.25">
      <c r="A5" s="121" t="s">
        <v>80</v>
      </c>
      <c r="B5" s="228">
        <v>0.4</v>
      </c>
      <c r="C5" s="228">
        <v>0.4</v>
      </c>
      <c r="D5" s="228">
        <v>0.4</v>
      </c>
      <c r="E5" s="228">
        <v>0.4</v>
      </c>
      <c r="F5" s="228">
        <v>0.4</v>
      </c>
      <c r="G5" s="96">
        <v>0.4</v>
      </c>
      <c r="H5" s="96">
        <v>0.4</v>
      </c>
      <c r="I5" s="96">
        <v>0.4</v>
      </c>
      <c r="J5" s="96">
        <v>0.4</v>
      </c>
      <c r="K5" s="96">
        <v>0.4</v>
      </c>
      <c r="L5" s="96">
        <v>0.4</v>
      </c>
      <c r="M5" s="96">
        <v>0.4</v>
      </c>
      <c r="N5" s="96">
        <v>0.4</v>
      </c>
      <c r="O5" s="96">
        <v>0.4</v>
      </c>
      <c r="P5" s="96"/>
      <c r="Q5" s="94" t="s">
        <v>78</v>
      </c>
      <c r="R5" s="95" t="s">
        <v>201</v>
      </c>
      <c r="S5" s="94" t="s">
        <v>561</v>
      </c>
    </row>
    <row r="6" spans="1:19" x14ac:dyDescent="0.25">
      <c r="A6" s="121" t="s">
        <v>202</v>
      </c>
      <c r="B6" s="122">
        <v>198.9</v>
      </c>
      <c r="C6" s="122">
        <v>167.8</v>
      </c>
      <c r="D6" s="122">
        <v>186.6</v>
      </c>
      <c r="E6" s="122">
        <v>201</v>
      </c>
      <c r="F6" s="122">
        <v>216.5</v>
      </c>
      <c r="G6" s="122">
        <v>224.5</v>
      </c>
      <c r="H6" s="122">
        <v>231.2</v>
      </c>
      <c r="I6" s="122">
        <v>233.5</v>
      </c>
      <c r="J6" s="122">
        <v>230.8</v>
      </c>
      <c r="K6" s="122">
        <v>236.4</v>
      </c>
      <c r="L6" s="122">
        <v>250.7</v>
      </c>
      <c r="M6" s="122">
        <v>245.6</v>
      </c>
      <c r="N6" s="122">
        <v>237.9</v>
      </c>
      <c r="O6" s="122">
        <v>253.5</v>
      </c>
      <c r="P6" s="122"/>
      <c r="Q6" s="94" t="s">
        <v>78</v>
      </c>
      <c r="R6" s="95" t="s">
        <v>201</v>
      </c>
      <c r="S6" s="94" t="s">
        <v>561</v>
      </c>
    </row>
    <row r="7" spans="1:19" x14ac:dyDescent="0.25">
      <c r="A7" s="121" t="s">
        <v>203</v>
      </c>
      <c r="B7" s="122">
        <v>40</v>
      </c>
      <c r="C7" s="122">
        <v>34.5</v>
      </c>
      <c r="D7" s="122">
        <v>36.1</v>
      </c>
      <c r="E7" s="122">
        <v>37.728999999999999</v>
      </c>
      <c r="F7" s="122">
        <v>39</v>
      </c>
      <c r="G7" s="122">
        <v>40</v>
      </c>
      <c r="H7" s="122">
        <v>42.1</v>
      </c>
      <c r="I7" s="122">
        <v>43.6</v>
      </c>
      <c r="J7" s="122">
        <v>44.9</v>
      </c>
      <c r="K7" s="122">
        <v>47.2</v>
      </c>
      <c r="L7" s="122">
        <v>49.3</v>
      </c>
      <c r="M7" s="122">
        <v>50.7</v>
      </c>
      <c r="N7" s="122">
        <v>50.877000000000002</v>
      </c>
      <c r="O7" s="122"/>
      <c r="P7" s="122"/>
      <c r="Q7" s="94" t="s">
        <v>78</v>
      </c>
      <c r="R7" s="27" t="s">
        <v>349</v>
      </c>
      <c r="S7" s="94" t="s">
        <v>561</v>
      </c>
    </row>
    <row r="8" spans="1:19" x14ac:dyDescent="0.25">
      <c r="A8" s="121" t="s">
        <v>350</v>
      </c>
      <c r="B8" s="228">
        <v>1.7</v>
      </c>
      <c r="C8" s="228">
        <v>1.4</v>
      </c>
      <c r="D8" s="228">
        <v>1.4</v>
      </c>
      <c r="E8" s="228">
        <v>1.8</v>
      </c>
      <c r="F8" s="228">
        <v>1.5</v>
      </c>
      <c r="G8" s="228">
        <v>1.9</v>
      </c>
      <c r="H8" s="228">
        <v>1.8</v>
      </c>
      <c r="I8" s="228">
        <v>1.8</v>
      </c>
      <c r="J8" s="228">
        <v>1.7</v>
      </c>
      <c r="K8" s="96">
        <v>2</v>
      </c>
      <c r="L8" s="96">
        <v>2.2000000000000002</v>
      </c>
      <c r="M8" s="92">
        <v>2.4870000000000001</v>
      </c>
      <c r="N8" s="92">
        <v>-1.0680000000000001</v>
      </c>
      <c r="O8" s="96"/>
      <c r="P8" s="96"/>
      <c r="Q8" s="94" t="s">
        <v>78</v>
      </c>
      <c r="R8" s="95" t="s">
        <v>201</v>
      </c>
      <c r="S8" s="94" t="s">
        <v>561</v>
      </c>
    </row>
    <row r="9" spans="1:19" x14ac:dyDescent="0.25">
      <c r="A9" s="121" t="s">
        <v>204</v>
      </c>
      <c r="B9" s="122">
        <v>14.4</v>
      </c>
      <c r="C9" s="122">
        <v>24.5</v>
      </c>
      <c r="D9" s="122">
        <v>24.3</v>
      </c>
      <c r="E9" s="122">
        <v>23.6</v>
      </c>
      <c r="F9" s="122">
        <v>27.1</v>
      </c>
      <c r="G9" s="122">
        <v>27.2</v>
      </c>
      <c r="H9" s="122">
        <v>23.3</v>
      </c>
      <c r="I9" s="122">
        <v>32.9</v>
      </c>
      <c r="J9" s="122">
        <v>33.200000000000003</v>
      </c>
      <c r="K9" s="96">
        <v>29.2</v>
      </c>
      <c r="L9" s="96">
        <v>30.4</v>
      </c>
      <c r="M9" s="96">
        <v>30.5</v>
      </c>
      <c r="N9" s="96">
        <v>30.8</v>
      </c>
      <c r="O9" s="96"/>
      <c r="P9" s="96"/>
      <c r="Q9" s="94" t="s">
        <v>78</v>
      </c>
      <c r="R9" s="95" t="s">
        <v>201</v>
      </c>
      <c r="S9" s="94" t="s">
        <v>561</v>
      </c>
    </row>
    <row r="10" spans="1:19" x14ac:dyDescent="0.25">
      <c r="A10" s="121" t="s">
        <v>81</v>
      </c>
      <c r="B10" s="122">
        <v>726</v>
      </c>
      <c r="C10" s="122">
        <v>627</v>
      </c>
      <c r="D10" s="122">
        <v>624</v>
      </c>
      <c r="E10" s="122">
        <v>634</v>
      </c>
      <c r="F10" s="122">
        <v>646</v>
      </c>
      <c r="G10" s="122">
        <v>658</v>
      </c>
      <c r="H10" s="122">
        <v>674</v>
      </c>
      <c r="I10" s="122">
        <v>688</v>
      </c>
      <c r="J10" s="122">
        <v>702</v>
      </c>
      <c r="K10" s="122">
        <v>715</v>
      </c>
      <c r="L10" s="122">
        <v>730</v>
      </c>
      <c r="M10" s="83">
        <v>731</v>
      </c>
      <c r="N10" s="83">
        <v>693</v>
      </c>
      <c r="O10" s="83"/>
      <c r="P10" s="83"/>
      <c r="Q10" s="37" t="s">
        <v>78</v>
      </c>
      <c r="R10" s="27" t="s">
        <v>348</v>
      </c>
      <c r="S10" s="94" t="s">
        <v>561</v>
      </c>
    </row>
    <row r="11" spans="1:19" x14ac:dyDescent="0.25">
      <c r="A11" s="151" t="s">
        <v>207</v>
      </c>
      <c r="B11" s="122">
        <v>245</v>
      </c>
      <c r="C11" s="122">
        <v>250</v>
      </c>
      <c r="D11" s="122">
        <v>265</v>
      </c>
      <c r="E11" s="122">
        <v>279</v>
      </c>
      <c r="F11" s="122">
        <v>288</v>
      </c>
      <c r="G11" s="83">
        <v>299</v>
      </c>
      <c r="H11" s="83">
        <v>311</v>
      </c>
      <c r="I11" s="83">
        <v>322</v>
      </c>
      <c r="J11" s="64">
        <v>335</v>
      </c>
      <c r="K11" s="64">
        <v>348</v>
      </c>
      <c r="L11" s="64">
        <v>359</v>
      </c>
      <c r="M11" s="64">
        <v>368</v>
      </c>
      <c r="N11" s="64">
        <v>367</v>
      </c>
      <c r="O11" s="64"/>
      <c r="P11" s="64"/>
      <c r="Q11" s="37" t="s">
        <v>205</v>
      </c>
      <c r="R11" s="48" t="s">
        <v>206</v>
      </c>
      <c r="S11" s="94" t="s">
        <v>561</v>
      </c>
    </row>
    <row r="12" spans="1:19" x14ac:dyDescent="0.25">
      <c r="A12" s="16"/>
      <c r="B12" s="54"/>
      <c r="C12" s="54"/>
      <c r="D12" s="54"/>
      <c r="E12" s="54"/>
      <c r="F12" s="54"/>
      <c r="G12" s="54"/>
      <c r="H12" s="54"/>
      <c r="I12" s="54"/>
      <c r="J12" s="54"/>
      <c r="K12" s="54"/>
      <c r="L12" s="54"/>
      <c r="M12" s="54"/>
      <c r="N12" s="54"/>
      <c r="O12" s="54"/>
      <c r="P12" s="54"/>
      <c r="Q12" s="49"/>
      <c r="R12" s="49"/>
      <c r="S12" s="15"/>
    </row>
    <row r="13" spans="1:19" s="2" customFormat="1" x14ac:dyDescent="0.25">
      <c r="A13" s="8" t="s">
        <v>82</v>
      </c>
      <c r="B13" s="8">
        <v>2008</v>
      </c>
      <c r="C13" s="8">
        <v>2009</v>
      </c>
      <c r="D13" s="8">
        <v>2010</v>
      </c>
      <c r="E13" s="8">
        <v>2011</v>
      </c>
      <c r="F13" s="8">
        <v>2012</v>
      </c>
      <c r="G13" s="8">
        <v>2013</v>
      </c>
      <c r="H13" s="8">
        <v>2014</v>
      </c>
      <c r="I13" s="8">
        <v>2015</v>
      </c>
      <c r="J13" s="8">
        <v>2016</v>
      </c>
      <c r="K13" s="107">
        <v>2017</v>
      </c>
      <c r="L13" s="107">
        <v>2018</v>
      </c>
      <c r="M13" s="107">
        <v>2019</v>
      </c>
      <c r="N13" s="107">
        <v>2020</v>
      </c>
      <c r="O13" s="107">
        <v>2021</v>
      </c>
      <c r="P13" s="107">
        <v>2022</v>
      </c>
      <c r="Q13" s="107" t="s">
        <v>107</v>
      </c>
      <c r="R13" s="123" t="s">
        <v>108</v>
      </c>
      <c r="S13" s="123" t="s">
        <v>38</v>
      </c>
    </row>
    <row r="14" spans="1:19" ht="90" x14ac:dyDescent="0.25">
      <c r="A14" s="229" t="s">
        <v>208</v>
      </c>
      <c r="B14" s="143">
        <v>0.17799999999999999</v>
      </c>
      <c r="C14" s="143">
        <v>0.29499999999999998</v>
      </c>
      <c r="D14" s="143">
        <v>0.34200000000000003</v>
      </c>
      <c r="E14" s="143">
        <v>0.48599999999999999</v>
      </c>
      <c r="F14" s="143">
        <v>0.57099999999999995</v>
      </c>
      <c r="G14" s="143">
        <v>0.59099999999999997</v>
      </c>
      <c r="H14" s="143">
        <v>0.66300000000000003</v>
      </c>
      <c r="I14" s="143">
        <v>0.45900000000000002</v>
      </c>
      <c r="J14" s="143">
        <v>0.86199999999999999</v>
      </c>
      <c r="K14" s="143">
        <v>0.88</v>
      </c>
      <c r="L14" s="143">
        <v>1.077</v>
      </c>
      <c r="M14" s="143">
        <v>1.1739999999999999</v>
      </c>
      <c r="N14" s="143">
        <v>1.2270000000000001</v>
      </c>
      <c r="O14" s="143">
        <v>1.5529999999999999</v>
      </c>
      <c r="P14" s="289"/>
      <c r="Q14" s="103" t="s">
        <v>566</v>
      </c>
      <c r="R14" s="95" t="s">
        <v>565</v>
      </c>
      <c r="S14" s="94" t="s">
        <v>561</v>
      </c>
    </row>
    <row r="15" spans="1:19" ht="90" x14ac:dyDescent="0.25">
      <c r="A15" s="229" t="s">
        <v>209</v>
      </c>
      <c r="B15" s="143">
        <v>6.0000000000000001E-3</v>
      </c>
      <c r="C15" s="143">
        <v>2.3E-2</v>
      </c>
      <c r="D15" s="143">
        <v>0.67400000000000004</v>
      </c>
      <c r="E15" s="143">
        <v>0.67500000000000004</v>
      </c>
      <c r="F15" s="143">
        <v>0.92100000000000004</v>
      </c>
      <c r="G15" s="143">
        <v>0.99</v>
      </c>
      <c r="H15" s="143">
        <v>1.034</v>
      </c>
      <c r="I15" s="143">
        <v>1.177</v>
      </c>
      <c r="J15" s="143">
        <v>1.177</v>
      </c>
      <c r="K15" s="143">
        <v>1.1739999999999999</v>
      </c>
      <c r="L15" s="143">
        <v>0.93400000000000005</v>
      </c>
      <c r="M15" s="143">
        <v>0.94099999999999995</v>
      </c>
      <c r="N15" s="143">
        <v>0.88400000000000001</v>
      </c>
      <c r="O15" s="143">
        <v>0.86399999999999999</v>
      </c>
      <c r="P15" s="289"/>
      <c r="Q15" s="103" t="s">
        <v>566</v>
      </c>
      <c r="R15" s="95" t="s">
        <v>565</v>
      </c>
      <c r="S15" s="94" t="s">
        <v>561</v>
      </c>
    </row>
    <row r="16" spans="1:19" ht="90" x14ac:dyDescent="0.25">
      <c r="A16" s="230" t="s">
        <v>210</v>
      </c>
      <c r="B16" s="143">
        <f t="shared" ref="B16:L16" si="0">+B15+B14</f>
        <v>0.184</v>
      </c>
      <c r="C16" s="143">
        <f t="shared" si="0"/>
        <v>0.318</v>
      </c>
      <c r="D16" s="143">
        <f t="shared" si="0"/>
        <v>1.016</v>
      </c>
      <c r="E16" s="143">
        <f t="shared" si="0"/>
        <v>1.161</v>
      </c>
      <c r="F16" s="143">
        <f t="shared" si="0"/>
        <v>1.492</v>
      </c>
      <c r="G16" s="143">
        <f t="shared" si="0"/>
        <v>1.581</v>
      </c>
      <c r="H16" s="143">
        <f t="shared" si="0"/>
        <v>1.6970000000000001</v>
      </c>
      <c r="I16" s="143">
        <f t="shared" si="0"/>
        <v>1.6360000000000001</v>
      </c>
      <c r="J16" s="143">
        <f t="shared" si="0"/>
        <v>2.0390000000000001</v>
      </c>
      <c r="K16" s="143">
        <f t="shared" si="0"/>
        <v>2.0539999999999998</v>
      </c>
      <c r="L16" s="143">
        <f t="shared" si="0"/>
        <v>2.0110000000000001</v>
      </c>
      <c r="M16" s="143">
        <f t="shared" ref="M16:O16" si="1">+M15+M14</f>
        <v>2.1149999999999998</v>
      </c>
      <c r="N16" s="143">
        <f t="shared" si="1"/>
        <v>2.1110000000000002</v>
      </c>
      <c r="O16" s="143">
        <f t="shared" si="1"/>
        <v>2.4169999999999998</v>
      </c>
      <c r="P16" s="289"/>
      <c r="Q16" s="103" t="s">
        <v>566</v>
      </c>
      <c r="R16" s="136" t="s">
        <v>565</v>
      </c>
      <c r="S16" s="94" t="s">
        <v>561</v>
      </c>
    </row>
    <row r="17" spans="1:19" ht="75" x14ac:dyDescent="0.25">
      <c r="A17" s="121" t="s">
        <v>454</v>
      </c>
      <c r="B17" s="231"/>
      <c r="C17" s="232"/>
      <c r="D17" s="232"/>
      <c r="E17" s="231"/>
      <c r="F17" s="232"/>
      <c r="G17" s="152"/>
      <c r="H17" s="152"/>
      <c r="I17" s="152"/>
      <c r="J17" s="152"/>
      <c r="K17" s="233">
        <v>58</v>
      </c>
      <c r="L17" s="122">
        <v>57.742470950912974</v>
      </c>
      <c r="M17" s="233">
        <v>53.878902554399247</v>
      </c>
      <c r="N17" s="233">
        <v>47.287372660506989</v>
      </c>
      <c r="O17" s="233">
        <v>47.879164080281399</v>
      </c>
      <c r="P17" s="289"/>
      <c r="Q17" s="103" t="s">
        <v>564</v>
      </c>
      <c r="R17" s="310" t="s">
        <v>563</v>
      </c>
      <c r="S17" s="94" t="s">
        <v>561</v>
      </c>
    </row>
    <row r="18" spans="1:19" ht="75" x14ac:dyDescent="0.25">
      <c r="A18" s="121" t="s">
        <v>455</v>
      </c>
      <c r="B18" s="232"/>
      <c r="C18" s="232"/>
      <c r="D18" s="232"/>
      <c r="E18" s="232"/>
      <c r="F18" s="232"/>
      <c r="G18" s="152"/>
      <c r="H18" s="152"/>
      <c r="I18" s="152"/>
      <c r="J18" s="152"/>
      <c r="K18" s="233">
        <v>11</v>
      </c>
      <c r="L18" s="122">
        <v>11.335072326298317</v>
      </c>
      <c r="M18" s="233">
        <v>11.21097445600757</v>
      </c>
      <c r="N18" s="233">
        <v>11.419095001184553</v>
      </c>
      <c r="O18" s="233">
        <v>10.05586592178771</v>
      </c>
      <c r="P18" s="289"/>
      <c r="Q18" s="103" t="s">
        <v>564</v>
      </c>
      <c r="R18" s="310" t="s">
        <v>563</v>
      </c>
      <c r="S18" s="94" t="s">
        <v>561</v>
      </c>
    </row>
    <row r="19" spans="1:19" ht="75" x14ac:dyDescent="0.25">
      <c r="A19" s="121" t="s">
        <v>456</v>
      </c>
      <c r="B19" s="232"/>
      <c r="C19" s="232"/>
      <c r="D19" s="232"/>
      <c r="E19" s="232"/>
      <c r="F19" s="232"/>
      <c r="G19" s="152"/>
      <c r="H19" s="152"/>
      <c r="I19" s="152"/>
      <c r="J19" s="152"/>
      <c r="K19" s="233">
        <v>7</v>
      </c>
      <c r="L19" s="122">
        <v>6.805786103865306</v>
      </c>
      <c r="M19" s="233">
        <v>7.8524124881740782</v>
      </c>
      <c r="N19" s="233">
        <v>12.248282397536128</v>
      </c>
      <c r="O19" s="233">
        <v>11.152493275398303</v>
      </c>
      <c r="P19" s="289"/>
      <c r="Q19" s="103" t="s">
        <v>564</v>
      </c>
      <c r="R19" s="310" t="s">
        <v>563</v>
      </c>
      <c r="S19" s="94" t="s">
        <v>561</v>
      </c>
    </row>
    <row r="20" spans="1:19" ht="75" x14ac:dyDescent="0.25">
      <c r="A20" s="121" t="s">
        <v>457</v>
      </c>
      <c r="B20" s="232"/>
      <c r="C20" s="232"/>
      <c r="D20" s="232"/>
      <c r="E20" s="232"/>
      <c r="F20" s="232"/>
      <c r="G20" s="152"/>
      <c r="H20" s="152"/>
      <c r="I20" s="152"/>
      <c r="J20" s="152"/>
      <c r="K20" s="233">
        <v>5</v>
      </c>
      <c r="L20" s="122">
        <v>5.6675361631491583</v>
      </c>
      <c r="M20" s="233">
        <v>7.6158940397350996</v>
      </c>
      <c r="N20" s="233">
        <v>7.7469793887704332</v>
      </c>
      <c r="O20" s="233">
        <v>8.8144009931719438</v>
      </c>
      <c r="P20" s="289"/>
      <c r="Q20" s="103" t="s">
        <v>564</v>
      </c>
      <c r="R20" s="310" t="s">
        <v>563</v>
      </c>
      <c r="S20" s="94" t="s">
        <v>561</v>
      </c>
    </row>
    <row r="21" spans="1:19" ht="75" x14ac:dyDescent="0.25">
      <c r="A21" s="121" t="s">
        <v>458</v>
      </c>
      <c r="B21" s="232"/>
      <c r="C21" s="232"/>
      <c r="D21" s="232"/>
      <c r="E21" s="232"/>
      <c r="F21" s="232"/>
      <c r="G21" s="152"/>
      <c r="H21" s="152"/>
      <c r="I21" s="152"/>
      <c r="J21" s="152"/>
      <c r="K21" s="233">
        <v>7</v>
      </c>
      <c r="L21" s="122">
        <v>7.3511975337917947</v>
      </c>
      <c r="M21" s="233">
        <v>6.693472090823084</v>
      </c>
      <c r="N21" s="233">
        <v>5.7332385690594645</v>
      </c>
      <c r="O21" s="233">
        <v>4.8830953858886819</v>
      </c>
      <c r="P21" s="289"/>
      <c r="Q21" s="103" t="s">
        <v>564</v>
      </c>
      <c r="R21" s="310" t="s">
        <v>563</v>
      </c>
      <c r="S21" s="94" t="s">
        <v>561</v>
      </c>
    </row>
    <row r="22" spans="1:19" ht="55.5" customHeight="1" x14ac:dyDescent="0.25">
      <c r="A22" s="121" t="s">
        <v>562</v>
      </c>
      <c r="B22" s="232"/>
      <c r="C22" s="232"/>
      <c r="D22" s="232"/>
      <c r="E22" s="232"/>
      <c r="F22" s="232"/>
      <c r="G22" s="152"/>
      <c r="H22" s="152"/>
      <c r="I22" s="152"/>
      <c r="J22" s="152"/>
      <c r="K22" s="290"/>
      <c r="L22" s="122">
        <v>4.8612757884752194</v>
      </c>
      <c r="M22" s="233">
        <v>5.8893093661305578</v>
      </c>
      <c r="N22" s="233">
        <v>3.5299692016109927</v>
      </c>
      <c r="O22" s="233">
        <v>3.9519966894268572</v>
      </c>
      <c r="P22" s="289"/>
      <c r="Q22" s="103" t="s">
        <v>564</v>
      </c>
      <c r="R22" s="310" t="s">
        <v>563</v>
      </c>
      <c r="S22" s="94" t="s">
        <v>561</v>
      </c>
    </row>
    <row r="23" spans="1:19" ht="75" x14ac:dyDescent="0.25">
      <c r="A23" s="121" t="s">
        <v>459</v>
      </c>
      <c r="B23" s="232"/>
      <c r="C23" s="232"/>
      <c r="D23" s="232"/>
      <c r="E23" s="232"/>
      <c r="F23" s="232"/>
      <c r="G23" s="152"/>
      <c r="H23" s="152"/>
      <c r="I23" s="152"/>
      <c r="J23" s="152"/>
      <c r="K23" s="233">
        <v>4</v>
      </c>
      <c r="L23" s="122">
        <v>3.6281716860327244</v>
      </c>
      <c r="M23" s="233">
        <v>3.7842951750236518</v>
      </c>
      <c r="N23" s="233">
        <v>4.0511727078891262</v>
      </c>
      <c r="O23" s="233">
        <v>3.186426650113801</v>
      </c>
      <c r="P23" s="289"/>
      <c r="Q23" s="103" t="s">
        <v>564</v>
      </c>
      <c r="R23" s="310" t="s">
        <v>563</v>
      </c>
      <c r="S23" s="94" t="s">
        <v>561</v>
      </c>
    </row>
    <row r="24" spans="1:19" ht="75" x14ac:dyDescent="0.25">
      <c r="A24" s="121" t="s">
        <v>460</v>
      </c>
      <c r="B24" s="232"/>
      <c r="C24" s="232"/>
      <c r="D24" s="232"/>
      <c r="E24" s="232"/>
      <c r="F24" s="232"/>
      <c r="G24" s="152"/>
      <c r="H24" s="152"/>
      <c r="I24" s="152"/>
      <c r="J24" s="152"/>
      <c r="K24" s="233">
        <v>2</v>
      </c>
      <c r="L24" s="122">
        <v>1.6125207493478777</v>
      </c>
      <c r="M24" s="233">
        <v>1.8921475875118259</v>
      </c>
      <c r="N24" s="233">
        <v>3.1982942430703627</v>
      </c>
      <c r="O24" s="233">
        <v>2.6070763500931098</v>
      </c>
      <c r="P24" s="289"/>
      <c r="Q24" s="103" t="s">
        <v>564</v>
      </c>
      <c r="R24" s="310" t="s">
        <v>563</v>
      </c>
      <c r="S24" s="94" t="s">
        <v>561</v>
      </c>
    </row>
    <row r="25" spans="1:19" ht="75" x14ac:dyDescent="0.25">
      <c r="A25" s="121" t="s">
        <v>461</v>
      </c>
      <c r="B25" s="232"/>
      <c r="C25" s="232"/>
      <c r="D25" s="232"/>
      <c r="E25" s="232"/>
      <c r="F25" s="232"/>
      <c r="G25" s="152"/>
      <c r="H25" s="152"/>
      <c r="I25" s="152"/>
      <c r="J25" s="152"/>
      <c r="K25" s="233">
        <v>6</v>
      </c>
      <c r="L25" s="122">
        <v>0.99596869812663036</v>
      </c>
      <c r="M25" s="233">
        <v>1.1825922421948913</v>
      </c>
      <c r="N25" s="233">
        <v>4.7855958303719497</v>
      </c>
      <c r="O25" s="233">
        <v>7.469480653838195</v>
      </c>
      <c r="P25" s="289"/>
      <c r="Q25" s="103" t="s">
        <v>564</v>
      </c>
      <c r="R25" s="310" t="s">
        <v>563</v>
      </c>
      <c r="S25" s="94" t="s">
        <v>561</v>
      </c>
    </row>
    <row r="26" spans="1:19" x14ac:dyDescent="0.25">
      <c r="A26" s="121" t="s">
        <v>211</v>
      </c>
      <c r="B26" s="153">
        <f>+B16/B11*100</f>
        <v>7.5102040816326529E-2</v>
      </c>
      <c r="C26" s="153">
        <f t="shared" ref="C26:L26" si="2">+C16/C11*100</f>
        <v>0.12720000000000001</v>
      </c>
      <c r="D26" s="153">
        <f t="shared" si="2"/>
        <v>0.38339622641509435</v>
      </c>
      <c r="E26" s="153">
        <f t="shared" si="2"/>
        <v>0.41612903225806452</v>
      </c>
      <c r="F26" s="153">
        <f t="shared" si="2"/>
        <v>0.51805555555555549</v>
      </c>
      <c r="G26" s="153">
        <f t="shared" si="2"/>
        <v>0.52876254180602011</v>
      </c>
      <c r="H26" s="153">
        <f t="shared" si="2"/>
        <v>0.54565916398713832</v>
      </c>
      <c r="I26" s="153">
        <f t="shared" si="2"/>
        <v>0.50807453416149073</v>
      </c>
      <c r="J26" s="153">
        <f t="shared" si="2"/>
        <v>0.60865671641791042</v>
      </c>
      <c r="K26" s="153">
        <f t="shared" si="2"/>
        <v>0.5902298850574712</v>
      </c>
      <c r="L26" s="153">
        <f t="shared" si="2"/>
        <v>0.5601671309192201</v>
      </c>
      <c r="M26" s="153">
        <f>+M16/M11*100</f>
        <v>0.57472826086956519</v>
      </c>
      <c r="N26" s="153">
        <f>+N16/N11*100</f>
        <v>0.57520435967302463</v>
      </c>
      <c r="O26" s="153"/>
      <c r="P26" s="289"/>
      <c r="Q26" s="94" t="s">
        <v>39</v>
      </c>
      <c r="R26" s="94"/>
      <c r="S26" s="94"/>
    </row>
    <row r="27" spans="1:19" x14ac:dyDescent="0.25">
      <c r="A27" s="121" t="s">
        <v>83</v>
      </c>
      <c r="B27" s="97"/>
      <c r="C27" s="97"/>
      <c r="D27" s="97"/>
      <c r="E27" s="97"/>
      <c r="F27" s="97"/>
      <c r="G27" s="234">
        <v>0.55400000000000005</v>
      </c>
      <c r="H27" s="234">
        <v>0.68300000000000005</v>
      </c>
      <c r="I27" s="234">
        <v>0.749</v>
      </c>
      <c r="J27" s="234">
        <v>0.751</v>
      </c>
      <c r="K27" s="234">
        <v>0.89800000000000002</v>
      </c>
      <c r="L27" s="234">
        <v>0.81</v>
      </c>
      <c r="M27" s="234">
        <v>0.79</v>
      </c>
      <c r="N27" s="234">
        <v>0.7</v>
      </c>
      <c r="O27" s="234">
        <v>0.7</v>
      </c>
      <c r="P27" s="289"/>
      <c r="Q27" s="94" t="s">
        <v>212</v>
      </c>
      <c r="R27" s="27" t="s">
        <v>351</v>
      </c>
      <c r="S27" s="94" t="s">
        <v>561</v>
      </c>
    </row>
    <row r="28" spans="1:19" x14ac:dyDescent="0.25">
      <c r="A28" s="121" t="s">
        <v>462</v>
      </c>
      <c r="B28" s="97"/>
      <c r="C28" s="97"/>
      <c r="D28" s="97"/>
      <c r="E28" s="97"/>
      <c r="F28" s="97"/>
      <c r="G28" s="143">
        <v>3.9571428571428577E-2</v>
      </c>
      <c r="H28" s="143">
        <v>4.8785714285714293E-2</v>
      </c>
      <c r="I28" s="143">
        <v>5.3499999999999999E-2</v>
      </c>
      <c r="J28" s="143">
        <v>5.3642857142857138E-2</v>
      </c>
      <c r="K28" s="143">
        <v>6.414285714285714E-2</v>
      </c>
      <c r="L28" s="143">
        <v>5.7857142857142864E-2</v>
      </c>
      <c r="M28" s="143">
        <v>1.6458333333333335E-2</v>
      </c>
      <c r="N28" s="143">
        <v>1.4893617021276596E-2</v>
      </c>
      <c r="O28" s="143">
        <v>1.3999999999999999E-2</v>
      </c>
      <c r="P28" s="289"/>
      <c r="Q28" s="94" t="s">
        <v>212</v>
      </c>
      <c r="R28" s="27" t="s">
        <v>351</v>
      </c>
      <c r="S28" s="94" t="s">
        <v>561</v>
      </c>
    </row>
    <row r="29" spans="1:19" x14ac:dyDescent="0.25">
      <c r="A29" s="151" t="s">
        <v>84</v>
      </c>
      <c r="B29" s="53"/>
      <c r="C29" s="53"/>
      <c r="D29" s="53"/>
      <c r="E29" s="53"/>
      <c r="F29" s="53"/>
      <c r="G29" s="235"/>
      <c r="H29" s="235"/>
      <c r="I29" s="84"/>
      <c r="J29" s="84"/>
      <c r="K29" s="84"/>
      <c r="L29" s="84"/>
      <c r="M29" s="84"/>
      <c r="N29" s="84"/>
      <c r="O29" s="84"/>
      <c r="P29" s="289"/>
      <c r="Q29" s="37"/>
      <c r="R29" s="37"/>
      <c r="S29" s="91"/>
    </row>
    <row r="30" spans="1:19" x14ac:dyDescent="0.25">
      <c r="A30" s="16"/>
      <c r="B30" s="54"/>
      <c r="C30" s="54"/>
      <c r="D30" s="54"/>
      <c r="E30" s="54"/>
      <c r="F30" s="54"/>
      <c r="G30" s="54"/>
      <c r="H30" s="54"/>
      <c r="I30" s="54"/>
      <c r="J30" s="54"/>
      <c r="K30" s="54"/>
      <c r="L30" s="210"/>
      <c r="M30" s="210"/>
      <c r="N30" s="210"/>
      <c r="O30" s="210"/>
      <c r="P30" s="210"/>
      <c r="Q30" s="49"/>
      <c r="R30" s="49"/>
      <c r="S30" s="15"/>
    </row>
    <row r="31" spans="1:19" s="2" customFormat="1" x14ac:dyDescent="0.25">
      <c r="A31" s="8" t="s">
        <v>85</v>
      </c>
      <c r="B31" s="8">
        <v>2008</v>
      </c>
      <c r="C31" s="8">
        <v>2009</v>
      </c>
      <c r="D31" s="8">
        <v>2010</v>
      </c>
      <c r="E31" s="8">
        <v>2011</v>
      </c>
      <c r="F31" s="8">
        <v>2012</v>
      </c>
      <c r="G31" s="8">
        <v>2013</v>
      </c>
      <c r="H31" s="8">
        <v>2014</v>
      </c>
      <c r="I31" s="8">
        <v>2015</v>
      </c>
      <c r="J31" s="8">
        <v>2016</v>
      </c>
      <c r="K31" s="107">
        <v>2017</v>
      </c>
      <c r="L31" s="107">
        <v>2018</v>
      </c>
      <c r="M31" s="107">
        <v>2019</v>
      </c>
      <c r="N31" s="107">
        <v>2020</v>
      </c>
      <c r="O31" s="107">
        <v>2021</v>
      </c>
      <c r="P31" s="107">
        <v>2022</v>
      </c>
      <c r="Q31" s="298" t="s">
        <v>107</v>
      </c>
      <c r="R31" s="123" t="s">
        <v>108</v>
      </c>
      <c r="S31" s="123" t="s">
        <v>38</v>
      </c>
    </row>
    <row r="32" spans="1:19" ht="30" x14ac:dyDescent="0.25">
      <c r="A32" s="121" t="s">
        <v>86</v>
      </c>
      <c r="B32" s="97"/>
      <c r="C32" s="97"/>
      <c r="D32" s="97"/>
      <c r="E32" s="97"/>
      <c r="F32" s="97"/>
      <c r="G32" s="97"/>
      <c r="H32" s="96">
        <v>1.7</v>
      </c>
      <c r="I32" s="97"/>
      <c r="J32" s="97"/>
      <c r="K32" s="96">
        <v>2.0499999999999998</v>
      </c>
      <c r="L32" s="236">
        <v>2.0099999999999998</v>
      </c>
      <c r="M32" s="153">
        <v>2.1149999999999998</v>
      </c>
      <c r="N32" s="153">
        <v>2.1110000000000002</v>
      </c>
      <c r="O32" s="153">
        <v>2.4169999999999998</v>
      </c>
      <c r="P32" s="96"/>
      <c r="Q32" s="94" t="s">
        <v>257</v>
      </c>
      <c r="R32" s="95" t="s">
        <v>213</v>
      </c>
      <c r="S32" s="94" t="s">
        <v>561</v>
      </c>
    </row>
    <row r="33" spans="1:19" ht="30" x14ac:dyDescent="0.25">
      <c r="A33" s="121" t="s">
        <v>472</v>
      </c>
      <c r="B33" s="97"/>
      <c r="C33" s="97"/>
      <c r="D33" s="97"/>
      <c r="E33" s="97"/>
      <c r="F33" s="97"/>
      <c r="G33" s="97"/>
      <c r="H33" s="96">
        <v>10</v>
      </c>
      <c r="I33" s="97"/>
      <c r="J33" s="97"/>
      <c r="K33" s="96">
        <v>18.8</v>
      </c>
      <c r="L33" s="96">
        <v>18.2</v>
      </c>
      <c r="M33" s="96">
        <v>21.3</v>
      </c>
      <c r="N33" s="96">
        <v>18.7</v>
      </c>
      <c r="O33" s="96">
        <v>16.399999999999999</v>
      </c>
      <c r="P33" s="96"/>
      <c r="Q33" s="94" t="s">
        <v>257</v>
      </c>
      <c r="R33" s="95" t="s">
        <v>213</v>
      </c>
      <c r="S33" s="94" t="s">
        <v>561</v>
      </c>
    </row>
    <row r="34" spans="1:19" ht="30" x14ac:dyDescent="0.25">
      <c r="A34" s="121" t="s">
        <v>470</v>
      </c>
      <c r="B34" s="97"/>
      <c r="C34" s="97"/>
      <c r="D34" s="97"/>
      <c r="E34" s="97"/>
      <c r="F34" s="97"/>
      <c r="G34" s="97"/>
      <c r="H34" s="96">
        <v>12.2</v>
      </c>
      <c r="I34" s="97"/>
      <c r="J34" s="97"/>
      <c r="K34" s="96">
        <v>10.3</v>
      </c>
      <c r="L34" s="236">
        <v>10.3</v>
      </c>
      <c r="M34" s="96">
        <v>13.9</v>
      </c>
      <c r="N34" s="96">
        <v>18.7</v>
      </c>
      <c r="O34" s="96">
        <v>18.899999999999999</v>
      </c>
      <c r="P34" s="96"/>
      <c r="Q34" s="94" t="s">
        <v>257</v>
      </c>
      <c r="R34" s="95" t="s">
        <v>213</v>
      </c>
      <c r="S34" s="94" t="s">
        <v>561</v>
      </c>
    </row>
    <row r="35" spans="1:19" ht="30" x14ac:dyDescent="0.25">
      <c r="A35" s="121" t="s">
        <v>465</v>
      </c>
      <c r="B35" s="97"/>
      <c r="C35" s="97"/>
      <c r="D35" s="97"/>
      <c r="E35" s="97"/>
      <c r="F35" s="97"/>
      <c r="G35" s="97"/>
      <c r="H35" s="96">
        <v>13</v>
      </c>
      <c r="I35" s="97"/>
      <c r="J35" s="97"/>
      <c r="K35" s="96">
        <v>5</v>
      </c>
      <c r="L35" s="236">
        <v>7.2</v>
      </c>
      <c r="M35" s="96">
        <v>13.4</v>
      </c>
      <c r="N35" s="96">
        <v>13.5</v>
      </c>
      <c r="O35" s="96">
        <v>19.2</v>
      </c>
      <c r="P35" s="96"/>
      <c r="Q35" s="94" t="s">
        <v>257</v>
      </c>
      <c r="R35" s="95" t="s">
        <v>213</v>
      </c>
      <c r="S35" s="94" t="s">
        <v>561</v>
      </c>
    </row>
    <row r="36" spans="1:19" ht="30" x14ac:dyDescent="0.25">
      <c r="A36" s="121" t="s">
        <v>467</v>
      </c>
      <c r="B36" s="97"/>
      <c r="C36" s="97"/>
      <c r="D36" s="97"/>
      <c r="E36" s="97"/>
      <c r="F36" s="97"/>
      <c r="G36" s="97"/>
      <c r="H36" s="96">
        <v>11.8</v>
      </c>
      <c r="I36" s="97"/>
      <c r="J36" s="97"/>
      <c r="K36" s="96">
        <v>9.6999999999999993</v>
      </c>
      <c r="L36" s="236">
        <v>9.5</v>
      </c>
      <c r="M36" s="96">
        <v>11.8</v>
      </c>
      <c r="N36" s="96">
        <v>10.5</v>
      </c>
      <c r="O36" s="96">
        <v>9.5</v>
      </c>
      <c r="P36" s="96"/>
      <c r="Q36" s="94" t="s">
        <v>257</v>
      </c>
      <c r="R36" s="95" t="s">
        <v>213</v>
      </c>
      <c r="S36" s="94" t="s">
        <v>561</v>
      </c>
    </row>
    <row r="37" spans="1:19" ht="30" x14ac:dyDescent="0.25">
      <c r="A37" s="121" t="s">
        <v>464</v>
      </c>
      <c r="B37" s="97"/>
      <c r="C37" s="97"/>
      <c r="D37" s="97"/>
      <c r="E37" s="97"/>
      <c r="F37" s="97"/>
      <c r="G37" s="97"/>
      <c r="H37" s="96">
        <v>5.5</v>
      </c>
      <c r="I37" s="97"/>
      <c r="J37" s="97"/>
      <c r="K37" s="96">
        <v>11.9</v>
      </c>
      <c r="L37" s="236">
        <v>11.6</v>
      </c>
      <c r="M37" s="96">
        <v>11.6</v>
      </c>
      <c r="N37" s="96">
        <v>11.9</v>
      </c>
      <c r="O37" s="96">
        <v>9.1</v>
      </c>
      <c r="P37" s="96"/>
      <c r="Q37" s="94" t="s">
        <v>257</v>
      </c>
      <c r="R37" s="95" t="s">
        <v>213</v>
      </c>
      <c r="S37" s="94" t="s">
        <v>561</v>
      </c>
    </row>
    <row r="38" spans="1:19" ht="30" x14ac:dyDescent="0.25">
      <c r="A38" s="121" t="s">
        <v>468</v>
      </c>
      <c r="B38" s="97"/>
      <c r="C38" s="97"/>
      <c r="D38" s="97"/>
      <c r="E38" s="97"/>
      <c r="F38" s="97"/>
      <c r="G38" s="97"/>
      <c r="H38" s="96">
        <v>35.4</v>
      </c>
      <c r="I38" s="97"/>
      <c r="J38" s="97"/>
      <c r="K38" s="96">
        <v>26.3</v>
      </c>
      <c r="L38" s="236">
        <v>26.6</v>
      </c>
      <c r="M38" s="96">
        <v>9.8000000000000007</v>
      </c>
      <c r="N38" s="96">
        <v>7.8</v>
      </c>
      <c r="O38" s="96">
        <v>6.2</v>
      </c>
      <c r="P38" s="96"/>
      <c r="Q38" s="94" t="s">
        <v>257</v>
      </c>
      <c r="R38" s="95" t="s">
        <v>213</v>
      </c>
      <c r="S38" s="94" t="s">
        <v>561</v>
      </c>
    </row>
    <row r="39" spans="1:19" ht="30" x14ac:dyDescent="0.25">
      <c r="A39" s="121" t="s">
        <v>471</v>
      </c>
      <c r="B39" s="97"/>
      <c r="C39" s="97"/>
      <c r="D39" s="97"/>
      <c r="E39" s="97"/>
      <c r="F39" s="97"/>
      <c r="G39" s="97"/>
      <c r="H39" s="96">
        <v>7.1</v>
      </c>
      <c r="I39" s="97"/>
      <c r="J39" s="97"/>
      <c r="K39" s="124"/>
      <c r="L39" s="236">
        <v>9.1999999999999993</v>
      </c>
      <c r="M39" s="96">
        <v>9.1999999999999993</v>
      </c>
      <c r="N39" s="96">
        <v>9.1999999999999993</v>
      </c>
      <c r="O39" s="96">
        <v>8.1</v>
      </c>
      <c r="P39" s="96"/>
      <c r="Q39" s="94" t="s">
        <v>257</v>
      </c>
      <c r="R39" s="95" t="s">
        <v>213</v>
      </c>
      <c r="S39" s="94" t="s">
        <v>561</v>
      </c>
    </row>
    <row r="40" spans="1:19" ht="30" x14ac:dyDescent="0.25">
      <c r="A40" s="121" t="s">
        <v>466</v>
      </c>
      <c r="B40" s="97"/>
      <c r="C40" s="97"/>
      <c r="D40" s="97"/>
      <c r="E40" s="97"/>
      <c r="F40" s="97"/>
      <c r="G40" s="97"/>
      <c r="H40" s="96">
        <v>1.6</v>
      </c>
      <c r="I40" s="97"/>
      <c r="J40" s="97"/>
      <c r="K40" s="96">
        <v>4.9000000000000004</v>
      </c>
      <c r="L40" s="236">
        <v>4.5999999999999996</v>
      </c>
      <c r="M40" s="96">
        <v>4.3</v>
      </c>
      <c r="N40" s="96">
        <v>4.0999999999999996</v>
      </c>
      <c r="O40" s="96">
        <v>3.5</v>
      </c>
      <c r="P40" s="96"/>
      <c r="Q40" s="94" t="s">
        <v>257</v>
      </c>
      <c r="R40" s="95" t="s">
        <v>213</v>
      </c>
      <c r="S40" s="94" t="s">
        <v>561</v>
      </c>
    </row>
    <row r="41" spans="1:19" ht="30" x14ac:dyDescent="0.25">
      <c r="A41" s="121" t="s">
        <v>473</v>
      </c>
      <c r="B41" s="97"/>
      <c r="C41" s="97"/>
      <c r="D41" s="97"/>
      <c r="E41" s="97"/>
      <c r="F41" s="97"/>
      <c r="G41" s="97"/>
      <c r="H41" s="96">
        <v>1.4</v>
      </c>
      <c r="I41" s="97"/>
      <c r="J41" s="97"/>
      <c r="K41" s="96">
        <v>10.7</v>
      </c>
      <c r="L41" s="96">
        <v>1.4</v>
      </c>
      <c r="M41" s="96">
        <v>2.6</v>
      </c>
      <c r="N41" s="96">
        <v>2.5</v>
      </c>
      <c r="O41" s="96">
        <v>2.2000000000000002</v>
      </c>
      <c r="P41" s="96"/>
      <c r="Q41" s="94" t="s">
        <v>257</v>
      </c>
      <c r="R41" s="95" t="s">
        <v>213</v>
      </c>
      <c r="S41" s="94" t="s">
        <v>561</v>
      </c>
    </row>
    <row r="42" spans="1:19" ht="30" x14ac:dyDescent="0.25">
      <c r="A42" s="121" t="s">
        <v>469</v>
      </c>
      <c r="B42" s="97"/>
      <c r="C42" s="97"/>
      <c r="D42" s="97"/>
      <c r="E42" s="97"/>
      <c r="F42" s="97"/>
      <c r="G42" s="97"/>
      <c r="H42" s="96">
        <v>2</v>
      </c>
      <c r="I42" s="97"/>
      <c r="J42" s="97"/>
      <c r="K42" s="96">
        <v>2.4</v>
      </c>
      <c r="L42" s="236">
        <v>1.4</v>
      </c>
      <c r="M42" s="96">
        <v>1.2</v>
      </c>
      <c r="N42" s="96">
        <v>1.7</v>
      </c>
      <c r="O42" s="96">
        <v>1.8</v>
      </c>
      <c r="P42" s="96"/>
      <c r="Q42" s="94" t="s">
        <v>257</v>
      </c>
      <c r="R42" s="95" t="s">
        <v>213</v>
      </c>
      <c r="S42" s="94" t="s">
        <v>561</v>
      </c>
    </row>
    <row r="43" spans="1:19" ht="30" x14ac:dyDescent="0.25">
      <c r="A43" s="325" t="s">
        <v>463</v>
      </c>
      <c r="B43" s="292"/>
      <c r="C43" s="292"/>
      <c r="D43" s="292"/>
      <c r="E43" s="292"/>
      <c r="F43" s="293"/>
      <c r="G43" s="293"/>
      <c r="H43" s="294">
        <v>0</v>
      </c>
      <c r="I43" s="292"/>
      <c r="J43" s="293"/>
      <c r="K43" s="294">
        <v>0</v>
      </c>
      <c r="L43" s="236">
        <v>0</v>
      </c>
      <c r="M43" s="96">
        <v>0.9</v>
      </c>
      <c r="N43" s="96">
        <v>1.4</v>
      </c>
      <c r="O43" s="96">
        <v>1.9</v>
      </c>
      <c r="P43" s="96"/>
      <c r="Q43" s="94" t="s">
        <v>257</v>
      </c>
      <c r="R43" s="295" t="s">
        <v>213</v>
      </c>
      <c r="S43" s="94" t="s">
        <v>561</v>
      </c>
    </row>
    <row r="44" spans="1:19" ht="30" x14ac:dyDescent="0.25">
      <c r="A44" s="91" t="s">
        <v>590</v>
      </c>
      <c r="B44" s="96"/>
      <c r="C44" s="96"/>
      <c r="D44" s="96"/>
      <c r="E44" s="96"/>
      <c r="F44" s="96"/>
      <c r="G44" s="96"/>
      <c r="H44" s="96"/>
      <c r="I44" s="124"/>
      <c r="J44" s="124"/>
      <c r="K44" s="124"/>
      <c r="L44" s="124"/>
      <c r="M44" s="124"/>
      <c r="N44" s="124"/>
      <c r="O44" s="96">
        <v>3.2</v>
      </c>
      <c r="P44" s="96"/>
      <c r="Q44" s="326" t="s">
        <v>564</v>
      </c>
      <c r="R44" s="94" t="s">
        <v>567</v>
      </c>
      <c r="S44" s="94" t="s">
        <v>561</v>
      </c>
    </row>
    <row r="45" spans="1:19" x14ac:dyDescent="0.25">
      <c r="B45" s="2">
        <v>2019</v>
      </c>
      <c r="C45" s="2">
        <v>2020</v>
      </c>
      <c r="D45" s="2">
        <v>2021</v>
      </c>
      <c r="G45" s="59"/>
      <c r="H45" s="59"/>
      <c r="I45" s="59"/>
    </row>
    <row r="46" spans="1:19" x14ac:dyDescent="0.25">
      <c r="A46" s="121" t="s">
        <v>481</v>
      </c>
      <c r="B46" s="237">
        <f>M17</f>
        <v>53.878902554399247</v>
      </c>
      <c r="C46" s="237">
        <f t="shared" ref="C46" si="3">N17</f>
        <v>47.287372660506989</v>
      </c>
      <c r="D46" s="237">
        <f>O17</f>
        <v>47.879164080281399</v>
      </c>
      <c r="E46"/>
      <c r="F46"/>
      <c r="G46"/>
      <c r="H46"/>
      <c r="I46"/>
      <c r="J46"/>
      <c r="K46"/>
      <c r="L46"/>
      <c r="M46"/>
      <c r="N46"/>
      <c r="O46"/>
      <c r="P46"/>
    </row>
    <row r="47" spans="1:19" x14ac:dyDescent="0.25">
      <c r="A47" s="121" t="s">
        <v>482</v>
      </c>
      <c r="B47" s="237">
        <f>M18</f>
        <v>11.21097445600757</v>
      </c>
      <c r="C47" s="237">
        <f t="shared" ref="C47:D47" si="4">N18</f>
        <v>11.419095001184553</v>
      </c>
      <c r="D47" s="237">
        <f t="shared" si="4"/>
        <v>10.05586592178771</v>
      </c>
      <c r="E47"/>
      <c r="F47"/>
      <c r="G47"/>
      <c r="H47"/>
      <c r="I47"/>
      <c r="J47"/>
      <c r="K47"/>
      <c r="L47"/>
      <c r="M47"/>
      <c r="N47"/>
      <c r="O47"/>
      <c r="P47"/>
    </row>
    <row r="48" spans="1:19" x14ac:dyDescent="0.25">
      <c r="A48" s="121" t="s">
        <v>483</v>
      </c>
      <c r="B48" s="237">
        <f>M19</f>
        <v>7.8524124881740782</v>
      </c>
      <c r="C48" s="237">
        <f t="shared" ref="C48:D48" si="5">N19</f>
        <v>12.248282397536128</v>
      </c>
      <c r="D48" s="237">
        <f t="shared" si="5"/>
        <v>11.152493275398303</v>
      </c>
      <c r="E48"/>
      <c r="F48"/>
      <c r="G48"/>
      <c r="H48"/>
      <c r="I48"/>
      <c r="J48"/>
      <c r="K48"/>
      <c r="L48"/>
      <c r="M48"/>
      <c r="N48"/>
      <c r="O48"/>
      <c r="P48"/>
    </row>
    <row r="49" spans="1:16" x14ac:dyDescent="0.25">
      <c r="A49" s="121" t="s">
        <v>484</v>
      </c>
      <c r="B49" s="237">
        <f>+M20</f>
        <v>7.6158940397350996</v>
      </c>
      <c r="C49" s="237">
        <f t="shared" ref="C49:D49" si="6">+N20</f>
        <v>7.7469793887704332</v>
      </c>
      <c r="D49" s="237">
        <f t="shared" si="6"/>
        <v>8.8144009931719438</v>
      </c>
      <c r="E49"/>
      <c r="F49"/>
      <c r="G49"/>
      <c r="H49"/>
      <c r="I49"/>
      <c r="J49"/>
      <c r="K49"/>
      <c r="L49"/>
      <c r="M49"/>
      <c r="N49"/>
      <c r="O49"/>
      <c r="P49"/>
    </row>
    <row r="50" spans="1:16" x14ac:dyDescent="0.25">
      <c r="A50" s="121" t="s">
        <v>485</v>
      </c>
      <c r="B50" s="237">
        <f>M21</f>
        <v>6.693472090823084</v>
      </c>
      <c r="C50" s="237">
        <f t="shared" ref="C50:D50" si="7">N21</f>
        <v>5.7332385690594645</v>
      </c>
      <c r="D50" s="237">
        <f t="shared" si="7"/>
        <v>4.8830953858886819</v>
      </c>
      <c r="E50"/>
      <c r="F50"/>
      <c r="G50"/>
      <c r="H50"/>
      <c r="I50"/>
      <c r="J50"/>
      <c r="K50"/>
      <c r="L50"/>
      <c r="M50"/>
      <c r="N50"/>
      <c r="O50"/>
      <c r="P50"/>
    </row>
    <row r="51" spans="1:16" x14ac:dyDescent="0.25">
      <c r="A51" s="121" t="s">
        <v>486</v>
      </c>
      <c r="B51" s="237">
        <f>M23</f>
        <v>3.7842951750236518</v>
      </c>
      <c r="C51" s="237">
        <f t="shared" ref="C51:D51" si="8">N23</f>
        <v>4.0511727078891262</v>
      </c>
      <c r="D51" s="237">
        <f t="shared" si="8"/>
        <v>3.186426650113801</v>
      </c>
      <c r="E51"/>
      <c r="F51"/>
      <c r="G51"/>
      <c r="H51"/>
      <c r="I51"/>
      <c r="J51"/>
      <c r="K51"/>
      <c r="L51"/>
      <c r="M51"/>
      <c r="N51"/>
      <c r="O51"/>
      <c r="P51"/>
    </row>
    <row r="52" spans="1:16" x14ac:dyDescent="0.25">
      <c r="A52" s="121" t="s">
        <v>487</v>
      </c>
      <c r="B52" s="237">
        <f>M24</f>
        <v>1.8921475875118259</v>
      </c>
      <c r="C52" s="237">
        <f t="shared" ref="C52:D52" si="9">N24</f>
        <v>3.1982942430703627</v>
      </c>
      <c r="D52" s="237">
        <f t="shared" si="9"/>
        <v>2.6070763500931098</v>
      </c>
      <c r="E52"/>
      <c r="F52"/>
      <c r="G52"/>
      <c r="H52"/>
      <c r="I52"/>
      <c r="J52"/>
      <c r="K52"/>
      <c r="L52"/>
      <c r="M52"/>
      <c r="N52"/>
      <c r="O52"/>
      <c r="P52"/>
    </row>
    <row r="53" spans="1:16" x14ac:dyDescent="0.25">
      <c r="A53" s="121" t="s">
        <v>488</v>
      </c>
      <c r="B53" s="237">
        <f>M25</f>
        <v>1.1825922421948913</v>
      </c>
      <c r="C53" s="237">
        <f t="shared" ref="C53" si="10">N25</f>
        <v>4.7855958303719497</v>
      </c>
      <c r="D53" s="237">
        <f>O25</f>
        <v>7.469480653838195</v>
      </c>
      <c r="E53"/>
      <c r="F53"/>
      <c r="G53"/>
      <c r="H53"/>
      <c r="I53"/>
      <c r="J53"/>
      <c r="K53"/>
      <c r="L53"/>
      <c r="M53"/>
      <c r="N53"/>
      <c r="O53"/>
      <c r="P53"/>
    </row>
    <row r="54" spans="1:16" x14ac:dyDescent="0.25">
      <c r="C54"/>
      <c r="D54"/>
      <c r="E54"/>
      <c r="F54"/>
      <c r="G54"/>
      <c r="H54"/>
      <c r="I54"/>
      <c r="J54"/>
      <c r="K54"/>
      <c r="L54"/>
      <c r="M54"/>
      <c r="N54"/>
      <c r="O54"/>
      <c r="P54"/>
    </row>
    <row r="55" spans="1:16" x14ac:dyDescent="0.25">
      <c r="A55" s="91" t="s">
        <v>319</v>
      </c>
      <c r="B55" s="96">
        <v>45</v>
      </c>
      <c r="C55"/>
      <c r="D55"/>
      <c r="E55"/>
      <c r="F55"/>
      <c r="G55"/>
      <c r="H55"/>
      <c r="I55"/>
      <c r="J55"/>
      <c r="K55"/>
      <c r="L55"/>
      <c r="M55"/>
      <c r="N55"/>
      <c r="O55"/>
      <c r="P55"/>
    </row>
    <row r="56" spans="1:16" x14ac:dyDescent="0.25">
      <c r="A56" s="91" t="s">
        <v>322</v>
      </c>
      <c r="B56" s="96">
        <v>25</v>
      </c>
      <c r="C56"/>
      <c r="D56"/>
      <c r="E56"/>
      <c r="F56"/>
      <c r="G56"/>
      <c r="H56"/>
      <c r="I56"/>
      <c r="J56"/>
      <c r="K56"/>
      <c r="L56"/>
      <c r="M56"/>
      <c r="N56"/>
      <c r="O56"/>
      <c r="P56"/>
    </row>
    <row r="57" spans="1:16" x14ac:dyDescent="0.25">
      <c r="A57" s="91" t="s">
        <v>321</v>
      </c>
      <c r="B57" s="122">
        <v>18</v>
      </c>
      <c r="C57"/>
      <c r="D57"/>
      <c r="E57"/>
      <c r="F57"/>
      <c r="G57"/>
      <c r="H57"/>
      <c r="I57"/>
      <c r="J57"/>
      <c r="K57"/>
      <c r="L57"/>
      <c r="M57"/>
      <c r="N57"/>
      <c r="O57"/>
      <c r="P57"/>
    </row>
    <row r="58" spans="1:16" x14ac:dyDescent="0.25">
      <c r="A58" s="91" t="s">
        <v>320</v>
      </c>
      <c r="B58" s="96">
        <v>12</v>
      </c>
      <c r="C58"/>
      <c r="D58"/>
      <c r="E58"/>
      <c r="F58"/>
      <c r="G58"/>
      <c r="H58"/>
      <c r="I58"/>
      <c r="J58"/>
      <c r="K58"/>
      <c r="L58"/>
      <c r="M58"/>
      <c r="N58"/>
      <c r="O58"/>
      <c r="P58"/>
    </row>
    <row r="59" spans="1:16" x14ac:dyDescent="0.25">
      <c r="C59"/>
      <c r="D59"/>
      <c r="E59"/>
      <c r="F59"/>
      <c r="G59"/>
      <c r="H59"/>
      <c r="I59"/>
      <c r="J59"/>
      <c r="K59"/>
      <c r="L59"/>
      <c r="M59"/>
      <c r="N59"/>
      <c r="O59"/>
      <c r="P59"/>
    </row>
    <row r="60" spans="1:16" x14ac:dyDescent="0.25">
      <c r="B60" s="2">
        <v>2019</v>
      </c>
      <c r="C60" s="2">
        <v>2020</v>
      </c>
      <c r="D60" s="2">
        <v>2021</v>
      </c>
      <c r="E60"/>
      <c r="F60"/>
      <c r="G60"/>
      <c r="H60"/>
      <c r="I60"/>
      <c r="J60"/>
      <c r="K60"/>
      <c r="L60"/>
      <c r="M60"/>
      <c r="N60"/>
      <c r="O60"/>
      <c r="P60"/>
    </row>
    <row r="61" spans="1:16" x14ac:dyDescent="0.25">
      <c r="A61" s="121" t="s">
        <v>489</v>
      </c>
      <c r="B61" s="142">
        <f>M33</f>
        <v>21.3</v>
      </c>
      <c r="C61" s="142">
        <f t="shared" ref="C61" si="11">N33</f>
        <v>18.7</v>
      </c>
      <c r="D61" s="142">
        <f>O33</f>
        <v>16.399999999999999</v>
      </c>
      <c r="E61"/>
      <c r="F61"/>
      <c r="G61"/>
      <c r="H61"/>
      <c r="I61"/>
      <c r="J61"/>
      <c r="K61"/>
      <c r="L61"/>
      <c r="M61"/>
      <c r="N61"/>
      <c r="O61"/>
      <c r="P61"/>
    </row>
    <row r="62" spans="1:16" x14ac:dyDescent="0.25">
      <c r="A62" s="121" t="s">
        <v>490</v>
      </c>
      <c r="B62" s="142">
        <f t="shared" ref="B62:B72" si="12">M34</f>
        <v>13.9</v>
      </c>
      <c r="C62" s="142">
        <f t="shared" ref="C62:C72" si="13">N34</f>
        <v>18.7</v>
      </c>
      <c r="D62" s="142">
        <f t="shared" ref="D62:D72" si="14">O34</f>
        <v>18.899999999999999</v>
      </c>
      <c r="E62"/>
      <c r="F62"/>
      <c r="G62"/>
      <c r="H62"/>
      <c r="I62"/>
      <c r="J62"/>
      <c r="K62"/>
      <c r="L62"/>
      <c r="M62"/>
      <c r="N62"/>
      <c r="O62"/>
      <c r="P62"/>
    </row>
    <row r="63" spans="1:16" x14ac:dyDescent="0.25">
      <c r="A63" s="121" t="s">
        <v>491</v>
      </c>
      <c r="B63" s="142">
        <f t="shared" si="12"/>
        <v>13.4</v>
      </c>
      <c r="C63" s="142">
        <f t="shared" si="13"/>
        <v>13.5</v>
      </c>
      <c r="D63" s="142">
        <f t="shared" si="14"/>
        <v>19.2</v>
      </c>
    </row>
    <row r="64" spans="1:16" x14ac:dyDescent="0.25">
      <c r="A64" s="121" t="s">
        <v>492</v>
      </c>
      <c r="B64" s="142">
        <f t="shared" si="12"/>
        <v>11.8</v>
      </c>
      <c r="C64" s="142">
        <f t="shared" si="13"/>
        <v>10.5</v>
      </c>
      <c r="D64" s="142">
        <f t="shared" si="14"/>
        <v>9.5</v>
      </c>
    </row>
    <row r="65" spans="1:4" x14ac:dyDescent="0.25">
      <c r="A65" s="121" t="s">
        <v>493</v>
      </c>
      <c r="B65" s="142">
        <f t="shared" si="12"/>
        <v>11.6</v>
      </c>
      <c r="C65" s="142">
        <f t="shared" si="13"/>
        <v>11.9</v>
      </c>
      <c r="D65" s="142">
        <f t="shared" si="14"/>
        <v>9.1</v>
      </c>
    </row>
    <row r="66" spans="1:4" x14ac:dyDescent="0.25">
      <c r="A66" s="121" t="s">
        <v>494</v>
      </c>
      <c r="B66" s="142">
        <f t="shared" si="12"/>
        <v>9.8000000000000007</v>
      </c>
      <c r="C66" s="142">
        <f t="shared" si="13"/>
        <v>7.8</v>
      </c>
      <c r="D66" s="142">
        <f t="shared" si="14"/>
        <v>6.2</v>
      </c>
    </row>
    <row r="67" spans="1:4" x14ac:dyDescent="0.25">
      <c r="A67" s="121" t="s">
        <v>495</v>
      </c>
      <c r="B67" s="142">
        <f t="shared" si="12"/>
        <v>9.1999999999999993</v>
      </c>
      <c r="C67" s="142">
        <f t="shared" si="13"/>
        <v>9.1999999999999993</v>
      </c>
      <c r="D67" s="142">
        <f t="shared" si="14"/>
        <v>8.1</v>
      </c>
    </row>
    <row r="68" spans="1:4" x14ac:dyDescent="0.25">
      <c r="A68" s="121" t="s">
        <v>496</v>
      </c>
      <c r="B68" s="142">
        <f t="shared" si="12"/>
        <v>4.3</v>
      </c>
      <c r="C68" s="142">
        <f t="shared" si="13"/>
        <v>4.0999999999999996</v>
      </c>
      <c r="D68" s="142">
        <f t="shared" si="14"/>
        <v>3.5</v>
      </c>
    </row>
    <row r="69" spans="1:4" x14ac:dyDescent="0.25">
      <c r="A69" s="121" t="s">
        <v>497</v>
      </c>
      <c r="B69" s="142">
        <f t="shared" si="12"/>
        <v>2.6</v>
      </c>
      <c r="C69" s="142">
        <f t="shared" si="13"/>
        <v>2.5</v>
      </c>
      <c r="D69" s="142">
        <f t="shared" si="14"/>
        <v>2.2000000000000002</v>
      </c>
    </row>
    <row r="70" spans="1:4" x14ac:dyDescent="0.25">
      <c r="A70" s="121" t="s">
        <v>498</v>
      </c>
      <c r="B70" s="142">
        <f t="shared" si="12"/>
        <v>1.2</v>
      </c>
      <c r="C70" s="142">
        <f t="shared" si="13"/>
        <v>1.7</v>
      </c>
      <c r="D70" s="142">
        <f t="shared" si="14"/>
        <v>1.8</v>
      </c>
    </row>
    <row r="71" spans="1:4" x14ac:dyDescent="0.25">
      <c r="A71" s="121" t="s">
        <v>499</v>
      </c>
      <c r="B71" s="142">
        <f t="shared" si="12"/>
        <v>0.9</v>
      </c>
      <c r="C71" s="142">
        <f t="shared" si="13"/>
        <v>1.4</v>
      </c>
      <c r="D71" s="142">
        <f t="shared" si="14"/>
        <v>1.9</v>
      </c>
    </row>
    <row r="72" spans="1:4" x14ac:dyDescent="0.25">
      <c r="A72" s="91" t="s">
        <v>589</v>
      </c>
      <c r="B72" s="142">
        <f t="shared" si="12"/>
        <v>0</v>
      </c>
      <c r="C72" s="142">
        <f t="shared" si="13"/>
        <v>0</v>
      </c>
      <c r="D72" s="142">
        <f t="shared" si="14"/>
        <v>3.2</v>
      </c>
    </row>
    <row r="73" spans="1:4" x14ac:dyDescent="0.25">
      <c r="B73" s="142"/>
      <c r="C73" s="142"/>
      <c r="D73" s="142"/>
    </row>
  </sheetData>
  <mergeCells count="1">
    <mergeCell ref="A1:A2"/>
  </mergeCells>
  <phoneticPr fontId="39" type="noConversion"/>
  <hyperlinks>
    <hyperlink ref="R11" r:id="rId1" xr:uid="{76D14901-4392-4993-AA4F-8028D9E49A7A}"/>
    <hyperlink ref="R4" r:id="rId2" location="reqid=51&amp;step=51&amp;isuri=1&amp;5114=a&amp;5102=1" xr:uid="{484A90CD-3E90-4C4F-85C3-CE176EAFA152}"/>
    <hyperlink ref="R5" r:id="rId3" location="reqid=51&amp;step=51&amp;isuri=1&amp;5114=a&amp;5102=5" xr:uid="{0F066A29-A326-42F6-B0BF-2B65C66C3E43}"/>
    <hyperlink ref="R10" r:id="rId4" xr:uid="{B9DC469A-20A9-44C2-BE2A-7E35C9644D45}"/>
    <hyperlink ref="R7" r:id="rId5" display="https://apps.bea.gov/iTable/iTable.cfm?reqid=19&amp;step=2&amp;isuri=1&amp;1921=survey" xr:uid="{30B9E335-DFBB-4CB1-9AF9-8E0403E282A4}"/>
    <hyperlink ref="R27" r:id="rId6" xr:uid="{EA2E2DE3-0BC0-4EBF-9E18-AABECA79E3FB}"/>
    <hyperlink ref="R28" r:id="rId7" xr:uid="{F0F96392-EA87-4B1D-A172-1E44A7DF1411}"/>
    <hyperlink ref="R6" r:id="rId8" location="reqid=51&amp;step=51&amp;isuri=1&amp;5114=a&amp;5102=5" xr:uid="{411D5347-C81A-48C8-A465-79554532349E}"/>
  </hyperlinks>
  <pageMargins left="0.7" right="0.7" top="0.75" bottom="0.75" header="0.3" footer="0.3"/>
  <pageSetup orientation="portrait" r:id="rId9"/>
  <drawing r:id="rId1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93404"/>
  </sheetPr>
  <dimension ref="A1:S29"/>
  <sheetViews>
    <sheetView zoomScale="85" zoomScaleNormal="85" workbookViewId="0">
      <pane xSplit="1" ySplit="3" topLeftCell="G4" activePane="bottomRight" state="frozen"/>
      <selection pane="topRight" activeCell="B1" sqref="B1"/>
      <selection pane="bottomLeft" activeCell="A4" sqref="A4"/>
      <selection pane="bottomRight" activeCell="P17" sqref="P17:Q18"/>
    </sheetView>
  </sheetViews>
  <sheetFormatPr defaultColWidth="8.85546875" defaultRowHeight="15" x14ac:dyDescent="0.25"/>
  <cols>
    <col min="1" max="1" width="74.85546875" style="10" bestFit="1" customWidth="1"/>
    <col min="2" max="16" width="11.7109375" style="2" customWidth="1"/>
    <col min="17" max="17" width="33.140625" style="10" customWidth="1"/>
    <col min="18" max="18" width="69.28515625" style="10" customWidth="1"/>
    <col min="19" max="19" width="29.85546875" style="10" customWidth="1"/>
    <col min="20" max="16384" width="8.85546875" style="10"/>
  </cols>
  <sheetData>
    <row r="1" spans="1:19" x14ac:dyDescent="0.25">
      <c r="A1" s="385" t="s">
        <v>87</v>
      </c>
    </row>
    <row r="2" spans="1:19" x14ac:dyDescent="0.25">
      <c r="A2" s="385"/>
    </row>
    <row r="3" spans="1:19" s="2" customFormat="1" x14ac:dyDescent="0.25">
      <c r="A3" s="107" t="s">
        <v>88</v>
      </c>
      <c r="B3" s="107">
        <v>2008</v>
      </c>
      <c r="C3" s="107">
        <v>2009</v>
      </c>
      <c r="D3" s="107">
        <v>2010</v>
      </c>
      <c r="E3" s="107">
        <v>2011</v>
      </c>
      <c r="F3" s="107">
        <v>2012</v>
      </c>
      <c r="G3" s="107">
        <v>2013</v>
      </c>
      <c r="H3" s="107">
        <v>2014</v>
      </c>
      <c r="I3" s="107">
        <v>2015</v>
      </c>
      <c r="J3" s="107">
        <v>2016</v>
      </c>
      <c r="K3" s="107">
        <v>2017</v>
      </c>
      <c r="L3" s="107">
        <v>2018</v>
      </c>
      <c r="M3" s="107">
        <v>2019</v>
      </c>
      <c r="N3" s="107">
        <v>2020</v>
      </c>
      <c r="O3" s="107">
        <v>2021</v>
      </c>
      <c r="P3" s="107">
        <v>2022</v>
      </c>
      <c r="Q3" s="107" t="s">
        <v>107</v>
      </c>
      <c r="R3" s="123" t="s">
        <v>108</v>
      </c>
      <c r="S3" s="123" t="s">
        <v>38</v>
      </c>
    </row>
    <row r="4" spans="1:19" ht="30" x14ac:dyDescent="0.25">
      <c r="A4" s="121" t="s">
        <v>188</v>
      </c>
      <c r="B4" s="122">
        <v>265.7</v>
      </c>
      <c r="C4" s="122">
        <v>288</v>
      </c>
      <c r="D4" s="122">
        <v>303.3</v>
      </c>
      <c r="E4" s="122">
        <v>306</v>
      </c>
      <c r="F4" s="122">
        <v>305</v>
      </c>
      <c r="G4" s="122">
        <v>321.5</v>
      </c>
      <c r="H4" s="122">
        <v>330</v>
      </c>
      <c r="I4" s="122">
        <v>333.3</v>
      </c>
      <c r="J4" s="122">
        <v>357</v>
      </c>
      <c r="K4" s="122">
        <v>362.9</v>
      </c>
      <c r="L4" s="122">
        <v>375.8</v>
      </c>
      <c r="M4" s="122">
        <v>391</v>
      </c>
      <c r="N4" s="122">
        <v>394.6</v>
      </c>
      <c r="O4" s="122">
        <v>438.9</v>
      </c>
      <c r="P4" s="122"/>
      <c r="Q4" s="94" t="s">
        <v>78</v>
      </c>
      <c r="R4" s="100" t="s">
        <v>125</v>
      </c>
      <c r="S4" s="94" t="s">
        <v>561</v>
      </c>
    </row>
    <row r="5" spans="1:19" ht="30" x14ac:dyDescent="0.25">
      <c r="A5" s="151" t="s">
        <v>89</v>
      </c>
      <c r="B5" s="64">
        <v>1.8</v>
      </c>
      <c r="C5" s="64">
        <v>2</v>
      </c>
      <c r="D5" s="64">
        <v>2</v>
      </c>
      <c r="E5" s="64">
        <v>2</v>
      </c>
      <c r="F5" s="64">
        <v>1.9</v>
      </c>
      <c r="G5" s="64">
        <v>1.9</v>
      </c>
      <c r="H5" s="64">
        <v>1.9</v>
      </c>
      <c r="I5" s="64">
        <v>1.8</v>
      </c>
      <c r="J5" s="64">
        <v>1.8</v>
      </c>
      <c r="K5" s="92">
        <v>1.8</v>
      </c>
      <c r="L5" s="92">
        <v>1.8</v>
      </c>
      <c r="M5" s="92">
        <v>1.8</v>
      </c>
      <c r="N5" s="92">
        <v>1.9</v>
      </c>
      <c r="O5" s="92">
        <v>1.9</v>
      </c>
      <c r="P5" s="92"/>
      <c r="Q5" s="94" t="s">
        <v>78</v>
      </c>
      <c r="R5" s="100" t="s">
        <v>125</v>
      </c>
      <c r="S5" s="94" t="s">
        <v>561</v>
      </c>
    </row>
    <row r="6" spans="1:19" ht="30" x14ac:dyDescent="0.25">
      <c r="A6" s="121" t="s">
        <v>189</v>
      </c>
      <c r="B6" s="327">
        <v>735.8</v>
      </c>
      <c r="C6" s="327">
        <v>620.9</v>
      </c>
      <c r="D6" s="327">
        <v>715.7</v>
      </c>
      <c r="E6" s="327">
        <v>782.3</v>
      </c>
      <c r="F6" s="327">
        <v>792.8</v>
      </c>
      <c r="G6" s="327">
        <v>830.8</v>
      </c>
      <c r="H6" s="327">
        <v>830.4</v>
      </c>
      <c r="I6" s="327">
        <v>785.5</v>
      </c>
      <c r="J6" s="327">
        <v>778.1</v>
      </c>
      <c r="K6" s="93">
        <v>793.2</v>
      </c>
      <c r="L6" s="93">
        <v>805.8</v>
      </c>
      <c r="M6" s="93">
        <v>777.8</v>
      </c>
      <c r="N6" s="93">
        <v>779.9</v>
      </c>
      <c r="O6" s="93"/>
      <c r="P6" s="238"/>
      <c r="Q6" s="94" t="s">
        <v>78</v>
      </c>
      <c r="R6" s="100" t="s">
        <v>125</v>
      </c>
      <c r="S6" s="94" t="s">
        <v>561</v>
      </c>
    </row>
    <row r="7" spans="1:19" x14ac:dyDescent="0.25">
      <c r="A7" s="328" t="s">
        <v>190</v>
      </c>
      <c r="B7" s="122">
        <v>86.6</v>
      </c>
      <c r="C7" s="122">
        <v>84.3</v>
      </c>
      <c r="D7" s="122">
        <v>86</v>
      </c>
      <c r="E7" s="122">
        <v>86.7</v>
      </c>
      <c r="F7" s="122">
        <v>89.7</v>
      </c>
      <c r="G7" s="122">
        <v>92.4</v>
      </c>
      <c r="H7" s="122">
        <v>97.2</v>
      </c>
      <c r="I7" s="122">
        <v>100.5</v>
      </c>
      <c r="J7" s="122">
        <v>99</v>
      </c>
      <c r="K7" s="122">
        <v>101.7</v>
      </c>
      <c r="L7" s="122">
        <v>104.5</v>
      </c>
      <c r="M7" s="122">
        <v>110.4</v>
      </c>
      <c r="N7" s="122">
        <v>115.4</v>
      </c>
      <c r="O7" s="122"/>
      <c r="P7" s="122"/>
      <c r="Q7" s="94" t="s">
        <v>78</v>
      </c>
      <c r="R7" s="27" t="s">
        <v>348</v>
      </c>
      <c r="S7" s="94" t="s">
        <v>561</v>
      </c>
    </row>
    <row r="8" spans="1:19" ht="30" x14ac:dyDescent="0.25">
      <c r="A8" s="121" t="s">
        <v>191</v>
      </c>
      <c r="B8" s="122">
        <v>10.199999999999999</v>
      </c>
      <c r="C8" s="122">
        <v>11.1</v>
      </c>
      <c r="D8" s="122">
        <v>11.4</v>
      </c>
      <c r="E8" s="122">
        <v>14.2</v>
      </c>
      <c r="F8" s="122">
        <v>14.6</v>
      </c>
      <c r="G8" s="122">
        <v>15.5</v>
      </c>
      <c r="H8" s="122">
        <v>15.7</v>
      </c>
      <c r="I8" s="122">
        <v>16.2</v>
      </c>
      <c r="J8" s="122">
        <v>15.9</v>
      </c>
      <c r="K8" s="122">
        <v>18</v>
      </c>
      <c r="L8" s="122">
        <v>18.7</v>
      </c>
      <c r="M8" s="122">
        <v>18.7</v>
      </c>
      <c r="N8" s="122">
        <v>14.4</v>
      </c>
      <c r="O8" s="122"/>
      <c r="P8" s="122"/>
      <c r="Q8" s="94" t="s">
        <v>78</v>
      </c>
      <c r="R8" s="100" t="s">
        <v>125</v>
      </c>
      <c r="S8" s="94" t="s">
        <v>561</v>
      </c>
    </row>
    <row r="9" spans="1:19" ht="30" x14ac:dyDescent="0.25">
      <c r="A9" s="121" t="s">
        <v>192</v>
      </c>
      <c r="B9" s="228">
        <v>168.8</v>
      </c>
      <c r="C9" s="228">
        <v>192.6</v>
      </c>
      <c r="D9" s="228">
        <v>205.9</v>
      </c>
      <c r="E9" s="228">
        <v>205.1</v>
      </c>
      <c r="F9" s="228">
        <v>200.7</v>
      </c>
      <c r="G9" s="228">
        <v>213.6</v>
      </c>
      <c r="H9" s="228">
        <v>217.1</v>
      </c>
      <c r="I9" s="228">
        <v>216.6</v>
      </c>
      <c r="J9" s="228">
        <v>242.1</v>
      </c>
      <c r="K9" s="228">
        <v>243.2</v>
      </c>
      <c r="L9" s="228">
        <v>252.5</v>
      </c>
      <c r="M9" s="228">
        <v>261.8</v>
      </c>
      <c r="N9" s="122">
        <v>264.8</v>
      </c>
      <c r="O9" s="122"/>
      <c r="P9" s="122"/>
      <c r="Q9" s="94" t="s">
        <v>78</v>
      </c>
      <c r="R9" s="100" t="s">
        <v>125</v>
      </c>
      <c r="S9" s="94" t="s">
        <v>561</v>
      </c>
    </row>
    <row r="10" spans="1:19" x14ac:dyDescent="0.25">
      <c r="A10" s="121" t="s">
        <v>81</v>
      </c>
      <c r="B10" s="122">
        <v>848</v>
      </c>
      <c r="C10" s="122">
        <v>801</v>
      </c>
      <c r="D10" s="122">
        <v>788</v>
      </c>
      <c r="E10" s="122">
        <v>785</v>
      </c>
      <c r="F10" s="122">
        <v>788</v>
      </c>
      <c r="G10" s="122">
        <v>795</v>
      </c>
      <c r="H10" s="122">
        <v>802</v>
      </c>
      <c r="I10" s="122">
        <v>808</v>
      </c>
      <c r="J10" s="122">
        <v>813</v>
      </c>
      <c r="K10" s="122">
        <v>823</v>
      </c>
      <c r="L10" s="122">
        <v>832</v>
      </c>
      <c r="M10" s="122">
        <v>850</v>
      </c>
      <c r="N10" s="122">
        <v>846</v>
      </c>
      <c r="O10" s="122"/>
      <c r="P10" s="122"/>
      <c r="Q10" s="94" t="s">
        <v>78</v>
      </c>
      <c r="R10" s="156" t="s">
        <v>348</v>
      </c>
      <c r="S10" s="94" t="s">
        <v>561</v>
      </c>
    </row>
    <row r="11" spans="1:19" ht="30" x14ac:dyDescent="0.25">
      <c r="A11" s="151" t="s">
        <v>193</v>
      </c>
      <c r="B11" s="122">
        <v>743.7</v>
      </c>
      <c r="C11" s="122">
        <v>624.5</v>
      </c>
      <c r="D11" s="122">
        <v>693.2</v>
      </c>
      <c r="E11" s="122">
        <v>781</v>
      </c>
      <c r="F11" s="122">
        <v>794.6</v>
      </c>
      <c r="G11" s="122">
        <v>782.1</v>
      </c>
      <c r="H11" s="122">
        <v>793.9</v>
      </c>
      <c r="I11" s="122">
        <v>818.2</v>
      </c>
      <c r="J11" s="122">
        <v>800.5</v>
      </c>
      <c r="K11" s="97"/>
      <c r="L11" s="96">
        <v>787</v>
      </c>
      <c r="M11" s="63"/>
      <c r="N11" s="63"/>
      <c r="O11" s="63"/>
      <c r="P11" s="63"/>
      <c r="Q11" s="37" t="s">
        <v>90</v>
      </c>
      <c r="R11" s="48" t="s">
        <v>127</v>
      </c>
      <c r="S11" s="94" t="s">
        <v>337</v>
      </c>
    </row>
    <row r="12" spans="1:19" x14ac:dyDescent="0.25">
      <c r="A12" s="151" t="s">
        <v>194</v>
      </c>
      <c r="B12" s="233">
        <v>738.62000000000012</v>
      </c>
      <c r="C12" s="233">
        <v>624.36200000000008</v>
      </c>
      <c r="D12" s="233">
        <v>697.79099999999994</v>
      </c>
      <c r="E12" s="233">
        <v>777</v>
      </c>
      <c r="F12" s="233">
        <v>794.7</v>
      </c>
      <c r="G12" s="233">
        <v>599.6</v>
      </c>
      <c r="H12" s="122">
        <v>588.1</v>
      </c>
      <c r="I12" s="122">
        <v>521.6</v>
      </c>
      <c r="J12" s="122">
        <v>503.4</v>
      </c>
      <c r="K12" s="122">
        <v>523.1</v>
      </c>
      <c r="L12" s="122">
        <v>548.79999999999995</v>
      </c>
      <c r="M12" s="83">
        <v>510.4</v>
      </c>
      <c r="N12" s="83">
        <v>464.8</v>
      </c>
      <c r="O12" s="83">
        <v>517.20000000000005</v>
      </c>
      <c r="P12" s="83"/>
      <c r="Q12" s="37" t="s">
        <v>90</v>
      </c>
      <c r="R12" s="329" t="s">
        <v>569</v>
      </c>
      <c r="S12" s="94" t="s">
        <v>561</v>
      </c>
    </row>
    <row r="13" spans="1:19" x14ac:dyDescent="0.25">
      <c r="A13" s="151" t="s">
        <v>195</v>
      </c>
      <c r="B13" s="233">
        <v>170.88499999999999</v>
      </c>
      <c r="C13" s="233">
        <v>145.66399999999999</v>
      </c>
      <c r="D13" s="233">
        <v>166.40100000000001</v>
      </c>
      <c r="E13" s="233">
        <v>191.28299999999999</v>
      </c>
      <c r="F13" s="233">
        <v>188.04400000000001</v>
      </c>
      <c r="G13" s="233">
        <v>100.1</v>
      </c>
      <c r="H13" s="122">
        <v>102.9</v>
      </c>
      <c r="I13" s="122">
        <v>95.2</v>
      </c>
      <c r="J13" s="122">
        <v>93.1</v>
      </c>
      <c r="K13" s="122">
        <v>97.1</v>
      </c>
      <c r="L13" s="122">
        <v>109</v>
      </c>
      <c r="M13" s="83">
        <v>101.9</v>
      </c>
      <c r="N13" s="83">
        <v>96.7</v>
      </c>
      <c r="O13" s="83">
        <v>128.30000000000001</v>
      </c>
      <c r="P13" s="83"/>
      <c r="Q13" s="37" t="s">
        <v>90</v>
      </c>
      <c r="R13" s="329" t="s">
        <v>569</v>
      </c>
      <c r="S13" s="94" t="s">
        <v>561</v>
      </c>
    </row>
    <row r="14" spans="1:19" x14ac:dyDescent="0.25">
      <c r="A14" s="151" t="s">
        <v>196</v>
      </c>
      <c r="B14" s="233">
        <v>165.80500000000001</v>
      </c>
      <c r="C14" s="233">
        <v>145.52600000000001</v>
      </c>
      <c r="D14" s="233">
        <v>170.99199999999999</v>
      </c>
      <c r="E14" s="233">
        <v>187.13800000000001</v>
      </c>
      <c r="F14" s="233">
        <v>188.107</v>
      </c>
      <c r="G14" s="233">
        <v>140.69999999999999</v>
      </c>
      <c r="H14" s="122">
        <v>139.5</v>
      </c>
      <c r="I14" s="122">
        <v>128.30000000000001</v>
      </c>
      <c r="J14" s="122">
        <v>121</v>
      </c>
      <c r="K14" s="122">
        <v>130.1</v>
      </c>
      <c r="L14" s="122">
        <v>140.1</v>
      </c>
      <c r="M14" s="83">
        <v>135.5</v>
      </c>
      <c r="N14" s="83">
        <v>125.2</v>
      </c>
      <c r="O14" s="83">
        <v>153.1</v>
      </c>
      <c r="P14" s="83"/>
      <c r="Q14" s="37" t="s">
        <v>90</v>
      </c>
      <c r="R14" s="329" t="s">
        <v>569</v>
      </c>
      <c r="S14" s="94" t="s">
        <v>561</v>
      </c>
    </row>
    <row r="15" spans="1:19" x14ac:dyDescent="0.25">
      <c r="A15" s="87"/>
      <c r="B15" s="54"/>
      <c r="C15" s="54"/>
      <c r="D15" s="54"/>
      <c r="E15" s="54"/>
      <c r="F15" s="54"/>
      <c r="G15" s="54"/>
      <c r="H15" s="54"/>
      <c r="I15" s="54"/>
      <c r="J15" s="54"/>
      <c r="K15" s="54"/>
      <c r="L15" s="54"/>
      <c r="M15" s="54"/>
      <c r="N15" s="54"/>
      <c r="O15" s="54"/>
      <c r="P15" s="54"/>
      <c r="Q15" s="49"/>
      <c r="R15" s="49"/>
      <c r="S15" s="82"/>
    </row>
    <row r="16" spans="1:19" s="2" customFormat="1" x14ac:dyDescent="0.25">
      <c r="A16" s="239" t="s">
        <v>91</v>
      </c>
      <c r="B16" s="240">
        <v>2008</v>
      </c>
      <c r="C16" s="240">
        <v>2009</v>
      </c>
      <c r="D16" s="240">
        <v>2010</v>
      </c>
      <c r="E16" s="240">
        <v>2011</v>
      </c>
      <c r="F16" s="240">
        <v>2012</v>
      </c>
      <c r="G16" s="240">
        <v>2013</v>
      </c>
      <c r="H16" s="240">
        <v>2014</v>
      </c>
      <c r="I16" s="240">
        <v>2015</v>
      </c>
      <c r="J16" s="240">
        <v>2016</v>
      </c>
      <c r="K16" s="107">
        <v>2017</v>
      </c>
      <c r="L16" s="107">
        <v>2018</v>
      </c>
      <c r="M16" s="107">
        <v>2019</v>
      </c>
      <c r="N16" s="107">
        <v>2020</v>
      </c>
      <c r="O16" s="107">
        <v>2021</v>
      </c>
      <c r="P16" s="107">
        <v>2022</v>
      </c>
      <c r="Q16" s="107" t="s">
        <v>107</v>
      </c>
      <c r="R16" s="123" t="s">
        <v>108</v>
      </c>
      <c r="S16" s="123" t="s">
        <v>38</v>
      </c>
    </row>
    <row r="17" spans="1:19" ht="60" x14ac:dyDescent="0.25">
      <c r="A17" s="121" t="s">
        <v>198</v>
      </c>
      <c r="B17" s="152"/>
      <c r="C17" s="152"/>
      <c r="D17" s="122">
        <v>4.4000000000000004</v>
      </c>
      <c r="E17" s="122">
        <v>4.7430000000000003</v>
      </c>
      <c r="F17" s="122">
        <v>5.04</v>
      </c>
      <c r="G17" s="122">
        <v>5.9</v>
      </c>
      <c r="H17" s="122">
        <v>6.2</v>
      </c>
      <c r="I17" s="122">
        <v>6.1</v>
      </c>
      <c r="J17" s="122">
        <v>6.4</v>
      </c>
      <c r="K17" s="122">
        <v>6.7</v>
      </c>
      <c r="L17" s="122">
        <v>6.8</v>
      </c>
      <c r="M17" s="122">
        <v>7</v>
      </c>
      <c r="N17" s="122">
        <v>6.8</v>
      </c>
      <c r="O17" s="122">
        <v>7.4</v>
      </c>
      <c r="P17" s="122"/>
      <c r="Q17" s="94" t="s">
        <v>586</v>
      </c>
      <c r="R17" s="95" t="s">
        <v>588</v>
      </c>
      <c r="S17" s="94" t="s">
        <v>561</v>
      </c>
    </row>
    <row r="18" spans="1:19" ht="60" x14ac:dyDescent="0.25">
      <c r="A18" s="121" t="s">
        <v>571</v>
      </c>
      <c r="B18" s="97"/>
      <c r="C18" s="97"/>
      <c r="D18" s="122">
        <v>45.2</v>
      </c>
      <c r="E18" s="122">
        <v>47.957000000000001</v>
      </c>
      <c r="F18" s="122">
        <v>50.96</v>
      </c>
      <c r="G18" s="122">
        <v>54.4</v>
      </c>
      <c r="H18" s="122">
        <v>57.1</v>
      </c>
      <c r="I18" s="122">
        <v>60.7</v>
      </c>
      <c r="J18" s="122">
        <v>64.8</v>
      </c>
      <c r="K18" s="122">
        <v>64.900000000000006</v>
      </c>
      <c r="L18" s="122">
        <v>66.599999999999994</v>
      </c>
      <c r="M18" s="122">
        <v>73.5</v>
      </c>
      <c r="N18" s="122">
        <v>74.099999999999994</v>
      </c>
      <c r="O18" s="122">
        <v>80.900000000000006</v>
      </c>
      <c r="P18" s="122"/>
      <c r="Q18" s="94" t="s">
        <v>586</v>
      </c>
      <c r="R18" s="95" t="s">
        <v>588</v>
      </c>
      <c r="S18" s="94" t="s">
        <v>561</v>
      </c>
    </row>
    <row r="19" spans="1:19" x14ac:dyDescent="0.25">
      <c r="A19" s="88"/>
      <c r="B19" s="73"/>
      <c r="C19" s="73"/>
      <c r="D19" s="73"/>
      <c r="E19" s="73"/>
      <c r="F19" s="73"/>
      <c r="G19" s="73"/>
      <c r="H19" s="73"/>
      <c r="I19" s="73"/>
      <c r="J19" s="73"/>
      <c r="K19" s="73"/>
      <c r="L19" s="73"/>
      <c r="M19" s="73"/>
      <c r="N19" s="73"/>
      <c r="O19" s="73"/>
      <c r="P19" s="73"/>
      <c r="Q19" s="14"/>
      <c r="R19" s="14"/>
      <c r="S19" s="15"/>
    </row>
    <row r="20" spans="1:19" s="2" customFormat="1" x14ac:dyDescent="0.25">
      <c r="A20" s="241" t="s">
        <v>92</v>
      </c>
      <c r="B20" s="107">
        <v>2008</v>
      </c>
      <c r="C20" s="107">
        <v>2009</v>
      </c>
      <c r="D20" s="107">
        <v>2010</v>
      </c>
      <c r="E20" s="107">
        <v>2011</v>
      </c>
      <c r="F20" s="107">
        <v>2012</v>
      </c>
      <c r="G20" s="107">
        <v>2013</v>
      </c>
      <c r="H20" s="107">
        <v>2014</v>
      </c>
      <c r="I20" s="107">
        <v>2015</v>
      </c>
      <c r="J20" s="107">
        <v>2016</v>
      </c>
      <c r="K20" s="107">
        <v>2017</v>
      </c>
      <c r="L20" s="107">
        <v>2018</v>
      </c>
      <c r="M20" s="107">
        <v>2019</v>
      </c>
      <c r="N20" s="107">
        <v>2020</v>
      </c>
      <c r="O20" s="107">
        <v>2021</v>
      </c>
      <c r="P20" s="107">
        <v>2022</v>
      </c>
      <c r="Q20" s="107" t="s">
        <v>107</v>
      </c>
      <c r="R20" s="123" t="s">
        <v>108</v>
      </c>
      <c r="S20" s="123" t="s">
        <v>38</v>
      </c>
    </row>
    <row r="21" spans="1:19" ht="30" x14ac:dyDescent="0.25">
      <c r="A21" s="121" t="s">
        <v>197</v>
      </c>
      <c r="B21" s="97"/>
      <c r="C21" s="97"/>
      <c r="D21" s="97"/>
      <c r="E21" s="97"/>
      <c r="F21" s="96">
        <v>66</v>
      </c>
      <c r="G21" s="97"/>
      <c r="H21" s="97"/>
      <c r="I21" s="97"/>
      <c r="J21" s="97"/>
      <c r="K21" s="85"/>
      <c r="L21" s="97"/>
      <c r="M21" s="97"/>
      <c r="N21" s="97"/>
      <c r="O21" s="97"/>
      <c r="P21" s="97"/>
      <c r="Q21" s="21" t="s">
        <v>128</v>
      </c>
      <c r="R21" s="94" t="s">
        <v>69</v>
      </c>
      <c r="S21" s="94" t="s">
        <v>106</v>
      </c>
    </row>
    <row r="23" spans="1:19" x14ac:dyDescent="0.25">
      <c r="G23" s="59"/>
    </row>
    <row r="25" spans="1:19" x14ac:dyDescent="0.25">
      <c r="K25" s="297"/>
      <c r="L25" s="297"/>
      <c r="M25" s="297"/>
    </row>
    <row r="27" spans="1:19" x14ac:dyDescent="0.25">
      <c r="K27" s="246"/>
      <c r="L27" s="246"/>
      <c r="M27" s="246"/>
    </row>
    <row r="29" spans="1:19" x14ac:dyDescent="0.25">
      <c r="Q29" s="10" t="s">
        <v>70</v>
      </c>
    </row>
  </sheetData>
  <mergeCells count="1">
    <mergeCell ref="A1:A2"/>
  </mergeCells>
  <hyperlinks>
    <hyperlink ref="R11" r:id="rId1" xr:uid="{8214640C-6E38-4346-9062-94E747FBBF8C}"/>
    <hyperlink ref="R4" r:id="rId2" location="reqid=51&amp;step=2&amp;isuri=1" xr:uid="{0A4F589B-871C-4DB4-BC45-D03CED556A4A}"/>
    <hyperlink ref="R10" r:id="rId3" xr:uid="{038FE9A2-5456-4A3E-B1B8-ED8C1F5AEE84}"/>
    <hyperlink ref="R7" r:id="rId4" xr:uid="{65FFD070-70BD-4177-8A31-A77CF76E2F8D}"/>
    <hyperlink ref="R17" r:id="rId5" display="https://www.statista.com/statistics/271651/global-production-of-the-chemical-fiber-industry/" xr:uid="{2CE91538-08FB-4E46-82FB-9FDE55ABFCF5}"/>
    <hyperlink ref="R8" r:id="rId6" location="reqid=51&amp;step=2&amp;isuri=1" xr:uid="{285763F9-9106-4A9D-ADEE-6EE64825A245}"/>
    <hyperlink ref="R18" r:id="rId7" display="https://www.statista.com/statistics/271651/global-production-of-the-chemical-fiber-industry/" xr:uid="{F63CE94B-0F07-44C9-8EE9-58AFEEF4D5E7}"/>
    <hyperlink ref="R12" r:id="rId8" xr:uid="{5BC2A71C-C766-4A8D-B95A-22836D3C677A}"/>
    <hyperlink ref="R13" r:id="rId9" xr:uid="{10BB17AB-5C92-4EA2-A912-D8C0ED4F1066}"/>
  </hyperlinks>
  <pageMargins left="0.7" right="0.7" top="0.75" bottom="0.75" header="0.3" footer="0.3"/>
  <pageSetup orientation="portrait" horizontalDpi="90" verticalDpi="90" r:id="rId1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93404"/>
  </sheetPr>
  <dimension ref="A1:S11"/>
  <sheetViews>
    <sheetView zoomScale="85" zoomScaleNormal="85" workbookViewId="0">
      <pane xSplit="1" ySplit="3" topLeftCell="C4" activePane="bottomRight" state="frozen"/>
      <selection pane="topRight" activeCell="B1" sqref="B1"/>
      <selection pane="bottomLeft" activeCell="A4" sqref="A4"/>
      <selection pane="bottomRight" activeCell="T8" sqref="S4:T8"/>
    </sheetView>
  </sheetViews>
  <sheetFormatPr defaultColWidth="8.85546875" defaultRowHeight="15" x14ac:dyDescent="0.25"/>
  <cols>
    <col min="1" max="1" width="41.5703125" style="10" customWidth="1"/>
    <col min="2" max="16" width="11.7109375" style="2" customWidth="1"/>
    <col min="17" max="17" width="20.140625" style="10" customWidth="1"/>
    <col min="18" max="18" width="66.5703125" style="10" customWidth="1"/>
    <col min="19" max="19" width="17.7109375" style="10" bestFit="1" customWidth="1"/>
    <col min="20" max="20" width="15.28515625" style="10" customWidth="1"/>
    <col min="21" max="16384" width="8.85546875" style="10"/>
  </cols>
  <sheetData>
    <row r="1" spans="1:19" x14ac:dyDescent="0.25">
      <c r="A1" s="385" t="s">
        <v>93</v>
      </c>
    </row>
    <row r="2" spans="1:19" x14ac:dyDescent="0.25">
      <c r="A2" s="386"/>
    </row>
    <row r="3" spans="1:19" s="2" customFormat="1" x14ac:dyDescent="0.25">
      <c r="A3" s="107" t="s">
        <v>94</v>
      </c>
      <c r="B3" s="107">
        <v>2008</v>
      </c>
      <c r="C3" s="107">
        <v>2009</v>
      </c>
      <c r="D3" s="107">
        <v>2010</v>
      </c>
      <c r="E3" s="107">
        <v>2011</v>
      </c>
      <c r="F3" s="107">
        <v>2012</v>
      </c>
      <c r="G3" s="107">
        <v>2013</v>
      </c>
      <c r="H3" s="107">
        <v>2014</v>
      </c>
      <c r="I3" s="107">
        <v>2015</v>
      </c>
      <c r="J3" s="107">
        <v>2016</v>
      </c>
      <c r="K3" s="107">
        <v>2017</v>
      </c>
      <c r="L3" s="107">
        <v>2018</v>
      </c>
      <c r="M3" s="107">
        <v>2019</v>
      </c>
      <c r="N3" s="107">
        <v>2020</v>
      </c>
      <c r="O3" s="107">
        <v>2021</v>
      </c>
      <c r="P3" s="107">
        <v>2020</v>
      </c>
      <c r="Q3" s="107" t="s">
        <v>107</v>
      </c>
      <c r="R3" s="208" t="s">
        <v>108</v>
      </c>
      <c r="S3" s="208" t="s">
        <v>38</v>
      </c>
    </row>
    <row r="4" spans="1:19" ht="75" x14ac:dyDescent="0.25">
      <c r="A4" s="230" t="s">
        <v>183</v>
      </c>
      <c r="B4" s="228">
        <v>2.93</v>
      </c>
      <c r="C4" s="228">
        <v>3.16</v>
      </c>
      <c r="D4" s="228">
        <v>3.63</v>
      </c>
      <c r="E4" s="228">
        <v>4.03</v>
      </c>
      <c r="F4" s="228">
        <v>4.49</v>
      </c>
      <c r="G4" s="330">
        <v>4.7699999999999996</v>
      </c>
      <c r="H4" s="228">
        <v>4.5999999999999996</v>
      </c>
      <c r="I4" s="228">
        <v>4.9000000000000004</v>
      </c>
      <c r="J4" s="228">
        <v>5</v>
      </c>
      <c r="K4" s="92">
        <v>5.2541000000000002</v>
      </c>
      <c r="L4" s="96">
        <v>5.5</v>
      </c>
      <c r="M4" s="96">
        <v>5.6</v>
      </c>
      <c r="N4" s="302">
        <v>5.93</v>
      </c>
      <c r="O4" s="96">
        <v>6.4</v>
      </c>
      <c r="P4" s="96"/>
      <c r="Q4" s="242" t="s">
        <v>214</v>
      </c>
      <c r="R4" s="243" t="s">
        <v>572</v>
      </c>
      <c r="S4" s="94" t="s">
        <v>561</v>
      </c>
    </row>
    <row r="5" spans="1:19" ht="30" x14ac:dyDescent="0.25">
      <c r="A5" s="121" t="s">
        <v>184</v>
      </c>
      <c r="B5" s="97"/>
      <c r="C5" s="97"/>
      <c r="D5" s="97"/>
      <c r="E5" s="228">
        <v>1.2047999999999999</v>
      </c>
      <c r="F5" s="228">
        <v>1.3472</v>
      </c>
      <c r="G5" s="228">
        <v>1.3472</v>
      </c>
      <c r="H5" s="97"/>
      <c r="I5" s="97"/>
      <c r="J5" s="96">
        <v>1.5</v>
      </c>
      <c r="K5" s="92">
        <v>1.9258999999999999</v>
      </c>
      <c r="L5" s="97"/>
      <c r="M5" s="244"/>
      <c r="N5" s="264"/>
      <c r="O5" s="264"/>
      <c r="P5" s="264"/>
      <c r="Q5" s="242" t="s">
        <v>214</v>
      </c>
      <c r="R5" s="209" t="s">
        <v>432</v>
      </c>
      <c r="S5" s="209" t="s">
        <v>431</v>
      </c>
    </row>
    <row r="6" spans="1:19" ht="30" x14ac:dyDescent="0.25">
      <c r="A6" s="121" t="s">
        <v>186</v>
      </c>
      <c r="B6" s="97"/>
      <c r="C6" s="97"/>
      <c r="D6" s="97"/>
      <c r="E6" s="228">
        <v>0.96839999999999993</v>
      </c>
      <c r="F6" s="228">
        <v>1.1052</v>
      </c>
      <c r="G6" s="228">
        <v>1.1517999999999999</v>
      </c>
      <c r="H6" s="97"/>
      <c r="I6" s="97"/>
      <c r="J6" s="96">
        <v>1.2</v>
      </c>
      <c r="K6" s="246">
        <v>1.2983</v>
      </c>
      <c r="L6" s="97"/>
      <c r="M6" s="244"/>
      <c r="N6" s="264"/>
      <c r="O6" s="264"/>
      <c r="P6" s="264"/>
      <c r="Q6" s="242" t="s">
        <v>214</v>
      </c>
      <c r="R6" s="209" t="s">
        <v>432</v>
      </c>
      <c r="S6" s="209" t="s">
        <v>431</v>
      </c>
    </row>
    <row r="7" spans="1:19" ht="30" x14ac:dyDescent="0.25">
      <c r="A7" s="121" t="s">
        <v>429</v>
      </c>
      <c r="B7" s="97"/>
      <c r="C7" s="97"/>
      <c r="D7" s="97"/>
      <c r="E7" s="97"/>
      <c r="F7" s="97"/>
      <c r="G7" s="97"/>
      <c r="H7" s="97"/>
      <c r="I7" s="97"/>
      <c r="J7" s="97"/>
      <c r="K7" s="246">
        <v>0.71930000000000005</v>
      </c>
      <c r="L7" s="97"/>
      <c r="M7" s="244"/>
      <c r="N7" s="264"/>
      <c r="O7" s="264">
        <v>1.3</v>
      </c>
      <c r="P7" s="264"/>
      <c r="Q7" s="242" t="s">
        <v>214</v>
      </c>
      <c r="R7" s="209" t="s">
        <v>432</v>
      </c>
      <c r="S7" s="209" t="s">
        <v>561</v>
      </c>
    </row>
    <row r="8" spans="1:19" ht="30" x14ac:dyDescent="0.25">
      <c r="A8" s="121" t="s">
        <v>185</v>
      </c>
      <c r="B8" s="97"/>
      <c r="C8" s="97"/>
      <c r="D8" s="97"/>
      <c r="E8" s="228">
        <v>1.0028999999999999</v>
      </c>
      <c r="F8" s="228">
        <v>1.1002000000000001</v>
      </c>
      <c r="G8" s="228">
        <v>1.2149000000000001</v>
      </c>
      <c r="H8" s="245"/>
      <c r="I8" s="97"/>
      <c r="J8" s="96">
        <v>1.2</v>
      </c>
      <c r="K8" s="92">
        <v>0.59619999999999995</v>
      </c>
      <c r="L8" s="97"/>
      <c r="M8" s="244"/>
      <c r="N8" s="264"/>
      <c r="O8" s="264"/>
      <c r="P8" s="264"/>
      <c r="Q8" s="242" t="s">
        <v>214</v>
      </c>
      <c r="R8" s="209" t="s">
        <v>432</v>
      </c>
      <c r="S8" s="209" t="s">
        <v>431</v>
      </c>
    </row>
    <row r="9" spans="1:19" ht="30" x14ac:dyDescent="0.25">
      <c r="A9" s="121" t="s">
        <v>430</v>
      </c>
      <c r="B9" s="97"/>
      <c r="C9" s="97"/>
      <c r="D9" s="97"/>
      <c r="E9" s="97"/>
      <c r="F9" s="97"/>
      <c r="G9" s="97"/>
      <c r="H9" s="97"/>
      <c r="I9" s="97"/>
      <c r="J9" s="97"/>
      <c r="K9" s="246">
        <v>0.71440000000000003</v>
      </c>
      <c r="L9" s="97"/>
      <c r="M9" s="244"/>
      <c r="N9" s="264"/>
      <c r="O9" s="264"/>
      <c r="P9" s="264"/>
      <c r="Q9" s="242" t="s">
        <v>214</v>
      </c>
      <c r="R9" s="209" t="s">
        <v>432</v>
      </c>
      <c r="S9" s="209" t="s">
        <v>431</v>
      </c>
    </row>
    <row r="10" spans="1:19" ht="30" x14ac:dyDescent="0.25">
      <c r="A10" s="121" t="s">
        <v>187</v>
      </c>
      <c r="B10" s="97"/>
      <c r="C10" s="97"/>
      <c r="D10" s="97"/>
      <c r="E10" s="228">
        <v>0.83189999999999997</v>
      </c>
      <c r="F10" s="228">
        <v>0.96689999999999998</v>
      </c>
      <c r="G10" s="228">
        <v>1.0535000000000001</v>
      </c>
      <c r="H10" s="97"/>
      <c r="I10" s="97"/>
      <c r="J10" s="96">
        <v>1.1000000000000001</v>
      </c>
      <c r="K10" s="97"/>
      <c r="L10" s="97"/>
      <c r="M10" s="244"/>
      <c r="N10" s="264"/>
      <c r="O10" s="264"/>
      <c r="P10" s="264"/>
      <c r="Q10" s="242" t="s">
        <v>214</v>
      </c>
      <c r="R10" s="209" t="s">
        <v>432</v>
      </c>
      <c r="S10" s="209" t="s">
        <v>431</v>
      </c>
    </row>
    <row r="11" spans="1:19" x14ac:dyDescent="0.25">
      <c r="K11" s="10"/>
    </row>
  </sheetData>
  <mergeCells count="1">
    <mergeCell ref="A1:A2"/>
  </mergeCells>
  <hyperlinks>
    <hyperlink ref="R4" r:id="rId1" display="https://www.bccresearch.com/market-research/biotechnology/global-markets-for-enzymes-in-industrial-applications.html" xr:uid="{F4061F76-C48A-49B0-A095-5B9B68F90C6B}"/>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93404"/>
  </sheetPr>
  <dimension ref="A1:S71"/>
  <sheetViews>
    <sheetView zoomScale="85" zoomScaleNormal="85" workbookViewId="0">
      <pane xSplit="1" ySplit="3" topLeftCell="B32" activePane="bottomRight" state="frozen"/>
      <selection pane="topRight" activeCell="B1" sqref="B1"/>
      <selection pane="bottomLeft" activeCell="A4" sqref="A4"/>
      <selection pane="bottomRight" activeCell="S21" sqref="S21:S37"/>
    </sheetView>
  </sheetViews>
  <sheetFormatPr defaultColWidth="8.85546875" defaultRowHeight="15" x14ac:dyDescent="0.25"/>
  <cols>
    <col min="1" max="1" width="80.42578125" style="10" bestFit="1" customWidth="1"/>
    <col min="2" max="16" width="11.7109375" style="2" customWidth="1"/>
    <col min="17" max="17" width="18.7109375" style="10" customWidth="1"/>
    <col min="18" max="18" width="51.85546875" style="10" customWidth="1"/>
    <col min="19" max="19" width="21.7109375" style="10" bestFit="1" customWidth="1"/>
    <col min="20" max="16384" width="8.85546875" style="10"/>
  </cols>
  <sheetData>
    <row r="1" spans="1:19" x14ac:dyDescent="0.25">
      <c r="A1" s="385" t="s">
        <v>95</v>
      </c>
    </row>
    <row r="2" spans="1:19" x14ac:dyDescent="0.25">
      <c r="A2" s="385"/>
    </row>
    <row r="3" spans="1:19" s="2" customFormat="1" x14ac:dyDescent="0.25">
      <c r="A3" s="107" t="s">
        <v>96</v>
      </c>
      <c r="B3" s="107">
        <v>2008</v>
      </c>
      <c r="C3" s="107">
        <v>2009</v>
      </c>
      <c r="D3" s="107">
        <v>2010</v>
      </c>
      <c r="E3" s="107">
        <v>2011</v>
      </c>
      <c r="F3" s="107">
        <v>2012</v>
      </c>
      <c r="G3" s="240">
        <v>2013</v>
      </c>
      <c r="H3" s="240">
        <v>2014</v>
      </c>
      <c r="I3" s="107">
        <v>2015</v>
      </c>
      <c r="J3" s="107">
        <v>2016</v>
      </c>
      <c r="K3" s="107">
        <v>2017</v>
      </c>
      <c r="L3" s="107">
        <v>2018</v>
      </c>
      <c r="M3" s="107">
        <v>2019</v>
      </c>
      <c r="N3" s="107">
        <v>2020</v>
      </c>
      <c r="O3" s="107">
        <v>2021</v>
      </c>
      <c r="P3" s="107">
        <v>2022</v>
      </c>
      <c r="Q3" s="107" t="s">
        <v>107</v>
      </c>
      <c r="R3" s="123" t="s">
        <v>108</v>
      </c>
      <c r="S3" s="123" t="s">
        <v>38</v>
      </c>
    </row>
    <row r="4" spans="1:19" ht="30" x14ac:dyDescent="0.25">
      <c r="A4" s="121" t="s">
        <v>174</v>
      </c>
      <c r="B4" s="122">
        <v>25.6</v>
      </c>
      <c r="C4" s="122">
        <v>21.2</v>
      </c>
      <c r="D4" s="122">
        <v>23.3</v>
      </c>
      <c r="E4" s="122">
        <v>23.7</v>
      </c>
      <c r="F4" s="122">
        <v>25.8</v>
      </c>
      <c r="G4" s="122">
        <v>31</v>
      </c>
      <c r="H4" s="122">
        <v>30.9</v>
      </c>
      <c r="I4" s="122">
        <v>32.5</v>
      </c>
      <c r="J4" s="122">
        <v>35.299999999999997</v>
      </c>
      <c r="K4" s="122">
        <v>37.9</v>
      </c>
      <c r="L4" s="122">
        <v>39.200000000000003</v>
      </c>
      <c r="M4" s="122">
        <v>39.9</v>
      </c>
      <c r="N4" s="122">
        <v>42.2</v>
      </c>
      <c r="O4" s="122">
        <v>58.2</v>
      </c>
      <c r="P4" s="122"/>
      <c r="Q4" s="94" t="s">
        <v>78</v>
      </c>
      <c r="R4" s="100" t="s">
        <v>125</v>
      </c>
      <c r="S4" s="94" t="s">
        <v>561</v>
      </c>
    </row>
    <row r="5" spans="1:19" ht="30" x14ac:dyDescent="0.25">
      <c r="A5" s="121" t="s">
        <v>97</v>
      </c>
      <c r="B5" s="228">
        <v>0.2</v>
      </c>
      <c r="C5" s="228">
        <v>0.1</v>
      </c>
      <c r="D5" s="228">
        <v>0.2</v>
      </c>
      <c r="E5" s="228">
        <v>0.2</v>
      </c>
      <c r="F5" s="228">
        <v>0.2</v>
      </c>
      <c r="G5" s="228">
        <v>0.2</v>
      </c>
      <c r="H5" s="228">
        <v>0.2</v>
      </c>
      <c r="I5" s="228">
        <v>0.2</v>
      </c>
      <c r="J5" s="228">
        <v>0.2</v>
      </c>
      <c r="K5" s="228">
        <v>0.2</v>
      </c>
      <c r="L5" s="228">
        <v>0.2</v>
      </c>
      <c r="M5" s="228">
        <v>0.2</v>
      </c>
      <c r="N5" s="228">
        <v>0.2</v>
      </c>
      <c r="O5" s="228">
        <v>0.3</v>
      </c>
      <c r="P5" s="228"/>
      <c r="Q5" s="94" t="s">
        <v>78</v>
      </c>
      <c r="R5" s="100" t="s">
        <v>125</v>
      </c>
      <c r="S5" s="94" t="s">
        <v>561</v>
      </c>
    </row>
    <row r="6" spans="1:19" ht="30" x14ac:dyDescent="0.25">
      <c r="A6" s="121" t="s">
        <v>175</v>
      </c>
      <c r="B6" s="122">
        <v>89.1</v>
      </c>
      <c r="C6" s="122">
        <v>65.900000000000006</v>
      </c>
      <c r="D6" s="122">
        <v>71.900000000000006</v>
      </c>
      <c r="E6" s="122">
        <v>73</v>
      </c>
      <c r="F6" s="122">
        <v>80.8</v>
      </c>
      <c r="G6" s="122">
        <v>90.6</v>
      </c>
      <c r="H6" s="122">
        <v>97.6</v>
      </c>
      <c r="I6" s="122">
        <v>101</v>
      </c>
      <c r="J6" s="122">
        <v>104.7</v>
      </c>
      <c r="K6" s="122">
        <v>111.1</v>
      </c>
      <c r="L6" s="122">
        <v>119.1</v>
      </c>
      <c r="M6" s="122">
        <v>110.5</v>
      </c>
      <c r="N6" s="122">
        <v>113</v>
      </c>
      <c r="O6" s="122"/>
      <c r="P6" s="122"/>
      <c r="Q6" s="94" t="s">
        <v>78</v>
      </c>
      <c r="R6" s="100" t="s">
        <v>125</v>
      </c>
      <c r="S6" s="94" t="s">
        <v>561</v>
      </c>
    </row>
    <row r="7" spans="1:19" ht="30" x14ac:dyDescent="0.25">
      <c r="A7" s="121" t="s">
        <v>176</v>
      </c>
      <c r="B7" s="122">
        <v>21.2</v>
      </c>
      <c r="C7" s="122">
        <v>16.3</v>
      </c>
      <c r="D7" s="122">
        <v>15.9</v>
      </c>
      <c r="E7" s="122">
        <v>16.3</v>
      </c>
      <c r="F7" s="122">
        <v>16.7</v>
      </c>
      <c r="G7" s="122">
        <v>17.7</v>
      </c>
      <c r="H7" s="122">
        <v>19.399999999999999</v>
      </c>
      <c r="I7" s="122">
        <v>20.399999999999999</v>
      </c>
      <c r="J7" s="122">
        <v>21.1</v>
      </c>
      <c r="K7" s="122">
        <v>22.3</v>
      </c>
      <c r="L7" s="122">
        <v>23.5</v>
      </c>
      <c r="M7" s="122">
        <v>24.7</v>
      </c>
      <c r="N7" s="122">
        <v>25.6</v>
      </c>
      <c r="O7" s="122"/>
      <c r="P7" s="122"/>
      <c r="Q7" s="94" t="s">
        <v>78</v>
      </c>
      <c r="R7" s="27" t="s">
        <v>348</v>
      </c>
      <c r="S7" s="94" t="s">
        <v>561</v>
      </c>
    </row>
    <row r="8" spans="1:19" ht="30" x14ac:dyDescent="0.25">
      <c r="A8" s="151" t="s">
        <v>177</v>
      </c>
      <c r="B8" s="228">
        <v>0.7</v>
      </c>
      <c r="C8" s="228">
        <v>0.7</v>
      </c>
      <c r="D8" s="228">
        <v>0.7</v>
      </c>
      <c r="E8" s="228">
        <v>0.7</v>
      </c>
      <c r="F8" s="228">
        <v>0.7</v>
      </c>
      <c r="G8" s="228">
        <v>0.7</v>
      </c>
      <c r="H8" s="228">
        <v>0.7</v>
      </c>
      <c r="I8" s="228">
        <v>0.7</v>
      </c>
      <c r="J8" s="228">
        <v>0.7</v>
      </c>
      <c r="K8" s="228">
        <v>0.8</v>
      </c>
      <c r="L8" s="228">
        <v>0.8</v>
      </c>
      <c r="M8" s="228">
        <v>0.9</v>
      </c>
      <c r="N8" s="228">
        <v>-1.4</v>
      </c>
      <c r="O8" s="228"/>
      <c r="P8" s="228"/>
      <c r="Q8" s="94" t="s">
        <v>78</v>
      </c>
      <c r="R8" s="100" t="s">
        <v>125</v>
      </c>
      <c r="S8" s="94" t="s">
        <v>561</v>
      </c>
    </row>
    <row r="9" spans="1:19" ht="30" x14ac:dyDescent="0.25">
      <c r="A9" s="121" t="s">
        <v>178</v>
      </c>
      <c r="B9" s="122">
        <v>3.7</v>
      </c>
      <c r="C9" s="122">
        <v>4.2</v>
      </c>
      <c r="D9" s="122">
        <v>6.8</v>
      </c>
      <c r="E9" s="122">
        <v>6.8</v>
      </c>
      <c r="F9" s="122">
        <v>8.5</v>
      </c>
      <c r="G9" s="122">
        <v>12.1</v>
      </c>
      <c r="H9" s="122">
        <v>10.9</v>
      </c>
      <c r="I9" s="122">
        <v>11.4</v>
      </c>
      <c r="J9" s="122">
        <v>13.5</v>
      </c>
      <c r="K9" s="122">
        <v>14.9</v>
      </c>
      <c r="L9" s="122">
        <v>14.9</v>
      </c>
      <c r="M9" s="122">
        <v>14.4</v>
      </c>
      <c r="N9" s="122">
        <v>18</v>
      </c>
      <c r="O9" s="122"/>
      <c r="P9" s="122"/>
      <c r="Q9" s="94" t="s">
        <v>78</v>
      </c>
      <c r="R9" s="100" t="s">
        <v>125</v>
      </c>
      <c r="S9" s="94" t="s">
        <v>561</v>
      </c>
    </row>
    <row r="10" spans="1:19" ht="30" x14ac:dyDescent="0.25">
      <c r="A10" s="151" t="s">
        <v>81</v>
      </c>
      <c r="B10" s="83">
        <v>456</v>
      </c>
      <c r="C10" s="83">
        <v>362</v>
      </c>
      <c r="D10" s="83">
        <v>342</v>
      </c>
      <c r="E10" s="83">
        <v>338</v>
      </c>
      <c r="F10" s="83">
        <v>341</v>
      </c>
      <c r="G10" s="83">
        <v>355</v>
      </c>
      <c r="H10" s="83">
        <v>371</v>
      </c>
      <c r="I10" s="83">
        <v>381</v>
      </c>
      <c r="J10" s="83">
        <v>391</v>
      </c>
      <c r="K10" s="83">
        <v>398</v>
      </c>
      <c r="L10" s="83">
        <v>406</v>
      </c>
      <c r="M10" s="83">
        <v>407</v>
      </c>
      <c r="N10" s="83">
        <v>396</v>
      </c>
      <c r="O10" s="83"/>
      <c r="P10" s="83"/>
      <c r="Q10" s="37" t="s">
        <v>78</v>
      </c>
      <c r="R10" s="27" t="s">
        <v>348</v>
      </c>
      <c r="S10" s="94" t="s">
        <v>561</v>
      </c>
    </row>
    <row r="11" spans="1:19" x14ac:dyDescent="0.25">
      <c r="A11" s="247"/>
      <c r="B11" s="54"/>
      <c r="C11" s="54"/>
      <c r="D11" s="54"/>
      <c r="E11" s="54"/>
      <c r="F11" s="54"/>
      <c r="G11" s="54"/>
      <c r="H11" s="54"/>
      <c r="I11" s="54"/>
      <c r="J11" s="54"/>
      <c r="K11" s="54"/>
      <c r="L11" s="54"/>
      <c r="M11" s="54"/>
      <c r="N11" s="54"/>
      <c r="O11" s="54"/>
      <c r="P11" s="54"/>
      <c r="Q11" s="49"/>
      <c r="R11" s="49"/>
      <c r="S11" s="19"/>
    </row>
    <row r="12" spans="1:19" s="2" customFormat="1" x14ac:dyDescent="0.25">
      <c r="A12" s="89" t="s">
        <v>98</v>
      </c>
      <c r="B12" s="8">
        <v>2008</v>
      </c>
      <c r="C12" s="8">
        <v>2009</v>
      </c>
      <c r="D12" s="8">
        <v>2010</v>
      </c>
      <c r="E12" s="8">
        <v>2011</v>
      </c>
      <c r="F12" s="8">
        <v>2012</v>
      </c>
      <c r="G12" s="8">
        <v>2013</v>
      </c>
      <c r="H12" s="8">
        <v>2014</v>
      </c>
      <c r="I12" s="8">
        <v>2015</v>
      </c>
      <c r="J12" s="8">
        <v>2016</v>
      </c>
      <c r="K12" s="8">
        <v>2017</v>
      </c>
      <c r="L12" s="8">
        <v>2018</v>
      </c>
      <c r="M12" s="107">
        <v>2019</v>
      </c>
      <c r="N12" s="107">
        <v>2020</v>
      </c>
      <c r="O12" s="107">
        <v>2021</v>
      </c>
      <c r="P12" s="107">
        <v>2022</v>
      </c>
      <c r="Q12" s="8" t="s">
        <v>107</v>
      </c>
      <c r="R12" s="7" t="s">
        <v>108</v>
      </c>
      <c r="S12" s="7" t="s">
        <v>38</v>
      </c>
    </row>
    <row r="13" spans="1:19" ht="30" x14ac:dyDescent="0.25">
      <c r="A13" s="121" t="s">
        <v>179</v>
      </c>
      <c r="B13" s="228">
        <v>25.6</v>
      </c>
      <c r="C13" s="228">
        <v>21.2</v>
      </c>
      <c r="D13" s="228">
        <v>23.3</v>
      </c>
      <c r="E13" s="228">
        <v>23.7</v>
      </c>
      <c r="F13" s="228">
        <v>25.8</v>
      </c>
      <c r="G13" s="228">
        <v>30.5</v>
      </c>
      <c r="H13" s="228">
        <v>31</v>
      </c>
      <c r="I13" s="228">
        <v>32.5</v>
      </c>
      <c r="J13" s="228">
        <v>35.299999999999997</v>
      </c>
      <c r="K13" s="228">
        <v>37.9</v>
      </c>
      <c r="L13" s="228">
        <v>39.200000000000003</v>
      </c>
      <c r="M13" s="228">
        <v>39.9</v>
      </c>
      <c r="N13" s="122">
        <v>42.2</v>
      </c>
      <c r="O13" s="122">
        <v>58.2</v>
      </c>
      <c r="P13" s="122"/>
      <c r="Q13" s="94" t="s">
        <v>78</v>
      </c>
      <c r="R13" s="100" t="s">
        <v>125</v>
      </c>
      <c r="S13" s="94" t="s">
        <v>561</v>
      </c>
    </row>
    <row r="14" spans="1:19" ht="30" x14ac:dyDescent="0.25">
      <c r="A14" s="121" t="s">
        <v>99</v>
      </c>
      <c r="B14" s="228">
        <v>0.3</v>
      </c>
      <c r="C14" s="228">
        <v>0.4</v>
      </c>
      <c r="D14" s="228">
        <v>0.4</v>
      </c>
      <c r="E14" s="228">
        <v>0.3</v>
      </c>
      <c r="F14" s="228">
        <v>0.3</v>
      </c>
      <c r="G14" s="228">
        <v>0.3</v>
      </c>
      <c r="H14" s="228">
        <v>0.3</v>
      </c>
      <c r="I14" s="228">
        <v>0.3</v>
      </c>
      <c r="J14" s="228">
        <v>0.3</v>
      </c>
      <c r="K14" s="228">
        <v>0.3</v>
      </c>
      <c r="L14" s="228">
        <v>0.3</v>
      </c>
      <c r="M14" s="228">
        <v>0.3</v>
      </c>
      <c r="N14" s="228">
        <v>0.3</v>
      </c>
      <c r="O14" s="228">
        <v>0.3</v>
      </c>
      <c r="P14" s="228"/>
      <c r="Q14" s="94" t="s">
        <v>78</v>
      </c>
      <c r="R14" s="100" t="s">
        <v>125</v>
      </c>
      <c r="S14" s="94" t="s">
        <v>561</v>
      </c>
    </row>
    <row r="15" spans="1:19" ht="30" x14ac:dyDescent="0.25">
      <c r="A15" s="121" t="s">
        <v>258</v>
      </c>
      <c r="B15" s="122">
        <v>177.4</v>
      </c>
      <c r="C15" s="122">
        <v>160.5</v>
      </c>
      <c r="D15" s="122">
        <v>169.4</v>
      </c>
      <c r="E15" s="122">
        <v>175.6</v>
      </c>
      <c r="F15" s="122">
        <v>179</v>
      </c>
      <c r="G15" s="122">
        <v>183.8</v>
      </c>
      <c r="H15" s="122">
        <v>184.6</v>
      </c>
      <c r="I15" s="122">
        <v>182.9</v>
      </c>
      <c r="J15" s="122">
        <v>177</v>
      </c>
      <c r="K15" s="122">
        <v>182.5</v>
      </c>
      <c r="L15" s="122">
        <v>188</v>
      </c>
      <c r="M15" s="122">
        <v>187.3</v>
      </c>
      <c r="N15" s="122">
        <v>188.2</v>
      </c>
      <c r="O15" s="122"/>
      <c r="P15" s="122"/>
      <c r="Q15" s="94" t="s">
        <v>78</v>
      </c>
      <c r="R15" s="100" t="s">
        <v>125</v>
      </c>
      <c r="S15" s="94" t="s">
        <v>561</v>
      </c>
    </row>
    <row r="16" spans="1:19" ht="30" x14ac:dyDescent="0.25">
      <c r="A16" s="151" t="s">
        <v>180</v>
      </c>
      <c r="B16" s="122">
        <v>31.2</v>
      </c>
      <c r="C16" s="122">
        <v>28.5</v>
      </c>
      <c r="D16" s="122">
        <v>28.9</v>
      </c>
      <c r="E16" s="122">
        <v>29.2</v>
      </c>
      <c r="F16" s="122">
        <v>29.1</v>
      </c>
      <c r="G16" s="122">
        <v>29.4</v>
      </c>
      <c r="H16" s="122">
        <v>29.8</v>
      </c>
      <c r="I16" s="122">
        <v>30.2</v>
      </c>
      <c r="J16" s="122">
        <v>30</v>
      </c>
      <c r="K16" s="122">
        <v>30.4</v>
      </c>
      <c r="L16" s="122">
        <v>30.8</v>
      </c>
      <c r="M16" s="122">
        <v>31.9</v>
      </c>
      <c r="N16" s="122">
        <v>31.9</v>
      </c>
      <c r="O16" s="122"/>
      <c r="P16" s="122"/>
      <c r="Q16" s="94" t="s">
        <v>78</v>
      </c>
      <c r="R16" s="27" t="s">
        <v>348</v>
      </c>
      <c r="S16" s="94" t="s">
        <v>561</v>
      </c>
    </row>
    <row r="17" spans="1:19" ht="30" x14ac:dyDescent="0.25">
      <c r="A17" s="121" t="s">
        <v>181</v>
      </c>
      <c r="B17" s="228">
        <v>1.8</v>
      </c>
      <c r="C17" s="228">
        <v>1.9</v>
      </c>
      <c r="D17" s="228">
        <v>1.8</v>
      </c>
      <c r="E17" s="228">
        <v>1.8</v>
      </c>
      <c r="F17" s="228">
        <v>1.8</v>
      </c>
      <c r="G17" s="228">
        <v>1.7</v>
      </c>
      <c r="H17" s="228">
        <v>1.7</v>
      </c>
      <c r="I17" s="228">
        <v>1.7</v>
      </c>
      <c r="J17" s="228">
        <v>1.7</v>
      </c>
      <c r="K17" s="228">
        <v>1.8</v>
      </c>
      <c r="L17" s="228">
        <v>1.8</v>
      </c>
      <c r="M17" s="228">
        <v>1.9</v>
      </c>
      <c r="N17" s="228">
        <v>0.7</v>
      </c>
      <c r="O17" s="228"/>
      <c r="P17" s="228"/>
      <c r="Q17" s="94" t="s">
        <v>78</v>
      </c>
      <c r="R17" s="100" t="s">
        <v>125</v>
      </c>
      <c r="S17" s="94" t="s">
        <v>561</v>
      </c>
    </row>
    <row r="18" spans="1:19" ht="30" x14ac:dyDescent="0.25">
      <c r="A18" s="121" t="s">
        <v>182</v>
      </c>
      <c r="B18" s="228">
        <v>18.399999999999999</v>
      </c>
      <c r="C18" s="228">
        <v>28.9</v>
      </c>
      <c r="D18" s="228">
        <v>25.7</v>
      </c>
      <c r="E18" s="228">
        <v>22.9</v>
      </c>
      <c r="F18" s="228">
        <v>22.3</v>
      </c>
      <c r="G18" s="228">
        <v>25.4</v>
      </c>
      <c r="H18" s="228">
        <v>25.4</v>
      </c>
      <c r="I18" s="228">
        <v>27.8</v>
      </c>
      <c r="J18" s="228">
        <v>26.7</v>
      </c>
      <c r="K18" s="228">
        <v>23.3</v>
      </c>
      <c r="L18" s="228">
        <v>26.6</v>
      </c>
      <c r="M18" s="228">
        <v>25.9</v>
      </c>
      <c r="N18" s="122">
        <v>27.1</v>
      </c>
      <c r="O18" s="122"/>
      <c r="P18" s="122"/>
      <c r="Q18" s="94" t="s">
        <v>78</v>
      </c>
      <c r="R18" s="100" t="s">
        <v>125</v>
      </c>
      <c r="S18" s="94" t="s">
        <v>561</v>
      </c>
    </row>
    <row r="19" spans="1:19" ht="30" x14ac:dyDescent="0.25">
      <c r="A19" s="38" t="s">
        <v>81</v>
      </c>
      <c r="B19" s="83">
        <v>442</v>
      </c>
      <c r="C19" s="83">
        <v>406</v>
      </c>
      <c r="D19" s="83">
        <v>394</v>
      </c>
      <c r="E19" s="83">
        <v>388</v>
      </c>
      <c r="F19" s="83">
        <v>380</v>
      </c>
      <c r="G19" s="83">
        <v>377</v>
      </c>
      <c r="H19" s="83">
        <v>373</v>
      </c>
      <c r="I19" s="83">
        <v>372</v>
      </c>
      <c r="J19" s="83">
        <v>370</v>
      </c>
      <c r="K19" s="83">
        <v>368</v>
      </c>
      <c r="L19" s="83">
        <v>364</v>
      </c>
      <c r="M19" s="83">
        <v>371</v>
      </c>
      <c r="N19" s="83">
        <v>354</v>
      </c>
      <c r="O19" s="83"/>
      <c r="P19" s="83"/>
      <c r="Q19" s="37" t="s">
        <v>78</v>
      </c>
      <c r="R19" s="27" t="s">
        <v>348</v>
      </c>
      <c r="S19" s="94" t="s">
        <v>561</v>
      </c>
    </row>
    <row r="20" spans="1:19" x14ac:dyDescent="0.25">
      <c r="A20" s="247"/>
      <c r="B20" s="54"/>
      <c r="C20" s="54"/>
      <c r="D20" s="54"/>
      <c r="E20" s="54"/>
      <c r="F20" s="54"/>
      <c r="G20" s="54"/>
      <c r="H20" s="54"/>
      <c r="I20" s="54"/>
      <c r="J20" s="54"/>
      <c r="K20" s="54"/>
      <c r="L20" s="54"/>
      <c r="M20" s="54"/>
      <c r="N20" s="54"/>
      <c r="O20" s="54"/>
      <c r="P20" s="54"/>
      <c r="Q20" s="49"/>
      <c r="R20" s="49"/>
      <c r="S20" s="19"/>
    </row>
    <row r="21" spans="1:19" s="2" customFormat="1" x14ac:dyDescent="0.25">
      <c r="A21" s="89" t="s">
        <v>6</v>
      </c>
      <c r="B21" s="8">
        <v>2008</v>
      </c>
      <c r="C21" s="8">
        <v>2009</v>
      </c>
      <c r="D21" s="8">
        <v>2010</v>
      </c>
      <c r="E21" s="8">
        <v>2011</v>
      </c>
      <c r="F21" s="8">
        <v>2012</v>
      </c>
      <c r="G21" s="8">
        <v>2013</v>
      </c>
      <c r="H21" s="8">
        <v>2014</v>
      </c>
      <c r="I21" s="8">
        <v>2015</v>
      </c>
      <c r="J21" s="8">
        <v>2016</v>
      </c>
      <c r="K21" s="8">
        <v>2017</v>
      </c>
      <c r="L21" s="8">
        <v>2018</v>
      </c>
      <c r="M21" s="107">
        <v>2019</v>
      </c>
      <c r="N21" s="107">
        <v>2020</v>
      </c>
      <c r="O21" s="107">
        <v>2021</v>
      </c>
      <c r="P21" s="107">
        <v>2022</v>
      </c>
      <c r="Q21" s="8" t="s">
        <v>107</v>
      </c>
      <c r="R21" s="7" t="s">
        <v>108</v>
      </c>
      <c r="S21" s="7" t="s">
        <v>38</v>
      </c>
    </row>
    <row r="22" spans="1:19" x14ac:dyDescent="0.25">
      <c r="A22" s="121" t="s">
        <v>352</v>
      </c>
      <c r="B22" s="122">
        <v>43.613844</v>
      </c>
      <c r="C22" s="122">
        <v>40.436675999999999</v>
      </c>
      <c r="D22" s="122">
        <v>40.436675999999999</v>
      </c>
      <c r="E22" s="122">
        <v>40.436675999999999</v>
      </c>
      <c r="F22" s="122">
        <v>40.436</v>
      </c>
      <c r="G22" s="122">
        <v>41.880842999999999</v>
      </c>
      <c r="H22" s="122">
        <v>41.880842999999999</v>
      </c>
      <c r="I22" s="122">
        <v>44.344999999999999</v>
      </c>
      <c r="J22" s="122">
        <v>62.155999999999999</v>
      </c>
      <c r="K22" s="122">
        <v>64.37</v>
      </c>
      <c r="L22" s="122">
        <v>71.608562000000006</v>
      </c>
      <c r="M22" s="331">
        <v>71.426930999999996</v>
      </c>
      <c r="N22" s="331">
        <v>60.525359999999999</v>
      </c>
      <c r="O22" s="331">
        <v>71.110540999999998</v>
      </c>
      <c r="P22" s="331"/>
      <c r="Q22" s="133" t="s">
        <v>281</v>
      </c>
      <c r="R22" s="132" t="s">
        <v>282</v>
      </c>
      <c r="S22" s="94" t="s">
        <v>601</v>
      </c>
    </row>
    <row r="23" spans="1:19" x14ac:dyDescent="0.25">
      <c r="A23" s="121" t="s">
        <v>329</v>
      </c>
      <c r="B23" s="122">
        <v>15.409000000000001</v>
      </c>
      <c r="C23" s="122">
        <v>9.7059999999999995</v>
      </c>
      <c r="D23" s="122">
        <v>11.757</v>
      </c>
      <c r="E23" s="122">
        <v>11.654</v>
      </c>
      <c r="F23" s="122">
        <v>12.327999999999999</v>
      </c>
      <c r="G23" s="122">
        <v>13.198</v>
      </c>
      <c r="H23" s="122">
        <v>13.8</v>
      </c>
      <c r="I23" s="122">
        <v>13.8</v>
      </c>
      <c r="J23" s="122">
        <v>13.8</v>
      </c>
      <c r="K23" s="122">
        <v>14.275</v>
      </c>
      <c r="L23" s="122">
        <v>14.818026</v>
      </c>
      <c r="M23" s="331">
        <v>15.288914999999999</v>
      </c>
      <c r="N23" s="331">
        <v>13.241628</v>
      </c>
      <c r="O23" s="331">
        <v>16.276062</v>
      </c>
      <c r="P23" s="331"/>
      <c r="Q23" s="133" t="s">
        <v>281</v>
      </c>
      <c r="R23" s="132" t="s">
        <v>282</v>
      </c>
      <c r="S23" s="94" t="s">
        <v>601</v>
      </c>
    </row>
    <row r="24" spans="1:19" x14ac:dyDescent="0.25">
      <c r="A24" s="121" t="s">
        <v>330</v>
      </c>
      <c r="B24" s="122">
        <v>380.50884400000001</v>
      </c>
      <c r="C24" s="122">
        <v>332.52767599999999</v>
      </c>
      <c r="D24" s="122">
        <v>376.57167600000002</v>
      </c>
      <c r="E24" s="122">
        <v>395.14067599999998</v>
      </c>
      <c r="F24" s="122">
        <v>387.512</v>
      </c>
      <c r="G24" s="122">
        <v>396.81784299999998</v>
      </c>
      <c r="H24" s="122">
        <v>398.69275099999999</v>
      </c>
      <c r="I24" s="122">
        <v>399.02341200000001</v>
      </c>
      <c r="J24" s="122">
        <v>436.63200000000001</v>
      </c>
      <c r="K24" s="122">
        <v>440.78537799999998</v>
      </c>
      <c r="L24" s="122">
        <v>464.118154</v>
      </c>
      <c r="M24" s="331">
        <v>459.12887899999998</v>
      </c>
      <c r="N24" s="331">
        <v>429.70002299999999</v>
      </c>
      <c r="O24" s="331">
        <v>454.06626799999998</v>
      </c>
      <c r="P24" s="331"/>
      <c r="Q24" s="133" t="s">
        <v>281</v>
      </c>
      <c r="R24" s="132" t="s">
        <v>282</v>
      </c>
      <c r="S24" s="94" t="s">
        <v>601</v>
      </c>
    </row>
    <row r="25" spans="1:19" x14ac:dyDescent="0.25">
      <c r="A25" s="121" t="s">
        <v>332</v>
      </c>
      <c r="B25" s="122">
        <v>72.869280000000003</v>
      </c>
      <c r="C25" s="122">
        <v>54.276000000000003</v>
      </c>
      <c r="D25" s="122">
        <v>60.013399999999997</v>
      </c>
      <c r="E25" s="122">
        <v>63.1738</v>
      </c>
      <c r="F25" s="122">
        <v>67.474000000000004</v>
      </c>
      <c r="G25" s="122">
        <v>71.114999999999995</v>
      </c>
      <c r="H25" s="122">
        <v>75.833299999999994</v>
      </c>
      <c r="I25" s="122">
        <v>76.361999999999995</v>
      </c>
      <c r="J25" s="122">
        <v>78.165000000000006</v>
      </c>
      <c r="K25" s="122">
        <v>80.373999999999995</v>
      </c>
      <c r="L25" s="122">
        <v>81.997600000000006</v>
      </c>
      <c r="M25" s="331">
        <v>82.471699999999998</v>
      </c>
      <c r="N25" s="331">
        <v>79.133602999999994</v>
      </c>
      <c r="O25" s="331">
        <v>80.486393000000007</v>
      </c>
      <c r="P25" s="331"/>
      <c r="Q25" s="133" t="s">
        <v>281</v>
      </c>
      <c r="R25" s="132" t="s">
        <v>282</v>
      </c>
      <c r="S25" s="94" t="s">
        <v>601</v>
      </c>
    </row>
    <row r="26" spans="1:19" x14ac:dyDescent="0.25">
      <c r="A26" s="121" t="s">
        <v>333</v>
      </c>
      <c r="B26" s="122">
        <v>35.176450000000003</v>
      </c>
      <c r="C26" s="122">
        <v>33.965789000000001</v>
      </c>
      <c r="D26" s="122">
        <v>32.192279999999997</v>
      </c>
      <c r="E26" s="122">
        <v>31.649823000000001</v>
      </c>
      <c r="F26" s="122">
        <v>31.059000000000001</v>
      </c>
      <c r="G26" s="122">
        <v>33.062390000000001</v>
      </c>
      <c r="H26" s="122">
        <v>35.059539999999998</v>
      </c>
      <c r="I26" s="122">
        <v>35.258505</v>
      </c>
      <c r="J26" s="122">
        <v>35.95673</v>
      </c>
      <c r="K26" s="122">
        <v>53.26032</v>
      </c>
      <c r="L26" s="122">
        <v>51.799255000000002</v>
      </c>
      <c r="M26" s="331">
        <v>52.135103999999998</v>
      </c>
      <c r="N26" s="331">
        <v>51.256148000000003</v>
      </c>
      <c r="O26" s="331">
        <v>51.712812999999997</v>
      </c>
      <c r="P26" s="331"/>
      <c r="Q26" s="133" t="s">
        <v>281</v>
      </c>
      <c r="R26" s="132" t="s">
        <v>282</v>
      </c>
      <c r="S26" s="94" t="s">
        <v>601</v>
      </c>
    </row>
    <row r="27" spans="1:19" x14ac:dyDescent="0.25">
      <c r="A27" s="121" t="s">
        <v>474</v>
      </c>
      <c r="B27" s="122">
        <f>+B22*1.38</f>
        <v>60.187104719999994</v>
      </c>
      <c r="C27" s="122">
        <f t="shared" ref="C27:M27" si="0">+C22*1.38</f>
        <v>55.802612879999991</v>
      </c>
      <c r="D27" s="122">
        <f t="shared" si="0"/>
        <v>55.802612879999991</v>
      </c>
      <c r="E27" s="122">
        <f t="shared" si="0"/>
        <v>55.802612879999991</v>
      </c>
      <c r="F27" s="122">
        <f t="shared" si="0"/>
        <v>55.801679999999998</v>
      </c>
      <c r="G27" s="122">
        <f t="shared" si="0"/>
        <v>57.795563339999994</v>
      </c>
      <c r="H27" s="122">
        <f t="shared" si="0"/>
        <v>57.795563339999994</v>
      </c>
      <c r="I27" s="122">
        <f t="shared" si="0"/>
        <v>61.196099999999994</v>
      </c>
      <c r="J27" s="122">
        <f t="shared" si="0"/>
        <v>85.775279999999995</v>
      </c>
      <c r="K27" s="122">
        <f t="shared" si="0"/>
        <v>88.830600000000004</v>
      </c>
      <c r="L27" s="122">
        <f t="shared" si="0"/>
        <v>98.819815559999995</v>
      </c>
      <c r="M27" s="122">
        <f t="shared" si="0"/>
        <v>98.569164779999994</v>
      </c>
      <c r="N27" s="122">
        <f>+N22*1.38</f>
        <v>83.524996799999997</v>
      </c>
      <c r="O27" s="122">
        <f>+O22*1.38</f>
        <v>98.132546579999996</v>
      </c>
      <c r="P27" s="122"/>
      <c r="Q27" s="91"/>
      <c r="R27" s="91"/>
      <c r="S27" s="94" t="s">
        <v>601</v>
      </c>
    </row>
    <row r="28" spans="1:19" x14ac:dyDescent="0.25">
      <c r="A28" s="121" t="s">
        <v>475</v>
      </c>
      <c r="B28" s="122">
        <f>+B23*1.48</f>
        <v>22.805320000000002</v>
      </c>
      <c r="C28" s="122">
        <f t="shared" ref="C28:N28" si="1">+C23*1.48</f>
        <v>14.364879999999999</v>
      </c>
      <c r="D28" s="122">
        <f t="shared" si="1"/>
        <v>17.400359999999999</v>
      </c>
      <c r="E28" s="122">
        <f t="shared" si="1"/>
        <v>17.247920000000001</v>
      </c>
      <c r="F28" s="122">
        <f t="shared" si="1"/>
        <v>18.245439999999999</v>
      </c>
      <c r="G28" s="122">
        <f t="shared" si="1"/>
        <v>19.53304</v>
      </c>
      <c r="H28" s="122">
        <f t="shared" si="1"/>
        <v>20.423999999999999</v>
      </c>
      <c r="I28" s="122">
        <f t="shared" si="1"/>
        <v>20.423999999999999</v>
      </c>
      <c r="J28" s="122">
        <f t="shared" si="1"/>
        <v>20.423999999999999</v>
      </c>
      <c r="K28" s="122">
        <f t="shared" si="1"/>
        <v>21.126999999999999</v>
      </c>
      <c r="L28" s="122">
        <f t="shared" si="1"/>
        <v>21.930678480000001</v>
      </c>
      <c r="M28" s="122">
        <f t="shared" si="1"/>
        <v>22.627594199999997</v>
      </c>
      <c r="N28" s="122">
        <f t="shared" si="1"/>
        <v>19.597609439999999</v>
      </c>
      <c r="O28" s="122">
        <f t="shared" ref="O28" si="2">+O23*1.48</f>
        <v>24.088571760000001</v>
      </c>
      <c r="P28" s="122"/>
      <c r="Q28" s="91"/>
      <c r="R28" s="91" t="s">
        <v>70</v>
      </c>
      <c r="S28" s="94" t="s">
        <v>601</v>
      </c>
    </row>
    <row r="29" spans="1:19" x14ac:dyDescent="0.25">
      <c r="A29" s="121" t="s">
        <v>476</v>
      </c>
      <c r="B29" s="93">
        <f>+B24*1.43</f>
        <v>544.12764691999996</v>
      </c>
      <c r="C29" s="93">
        <f t="shared" ref="C29:L29" si="3">+C24*1.43</f>
        <v>475.51457667999995</v>
      </c>
      <c r="D29" s="93">
        <f t="shared" si="3"/>
        <v>538.49749668000004</v>
      </c>
      <c r="E29" s="93">
        <f t="shared" si="3"/>
        <v>565.05116667999994</v>
      </c>
      <c r="F29" s="93">
        <f t="shared" si="3"/>
        <v>554.14215999999999</v>
      </c>
      <c r="G29" s="93">
        <f t="shared" si="3"/>
        <v>567.44951548999995</v>
      </c>
      <c r="H29" s="93">
        <f t="shared" si="3"/>
        <v>570.13063392999993</v>
      </c>
      <c r="I29" s="93">
        <f t="shared" si="3"/>
        <v>570.60347916000001</v>
      </c>
      <c r="J29" s="93">
        <f t="shared" si="3"/>
        <v>624.38375999999994</v>
      </c>
      <c r="K29" s="93">
        <f t="shared" si="3"/>
        <v>630.32309053999995</v>
      </c>
      <c r="L29" s="93">
        <f t="shared" si="3"/>
        <v>663.68896022000001</v>
      </c>
      <c r="M29" s="93">
        <f>+M24*1.43</f>
        <v>656.55429697</v>
      </c>
      <c r="N29" s="93">
        <f>+N24*1.43</f>
        <v>614.47103288999995</v>
      </c>
      <c r="O29" s="93">
        <f>+O24*1.43</f>
        <v>649.31476323999993</v>
      </c>
      <c r="P29" s="122"/>
      <c r="Q29" s="91"/>
      <c r="R29" s="91"/>
      <c r="S29" s="94" t="s">
        <v>601</v>
      </c>
    </row>
    <row r="30" spans="1:19" x14ac:dyDescent="0.25">
      <c r="A30" s="121" t="s">
        <v>477</v>
      </c>
      <c r="B30" s="93">
        <f>+B25*1.82</f>
        <v>132.62208960000001</v>
      </c>
      <c r="C30" s="93">
        <f t="shared" ref="C30:L30" si="4">+C25*1.82</f>
        <v>98.782320000000013</v>
      </c>
      <c r="D30" s="93">
        <f t="shared" si="4"/>
        <v>109.224388</v>
      </c>
      <c r="E30" s="93">
        <f t="shared" si="4"/>
        <v>114.976316</v>
      </c>
      <c r="F30" s="93">
        <f t="shared" si="4"/>
        <v>122.80268000000001</v>
      </c>
      <c r="G30" s="93">
        <f t="shared" si="4"/>
        <v>129.42929999999998</v>
      </c>
      <c r="H30" s="93">
        <f t="shared" si="4"/>
        <v>138.016606</v>
      </c>
      <c r="I30" s="93">
        <f t="shared" si="4"/>
        <v>138.97883999999999</v>
      </c>
      <c r="J30" s="93">
        <f t="shared" si="4"/>
        <v>142.26030000000003</v>
      </c>
      <c r="K30" s="93">
        <f t="shared" si="4"/>
        <v>146.28067999999999</v>
      </c>
      <c r="L30" s="93">
        <f t="shared" si="4"/>
        <v>149.23563200000001</v>
      </c>
      <c r="M30" s="93">
        <f>+M25*1.82</f>
        <v>150.09849400000002</v>
      </c>
      <c r="N30" s="93">
        <f>+N25*1.82</f>
        <v>144.02315745999999</v>
      </c>
      <c r="O30" s="93">
        <f>+O25*1.82</f>
        <v>146.48523526000002</v>
      </c>
      <c r="P30" s="122"/>
      <c r="Q30" s="91" t="s">
        <v>70</v>
      </c>
      <c r="R30" s="91"/>
      <c r="S30" s="94" t="s">
        <v>601</v>
      </c>
    </row>
    <row r="31" spans="1:19" x14ac:dyDescent="0.25">
      <c r="A31" s="121" t="s">
        <v>478</v>
      </c>
      <c r="B31" s="93">
        <f>+B26*1.3</f>
        <v>45.729385000000008</v>
      </c>
      <c r="C31" s="93">
        <f t="shared" ref="C31:L31" si="5">+C26*1.3</f>
        <v>44.155525700000005</v>
      </c>
      <c r="D31" s="93">
        <f t="shared" si="5"/>
        <v>41.849964</v>
      </c>
      <c r="E31" s="93">
        <f t="shared" si="5"/>
        <v>41.1447699</v>
      </c>
      <c r="F31" s="93">
        <f t="shared" si="5"/>
        <v>40.3767</v>
      </c>
      <c r="G31" s="93">
        <f t="shared" si="5"/>
        <v>42.981107000000002</v>
      </c>
      <c r="H31" s="93">
        <f t="shared" si="5"/>
        <v>45.577401999999999</v>
      </c>
      <c r="I31" s="93">
        <f t="shared" si="5"/>
        <v>45.836056499999998</v>
      </c>
      <c r="J31" s="93">
        <f t="shared" si="5"/>
        <v>46.743749000000001</v>
      </c>
      <c r="K31" s="93">
        <f t="shared" si="5"/>
        <v>69.238416000000001</v>
      </c>
      <c r="L31" s="93">
        <f t="shared" si="5"/>
        <v>67.339031500000004</v>
      </c>
      <c r="M31" s="93">
        <f>+M26*1.3</f>
        <v>67.775635199999996</v>
      </c>
      <c r="N31" s="93">
        <f>+N26*1.3</f>
        <v>66.632992400000006</v>
      </c>
      <c r="O31" s="93">
        <f>+O26*1.3</f>
        <v>67.226656899999995</v>
      </c>
      <c r="P31" s="122"/>
      <c r="Q31" s="91"/>
      <c r="R31" s="91"/>
      <c r="S31" s="94" t="s">
        <v>601</v>
      </c>
    </row>
    <row r="32" spans="1:19" x14ac:dyDescent="0.25">
      <c r="A32" s="121" t="s">
        <v>334</v>
      </c>
      <c r="B32" s="331">
        <v>52.898853000000003</v>
      </c>
      <c r="C32" s="331">
        <v>49.045971999999999</v>
      </c>
      <c r="D32" s="331">
        <v>50.905938999999996</v>
      </c>
      <c r="E32" s="331">
        <v>51.114621999999997</v>
      </c>
      <c r="F32" s="331">
        <v>50.200530000000001</v>
      </c>
      <c r="G32" s="331">
        <v>49.055100000000003</v>
      </c>
      <c r="H32" s="331">
        <v>50.106639999999999</v>
      </c>
      <c r="I32" s="331">
        <v>49.368209999999998</v>
      </c>
      <c r="J32" s="331">
        <v>49.53443</v>
      </c>
      <c r="K32" s="331">
        <v>49.247515999999997</v>
      </c>
      <c r="L32" s="331">
        <v>53.233455999999997</v>
      </c>
      <c r="M32" s="331">
        <v>52.061998000000003</v>
      </c>
      <c r="N32" s="331">
        <v>50.871015</v>
      </c>
      <c r="O32" s="331">
        <v>49.685000000000002</v>
      </c>
      <c r="P32" s="122"/>
      <c r="Q32" s="133" t="s">
        <v>281</v>
      </c>
      <c r="R32" s="132" t="s">
        <v>282</v>
      </c>
      <c r="S32" s="94" t="s">
        <v>601</v>
      </c>
    </row>
    <row r="33" spans="1:19" x14ac:dyDescent="0.25">
      <c r="A33" s="121" t="s">
        <v>353</v>
      </c>
      <c r="B33" s="122">
        <v>80.178381999999999</v>
      </c>
      <c r="C33" s="122">
        <v>71.355455000000006</v>
      </c>
      <c r="D33" s="122">
        <v>75.772845000000004</v>
      </c>
      <c r="E33" s="122">
        <v>76.430822000000006</v>
      </c>
      <c r="F33" s="122">
        <v>74.492000000000004</v>
      </c>
      <c r="G33" s="122">
        <v>71.732298</v>
      </c>
      <c r="H33" s="122">
        <v>73.093000000000004</v>
      </c>
      <c r="I33" s="122">
        <v>72.397000000000006</v>
      </c>
      <c r="J33" s="122">
        <v>71.902238999999994</v>
      </c>
      <c r="K33" s="122">
        <v>72.044539</v>
      </c>
      <c r="L33" s="122">
        <v>70.891067000000007</v>
      </c>
      <c r="M33" s="331">
        <v>68.156809999999993</v>
      </c>
      <c r="N33" s="331">
        <v>66.239000000000004</v>
      </c>
      <c r="O33" s="331">
        <v>67.475513000000007</v>
      </c>
      <c r="P33" s="122"/>
      <c r="Q33" s="133" t="s">
        <v>281</v>
      </c>
      <c r="R33" s="132" t="s">
        <v>282</v>
      </c>
      <c r="S33" s="94" t="s">
        <v>601</v>
      </c>
    </row>
    <row r="34" spans="1:19" x14ac:dyDescent="0.25">
      <c r="A34" s="121" t="s">
        <v>331</v>
      </c>
      <c r="B34" s="96"/>
      <c r="C34" s="96"/>
      <c r="D34" s="96"/>
      <c r="E34" s="96"/>
      <c r="F34" s="122">
        <v>3.4740000000000002</v>
      </c>
      <c r="G34" s="122">
        <v>4.7039999999999997</v>
      </c>
      <c r="H34" s="122">
        <v>5.9470000000000001</v>
      </c>
      <c r="I34" s="122">
        <v>6.5170000000000003</v>
      </c>
      <c r="J34" s="122">
        <v>6.3929999999999998</v>
      </c>
      <c r="K34" s="122">
        <v>6.9</v>
      </c>
      <c r="L34" s="122">
        <v>7.4683609999999998</v>
      </c>
      <c r="M34" s="331">
        <v>8.5927129999999998</v>
      </c>
      <c r="N34" s="331">
        <v>8.4123590000000004</v>
      </c>
      <c r="O34" s="331">
        <v>8.4485969999999995</v>
      </c>
      <c r="P34" s="122"/>
      <c r="Q34" s="133" t="s">
        <v>281</v>
      </c>
      <c r="R34" s="132" t="s">
        <v>282</v>
      </c>
      <c r="S34" s="94" t="s">
        <v>601</v>
      </c>
    </row>
    <row r="35" spans="1:19" x14ac:dyDescent="0.25">
      <c r="A35" s="121" t="s">
        <v>354</v>
      </c>
      <c r="B35" s="122">
        <v>24.326145</v>
      </c>
      <c r="C35" s="122">
        <v>17.122207</v>
      </c>
      <c r="D35" s="122">
        <v>19.540624000000001</v>
      </c>
      <c r="E35" s="122">
        <v>19.524853</v>
      </c>
      <c r="F35" s="122">
        <v>20.750095999999999</v>
      </c>
      <c r="G35" s="122">
        <v>22.951174999999999</v>
      </c>
      <c r="H35" s="122">
        <v>24.613015999999998</v>
      </c>
      <c r="I35" s="122">
        <v>23.684847000000001</v>
      </c>
      <c r="J35" s="122">
        <v>24.078119000000001</v>
      </c>
      <c r="K35" s="332">
        <v>26.741920069999999</v>
      </c>
      <c r="L35" s="332">
        <v>28.859011969999997</v>
      </c>
      <c r="M35" s="333">
        <v>24.637187749999999</v>
      </c>
      <c r="N35" s="331">
        <v>26.542572399999997</v>
      </c>
      <c r="O35" s="331">
        <v>40.973882750000001</v>
      </c>
      <c r="P35" s="122"/>
      <c r="Q35" s="133" t="s">
        <v>281</v>
      </c>
      <c r="R35" s="132" t="s">
        <v>282</v>
      </c>
      <c r="S35" s="94" t="s">
        <v>601</v>
      </c>
    </row>
    <row r="36" spans="1:19" x14ac:dyDescent="0.25">
      <c r="A36" s="121" t="s">
        <v>355</v>
      </c>
      <c r="B36" s="122">
        <v>21.257016</v>
      </c>
      <c r="C36" s="122">
        <v>19.115033</v>
      </c>
      <c r="D36" s="122">
        <v>22.862099000000001</v>
      </c>
      <c r="E36" s="122">
        <v>25.208741</v>
      </c>
      <c r="F36" s="122">
        <v>25.527652</v>
      </c>
      <c r="G36" s="122">
        <v>26.509537000000002</v>
      </c>
      <c r="H36" s="122">
        <v>27.151489999999999</v>
      </c>
      <c r="I36" s="122">
        <v>25.083577999999999</v>
      </c>
      <c r="J36" s="122">
        <v>24.602525</v>
      </c>
      <c r="K36" s="332">
        <v>27.213931049999999</v>
      </c>
      <c r="L36" s="332">
        <v>28.456246629999999</v>
      </c>
      <c r="M36" s="332">
        <v>24.515594839999999</v>
      </c>
      <c r="N36" s="122">
        <v>22.424830789999998</v>
      </c>
      <c r="O36" s="122">
        <v>27.060098969999999</v>
      </c>
      <c r="P36" s="122"/>
      <c r="Q36" s="94" t="s">
        <v>281</v>
      </c>
      <c r="R36" s="95" t="s">
        <v>282</v>
      </c>
      <c r="S36" s="94" t="s">
        <v>601</v>
      </c>
    </row>
    <row r="37" spans="1:19" x14ac:dyDescent="0.25">
      <c r="B37" s="59"/>
      <c r="C37" s="59"/>
      <c r="D37" s="59"/>
      <c r="E37" s="59"/>
      <c r="F37" s="59"/>
      <c r="G37" s="59"/>
      <c r="H37" s="59"/>
      <c r="I37" s="59"/>
      <c r="J37" s="59"/>
      <c r="K37" s="59"/>
      <c r="L37" s="59"/>
      <c r="M37" s="59"/>
      <c r="N37" s="59"/>
      <c r="O37" s="59"/>
      <c r="P37" s="122"/>
    </row>
    <row r="38" spans="1:19" x14ac:dyDescent="0.25">
      <c r="A38" s="227"/>
      <c r="B38" s="59"/>
      <c r="C38" s="59"/>
      <c r="D38" s="59"/>
      <c r="E38" s="59"/>
      <c r="F38" s="59"/>
      <c r="G38" s="59"/>
      <c r="H38" s="59"/>
      <c r="I38" s="59"/>
      <c r="J38" s="59"/>
      <c r="K38" s="59"/>
      <c r="L38" s="59"/>
      <c r="M38" s="59"/>
      <c r="N38" s="59"/>
      <c r="O38" s="59"/>
      <c r="P38" s="122"/>
      <c r="Q38" s="248"/>
      <c r="R38" s="249"/>
      <c r="S38" s="248"/>
    </row>
    <row r="39" spans="1:19" x14ac:dyDescent="0.25">
      <c r="A39" s="227"/>
      <c r="B39" s="59"/>
      <c r="C39" s="59"/>
      <c r="D39" s="59"/>
      <c r="E39" s="59"/>
      <c r="F39" s="59"/>
      <c r="G39" s="59"/>
      <c r="H39" s="59"/>
      <c r="I39" s="59"/>
      <c r="J39" s="59"/>
      <c r="K39" s="59"/>
      <c r="L39" s="59"/>
      <c r="M39" s="59"/>
      <c r="N39" s="59"/>
      <c r="O39" s="59"/>
      <c r="P39" s="59"/>
      <c r="Q39" s="248"/>
      <c r="R39" s="249"/>
      <c r="S39" s="248"/>
    </row>
    <row r="40" spans="1:19" x14ac:dyDescent="0.25">
      <c r="A40" s="227"/>
      <c r="B40" s="59"/>
      <c r="C40" s="59"/>
      <c r="D40" s="59"/>
      <c r="E40" s="59"/>
      <c r="F40" s="59"/>
      <c r="G40" s="59"/>
      <c r="H40" s="59"/>
      <c r="I40" s="59"/>
      <c r="J40" s="59"/>
      <c r="K40" s="59"/>
      <c r="L40" s="59"/>
      <c r="M40" s="59"/>
      <c r="N40" s="59"/>
      <c r="O40" s="59"/>
      <c r="P40" s="59"/>
      <c r="Q40" s="248"/>
      <c r="R40" s="249"/>
      <c r="S40" s="248"/>
    </row>
    <row r="41" spans="1:19" x14ac:dyDescent="0.25">
      <c r="A41" s="227"/>
      <c r="B41" s="59"/>
      <c r="C41" s="59"/>
      <c r="D41" s="59"/>
      <c r="E41" s="59"/>
      <c r="F41" s="59"/>
      <c r="G41" s="59"/>
      <c r="H41" s="59"/>
      <c r="I41" s="59"/>
      <c r="J41" s="59"/>
      <c r="K41" s="59"/>
      <c r="L41" s="59"/>
      <c r="M41" s="59"/>
      <c r="N41" s="59"/>
      <c r="O41" s="59"/>
      <c r="P41" s="59"/>
      <c r="Q41" s="248"/>
      <c r="R41" s="249"/>
      <c r="S41" s="248"/>
    </row>
    <row r="42" spans="1:19" x14ac:dyDescent="0.25">
      <c r="A42" s="227"/>
      <c r="B42" s="59"/>
      <c r="C42" s="59"/>
      <c r="D42" s="59"/>
      <c r="E42" s="59"/>
      <c r="F42" s="59"/>
      <c r="G42" s="59"/>
      <c r="H42" s="59"/>
      <c r="I42" s="59"/>
      <c r="J42" s="59"/>
      <c r="K42" s="59"/>
      <c r="L42" s="59"/>
      <c r="M42" s="59"/>
      <c r="N42" s="59"/>
      <c r="O42" s="59"/>
      <c r="P42" s="59"/>
      <c r="Q42" s="248"/>
      <c r="R42" s="249"/>
      <c r="S42" s="248"/>
    </row>
    <row r="60" spans="12:17" x14ac:dyDescent="0.25">
      <c r="L60"/>
      <c r="M60"/>
      <c r="N60"/>
      <c r="O60"/>
      <c r="P60"/>
      <c r="Q60"/>
    </row>
    <row r="61" spans="12:17" x14ac:dyDescent="0.25">
      <c r="L61"/>
      <c r="M61"/>
      <c r="N61"/>
      <c r="O61"/>
      <c r="P61"/>
      <c r="Q61"/>
    </row>
    <row r="62" spans="12:17" x14ac:dyDescent="0.25">
      <c r="L62"/>
      <c r="M62"/>
      <c r="N62"/>
      <c r="O62"/>
      <c r="P62"/>
      <c r="Q62"/>
    </row>
    <row r="63" spans="12:17" x14ac:dyDescent="0.25">
      <c r="L63"/>
      <c r="M63"/>
      <c r="N63"/>
      <c r="O63"/>
      <c r="P63"/>
      <c r="Q63"/>
    </row>
    <row r="64" spans="12:17" x14ac:dyDescent="0.25">
      <c r="L64"/>
      <c r="M64"/>
      <c r="N64"/>
      <c r="O64"/>
      <c r="P64"/>
      <c r="Q64"/>
    </row>
    <row r="65" spans="12:17" x14ac:dyDescent="0.25">
      <c r="L65"/>
      <c r="M65"/>
      <c r="N65"/>
      <c r="O65"/>
      <c r="P65"/>
      <c r="Q65"/>
    </row>
    <row r="66" spans="12:17" x14ac:dyDescent="0.25">
      <c r="L66"/>
      <c r="M66"/>
      <c r="N66"/>
      <c r="O66"/>
      <c r="P66"/>
      <c r="Q66"/>
    </row>
    <row r="67" spans="12:17" x14ac:dyDescent="0.25">
      <c r="L67"/>
      <c r="M67"/>
      <c r="N67"/>
      <c r="O67"/>
      <c r="P67"/>
      <c r="Q67"/>
    </row>
    <row r="68" spans="12:17" x14ac:dyDescent="0.25">
      <c r="L68"/>
      <c r="M68"/>
      <c r="N68"/>
      <c r="O68"/>
      <c r="P68"/>
      <c r="Q68"/>
    </row>
    <row r="69" spans="12:17" x14ac:dyDescent="0.25">
      <c r="L69"/>
      <c r="M69"/>
      <c r="N69"/>
      <c r="O69"/>
      <c r="P69"/>
      <c r="Q69"/>
    </row>
    <row r="70" spans="12:17" x14ac:dyDescent="0.25">
      <c r="L70"/>
      <c r="M70"/>
      <c r="N70"/>
      <c r="O70"/>
      <c r="P70"/>
      <c r="Q70"/>
    </row>
    <row r="71" spans="12:17" x14ac:dyDescent="0.25">
      <c r="L71"/>
      <c r="M71"/>
      <c r="N71"/>
      <c r="O71"/>
      <c r="P71"/>
      <c r="Q71"/>
    </row>
  </sheetData>
  <mergeCells count="1">
    <mergeCell ref="A1:A2"/>
  </mergeCells>
  <hyperlinks>
    <hyperlink ref="R4" r:id="rId1" location="reqid=51&amp;step=2&amp;isuri=1" xr:uid="{6A9D9D49-CAC8-4C36-8781-E0B4DAC490EF}"/>
    <hyperlink ref="R6" r:id="rId2" location="reqid=51&amp;step=2&amp;isuri=1" xr:uid="{3EA86F89-2775-4203-AA2C-6B30092A748C}"/>
    <hyperlink ref="R15" r:id="rId3" location="reqid=51&amp;step=2&amp;isuri=1" xr:uid="{0340DA35-6532-4F45-B700-E2E4B607E9D5}"/>
    <hyperlink ref="R22" r:id="rId4" location="data/FO" xr:uid="{FD2C12FC-B900-43A9-8A19-0D8B42AEBE84}"/>
    <hyperlink ref="R23" r:id="rId5" location="data/FO" xr:uid="{893C74C4-ADCC-4B99-B34B-CC656A0BD763}"/>
    <hyperlink ref="R24" r:id="rId6" location="data/FO" xr:uid="{5DEB83B7-6731-4DB6-A431-9D4D09F434C2}"/>
    <hyperlink ref="R34" r:id="rId7" location="data/FO" xr:uid="{F60DC30D-ABDD-40B1-854E-9CE1B406184A}"/>
    <hyperlink ref="R25" r:id="rId8" location="data/FO" xr:uid="{AC0CC1F6-137B-49FC-96C1-CE3C1B4DFCCE}"/>
    <hyperlink ref="R26" r:id="rId9" location="data/FO" xr:uid="{86E7DD73-951E-46CF-8F9C-1F61D943344E}"/>
    <hyperlink ref="R32" r:id="rId10" location="data/FO" xr:uid="{AD05E919-9A65-42A2-AEEA-87A10C1F5C02}"/>
    <hyperlink ref="R33" r:id="rId11" location="data/FO" xr:uid="{2F07A493-80A5-4ED0-AAFA-6537022A5EBC}"/>
    <hyperlink ref="R35" r:id="rId12" location="data/FO" xr:uid="{85E8B7AA-3835-4155-9A63-C081671DFB4A}"/>
    <hyperlink ref="R36" r:id="rId13" location="data/FO" xr:uid="{2EFF6399-BB2A-4749-AA82-81B33FEE3431}"/>
    <hyperlink ref="R7" r:id="rId14" xr:uid="{B90DD4AE-482F-4173-B76B-08327BB417E0}"/>
    <hyperlink ref="R10" r:id="rId15" xr:uid="{220E9B1B-B8A4-4C2E-A574-5F8E108B9DCB}"/>
    <hyperlink ref="R16" r:id="rId16" xr:uid="{871A7B96-B7BA-4A8A-B0FA-69A532EF6729}"/>
    <hyperlink ref="R19" r:id="rId17" xr:uid="{26CE1B42-E79E-431A-BF5B-F7958BFB71C0}"/>
  </hyperlinks>
  <pageMargins left="0.7" right="0.7" top="0.75" bottom="0.75" header="0.3" footer="0.3"/>
  <pageSetup orientation="portrait" r:id="rId18"/>
  <drawing r:id="rId19"/>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93404"/>
  </sheetPr>
  <dimension ref="A1:S32"/>
  <sheetViews>
    <sheetView zoomScale="85" zoomScaleNormal="85" workbookViewId="0">
      <pane xSplit="1" ySplit="3" topLeftCell="B4" activePane="bottomRight" state="frozen"/>
      <selection pane="topRight" activeCell="B1" sqref="B1"/>
      <selection pane="bottomLeft" activeCell="A4" sqref="A4"/>
      <selection pane="bottomRight" activeCell="D25" sqref="D25"/>
    </sheetView>
  </sheetViews>
  <sheetFormatPr defaultColWidth="8.85546875" defaultRowHeight="15" x14ac:dyDescent="0.25"/>
  <cols>
    <col min="1" max="1" width="93.42578125" style="10" bestFit="1" customWidth="1"/>
    <col min="2" max="16" width="11.7109375" style="2" customWidth="1"/>
    <col min="17" max="17" width="28" style="10" bestFit="1" customWidth="1"/>
    <col min="18" max="18" width="72.140625" style="10" customWidth="1"/>
    <col min="19" max="19" width="19.5703125" style="10" bestFit="1" customWidth="1"/>
    <col min="20" max="16384" width="8.85546875" style="10"/>
  </cols>
  <sheetData>
    <row r="1" spans="1:19" x14ac:dyDescent="0.25">
      <c r="A1" s="385" t="s">
        <v>100</v>
      </c>
    </row>
    <row r="2" spans="1:19" x14ac:dyDescent="0.25">
      <c r="A2" s="385"/>
    </row>
    <row r="3" spans="1:19" s="2" customFormat="1" x14ac:dyDescent="0.25">
      <c r="A3" s="107" t="s">
        <v>101</v>
      </c>
      <c r="B3" s="107">
        <v>2008</v>
      </c>
      <c r="C3" s="107">
        <v>2009</v>
      </c>
      <c r="D3" s="107">
        <v>2010</v>
      </c>
      <c r="E3" s="107">
        <v>2011</v>
      </c>
      <c r="F3" s="107">
        <v>2012</v>
      </c>
      <c r="G3" s="107">
        <v>2013</v>
      </c>
      <c r="H3" s="107">
        <v>2014</v>
      </c>
      <c r="I3" s="107">
        <v>2015</v>
      </c>
      <c r="J3" s="107">
        <v>2016</v>
      </c>
      <c r="K3" s="107">
        <v>2017</v>
      </c>
      <c r="L3" s="107">
        <v>2018</v>
      </c>
      <c r="M3" s="107">
        <v>2019</v>
      </c>
      <c r="N3" s="107">
        <v>2020</v>
      </c>
      <c r="O3" s="107">
        <v>2021</v>
      </c>
      <c r="P3" s="107">
        <v>2022</v>
      </c>
      <c r="Q3" s="107" t="s">
        <v>107</v>
      </c>
      <c r="R3" s="123" t="s">
        <v>108</v>
      </c>
      <c r="S3" s="123" t="s">
        <v>38</v>
      </c>
    </row>
    <row r="4" spans="1:19" ht="30" x14ac:dyDescent="0.25">
      <c r="A4" s="91" t="s">
        <v>164</v>
      </c>
      <c r="B4" s="122">
        <v>17.8</v>
      </c>
      <c r="C4" s="122">
        <v>15.1</v>
      </c>
      <c r="D4" s="122">
        <v>15.6</v>
      </c>
      <c r="E4" s="122">
        <v>15.1</v>
      </c>
      <c r="F4" s="122">
        <v>16</v>
      </c>
      <c r="G4" s="122">
        <v>16.8</v>
      </c>
      <c r="H4" s="122">
        <v>17.8</v>
      </c>
      <c r="I4" s="122">
        <v>17.899999999999999</v>
      </c>
      <c r="J4" s="122">
        <v>18.600000000000001</v>
      </c>
      <c r="K4" s="122">
        <v>17.7</v>
      </c>
      <c r="L4" s="122">
        <v>16.7</v>
      </c>
      <c r="M4" s="122">
        <v>16.8</v>
      </c>
      <c r="N4" s="122">
        <v>15.3</v>
      </c>
      <c r="O4" s="122">
        <v>16.600000000000001</v>
      </c>
      <c r="P4" s="122"/>
      <c r="Q4" s="94" t="s">
        <v>78</v>
      </c>
      <c r="R4" s="100" t="s">
        <v>125</v>
      </c>
      <c r="S4" s="94" t="s">
        <v>561</v>
      </c>
    </row>
    <row r="5" spans="1:19" ht="30" x14ac:dyDescent="0.25">
      <c r="A5" s="91" t="s">
        <v>102</v>
      </c>
      <c r="B5" s="228">
        <v>0.1</v>
      </c>
      <c r="C5" s="228">
        <v>0.1</v>
      </c>
      <c r="D5" s="228">
        <v>0.1</v>
      </c>
      <c r="E5" s="228">
        <v>0.1</v>
      </c>
      <c r="F5" s="228">
        <v>0.1</v>
      </c>
      <c r="G5" s="228">
        <v>0.1</v>
      </c>
      <c r="H5" s="228">
        <v>0.1</v>
      </c>
      <c r="I5" s="228">
        <v>0.1</v>
      </c>
      <c r="J5" s="96">
        <v>0.1</v>
      </c>
      <c r="K5" s="96">
        <v>0.1</v>
      </c>
      <c r="L5" s="96">
        <v>0.1</v>
      </c>
      <c r="M5" s="96">
        <v>0.1</v>
      </c>
      <c r="N5" s="96">
        <v>0.1</v>
      </c>
      <c r="O5" s="96">
        <v>0.1</v>
      </c>
      <c r="P5" s="96"/>
      <c r="Q5" s="94" t="s">
        <v>78</v>
      </c>
      <c r="R5" s="100" t="s">
        <v>125</v>
      </c>
      <c r="S5" s="94" t="s">
        <v>561</v>
      </c>
    </row>
    <row r="6" spans="1:19" ht="30" x14ac:dyDescent="0.25">
      <c r="A6" s="151" t="s">
        <v>165</v>
      </c>
      <c r="B6" s="122">
        <v>56.5</v>
      </c>
      <c r="C6" s="122">
        <v>46.3</v>
      </c>
      <c r="D6" s="122">
        <v>49.8</v>
      </c>
      <c r="E6" s="122">
        <v>52.9</v>
      </c>
      <c r="F6" s="122">
        <v>51.7</v>
      </c>
      <c r="G6" s="122">
        <v>54</v>
      </c>
      <c r="H6" s="122">
        <v>55.8</v>
      </c>
      <c r="I6" s="122">
        <v>53.5</v>
      </c>
      <c r="J6" s="122">
        <v>52.3</v>
      </c>
      <c r="K6" s="122">
        <v>50.2</v>
      </c>
      <c r="L6" s="83">
        <v>50.6</v>
      </c>
      <c r="M6" s="83">
        <v>50.3</v>
      </c>
      <c r="N6" s="83">
        <v>47.5</v>
      </c>
      <c r="O6" s="83"/>
      <c r="P6" s="83"/>
      <c r="Q6" s="37" t="s">
        <v>78</v>
      </c>
      <c r="R6" s="100" t="s">
        <v>125</v>
      </c>
      <c r="S6" s="94" t="s">
        <v>561</v>
      </c>
    </row>
    <row r="7" spans="1:19" ht="30" x14ac:dyDescent="0.25">
      <c r="A7" s="121" t="s">
        <v>166</v>
      </c>
      <c r="B7" s="122">
        <v>13.5</v>
      </c>
      <c r="C7" s="122">
        <v>10.9</v>
      </c>
      <c r="D7" s="122">
        <v>10.9</v>
      </c>
      <c r="E7" s="122">
        <v>11</v>
      </c>
      <c r="F7" s="122">
        <v>11.2</v>
      </c>
      <c r="G7" s="122">
        <v>11.5</v>
      </c>
      <c r="H7" s="122">
        <v>12.1</v>
      </c>
      <c r="I7" s="122">
        <v>12</v>
      </c>
      <c r="J7" s="122">
        <v>12</v>
      </c>
      <c r="K7" s="122">
        <v>12.3</v>
      </c>
      <c r="L7" s="122">
        <v>12.5</v>
      </c>
      <c r="M7" s="122">
        <v>12.4</v>
      </c>
      <c r="N7" s="122">
        <v>11.6</v>
      </c>
      <c r="O7" s="122"/>
      <c r="P7" s="122"/>
      <c r="Q7" s="94" t="s">
        <v>78</v>
      </c>
      <c r="R7" s="27" t="s">
        <v>348</v>
      </c>
      <c r="S7" s="94" t="s">
        <v>561</v>
      </c>
    </row>
    <row r="8" spans="1:19" ht="30" x14ac:dyDescent="0.25">
      <c r="A8" s="151" t="s">
        <v>168</v>
      </c>
      <c r="B8" s="228">
        <v>0.7</v>
      </c>
      <c r="C8" s="228">
        <v>0.7</v>
      </c>
      <c r="D8" s="228">
        <v>0.6</v>
      </c>
      <c r="E8" s="228">
        <v>0.6</v>
      </c>
      <c r="F8" s="228">
        <v>0.6</v>
      </c>
      <c r="G8" s="228">
        <v>0.6</v>
      </c>
      <c r="H8" s="228">
        <v>0.6</v>
      </c>
      <c r="I8" s="228">
        <v>0.6</v>
      </c>
      <c r="J8" s="228">
        <v>0.6</v>
      </c>
      <c r="K8" s="250">
        <v>0.6</v>
      </c>
      <c r="L8" s="250">
        <v>0.6</v>
      </c>
      <c r="M8" s="250">
        <v>0.6</v>
      </c>
      <c r="N8" s="250">
        <v>-0.5</v>
      </c>
      <c r="O8" s="250"/>
      <c r="P8" s="250"/>
      <c r="Q8" s="94" t="s">
        <v>78</v>
      </c>
      <c r="R8" s="100" t="s">
        <v>125</v>
      </c>
      <c r="S8" s="94" t="s">
        <v>561</v>
      </c>
    </row>
    <row r="9" spans="1:19" ht="30" x14ac:dyDescent="0.25">
      <c r="A9" s="121" t="s">
        <v>167</v>
      </c>
      <c r="B9" s="92">
        <v>3.7</v>
      </c>
      <c r="C9" s="92">
        <v>3.6</v>
      </c>
      <c r="D9" s="92">
        <v>4</v>
      </c>
      <c r="E9" s="92">
        <v>3.5</v>
      </c>
      <c r="F9" s="92">
        <v>4.2</v>
      </c>
      <c r="G9" s="92">
        <v>4.7</v>
      </c>
      <c r="H9" s="92">
        <v>5.2</v>
      </c>
      <c r="I9" s="92">
        <v>5.4</v>
      </c>
      <c r="J9" s="92">
        <v>6</v>
      </c>
      <c r="K9" s="92">
        <v>4.8</v>
      </c>
      <c r="L9" s="92">
        <v>3.6</v>
      </c>
      <c r="M9" s="92">
        <v>3.7</v>
      </c>
      <c r="N9" s="93">
        <v>4.3</v>
      </c>
      <c r="O9" s="93"/>
      <c r="P9" s="93"/>
      <c r="Q9" s="94" t="s">
        <v>78</v>
      </c>
      <c r="R9" s="100" t="s">
        <v>125</v>
      </c>
      <c r="S9" s="94" t="s">
        <v>561</v>
      </c>
    </row>
    <row r="10" spans="1:19" ht="30" x14ac:dyDescent="0.25">
      <c r="A10" s="151" t="s">
        <v>81</v>
      </c>
      <c r="B10" s="83">
        <v>303</v>
      </c>
      <c r="C10" s="83">
        <v>251</v>
      </c>
      <c r="D10" s="83">
        <v>240</v>
      </c>
      <c r="E10" s="83">
        <v>240</v>
      </c>
      <c r="F10" s="83">
        <v>236</v>
      </c>
      <c r="G10" s="83">
        <v>233</v>
      </c>
      <c r="H10" s="83">
        <v>235</v>
      </c>
      <c r="I10" s="83">
        <v>234</v>
      </c>
      <c r="J10" s="83">
        <v>230</v>
      </c>
      <c r="K10" s="83">
        <v>229</v>
      </c>
      <c r="L10" s="83">
        <v>228</v>
      </c>
      <c r="M10" s="83">
        <v>221</v>
      </c>
      <c r="N10" s="83">
        <v>197</v>
      </c>
      <c r="O10" s="83"/>
      <c r="P10" s="83"/>
      <c r="Q10" s="37" t="s">
        <v>78</v>
      </c>
      <c r="R10" s="48" t="s">
        <v>79</v>
      </c>
      <c r="S10" s="94" t="s">
        <v>561</v>
      </c>
    </row>
    <row r="11" spans="1:19" x14ac:dyDescent="0.25">
      <c r="A11" s="16"/>
      <c r="B11" s="54"/>
      <c r="C11" s="54"/>
      <c r="D11" s="54"/>
      <c r="E11" s="54"/>
      <c r="F11" s="54"/>
      <c r="G11" s="54"/>
      <c r="H11" s="54"/>
      <c r="I11" s="54"/>
      <c r="J11" s="54"/>
      <c r="K11" s="54"/>
      <c r="L11" s="54"/>
      <c r="M11" s="54"/>
      <c r="N11" s="54"/>
      <c r="O11" s="54"/>
      <c r="P11" s="54"/>
      <c r="Q11" s="49"/>
      <c r="R11" s="49"/>
      <c r="S11" s="19"/>
    </row>
    <row r="12" spans="1:19" s="2" customFormat="1" x14ac:dyDescent="0.25">
      <c r="A12" s="8" t="s">
        <v>103</v>
      </c>
      <c r="B12" s="8">
        <v>2008</v>
      </c>
      <c r="C12" s="8">
        <v>2009</v>
      </c>
      <c r="D12" s="8">
        <v>2010</v>
      </c>
      <c r="E12" s="8">
        <v>2011</v>
      </c>
      <c r="F12" s="8">
        <v>2012</v>
      </c>
      <c r="G12" s="8">
        <v>2013</v>
      </c>
      <c r="H12" s="8">
        <v>2014</v>
      </c>
      <c r="I12" s="8">
        <v>2015</v>
      </c>
      <c r="J12" s="8">
        <v>2016</v>
      </c>
      <c r="K12" s="8">
        <v>2017</v>
      </c>
      <c r="L12" s="8">
        <v>2018</v>
      </c>
      <c r="M12" s="8">
        <v>2019</v>
      </c>
      <c r="N12" s="107">
        <v>2020</v>
      </c>
      <c r="O12" s="107">
        <v>2021</v>
      </c>
      <c r="P12" s="107">
        <v>2022</v>
      </c>
      <c r="Q12" s="8" t="s">
        <v>107</v>
      </c>
      <c r="R12" s="7" t="s">
        <v>108</v>
      </c>
      <c r="S12" s="7" t="s">
        <v>38</v>
      </c>
    </row>
    <row r="13" spans="1:19" ht="30" x14ac:dyDescent="0.25">
      <c r="A13" s="121" t="s">
        <v>169</v>
      </c>
      <c r="B13" s="122">
        <v>11.6</v>
      </c>
      <c r="C13" s="122">
        <v>9.9</v>
      </c>
      <c r="D13" s="122">
        <v>10.4</v>
      </c>
      <c r="E13" s="122">
        <v>10.1</v>
      </c>
      <c r="F13" s="122">
        <v>10</v>
      </c>
      <c r="G13" s="122">
        <v>10.199999999999999</v>
      </c>
      <c r="H13" s="122">
        <v>9.9</v>
      </c>
      <c r="I13" s="122">
        <v>9.6999999999999993</v>
      </c>
      <c r="J13" s="122">
        <v>9.6</v>
      </c>
      <c r="K13" s="122">
        <v>9.4</v>
      </c>
      <c r="L13" s="122">
        <v>9.3000000000000007</v>
      </c>
      <c r="M13" s="122">
        <v>9.3000000000000007</v>
      </c>
      <c r="N13" s="122">
        <v>9.8000000000000007</v>
      </c>
      <c r="O13" s="122">
        <v>11.6</v>
      </c>
      <c r="P13" s="122"/>
      <c r="Q13" s="94" t="s">
        <v>78</v>
      </c>
      <c r="R13" s="100" t="s">
        <v>125</v>
      </c>
      <c r="S13" s="94" t="s">
        <v>561</v>
      </c>
    </row>
    <row r="14" spans="1:19" ht="30" x14ac:dyDescent="0.25">
      <c r="A14" s="121" t="s">
        <v>126</v>
      </c>
      <c r="B14" s="96">
        <v>0.1</v>
      </c>
      <c r="C14" s="96">
        <v>0.1</v>
      </c>
      <c r="D14" s="96">
        <v>0.1</v>
      </c>
      <c r="E14" s="96">
        <v>0.1</v>
      </c>
      <c r="F14" s="96">
        <v>0.1</v>
      </c>
      <c r="G14" s="96">
        <v>0.1</v>
      </c>
      <c r="H14" s="96">
        <v>0.1</v>
      </c>
      <c r="I14" s="96">
        <v>0.1</v>
      </c>
      <c r="J14" s="96">
        <v>0.1</v>
      </c>
      <c r="K14" s="96">
        <v>0</v>
      </c>
      <c r="L14" s="96">
        <v>0</v>
      </c>
      <c r="M14" s="96">
        <v>0</v>
      </c>
      <c r="N14" s="96">
        <v>0.2</v>
      </c>
      <c r="O14" s="96">
        <v>0.3</v>
      </c>
      <c r="P14" s="96"/>
      <c r="Q14" s="94" t="s">
        <v>78</v>
      </c>
      <c r="R14" s="100" t="s">
        <v>125</v>
      </c>
      <c r="S14" s="94" t="s">
        <v>561</v>
      </c>
    </row>
    <row r="15" spans="1:19" ht="30" x14ac:dyDescent="0.25">
      <c r="A15" s="121" t="s">
        <v>170</v>
      </c>
      <c r="B15" s="122">
        <v>26.7</v>
      </c>
      <c r="C15" s="122">
        <v>24.4</v>
      </c>
      <c r="D15" s="122">
        <v>23.3</v>
      </c>
      <c r="E15" s="122">
        <v>24.9</v>
      </c>
      <c r="F15" s="122">
        <v>19.2</v>
      </c>
      <c r="G15" s="122">
        <v>19.600000000000001</v>
      </c>
      <c r="H15" s="122">
        <v>19.100000000000001</v>
      </c>
      <c r="I15" s="122">
        <v>18.600000000000001</v>
      </c>
      <c r="J15" s="122">
        <v>19</v>
      </c>
      <c r="K15" s="122">
        <v>17.899999999999999</v>
      </c>
      <c r="L15" s="122">
        <v>17.399999999999999</v>
      </c>
      <c r="M15" s="122">
        <v>17.2</v>
      </c>
      <c r="N15" s="122">
        <v>17.8</v>
      </c>
      <c r="O15" s="122"/>
      <c r="P15" s="122"/>
      <c r="Q15" s="94" t="s">
        <v>78</v>
      </c>
      <c r="R15" s="100" t="s">
        <v>125</v>
      </c>
      <c r="S15" s="94" t="s">
        <v>561</v>
      </c>
    </row>
    <row r="16" spans="1:19" ht="30" x14ac:dyDescent="0.25">
      <c r="A16" s="328" t="s">
        <v>171</v>
      </c>
      <c r="B16" s="122">
        <v>10.5</v>
      </c>
      <c r="C16" s="122">
        <v>8.6</v>
      </c>
      <c r="D16" s="122">
        <v>8.4</v>
      </c>
      <c r="E16" s="122">
        <v>8.1</v>
      </c>
      <c r="F16" s="122">
        <v>8.1999999999999993</v>
      </c>
      <c r="G16" s="122">
        <v>8.1999999999999993</v>
      </c>
      <c r="H16" s="122">
        <v>8.4</v>
      </c>
      <c r="I16" s="122">
        <v>8.1999999999999993</v>
      </c>
      <c r="J16" s="122">
        <v>8.1</v>
      </c>
      <c r="K16" s="122">
        <v>7.9</v>
      </c>
      <c r="L16" s="122">
        <v>7.8</v>
      </c>
      <c r="M16" s="122">
        <v>7.7</v>
      </c>
      <c r="N16" s="122">
        <v>6.8</v>
      </c>
      <c r="O16" s="122"/>
      <c r="P16" s="122"/>
      <c r="Q16" s="94" t="s">
        <v>78</v>
      </c>
      <c r="R16" s="27" t="s">
        <v>348</v>
      </c>
      <c r="S16" s="94" t="s">
        <v>561</v>
      </c>
    </row>
    <row r="17" spans="1:19" ht="30" x14ac:dyDescent="0.25">
      <c r="A17" s="151" t="s">
        <v>172</v>
      </c>
      <c r="B17" s="228">
        <v>0.3</v>
      </c>
      <c r="C17" s="228">
        <v>0.3</v>
      </c>
      <c r="D17" s="228">
        <v>0.3</v>
      </c>
      <c r="E17" s="228">
        <v>0.3</v>
      </c>
      <c r="F17" s="228">
        <v>0.3</v>
      </c>
      <c r="G17" s="228">
        <v>0.3</v>
      </c>
      <c r="H17" s="228">
        <v>0.3</v>
      </c>
      <c r="I17" s="228">
        <v>0.3</v>
      </c>
      <c r="J17" s="250">
        <v>0.3</v>
      </c>
      <c r="K17" s="250">
        <v>0.3</v>
      </c>
      <c r="L17" s="250">
        <v>0.3</v>
      </c>
      <c r="M17" s="250">
        <v>0.3</v>
      </c>
      <c r="N17" s="250">
        <v>-0.8</v>
      </c>
      <c r="O17" s="250"/>
      <c r="P17" s="250"/>
      <c r="Q17" s="94" t="s">
        <v>78</v>
      </c>
      <c r="R17" s="100" t="s">
        <v>125</v>
      </c>
      <c r="S17" s="94" t="s">
        <v>561</v>
      </c>
    </row>
    <row r="18" spans="1:19" ht="30" x14ac:dyDescent="0.25">
      <c r="A18" s="121" t="s">
        <v>173</v>
      </c>
      <c r="B18" s="228">
        <v>0.8</v>
      </c>
      <c r="C18" s="228">
        <v>1</v>
      </c>
      <c r="D18" s="228">
        <v>1.7</v>
      </c>
      <c r="E18" s="228">
        <v>1.7</v>
      </c>
      <c r="F18" s="228">
        <v>1.6</v>
      </c>
      <c r="G18" s="228">
        <v>1.7</v>
      </c>
      <c r="H18" s="228">
        <v>1.3</v>
      </c>
      <c r="I18" s="228">
        <v>1.2</v>
      </c>
      <c r="J18" s="228">
        <v>1.3</v>
      </c>
      <c r="K18" s="228">
        <v>1.2</v>
      </c>
      <c r="L18" s="228">
        <v>1.2</v>
      </c>
      <c r="M18" s="228">
        <v>1.3</v>
      </c>
      <c r="N18" s="228">
        <v>3.8</v>
      </c>
      <c r="O18" s="228"/>
      <c r="P18" s="228"/>
      <c r="Q18" s="94" t="s">
        <v>78</v>
      </c>
      <c r="R18" s="100" t="s">
        <v>125</v>
      </c>
      <c r="S18" s="94" t="s">
        <v>561</v>
      </c>
    </row>
    <row r="19" spans="1:19" ht="30" x14ac:dyDescent="0.25">
      <c r="A19" s="121" t="s">
        <v>81</v>
      </c>
      <c r="B19" s="122">
        <v>233</v>
      </c>
      <c r="C19" s="122">
        <v>198</v>
      </c>
      <c r="D19" s="122">
        <v>187</v>
      </c>
      <c r="E19" s="122">
        <v>181</v>
      </c>
      <c r="F19" s="122">
        <v>178</v>
      </c>
      <c r="G19" s="122">
        <v>174</v>
      </c>
      <c r="H19" s="122">
        <v>170</v>
      </c>
      <c r="I19" s="122">
        <v>166</v>
      </c>
      <c r="J19" s="122">
        <v>159</v>
      </c>
      <c r="K19" s="122">
        <v>149</v>
      </c>
      <c r="L19" s="122">
        <v>142</v>
      </c>
      <c r="M19" s="122">
        <v>137</v>
      </c>
      <c r="N19" s="122">
        <v>114</v>
      </c>
      <c r="O19" s="122"/>
      <c r="P19" s="122"/>
      <c r="Q19" s="94" t="s">
        <v>78</v>
      </c>
      <c r="R19" s="95" t="s">
        <v>79</v>
      </c>
      <c r="S19" s="94" t="s">
        <v>561</v>
      </c>
    </row>
    <row r="21" spans="1:19" x14ac:dyDescent="0.25">
      <c r="K21"/>
      <c r="L21"/>
      <c r="M21"/>
      <c r="N21"/>
      <c r="O21"/>
      <c r="P21"/>
      <c r="Q21"/>
      <c r="R21"/>
      <c r="S21"/>
    </row>
    <row r="22" spans="1:19" x14ac:dyDescent="0.25">
      <c r="K22"/>
      <c r="L22"/>
      <c r="M22"/>
      <c r="N22"/>
      <c r="O22"/>
      <c r="P22"/>
      <c r="Q22"/>
      <c r="R22"/>
      <c r="S22"/>
    </row>
    <row r="23" spans="1:19" x14ac:dyDescent="0.25">
      <c r="K23"/>
      <c r="L23"/>
      <c r="M23"/>
      <c r="N23"/>
      <c r="O23"/>
      <c r="P23"/>
      <c r="Q23"/>
      <c r="R23"/>
      <c r="S23"/>
    </row>
    <row r="24" spans="1:19" x14ac:dyDescent="0.25">
      <c r="K24"/>
      <c r="L24"/>
      <c r="M24"/>
      <c r="N24"/>
      <c r="O24"/>
      <c r="P24"/>
      <c r="Q24"/>
      <c r="R24"/>
      <c r="S24"/>
    </row>
    <row r="25" spans="1:19" x14ac:dyDescent="0.25">
      <c r="K25"/>
      <c r="L25"/>
      <c r="M25"/>
      <c r="N25"/>
      <c r="O25"/>
      <c r="P25"/>
      <c r="Q25"/>
      <c r="R25"/>
      <c r="S25"/>
    </row>
    <row r="26" spans="1:19" x14ac:dyDescent="0.25">
      <c r="K26"/>
      <c r="L26"/>
      <c r="M26"/>
      <c r="N26"/>
      <c r="O26"/>
      <c r="P26"/>
      <c r="Q26"/>
      <c r="R26"/>
      <c r="S26"/>
    </row>
    <row r="27" spans="1:19" x14ac:dyDescent="0.25">
      <c r="K27"/>
      <c r="L27"/>
      <c r="M27"/>
      <c r="N27"/>
      <c r="O27"/>
      <c r="P27"/>
      <c r="Q27"/>
      <c r="R27"/>
      <c r="S27"/>
    </row>
    <row r="28" spans="1:19" x14ac:dyDescent="0.25">
      <c r="K28"/>
      <c r="L28"/>
      <c r="M28"/>
      <c r="N28"/>
      <c r="O28"/>
      <c r="P28"/>
      <c r="Q28"/>
      <c r="R28"/>
      <c r="S28"/>
    </row>
    <row r="29" spans="1:19" x14ac:dyDescent="0.25">
      <c r="K29"/>
      <c r="L29"/>
      <c r="M29"/>
      <c r="N29"/>
      <c r="O29"/>
      <c r="P29"/>
      <c r="Q29"/>
      <c r="R29"/>
      <c r="S29"/>
    </row>
    <row r="30" spans="1:19" x14ac:dyDescent="0.25">
      <c r="K30"/>
      <c r="L30"/>
      <c r="M30"/>
      <c r="N30"/>
      <c r="O30"/>
      <c r="P30"/>
      <c r="Q30"/>
      <c r="R30"/>
      <c r="S30"/>
    </row>
    <row r="31" spans="1:19" x14ac:dyDescent="0.25">
      <c r="K31"/>
      <c r="L31"/>
      <c r="M31"/>
      <c r="N31"/>
      <c r="O31"/>
      <c r="P31"/>
      <c r="Q31"/>
      <c r="R31"/>
      <c r="S31"/>
    </row>
    <row r="32" spans="1:19" x14ac:dyDescent="0.25">
      <c r="K32"/>
      <c r="L32"/>
      <c r="M32"/>
      <c r="N32"/>
      <c r="O32"/>
      <c r="P32"/>
      <c r="Q32"/>
      <c r="R32"/>
      <c r="S32"/>
    </row>
  </sheetData>
  <mergeCells count="1">
    <mergeCell ref="A1:A2"/>
  </mergeCells>
  <hyperlinks>
    <hyperlink ref="R19" r:id="rId1" xr:uid="{6DDD3E04-E9EC-4A2A-AA79-9AB63EE01313}"/>
    <hyperlink ref="R10" r:id="rId2" xr:uid="{924D3DCD-4C58-4DDA-996F-BB763151A0FE}"/>
    <hyperlink ref="R5" r:id="rId3" location="reqid=51&amp;step=2&amp;isuri=1" xr:uid="{6B70ECE8-4D30-4D4B-9D06-97D0B5BC44E2}"/>
    <hyperlink ref="R7" r:id="rId4" xr:uid="{E6F2E07F-985E-45F2-9CB1-D0A130CD8D32}"/>
    <hyperlink ref="R16" r:id="rId5" xr:uid="{323407DB-C92C-4B71-A882-0A917728B9DC}"/>
  </hyperlinks>
  <pageMargins left="0.7" right="0.7" top="0.75" bottom="0.75" header="0.3" footer="0.3"/>
  <pageSetup orientation="portrait"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C50A1-DEFD-4C05-BF4F-8BC06BFB7D8E}">
  <sheetPr>
    <tabColor rgb="FFC00000"/>
  </sheetPr>
  <dimension ref="A1:AD148"/>
  <sheetViews>
    <sheetView tabSelected="1" topLeftCell="S57" zoomScaleNormal="100" workbookViewId="0">
      <selection activeCell="Z67" sqref="Z67:AA71"/>
    </sheetView>
  </sheetViews>
  <sheetFormatPr defaultRowHeight="15" x14ac:dyDescent="0.25"/>
  <cols>
    <col min="1" max="1" width="37.5703125" bestFit="1" customWidth="1"/>
    <col min="17" max="17" width="26.5703125" customWidth="1"/>
    <col min="18" max="18" width="60.140625" bestFit="1" customWidth="1"/>
    <col min="19" max="19" width="25.28515625" customWidth="1"/>
    <col min="20" max="20" width="10.5703125" bestFit="1" customWidth="1"/>
    <col min="21" max="21" width="10.5703125" customWidth="1"/>
    <col min="26" max="26" width="9.7109375" bestFit="1" customWidth="1"/>
  </cols>
  <sheetData>
    <row r="1" spans="1:19" s="10" customFormat="1" x14ac:dyDescent="0.25">
      <c r="A1" s="390" t="s">
        <v>479</v>
      </c>
    </row>
    <row r="2" spans="1:19" s="10" customFormat="1" x14ac:dyDescent="0.25">
      <c r="A2" s="391"/>
    </row>
    <row r="3" spans="1:19" s="334" customFormat="1" x14ac:dyDescent="0.25">
      <c r="A3" s="334" t="s">
        <v>500</v>
      </c>
      <c r="B3" s="335">
        <v>2008</v>
      </c>
      <c r="C3" s="335">
        <v>2009</v>
      </c>
      <c r="D3" s="335">
        <v>2010</v>
      </c>
      <c r="E3" s="335">
        <v>2011</v>
      </c>
      <c r="F3" s="335">
        <v>2012</v>
      </c>
      <c r="G3" s="335">
        <v>2013</v>
      </c>
      <c r="H3" s="335">
        <v>2014</v>
      </c>
      <c r="I3" s="335">
        <v>2015</v>
      </c>
      <c r="J3" s="335">
        <v>2016</v>
      </c>
      <c r="K3" s="335">
        <v>2017</v>
      </c>
      <c r="L3" s="335">
        <v>2018</v>
      </c>
      <c r="M3" s="335">
        <v>2019</v>
      </c>
      <c r="N3" s="335">
        <v>2020</v>
      </c>
      <c r="O3" s="335">
        <v>2021</v>
      </c>
      <c r="P3" s="335">
        <v>2022</v>
      </c>
      <c r="Q3" s="123" t="s">
        <v>119</v>
      </c>
      <c r="R3" s="123" t="s">
        <v>120</v>
      </c>
      <c r="S3" s="123" t="s">
        <v>38</v>
      </c>
    </row>
    <row r="4" spans="1:19" s="334" customFormat="1" x14ac:dyDescent="0.25">
      <c r="A4" s="335" t="s">
        <v>416</v>
      </c>
      <c r="B4" s="335"/>
      <c r="C4" s="335"/>
      <c r="D4" s="335"/>
      <c r="E4" s="335"/>
      <c r="F4" s="335"/>
      <c r="G4" s="335"/>
      <c r="H4" s="335"/>
      <c r="I4" s="335"/>
      <c r="J4" s="335"/>
      <c r="K4" s="335"/>
      <c r="L4" s="335"/>
      <c r="M4" s="335"/>
      <c r="N4" s="335"/>
      <c r="O4" s="335"/>
      <c r="P4" s="335"/>
      <c r="Q4" s="123"/>
      <c r="R4" s="123"/>
      <c r="S4" s="123"/>
    </row>
    <row r="5" spans="1:19" x14ac:dyDescent="0.25">
      <c r="A5" s="336" t="s">
        <v>0</v>
      </c>
      <c r="B5" s="336">
        <v>315</v>
      </c>
      <c r="C5" s="336">
        <v>307</v>
      </c>
      <c r="D5" s="336">
        <v>277</v>
      </c>
      <c r="E5" s="336">
        <v>199</v>
      </c>
      <c r="F5" s="336">
        <v>180</v>
      </c>
      <c r="G5" s="336">
        <v>184</v>
      </c>
      <c r="H5" s="336">
        <v>188</v>
      </c>
      <c r="I5" s="336">
        <v>190</v>
      </c>
      <c r="J5" s="336">
        <v>141</v>
      </c>
      <c r="K5" s="336">
        <v>145</v>
      </c>
      <c r="L5" s="336">
        <v>150</v>
      </c>
      <c r="M5" s="336">
        <v>153</v>
      </c>
      <c r="N5" s="336">
        <v>107</v>
      </c>
      <c r="O5" s="336">
        <v>125</v>
      </c>
      <c r="P5" s="336"/>
      <c r="Q5" s="336" t="s">
        <v>17</v>
      </c>
      <c r="R5" s="317" t="s">
        <v>424</v>
      </c>
      <c r="S5" s="94" t="s">
        <v>561</v>
      </c>
    </row>
    <row r="6" spans="1:19" x14ac:dyDescent="0.25">
      <c r="A6" s="336" t="s">
        <v>418</v>
      </c>
      <c r="B6" s="336">
        <v>4</v>
      </c>
      <c r="C6" s="336">
        <v>4</v>
      </c>
      <c r="D6" s="336">
        <v>3</v>
      </c>
      <c r="E6" s="336">
        <v>2</v>
      </c>
      <c r="F6" s="336">
        <v>5</v>
      </c>
      <c r="G6" s="336">
        <v>2</v>
      </c>
      <c r="H6" s="336">
        <v>4</v>
      </c>
      <c r="I6" s="336">
        <v>0</v>
      </c>
      <c r="J6" s="336">
        <v>2</v>
      </c>
      <c r="K6" s="336">
        <v>0</v>
      </c>
      <c r="L6" s="336">
        <v>2</v>
      </c>
      <c r="M6" s="336">
        <v>1</v>
      </c>
      <c r="N6" s="336">
        <v>0</v>
      </c>
      <c r="O6" s="336">
        <v>0</v>
      </c>
      <c r="P6" s="336"/>
      <c r="Q6" s="336" t="s">
        <v>17</v>
      </c>
      <c r="R6" s="317" t="s">
        <v>424</v>
      </c>
      <c r="S6" s="94" t="s">
        <v>561</v>
      </c>
    </row>
    <row r="7" spans="1:19" x14ac:dyDescent="0.25">
      <c r="A7" s="336" t="s">
        <v>417</v>
      </c>
      <c r="B7" s="336">
        <v>102</v>
      </c>
      <c r="C7" s="336">
        <v>103</v>
      </c>
      <c r="D7" s="336">
        <v>101</v>
      </c>
      <c r="E7" s="336">
        <v>68</v>
      </c>
      <c r="F7" s="336">
        <v>59</v>
      </c>
      <c r="G7" s="336">
        <v>54</v>
      </c>
      <c r="H7" s="336">
        <v>58</v>
      </c>
      <c r="I7" s="336">
        <v>37</v>
      </c>
      <c r="J7" s="336">
        <v>20</v>
      </c>
      <c r="K7" s="336">
        <v>20</v>
      </c>
      <c r="L7" s="336">
        <v>24</v>
      </c>
      <c r="M7" s="336">
        <v>32</v>
      </c>
      <c r="N7" s="336">
        <v>14</v>
      </c>
      <c r="O7" s="336">
        <v>5</v>
      </c>
      <c r="P7" s="336"/>
      <c r="Q7" s="336" t="s">
        <v>17</v>
      </c>
      <c r="R7" s="317" t="s">
        <v>424</v>
      </c>
      <c r="S7" s="94" t="s">
        <v>561</v>
      </c>
    </row>
    <row r="8" spans="1:19" x14ac:dyDescent="0.25">
      <c r="A8" s="336" t="s">
        <v>419</v>
      </c>
      <c r="B8" s="336">
        <v>15</v>
      </c>
      <c r="C8" s="336">
        <v>29</v>
      </c>
      <c r="D8" s="336">
        <v>21</v>
      </c>
      <c r="E8" s="336">
        <v>18</v>
      </c>
      <c r="F8" s="336">
        <v>20</v>
      </c>
      <c r="G8" s="336">
        <v>20</v>
      </c>
      <c r="H8" s="336">
        <v>14</v>
      </c>
      <c r="I8" s="336">
        <v>9</v>
      </c>
      <c r="J8" s="336">
        <v>6</v>
      </c>
      <c r="K8" s="336">
        <v>5</v>
      </c>
      <c r="L8" s="336">
        <v>7</v>
      </c>
      <c r="M8" s="336">
        <v>8</v>
      </c>
      <c r="N8" s="336">
        <v>3</v>
      </c>
      <c r="O8" s="336">
        <v>2</v>
      </c>
      <c r="P8" s="336"/>
      <c r="Q8" s="336" t="s">
        <v>17</v>
      </c>
      <c r="R8" s="317" t="s">
        <v>424</v>
      </c>
      <c r="S8" s="94" t="s">
        <v>561</v>
      </c>
    </row>
    <row r="9" spans="1:19" x14ac:dyDescent="0.25">
      <c r="A9" s="336" t="s">
        <v>422</v>
      </c>
      <c r="B9" s="336">
        <v>0</v>
      </c>
      <c r="C9" s="336">
        <v>0</v>
      </c>
      <c r="D9" s="336">
        <v>0</v>
      </c>
      <c r="E9" s="336">
        <v>0</v>
      </c>
      <c r="F9" s="336">
        <v>0</v>
      </c>
      <c r="G9" s="336">
        <v>0</v>
      </c>
      <c r="H9" s="336">
        <v>1</v>
      </c>
      <c r="I9" s="336">
        <v>0</v>
      </c>
      <c r="J9" s="336">
        <v>0</v>
      </c>
      <c r="K9" s="336">
        <v>1</v>
      </c>
      <c r="L9" s="336">
        <v>0</v>
      </c>
      <c r="M9" s="336">
        <v>0</v>
      </c>
      <c r="N9" s="336">
        <v>0</v>
      </c>
      <c r="O9" s="336">
        <v>0</v>
      </c>
      <c r="P9" s="336"/>
      <c r="Q9" s="336" t="s">
        <v>17</v>
      </c>
      <c r="R9" s="317" t="s">
        <v>424</v>
      </c>
      <c r="S9" s="94" t="s">
        <v>561</v>
      </c>
    </row>
    <row r="10" spans="1:19" x14ac:dyDescent="0.25">
      <c r="A10" s="336" t="s">
        <v>423</v>
      </c>
      <c r="B10" s="336">
        <v>15</v>
      </c>
      <c r="C10" s="336">
        <v>46</v>
      </c>
      <c r="D10" s="336">
        <v>22</v>
      </c>
      <c r="E10" s="336">
        <v>21</v>
      </c>
      <c r="F10" s="336">
        <v>16</v>
      </c>
      <c r="G10" s="336">
        <v>22</v>
      </c>
      <c r="H10" s="336">
        <v>27</v>
      </c>
      <c r="I10" s="336">
        <v>21</v>
      </c>
      <c r="J10" s="336">
        <v>15</v>
      </c>
      <c r="K10" s="336">
        <v>17</v>
      </c>
      <c r="L10" s="336">
        <v>10</v>
      </c>
      <c r="M10" s="336">
        <v>12</v>
      </c>
      <c r="N10" s="336">
        <v>5</v>
      </c>
      <c r="O10" s="336">
        <v>4</v>
      </c>
      <c r="P10" s="336"/>
      <c r="Q10" s="336" t="s">
        <v>17</v>
      </c>
      <c r="R10" s="317" t="s">
        <v>424</v>
      </c>
      <c r="S10" s="94" t="s">
        <v>561</v>
      </c>
    </row>
    <row r="11" spans="1:19" x14ac:dyDescent="0.25">
      <c r="A11" s="336" t="s">
        <v>420</v>
      </c>
      <c r="B11" s="336">
        <v>9</v>
      </c>
      <c r="C11" s="336">
        <v>16</v>
      </c>
      <c r="D11" s="336">
        <v>21</v>
      </c>
      <c r="E11" s="336">
        <v>15</v>
      </c>
      <c r="F11" s="336">
        <v>19</v>
      </c>
      <c r="G11" s="336">
        <v>17</v>
      </c>
      <c r="H11" s="336">
        <v>19</v>
      </c>
      <c r="I11" s="336">
        <v>9</v>
      </c>
      <c r="J11" s="336">
        <v>16</v>
      </c>
      <c r="K11" s="336">
        <v>11</v>
      </c>
      <c r="L11" s="336">
        <v>8</v>
      </c>
      <c r="M11" s="336">
        <v>10</v>
      </c>
      <c r="N11" s="336">
        <v>5</v>
      </c>
      <c r="O11" s="336">
        <v>7</v>
      </c>
      <c r="P11" s="336"/>
      <c r="Q11" s="336" t="s">
        <v>17</v>
      </c>
      <c r="R11" s="317" t="s">
        <v>424</v>
      </c>
      <c r="S11" s="94" t="s">
        <v>561</v>
      </c>
    </row>
    <row r="12" spans="1:19" x14ac:dyDescent="0.25">
      <c r="A12" s="336" t="s">
        <v>421</v>
      </c>
      <c r="B12" s="336">
        <v>116</v>
      </c>
      <c r="C12" s="336">
        <v>134</v>
      </c>
      <c r="D12" s="336">
        <v>158</v>
      </c>
      <c r="E12" s="336">
        <v>132</v>
      </c>
      <c r="F12" s="336">
        <v>105</v>
      </c>
      <c r="G12" s="336">
        <v>97</v>
      </c>
      <c r="H12" s="336">
        <v>117</v>
      </c>
      <c r="I12" s="336">
        <v>104</v>
      </c>
      <c r="J12" s="336">
        <v>98</v>
      </c>
      <c r="K12" s="336">
        <v>85</v>
      </c>
      <c r="L12" s="336">
        <v>80</v>
      </c>
      <c r="M12" s="336">
        <v>94</v>
      </c>
      <c r="N12" s="336">
        <v>72</v>
      </c>
      <c r="O12" s="336">
        <v>19</v>
      </c>
      <c r="P12" s="336"/>
      <c r="Q12" s="336" t="s">
        <v>17</v>
      </c>
      <c r="R12" s="317" t="s">
        <v>424</v>
      </c>
      <c r="S12" s="94" t="s">
        <v>561</v>
      </c>
    </row>
    <row r="13" spans="1:19" x14ac:dyDescent="0.25">
      <c r="A13" s="336" t="s">
        <v>121</v>
      </c>
      <c r="B13" s="336">
        <v>23</v>
      </c>
      <c r="C13" s="336">
        <v>25</v>
      </c>
      <c r="D13" s="336">
        <v>27</v>
      </c>
      <c r="E13" s="336">
        <v>23</v>
      </c>
      <c r="F13" s="336">
        <v>17</v>
      </c>
      <c r="G13" s="336">
        <v>18</v>
      </c>
      <c r="H13" s="336">
        <v>24</v>
      </c>
      <c r="I13" s="336">
        <v>19</v>
      </c>
      <c r="J13" s="336">
        <v>24</v>
      </c>
      <c r="K13" s="336">
        <v>16</v>
      </c>
      <c r="L13" s="336">
        <v>12</v>
      </c>
      <c r="M13" s="336">
        <v>21</v>
      </c>
      <c r="N13" s="336">
        <v>16</v>
      </c>
      <c r="O13" s="336">
        <v>7</v>
      </c>
      <c r="P13" s="336"/>
      <c r="Q13" s="336" t="s">
        <v>17</v>
      </c>
      <c r="R13" s="317" t="s">
        <v>424</v>
      </c>
      <c r="S13" s="94" t="s">
        <v>561</v>
      </c>
    </row>
    <row r="14" spans="1:19" x14ac:dyDescent="0.25">
      <c r="A14" s="336" t="s">
        <v>336</v>
      </c>
      <c r="B14" s="336">
        <v>52</v>
      </c>
      <c r="C14" s="336">
        <v>69</v>
      </c>
      <c r="D14" s="336">
        <v>66</v>
      </c>
      <c r="E14" s="336">
        <v>55</v>
      </c>
      <c r="F14" s="336">
        <v>41</v>
      </c>
      <c r="G14" s="336">
        <v>48</v>
      </c>
      <c r="H14" s="336">
        <v>61</v>
      </c>
      <c r="I14" s="336">
        <v>45</v>
      </c>
      <c r="J14" s="336">
        <v>36</v>
      </c>
      <c r="K14" s="336">
        <v>42</v>
      </c>
      <c r="L14" s="336">
        <v>39</v>
      </c>
      <c r="M14" s="336">
        <v>44</v>
      </c>
      <c r="N14" s="336">
        <v>30</v>
      </c>
      <c r="O14" s="336">
        <v>17</v>
      </c>
      <c r="P14" s="336"/>
      <c r="Q14" s="336" t="s">
        <v>17</v>
      </c>
      <c r="R14" s="317" t="s">
        <v>424</v>
      </c>
      <c r="S14" s="94" t="s">
        <v>561</v>
      </c>
    </row>
    <row r="15" spans="1:19" x14ac:dyDescent="0.25">
      <c r="A15" s="336" t="s">
        <v>124</v>
      </c>
      <c r="B15" s="336">
        <v>9</v>
      </c>
      <c r="C15" s="336">
        <v>11</v>
      </c>
      <c r="D15" s="336">
        <v>12</v>
      </c>
      <c r="E15" s="336">
        <v>8</v>
      </c>
      <c r="F15" s="336">
        <v>8</v>
      </c>
      <c r="G15" s="336">
        <v>6</v>
      </c>
      <c r="H15" s="336">
        <v>8</v>
      </c>
      <c r="I15" s="336">
        <v>10</v>
      </c>
      <c r="J15" s="336">
        <v>8</v>
      </c>
      <c r="K15" s="336">
        <v>7</v>
      </c>
      <c r="L15" s="336">
        <v>8</v>
      </c>
      <c r="M15" s="336">
        <v>8</v>
      </c>
      <c r="N15" s="336">
        <v>3</v>
      </c>
      <c r="O15" s="336">
        <v>6</v>
      </c>
      <c r="P15" s="336"/>
      <c r="Q15" s="336" t="s">
        <v>17</v>
      </c>
      <c r="R15" s="317" t="s">
        <v>424</v>
      </c>
      <c r="S15" s="94" t="s">
        <v>561</v>
      </c>
    </row>
    <row r="16" spans="1:19" x14ac:dyDescent="0.25">
      <c r="A16" s="336" t="s">
        <v>4</v>
      </c>
      <c r="B16" s="336">
        <v>10</v>
      </c>
      <c r="C16" s="336">
        <v>29</v>
      </c>
      <c r="D16" s="336">
        <v>14</v>
      </c>
      <c r="E16" s="336">
        <v>17</v>
      </c>
      <c r="F16" s="336">
        <v>10</v>
      </c>
      <c r="G16" s="336">
        <v>24</v>
      </c>
      <c r="H16" s="336">
        <v>17</v>
      </c>
      <c r="I16" s="336">
        <v>9</v>
      </c>
      <c r="J16" s="336">
        <v>8</v>
      </c>
      <c r="K16" s="336">
        <v>10</v>
      </c>
      <c r="L16" s="336">
        <v>12</v>
      </c>
      <c r="M16" s="336">
        <v>9</v>
      </c>
      <c r="N16" s="336">
        <v>3</v>
      </c>
      <c r="O16" s="336">
        <v>9</v>
      </c>
      <c r="P16" s="336"/>
      <c r="Q16" s="336" t="s">
        <v>17</v>
      </c>
      <c r="R16" s="317" t="s">
        <v>424</v>
      </c>
      <c r="S16" s="94" t="s">
        <v>561</v>
      </c>
    </row>
    <row r="17" spans="1:19" x14ac:dyDescent="0.25">
      <c r="A17" s="336" t="s">
        <v>5</v>
      </c>
      <c r="B17" s="336">
        <v>343</v>
      </c>
      <c r="C17" s="336">
        <v>411</v>
      </c>
      <c r="D17" s="336">
        <v>345</v>
      </c>
      <c r="E17" s="336">
        <v>285</v>
      </c>
      <c r="F17" s="336">
        <v>246</v>
      </c>
      <c r="G17" s="336">
        <v>245</v>
      </c>
      <c r="H17" s="336">
        <v>304</v>
      </c>
      <c r="I17" s="336">
        <v>261</v>
      </c>
      <c r="J17" s="336">
        <v>258</v>
      </c>
      <c r="K17" s="336">
        <v>211</v>
      </c>
      <c r="L17" s="336">
        <v>260</v>
      </c>
      <c r="M17" s="336">
        <v>233</v>
      </c>
      <c r="N17" s="336">
        <v>169</v>
      </c>
      <c r="O17" s="336">
        <v>154</v>
      </c>
      <c r="P17" s="336"/>
      <c r="Q17" s="336" t="s">
        <v>17</v>
      </c>
      <c r="R17" s="317" t="s">
        <v>424</v>
      </c>
      <c r="S17" s="94" t="s">
        <v>561</v>
      </c>
    </row>
    <row r="18" spans="1:19" x14ac:dyDescent="0.25">
      <c r="A18" s="334" t="s">
        <v>501</v>
      </c>
      <c r="B18" s="335">
        <v>2008</v>
      </c>
      <c r="C18" s="335">
        <v>2009</v>
      </c>
      <c r="D18" s="335">
        <v>2010</v>
      </c>
      <c r="E18" s="335">
        <v>2011</v>
      </c>
      <c r="F18" s="335">
        <v>2012</v>
      </c>
      <c r="G18" s="335">
        <v>2013</v>
      </c>
      <c r="H18" s="335">
        <v>2014</v>
      </c>
      <c r="I18" s="335">
        <v>2015</v>
      </c>
      <c r="J18" s="335">
        <v>2016</v>
      </c>
      <c r="K18" s="335">
        <v>2017</v>
      </c>
      <c r="L18" s="335">
        <v>2018</v>
      </c>
      <c r="M18" s="335">
        <v>2019</v>
      </c>
      <c r="N18" s="335"/>
      <c r="O18" s="335"/>
      <c r="P18" s="335"/>
      <c r="Q18" s="123" t="s">
        <v>119</v>
      </c>
      <c r="R18" s="123" t="s">
        <v>120</v>
      </c>
      <c r="S18" s="123" t="s">
        <v>38</v>
      </c>
    </row>
    <row r="19" spans="1:19" x14ac:dyDescent="0.25">
      <c r="A19" s="335" t="s">
        <v>416</v>
      </c>
      <c r="B19" s="335"/>
      <c r="C19" s="335"/>
      <c r="D19" s="335"/>
      <c r="E19" s="335"/>
      <c r="F19" s="335"/>
      <c r="G19" s="335"/>
      <c r="H19" s="335"/>
      <c r="I19" s="335"/>
      <c r="J19" s="335"/>
      <c r="K19" s="335"/>
      <c r="L19" s="335"/>
      <c r="M19" s="335"/>
      <c r="N19" s="335"/>
      <c r="O19" s="335"/>
      <c r="P19" s="335"/>
      <c r="Q19" s="123"/>
      <c r="R19" s="123"/>
      <c r="S19" s="123"/>
    </row>
    <row r="20" spans="1:19" x14ac:dyDescent="0.25">
      <c r="A20" s="336" t="s">
        <v>0</v>
      </c>
      <c r="B20" s="336">
        <v>34</v>
      </c>
      <c r="C20" s="336">
        <v>32</v>
      </c>
      <c r="D20" s="336">
        <v>34</v>
      </c>
      <c r="E20" s="336">
        <v>22</v>
      </c>
      <c r="F20" s="336">
        <v>37</v>
      </c>
      <c r="G20" s="336">
        <v>26</v>
      </c>
      <c r="H20" s="336">
        <v>26</v>
      </c>
      <c r="I20" s="336">
        <v>24</v>
      </c>
      <c r="J20" s="336">
        <v>23</v>
      </c>
      <c r="K20" s="336">
        <v>16</v>
      </c>
      <c r="L20" s="336">
        <v>14</v>
      </c>
      <c r="M20" s="336">
        <v>14</v>
      </c>
      <c r="N20" s="336">
        <v>15</v>
      </c>
      <c r="O20" s="336">
        <v>16</v>
      </c>
      <c r="P20" s="336"/>
      <c r="Q20" s="336" t="s">
        <v>501</v>
      </c>
      <c r="R20" s="337" t="s">
        <v>502</v>
      </c>
      <c r="S20" s="94" t="s">
        <v>561</v>
      </c>
    </row>
    <row r="21" spans="1:19" x14ac:dyDescent="0.25">
      <c r="A21" s="336" t="s">
        <v>418</v>
      </c>
      <c r="B21" s="336">
        <v>1</v>
      </c>
      <c r="C21" s="336">
        <v>0</v>
      </c>
      <c r="D21" s="336">
        <v>2</v>
      </c>
      <c r="E21" s="336">
        <v>1</v>
      </c>
      <c r="F21" s="336">
        <v>1</v>
      </c>
      <c r="G21" s="336">
        <v>0</v>
      </c>
      <c r="H21" s="336">
        <v>1</v>
      </c>
      <c r="I21" s="336">
        <v>0</v>
      </c>
      <c r="J21" s="336">
        <v>0</v>
      </c>
      <c r="K21" s="336">
        <v>0</v>
      </c>
      <c r="L21" s="336">
        <v>0</v>
      </c>
      <c r="M21" s="336">
        <v>0</v>
      </c>
      <c r="N21" s="336">
        <v>0</v>
      </c>
      <c r="O21" s="336">
        <v>1</v>
      </c>
      <c r="P21" s="336"/>
      <c r="Q21" s="336" t="s">
        <v>501</v>
      </c>
      <c r="R21" s="337" t="s">
        <v>502</v>
      </c>
      <c r="S21" s="94" t="s">
        <v>561</v>
      </c>
    </row>
    <row r="22" spans="1:19" x14ac:dyDescent="0.25">
      <c r="A22" s="336" t="s">
        <v>417</v>
      </c>
      <c r="B22" s="336">
        <v>28</v>
      </c>
      <c r="C22" s="336">
        <v>26</v>
      </c>
      <c r="D22" s="336">
        <v>45</v>
      </c>
      <c r="E22" s="336">
        <v>27</v>
      </c>
      <c r="F22" s="336">
        <v>20</v>
      </c>
      <c r="G22" s="336">
        <v>15</v>
      </c>
      <c r="H22" s="336">
        <v>18</v>
      </c>
      <c r="I22" s="336">
        <v>18</v>
      </c>
      <c r="J22" s="336">
        <v>18</v>
      </c>
      <c r="K22" s="336">
        <v>3</v>
      </c>
      <c r="L22" s="336">
        <v>5</v>
      </c>
      <c r="M22" s="336">
        <v>3</v>
      </c>
      <c r="N22" s="336">
        <v>3</v>
      </c>
      <c r="O22" s="336">
        <v>4</v>
      </c>
      <c r="P22" s="336"/>
      <c r="Q22" s="336" t="s">
        <v>501</v>
      </c>
      <c r="R22" s="337" t="s">
        <v>502</v>
      </c>
      <c r="S22" s="94" t="s">
        <v>561</v>
      </c>
    </row>
    <row r="23" spans="1:19" x14ac:dyDescent="0.25">
      <c r="A23" s="336" t="s">
        <v>419</v>
      </c>
      <c r="B23" s="336">
        <v>344</v>
      </c>
      <c r="C23" s="336">
        <v>407</v>
      </c>
      <c r="D23" s="336">
        <v>601</v>
      </c>
      <c r="E23" s="336">
        <v>522</v>
      </c>
      <c r="F23" s="336">
        <v>602</v>
      </c>
      <c r="G23" s="336">
        <v>533</v>
      </c>
      <c r="H23" s="336">
        <v>551</v>
      </c>
      <c r="I23" s="336">
        <v>542</v>
      </c>
      <c r="J23" s="336">
        <v>583</v>
      </c>
      <c r="K23" s="336">
        <v>437</v>
      </c>
      <c r="L23" s="336">
        <v>455</v>
      </c>
      <c r="M23" s="336">
        <v>393</v>
      </c>
      <c r="N23" s="336">
        <v>383</v>
      </c>
      <c r="O23" s="336">
        <v>386</v>
      </c>
      <c r="P23" s="336"/>
      <c r="Q23" s="336" t="s">
        <v>501</v>
      </c>
      <c r="R23" s="337" t="s">
        <v>502</v>
      </c>
      <c r="S23" s="94" t="s">
        <v>561</v>
      </c>
    </row>
    <row r="24" spans="1:19" x14ac:dyDescent="0.25">
      <c r="A24" s="336" t="s">
        <v>422</v>
      </c>
      <c r="B24" s="336">
        <v>96</v>
      </c>
      <c r="C24" s="336">
        <v>116</v>
      </c>
      <c r="D24" s="336">
        <v>201</v>
      </c>
      <c r="E24" s="336">
        <v>167</v>
      </c>
      <c r="F24" s="336">
        <v>175</v>
      </c>
      <c r="G24" s="336">
        <v>177</v>
      </c>
      <c r="H24" s="336">
        <v>153</v>
      </c>
      <c r="I24" s="336">
        <v>197</v>
      </c>
      <c r="J24" s="336">
        <v>194</v>
      </c>
      <c r="K24" s="336">
        <v>150</v>
      </c>
      <c r="L24" s="336">
        <v>143</v>
      </c>
      <c r="M24" s="336">
        <v>156</v>
      </c>
      <c r="N24" s="336">
        <v>134</v>
      </c>
      <c r="O24" s="336">
        <v>174</v>
      </c>
      <c r="P24" s="336"/>
      <c r="Q24" s="336" t="s">
        <v>501</v>
      </c>
      <c r="R24" s="337" t="s">
        <v>502</v>
      </c>
      <c r="S24" s="94" t="s">
        <v>561</v>
      </c>
    </row>
    <row r="25" spans="1:19" x14ac:dyDescent="0.25">
      <c r="A25" s="336" t="s">
        <v>423</v>
      </c>
      <c r="B25" s="336">
        <v>768</v>
      </c>
      <c r="C25" s="336">
        <v>989</v>
      </c>
      <c r="D25" s="336">
        <v>1152</v>
      </c>
      <c r="E25" s="336">
        <v>1057</v>
      </c>
      <c r="F25" s="336">
        <v>925</v>
      </c>
      <c r="G25" s="336">
        <v>1004</v>
      </c>
      <c r="H25" s="336">
        <v>1087</v>
      </c>
      <c r="I25" s="336">
        <v>1143</v>
      </c>
      <c r="J25" s="336">
        <v>1046</v>
      </c>
      <c r="K25" s="336">
        <v>948</v>
      </c>
      <c r="L25" s="336">
        <v>870</v>
      </c>
      <c r="M25" s="336">
        <v>784</v>
      </c>
      <c r="N25" s="336">
        <v>777</v>
      </c>
      <c r="O25" s="336">
        <v>742</v>
      </c>
      <c r="P25" s="336"/>
      <c r="Q25" s="336" t="s">
        <v>501</v>
      </c>
      <c r="R25" s="337" t="s">
        <v>502</v>
      </c>
      <c r="S25" s="94" t="s">
        <v>561</v>
      </c>
    </row>
    <row r="26" spans="1:19" x14ac:dyDescent="0.25">
      <c r="A26" s="336" t="s">
        <v>420</v>
      </c>
      <c r="B26" s="336">
        <v>216</v>
      </c>
      <c r="C26" s="336">
        <v>273</v>
      </c>
      <c r="D26" s="336">
        <v>334</v>
      </c>
      <c r="E26" s="336">
        <v>261</v>
      </c>
      <c r="F26" s="336">
        <v>265</v>
      </c>
      <c r="G26" s="336">
        <v>254</v>
      </c>
      <c r="H26" s="336">
        <v>230</v>
      </c>
      <c r="I26" s="336">
        <v>250</v>
      </c>
      <c r="J26" s="336">
        <v>246</v>
      </c>
      <c r="K26" s="336">
        <v>206</v>
      </c>
      <c r="L26" s="336">
        <v>215</v>
      </c>
      <c r="M26" s="336">
        <v>165</v>
      </c>
      <c r="N26" s="336">
        <v>154</v>
      </c>
      <c r="O26" s="336">
        <v>175</v>
      </c>
      <c r="P26" s="336"/>
      <c r="Q26" s="336" t="s">
        <v>501</v>
      </c>
      <c r="R26" s="337" t="s">
        <v>502</v>
      </c>
      <c r="S26" s="94" t="s">
        <v>561</v>
      </c>
    </row>
    <row r="27" spans="1:19" x14ac:dyDescent="0.25">
      <c r="A27" s="336" t="s">
        <v>421</v>
      </c>
      <c r="B27" s="336">
        <v>11597</v>
      </c>
      <c r="C27" s="336">
        <v>15026</v>
      </c>
      <c r="D27" s="336">
        <v>13643</v>
      </c>
      <c r="E27" s="336">
        <v>11808</v>
      </c>
      <c r="F27" s="336">
        <v>12194</v>
      </c>
      <c r="G27" s="336">
        <v>11632</v>
      </c>
      <c r="H27" s="336">
        <v>11924</v>
      </c>
      <c r="I27" s="336">
        <v>12838</v>
      </c>
      <c r="J27" s="336">
        <v>12867</v>
      </c>
      <c r="K27" s="336">
        <v>12060</v>
      </c>
      <c r="L27" s="336">
        <v>12463</v>
      </c>
      <c r="M27" s="336">
        <v>12002</v>
      </c>
      <c r="N27" s="336">
        <v>12630</v>
      </c>
      <c r="O27" s="336">
        <v>12107</v>
      </c>
      <c r="P27" s="336"/>
      <c r="Q27" s="336" t="s">
        <v>501</v>
      </c>
      <c r="R27" s="337" t="s">
        <v>502</v>
      </c>
      <c r="S27" s="94" t="s">
        <v>561</v>
      </c>
    </row>
    <row r="28" spans="1:19" x14ac:dyDescent="0.25">
      <c r="A28" s="336" t="s">
        <v>121</v>
      </c>
      <c r="B28" s="336">
        <v>2</v>
      </c>
      <c r="C28" s="336">
        <v>2</v>
      </c>
      <c r="D28" s="336">
        <v>7</v>
      </c>
      <c r="E28" s="336">
        <v>4</v>
      </c>
      <c r="F28" s="336">
        <v>8</v>
      </c>
      <c r="G28" s="336">
        <v>7</v>
      </c>
      <c r="H28" s="336">
        <v>8</v>
      </c>
      <c r="I28" s="336">
        <v>1</v>
      </c>
      <c r="J28" s="336">
        <v>5</v>
      </c>
      <c r="K28" s="336">
        <v>4</v>
      </c>
      <c r="L28" s="336">
        <v>1</v>
      </c>
      <c r="M28" s="336">
        <v>5</v>
      </c>
      <c r="N28" s="336">
        <v>5</v>
      </c>
      <c r="O28" s="336">
        <v>6</v>
      </c>
      <c r="P28" s="336"/>
      <c r="Q28" s="336" t="s">
        <v>501</v>
      </c>
      <c r="R28" s="337" t="s">
        <v>502</v>
      </c>
      <c r="S28" s="94" t="s">
        <v>561</v>
      </c>
    </row>
    <row r="29" spans="1:19" x14ac:dyDescent="0.25">
      <c r="A29" s="336" t="s">
        <v>336</v>
      </c>
      <c r="B29" s="336">
        <v>4</v>
      </c>
      <c r="C29" s="336">
        <v>6</v>
      </c>
      <c r="D29" s="336">
        <v>3</v>
      </c>
      <c r="E29" s="336">
        <v>8</v>
      </c>
      <c r="F29" s="336">
        <v>9</v>
      </c>
      <c r="G29" s="336">
        <v>10</v>
      </c>
      <c r="H29" s="336">
        <v>4</v>
      </c>
      <c r="I29" s="336">
        <v>12</v>
      </c>
      <c r="J29" s="336">
        <v>11</v>
      </c>
      <c r="K29" s="336">
        <v>10</v>
      </c>
      <c r="L29" s="336">
        <v>9</v>
      </c>
      <c r="M29" s="336">
        <v>7</v>
      </c>
      <c r="N29" s="336">
        <v>9</v>
      </c>
      <c r="O29" s="336">
        <v>15</v>
      </c>
      <c r="P29" s="336"/>
      <c r="Q29" s="336" t="s">
        <v>501</v>
      </c>
      <c r="R29" s="337" t="s">
        <v>502</v>
      </c>
      <c r="S29" s="94" t="s">
        <v>561</v>
      </c>
    </row>
    <row r="30" spans="1:19" x14ac:dyDescent="0.25">
      <c r="A30" s="336" t="s">
        <v>124</v>
      </c>
      <c r="B30" s="336">
        <v>2</v>
      </c>
      <c r="C30" s="336">
        <v>1</v>
      </c>
      <c r="D30" s="336">
        <v>4</v>
      </c>
      <c r="E30" s="336">
        <v>1</v>
      </c>
      <c r="F30" s="336">
        <v>6</v>
      </c>
      <c r="G30" s="336">
        <v>10</v>
      </c>
      <c r="H30" s="336">
        <v>8</v>
      </c>
      <c r="I30" s="336">
        <v>2</v>
      </c>
      <c r="J30" s="336">
        <v>3</v>
      </c>
      <c r="K30" s="336">
        <v>4</v>
      </c>
      <c r="L30" s="336">
        <v>6</v>
      </c>
      <c r="M30" s="336">
        <v>4</v>
      </c>
      <c r="N30" s="336">
        <v>4</v>
      </c>
      <c r="O30" s="336">
        <v>10</v>
      </c>
      <c r="P30" s="336"/>
      <c r="Q30" s="336" t="s">
        <v>501</v>
      </c>
      <c r="R30" s="337" t="s">
        <v>502</v>
      </c>
      <c r="S30" s="94" t="s">
        <v>561</v>
      </c>
    </row>
    <row r="31" spans="1:19" x14ac:dyDescent="0.25">
      <c r="A31" s="336" t="s">
        <v>4</v>
      </c>
      <c r="B31" s="336">
        <v>256</v>
      </c>
      <c r="C31" s="336">
        <v>328</v>
      </c>
      <c r="D31" s="336">
        <v>264</v>
      </c>
      <c r="E31" s="336">
        <v>253</v>
      </c>
      <c r="F31" s="336">
        <v>268</v>
      </c>
      <c r="G31" s="336">
        <v>254</v>
      </c>
      <c r="H31" s="336">
        <v>285</v>
      </c>
      <c r="I31" s="336">
        <v>285</v>
      </c>
      <c r="J31" s="336">
        <v>283</v>
      </c>
      <c r="K31" s="336">
        <v>230</v>
      </c>
      <c r="L31" s="336">
        <v>243</v>
      </c>
      <c r="M31" s="336">
        <v>214</v>
      </c>
      <c r="N31" s="336">
        <v>240</v>
      </c>
      <c r="O31" s="336">
        <v>232</v>
      </c>
      <c r="P31" s="336"/>
      <c r="Q31" s="336" t="s">
        <v>501</v>
      </c>
      <c r="R31" s="337" t="s">
        <v>502</v>
      </c>
      <c r="S31" s="94" t="s">
        <v>561</v>
      </c>
    </row>
    <row r="32" spans="1:19" x14ac:dyDescent="0.25">
      <c r="A32" s="336" t="s">
        <v>5</v>
      </c>
      <c r="B32" s="336">
        <v>176</v>
      </c>
      <c r="C32" s="336">
        <v>225</v>
      </c>
      <c r="D32" s="336">
        <v>215</v>
      </c>
      <c r="E32" s="336">
        <v>198</v>
      </c>
      <c r="F32" s="336">
        <v>198</v>
      </c>
      <c r="G32" s="336">
        <v>205</v>
      </c>
      <c r="H32" s="336">
        <v>206</v>
      </c>
      <c r="I32" s="336">
        <v>191</v>
      </c>
      <c r="J32" s="336">
        <v>206</v>
      </c>
      <c r="K32" s="336">
        <v>212</v>
      </c>
      <c r="L32" s="336">
        <v>212</v>
      </c>
      <c r="M32" s="336">
        <v>227</v>
      </c>
      <c r="N32" s="336">
        <v>208</v>
      </c>
      <c r="O32" s="336">
        <v>194</v>
      </c>
      <c r="P32" s="336"/>
      <c r="Q32" s="336" t="s">
        <v>501</v>
      </c>
      <c r="R32" s="337" t="s">
        <v>502</v>
      </c>
      <c r="S32" s="94" t="s">
        <v>561</v>
      </c>
    </row>
    <row r="34" spans="1:28" ht="18.75" x14ac:dyDescent="0.3">
      <c r="A34" s="339">
        <v>2019</v>
      </c>
      <c r="B34" s="339"/>
      <c r="C34" s="339"/>
      <c r="D34" s="339"/>
      <c r="E34" s="339"/>
      <c r="F34" s="339"/>
      <c r="G34" s="339"/>
      <c r="H34" s="339"/>
      <c r="I34" s="339"/>
      <c r="J34" s="339"/>
      <c r="K34" s="339"/>
      <c r="L34" s="339"/>
      <c r="M34" s="339"/>
      <c r="N34" s="339"/>
      <c r="O34" s="339"/>
      <c r="P34" s="339"/>
      <c r="Q34" s="339"/>
      <c r="R34" s="339"/>
      <c r="S34" s="339"/>
      <c r="T34" s="339"/>
      <c r="U34" s="339"/>
    </row>
    <row r="35" spans="1:28" ht="45" x14ac:dyDescent="0.25">
      <c r="A35" t="s">
        <v>500</v>
      </c>
      <c r="B35" s="338" t="s">
        <v>0</v>
      </c>
      <c r="C35" s="338" t="s">
        <v>418</v>
      </c>
      <c r="D35" s="338" t="s">
        <v>417</v>
      </c>
      <c r="E35" s="338" t="s">
        <v>419</v>
      </c>
      <c r="F35" s="338" t="s">
        <v>422</v>
      </c>
      <c r="G35" s="338" t="s">
        <v>423</v>
      </c>
      <c r="H35" s="338" t="s">
        <v>420</v>
      </c>
      <c r="I35" s="338" t="s">
        <v>421</v>
      </c>
      <c r="J35" s="338" t="s">
        <v>121</v>
      </c>
      <c r="K35" s="338" t="s">
        <v>336</v>
      </c>
      <c r="L35" s="338" t="s">
        <v>124</v>
      </c>
      <c r="M35" s="338" t="s">
        <v>4</v>
      </c>
      <c r="N35" s="338" t="s">
        <v>5</v>
      </c>
      <c r="O35" s="338" t="s">
        <v>433</v>
      </c>
      <c r="P35" s="338" t="s">
        <v>435</v>
      </c>
      <c r="Q35" s="338" t="s">
        <v>434</v>
      </c>
    </row>
    <row r="36" spans="1:28" x14ac:dyDescent="0.25">
      <c r="A36" t="s">
        <v>436</v>
      </c>
      <c r="B36">
        <v>96</v>
      </c>
      <c r="C36">
        <v>0</v>
      </c>
      <c r="D36">
        <v>25</v>
      </c>
      <c r="E36">
        <v>0</v>
      </c>
      <c r="F36">
        <v>0</v>
      </c>
      <c r="G36">
        <v>3</v>
      </c>
      <c r="H36">
        <v>3</v>
      </c>
      <c r="I36">
        <v>3</v>
      </c>
      <c r="J36">
        <v>14</v>
      </c>
      <c r="K36">
        <v>28</v>
      </c>
      <c r="L36">
        <v>6</v>
      </c>
      <c r="M36">
        <v>6</v>
      </c>
      <c r="N36">
        <v>136</v>
      </c>
      <c r="O36">
        <f>+B36+D36+H36+I36+J36</f>
        <v>141</v>
      </c>
      <c r="P36">
        <f>+C36+E36+F36+G36</f>
        <v>3</v>
      </c>
      <c r="Q36">
        <f>+K36+L36+M36+N36</f>
        <v>176</v>
      </c>
      <c r="W36" s="183"/>
      <c r="X36" s="340"/>
      <c r="Y36" s="340"/>
    </row>
    <row r="37" spans="1:28" x14ac:dyDescent="0.25">
      <c r="A37" t="s">
        <v>437</v>
      </c>
      <c r="B37">
        <v>21</v>
      </c>
      <c r="C37">
        <v>1</v>
      </c>
      <c r="D37">
        <v>1</v>
      </c>
      <c r="E37">
        <v>0</v>
      </c>
      <c r="F37">
        <v>0</v>
      </c>
      <c r="G37">
        <v>0</v>
      </c>
      <c r="H37">
        <v>0</v>
      </c>
      <c r="I37">
        <v>0</v>
      </c>
      <c r="J37">
        <v>2</v>
      </c>
      <c r="K37">
        <v>1</v>
      </c>
      <c r="L37">
        <v>0</v>
      </c>
      <c r="M37">
        <v>0</v>
      </c>
      <c r="N37">
        <v>26</v>
      </c>
      <c r="O37">
        <f>+B37+D37+H37+I37+J37</f>
        <v>24</v>
      </c>
      <c r="P37">
        <f>+C37+E37+F37+G37</f>
        <v>1</v>
      </c>
      <c r="Q37">
        <f>+K37+L37+M37+N37</f>
        <v>27</v>
      </c>
      <c r="W37" s="341"/>
      <c r="X37" s="341"/>
      <c r="Y37" s="341"/>
    </row>
    <row r="38" spans="1:28" x14ac:dyDescent="0.25">
      <c r="A38" t="s">
        <v>438</v>
      </c>
      <c r="B38">
        <v>1</v>
      </c>
      <c r="C38">
        <v>0</v>
      </c>
      <c r="D38">
        <v>0</v>
      </c>
      <c r="E38">
        <v>0</v>
      </c>
      <c r="F38">
        <v>0</v>
      </c>
      <c r="G38">
        <v>0</v>
      </c>
      <c r="H38">
        <v>0</v>
      </c>
      <c r="I38">
        <v>0</v>
      </c>
      <c r="J38">
        <v>0</v>
      </c>
      <c r="K38">
        <v>1</v>
      </c>
      <c r="L38">
        <v>0</v>
      </c>
      <c r="M38">
        <v>0</v>
      </c>
      <c r="N38">
        <v>1</v>
      </c>
      <c r="O38">
        <f>+B38+D38+H38+I38+J38</f>
        <v>1</v>
      </c>
      <c r="P38">
        <f>+C38+E38+F38+G38</f>
        <v>0</v>
      </c>
      <c r="Q38">
        <f>+K38+L38+M38+N38</f>
        <v>2</v>
      </c>
      <c r="W38" s="341"/>
      <c r="X38" s="341"/>
      <c r="Y38" s="341"/>
    </row>
    <row r="39" spans="1:28" x14ac:dyDescent="0.25">
      <c r="A39" t="s">
        <v>439</v>
      </c>
      <c r="B39">
        <v>0</v>
      </c>
      <c r="C39">
        <v>0</v>
      </c>
      <c r="D39">
        <v>1</v>
      </c>
      <c r="E39">
        <v>1</v>
      </c>
      <c r="F39">
        <v>0</v>
      </c>
      <c r="G39">
        <v>0</v>
      </c>
      <c r="H39">
        <v>0</v>
      </c>
      <c r="I39">
        <v>0</v>
      </c>
      <c r="J39">
        <v>2</v>
      </c>
      <c r="K39">
        <v>1</v>
      </c>
      <c r="L39">
        <v>0</v>
      </c>
      <c r="M39">
        <v>1</v>
      </c>
      <c r="N39">
        <v>4</v>
      </c>
      <c r="O39">
        <f>+B39+D39+H39+I39+J39</f>
        <v>3</v>
      </c>
      <c r="P39">
        <f>+C39+E39+F39+G39</f>
        <v>1</v>
      </c>
      <c r="Q39">
        <f>+K39+L39+M39+N39</f>
        <v>6</v>
      </c>
      <c r="W39" s="341"/>
      <c r="X39" s="341"/>
      <c r="Y39" s="341"/>
    </row>
    <row r="42" spans="1:28" ht="45" x14ac:dyDescent="0.25">
      <c r="A42" t="s">
        <v>501</v>
      </c>
      <c r="B42" s="338" t="s">
        <v>0</v>
      </c>
      <c r="C42" s="338" t="s">
        <v>418</v>
      </c>
      <c r="D42" s="338" t="s">
        <v>417</v>
      </c>
      <c r="E42" s="338" t="s">
        <v>419</v>
      </c>
      <c r="F42" s="338" t="s">
        <v>422</v>
      </c>
      <c r="G42" s="338" t="s">
        <v>423</v>
      </c>
      <c r="H42" s="338" t="s">
        <v>420</v>
      </c>
      <c r="I42" s="338" t="s">
        <v>421</v>
      </c>
      <c r="J42" s="338" t="s">
        <v>121</v>
      </c>
      <c r="K42" s="338" t="s">
        <v>336</v>
      </c>
      <c r="L42" s="338" t="s">
        <v>124</v>
      </c>
      <c r="M42" s="338" t="s">
        <v>4</v>
      </c>
      <c r="N42" s="338" t="s">
        <v>5</v>
      </c>
      <c r="O42" s="338"/>
      <c r="P42" s="338"/>
      <c r="Q42" s="338"/>
    </row>
    <row r="43" spans="1:28" x14ac:dyDescent="0.25">
      <c r="A43" t="s">
        <v>436</v>
      </c>
      <c r="B43">
        <v>5</v>
      </c>
      <c r="C43">
        <v>0</v>
      </c>
      <c r="D43">
        <v>0</v>
      </c>
      <c r="E43">
        <v>0</v>
      </c>
      <c r="F43">
        <v>0</v>
      </c>
      <c r="G43">
        <v>0</v>
      </c>
      <c r="H43">
        <v>0</v>
      </c>
      <c r="I43">
        <v>2</v>
      </c>
      <c r="J43">
        <v>2</v>
      </c>
      <c r="K43">
        <v>4</v>
      </c>
      <c r="L43">
        <v>1</v>
      </c>
      <c r="M43">
        <v>39</v>
      </c>
      <c r="N43">
        <v>48</v>
      </c>
      <c r="O43">
        <f>+B43+D43+H43+I43+J43</f>
        <v>9</v>
      </c>
      <c r="P43">
        <f>+C43+E43+F43+G43</f>
        <v>0</v>
      </c>
      <c r="Q43">
        <f>+K43+L43+M43+N43</f>
        <v>92</v>
      </c>
    </row>
    <row r="44" spans="1:28" x14ac:dyDescent="0.25">
      <c r="A44" t="s">
        <v>437</v>
      </c>
      <c r="B44">
        <v>6</v>
      </c>
      <c r="C44">
        <v>0</v>
      </c>
      <c r="D44">
        <v>3</v>
      </c>
      <c r="E44">
        <v>0</v>
      </c>
      <c r="F44">
        <v>0</v>
      </c>
      <c r="G44">
        <v>0</v>
      </c>
      <c r="H44">
        <v>0</v>
      </c>
      <c r="I44">
        <v>1</v>
      </c>
      <c r="J44">
        <v>3</v>
      </c>
      <c r="K44">
        <v>3</v>
      </c>
      <c r="L44">
        <v>3</v>
      </c>
      <c r="M44">
        <v>90</v>
      </c>
      <c r="N44">
        <v>104</v>
      </c>
      <c r="O44">
        <f t="shared" ref="O44:O46" si="0">+B44+D44+H44+I44+J44</f>
        <v>13</v>
      </c>
      <c r="P44">
        <f>+C44+E44+F44+G44</f>
        <v>0</v>
      </c>
      <c r="Q44">
        <f>+K44+L44+M44+N44</f>
        <v>200</v>
      </c>
    </row>
    <row r="45" spans="1:28" x14ac:dyDescent="0.25">
      <c r="A45" t="s">
        <v>438</v>
      </c>
      <c r="B45">
        <v>3</v>
      </c>
      <c r="C45">
        <v>0</v>
      </c>
      <c r="D45">
        <v>0</v>
      </c>
      <c r="E45">
        <v>0</v>
      </c>
      <c r="F45">
        <v>0</v>
      </c>
      <c r="G45">
        <v>0</v>
      </c>
      <c r="H45">
        <v>0</v>
      </c>
      <c r="I45">
        <v>0</v>
      </c>
      <c r="J45">
        <v>0</v>
      </c>
      <c r="K45">
        <v>0</v>
      </c>
      <c r="L45">
        <v>0</v>
      </c>
      <c r="M45">
        <v>68</v>
      </c>
      <c r="N45">
        <v>68</v>
      </c>
      <c r="O45">
        <f t="shared" si="0"/>
        <v>3</v>
      </c>
      <c r="P45">
        <f>+C45+E45+F45+G45</f>
        <v>0</v>
      </c>
      <c r="Q45">
        <f>+K45+L45+M45+N45</f>
        <v>136</v>
      </c>
    </row>
    <row r="46" spans="1:28" x14ac:dyDescent="0.25">
      <c r="A46" t="s">
        <v>439</v>
      </c>
      <c r="B46">
        <v>0</v>
      </c>
      <c r="C46">
        <v>0</v>
      </c>
      <c r="D46">
        <v>0</v>
      </c>
      <c r="E46">
        <v>0</v>
      </c>
      <c r="F46">
        <v>0</v>
      </c>
      <c r="G46">
        <v>0</v>
      </c>
      <c r="H46">
        <v>0</v>
      </c>
      <c r="I46">
        <v>0</v>
      </c>
      <c r="J46">
        <v>0</v>
      </c>
      <c r="K46">
        <v>0</v>
      </c>
      <c r="L46">
        <v>0</v>
      </c>
      <c r="M46">
        <v>17</v>
      </c>
      <c r="N46">
        <v>7</v>
      </c>
      <c r="O46">
        <f t="shared" si="0"/>
        <v>0</v>
      </c>
      <c r="P46">
        <f>+C46+E46+F46+G46</f>
        <v>0</v>
      </c>
      <c r="Q46">
        <f>+K46+L46+M46+N46</f>
        <v>24</v>
      </c>
    </row>
    <row r="47" spans="1:28" ht="15.75" thickBot="1" x14ac:dyDescent="0.3"/>
    <row r="48" spans="1:28" s="338" customFormat="1" ht="45.75" thickBot="1" x14ac:dyDescent="0.3">
      <c r="A48" s="342"/>
      <c r="B48" s="343" t="s">
        <v>0</v>
      </c>
      <c r="C48" s="343" t="s">
        <v>418</v>
      </c>
      <c r="D48" s="343" t="s">
        <v>417</v>
      </c>
      <c r="E48" s="343" t="s">
        <v>419</v>
      </c>
      <c r="F48" s="343" t="s">
        <v>422</v>
      </c>
      <c r="G48" s="343" t="s">
        <v>423</v>
      </c>
      <c r="H48" s="343" t="s">
        <v>420</v>
      </c>
      <c r="I48" s="343" t="s">
        <v>421</v>
      </c>
      <c r="J48" s="343" t="s">
        <v>121</v>
      </c>
      <c r="K48" s="343" t="s">
        <v>336</v>
      </c>
      <c r="L48" s="343" t="s">
        <v>124</v>
      </c>
      <c r="M48" s="343" t="s">
        <v>4</v>
      </c>
      <c r="N48" s="343" t="s">
        <v>5</v>
      </c>
      <c r="O48" s="344" t="s">
        <v>119</v>
      </c>
      <c r="P48" s="344" t="s">
        <v>120</v>
      </c>
      <c r="Q48" s="345" t="s">
        <v>38</v>
      </c>
      <c r="S48" s="342"/>
      <c r="T48" s="346" t="s">
        <v>433</v>
      </c>
      <c r="U48" s="347" t="s">
        <v>435</v>
      </c>
      <c r="V48" s="348" t="s">
        <v>336</v>
      </c>
      <c r="AB48" s="349" t="s">
        <v>500</v>
      </c>
    </row>
    <row r="49" spans="1:30" ht="45" x14ac:dyDescent="0.25">
      <c r="A49" s="350" t="s">
        <v>576</v>
      </c>
      <c r="B49" s="113"/>
      <c r="C49" s="113"/>
      <c r="D49" s="113"/>
      <c r="E49" s="113"/>
      <c r="F49" s="113"/>
      <c r="G49" s="113"/>
      <c r="H49" s="113"/>
      <c r="I49" s="113"/>
      <c r="J49" s="113"/>
      <c r="K49" s="113"/>
      <c r="L49" s="113"/>
      <c r="M49" s="113"/>
      <c r="N49" s="113"/>
      <c r="O49" s="113"/>
      <c r="P49" s="113"/>
      <c r="Q49" s="351"/>
      <c r="S49" s="350" t="s">
        <v>576</v>
      </c>
      <c r="T49" s="352"/>
      <c r="U49" s="113"/>
      <c r="V49" s="353"/>
      <c r="Z49" s="354"/>
      <c r="AA49" s="355"/>
      <c r="AB49" s="356" t="s">
        <v>433</v>
      </c>
      <c r="AC49" s="356" t="s">
        <v>435</v>
      </c>
      <c r="AD49" s="357" t="s">
        <v>336</v>
      </c>
    </row>
    <row r="50" spans="1:30" ht="45" customHeight="1" x14ac:dyDescent="0.25">
      <c r="A50" s="358" t="s">
        <v>436</v>
      </c>
      <c r="B50" s="113">
        <v>138</v>
      </c>
      <c r="C50" s="113">
        <v>0</v>
      </c>
      <c r="D50" s="113">
        <v>29</v>
      </c>
      <c r="E50" s="113">
        <v>6</v>
      </c>
      <c r="F50" s="113">
        <v>0</v>
      </c>
      <c r="G50" s="113">
        <v>9</v>
      </c>
      <c r="H50" s="113">
        <v>7</v>
      </c>
      <c r="I50" s="113">
        <v>78</v>
      </c>
      <c r="J50" s="113">
        <v>17</v>
      </c>
      <c r="K50" s="113">
        <v>40</v>
      </c>
      <c r="L50" s="113">
        <v>8</v>
      </c>
      <c r="M50" s="113">
        <v>8</v>
      </c>
      <c r="N50" s="113">
        <v>189</v>
      </c>
      <c r="O50" s="359" t="s">
        <v>17</v>
      </c>
      <c r="P50" s="113" t="s">
        <v>424</v>
      </c>
      <c r="Q50" s="360" t="s">
        <v>561</v>
      </c>
      <c r="S50" s="358" t="s">
        <v>436</v>
      </c>
      <c r="T50" s="352">
        <f>+B50+D50+H50+I50+J50</f>
        <v>269</v>
      </c>
      <c r="U50" s="113">
        <f>+C50+E50+F50+G50</f>
        <v>15</v>
      </c>
      <c r="V50" s="353">
        <f>+K50+L50+M50+N50</f>
        <v>245</v>
      </c>
      <c r="Z50" s="388" t="s">
        <v>576</v>
      </c>
      <c r="AA50" t="s">
        <v>436</v>
      </c>
      <c r="AB50">
        <v>269</v>
      </c>
      <c r="AC50">
        <v>15</v>
      </c>
      <c r="AD50" s="361">
        <v>245</v>
      </c>
    </row>
    <row r="51" spans="1:30" x14ac:dyDescent="0.25">
      <c r="A51" s="358" t="s">
        <v>437</v>
      </c>
      <c r="B51" s="113">
        <v>10</v>
      </c>
      <c r="C51" s="113">
        <v>1</v>
      </c>
      <c r="D51" s="113">
        <v>1</v>
      </c>
      <c r="E51" s="113">
        <v>0</v>
      </c>
      <c r="F51" s="113">
        <v>0</v>
      </c>
      <c r="G51" s="113">
        <v>3</v>
      </c>
      <c r="H51" s="113">
        <v>1</v>
      </c>
      <c r="I51" s="113">
        <v>8</v>
      </c>
      <c r="J51" s="113">
        <v>2</v>
      </c>
      <c r="K51" s="113">
        <v>1</v>
      </c>
      <c r="L51" s="113">
        <v>0</v>
      </c>
      <c r="M51" s="113">
        <v>0</v>
      </c>
      <c r="N51" s="113">
        <v>35</v>
      </c>
      <c r="O51" s="359" t="s">
        <v>17</v>
      </c>
      <c r="P51" s="113" t="s">
        <v>424</v>
      </c>
      <c r="Q51" s="360" t="s">
        <v>561</v>
      </c>
      <c r="S51" s="358" t="s">
        <v>437</v>
      </c>
      <c r="T51" s="352">
        <f>+B51+D51+H51+I51+J51</f>
        <v>22</v>
      </c>
      <c r="U51" s="113">
        <f>+C51+E51+F51+G51</f>
        <v>4</v>
      </c>
      <c r="V51" s="353">
        <f>+K51+L51+M51+N51</f>
        <v>36</v>
      </c>
      <c r="Z51" s="388"/>
      <c r="AA51" t="s">
        <v>437</v>
      </c>
      <c r="AB51">
        <v>22</v>
      </c>
      <c r="AC51">
        <v>4</v>
      </c>
      <c r="AD51" s="361">
        <v>36</v>
      </c>
    </row>
    <row r="52" spans="1:30" x14ac:dyDescent="0.25">
      <c r="A52" s="358" t="s">
        <v>438</v>
      </c>
      <c r="B52" s="113">
        <v>4</v>
      </c>
      <c r="C52" s="113">
        <v>0</v>
      </c>
      <c r="D52" s="113">
        <v>1</v>
      </c>
      <c r="E52" s="113">
        <v>1</v>
      </c>
      <c r="F52" s="113">
        <v>0</v>
      </c>
      <c r="G52" s="113">
        <v>0</v>
      </c>
      <c r="H52" s="113">
        <v>1</v>
      </c>
      <c r="I52" s="113">
        <v>5</v>
      </c>
      <c r="J52" s="113">
        <v>0</v>
      </c>
      <c r="K52" s="113">
        <v>1</v>
      </c>
      <c r="L52" s="113">
        <v>0</v>
      </c>
      <c r="M52" s="113">
        <v>0</v>
      </c>
      <c r="N52" s="113">
        <v>4</v>
      </c>
      <c r="O52" s="359" t="s">
        <v>17</v>
      </c>
      <c r="P52" s="113" t="s">
        <v>424</v>
      </c>
      <c r="Q52" s="360" t="s">
        <v>561</v>
      </c>
      <c r="S52" s="358" t="s">
        <v>438</v>
      </c>
      <c r="T52" s="352">
        <f>+B52+D52+H52+I52+J52</f>
        <v>11</v>
      </c>
      <c r="U52" s="113">
        <f>+C52+E52+F52+G52</f>
        <v>1</v>
      </c>
      <c r="V52" s="353">
        <f>+K52+L52+M52+N52</f>
        <v>5</v>
      </c>
      <c r="Z52" s="388"/>
      <c r="AA52" t="s">
        <v>438</v>
      </c>
      <c r="AB52">
        <v>11</v>
      </c>
      <c r="AC52">
        <v>1</v>
      </c>
      <c r="AD52" s="361">
        <v>5</v>
      </c>
    </row>
    <row r="53" spans="1:30" x14ac:dyDescent="0.25">
      <c r="A53" s="358" t="s">
        <v>439</v>
      </c>
      <c r="B53" s="113">
        <v>1</v>
      </c>
      <c r="C53" s="113">
        <v>0</v>
      </c>
      <c r="D53" s="113">
        <v>1</v>
      </c>
      <c r="E53" s="113">
        <v>1</v>
      </c>
      <c r="F53" s="113">
        <v>0</v>
      </c>
      <c r="G53" s="113">
        <v>0</v>
      </c>
      <c r="H53" s="113">
        <v>0</v>
      </c>
      <c r="I53" s="113">
        <v>3</v>
      </c>
      <c r="J53" s="113">
        <v>2</v>
      </c>
      <c r="K53" s="113">
        <v>2</v>
      </c>
      <c r="L53" s="113">
        <v>0</v>
      </c>
      <c r="M53" s="113">
        <v>1</v>
      </c>
      <c r="N53" s="113">
        <v>5</v>
      </c>
      <c r="O53" s="359" t="s">
        <v>17</v>
      </c>
      <c r="P53" s="113" t="s">
        <v>424</v>
      </c>
      <c r="Q53" s="360" t="s">
        <v>561</v>
      </c>
      <c r="S53" s="358" t="s">
        <v>439</v>
      </c>
      <c r="T53" s="352">
        <f>+B53+D53+H53+I53+J53</f>
        <v>7</v>
      </c>
      <c r="U53" s="113">
        <f>+C53+E53+F53+G53</f>
        <v>1</v>
      </c>
      <c r="V53" s="353">
        <f>+K53+L53+M53+N53</f>
        <v>8</v>
      </c>
      <c r="Z53" s="388"/>
      <c r="AA53" t="s">
        <v>439</v>
      </c>
      <c r="AB53">
        <v>7</v>
      </c>
      <c r="AC53">
        <v>1</v>
      </c>
      <c r="AD53" s="361">
        <v>8</v>
      </c>
    </row>
    <row r="54" spans="1:30" x14ac:dyDescent="0.25">
      <c r="A54" s="350" t="s">
        <v>577</v>
      </c>
      <c r="B54" s="113"/>
      <c r="C54" s="113"/>
      <c r="D54" s="113"/>
      <c r="E54" s="113"/>
      <c r="F54" s="113"/>
      <c r="G54" s="113"/>
      <c r="H54" s="113"/>
      <c r="I54" s="113"/>
      <c r="J54" s="113"/>
      <c r="K54" s="113"/>
      <c r="L54" s="113"/>
      <c r="M54" s="113"/>
      <c r="N54" s="113"/>
      <c r="O54" s="336"/>
      <c r="P54" s="113" t="s">
        <v>424</v>
      </c>
      <c r="Q54" s="360" t="s">
        <v>561</v>
      </c>
      <c r="S54" s="350" t="s">
        <v>577</v>
      </c>
      <c r="T54" s="352"/>
      <c r="U54" s="113"/>
      <c r="V54" s="353"/>
      <c r="Z54" s="362"/>
      <c r="AD54" s="361"/>
    </row>
    <row r="55" spans="1:30" ht="45" customHeight="1" x14ac:dyDescent="0.25">
      <c r="A55" s="358" t="s">
        <v>578</v>
      </c>
      <c r="B55" s="113">
        <v>1</v>
      </c>
      <c r="C55" s="113">
        <v>0</v>
      </c>
      <c r="D55" s="113">
        <v>0</v>
      </c>
      <c r="E55" s="113">
        <v>55</v>
      </c>
      <c r="F55" s="113">
        <v>24</v>
      </c>
      <c r="G55" s="113">
        <v>91</v>
      </c>
      <c r="H55" s="113">
        <v>18</v>
      </c>
      <c r="I55" s="113">
        <v>1593</v>
      </c>
      <c r="J55" s="113">
        <v>1</v>
      </c>
      <c r="K55" s="113">
        <v>2</v>
      </c>
      <c r="L55" s="113">
        <v>0</v>
      </c>
      <c r="M55" s="113">
        <v>10</v>
      </c>
      <c r="N55" s="113">
        <v>5</v>
      </c>
      <c r="O55" s="336" t="s">
        <v>501</v>
      </c>
      <c r="P55" s="113" t="s">
        <v>424</v>
      </c>
      <c r="Q55" s="360" t="s">
        <v>561</v>
      </c>
      <c r="S55" s="358" t="s">
        <v>578</v>
      </c>
      <c r="T55" s="352">
        <f>+B55+D55+H55+I55+J55</f>
        <v>1613</v>
      </c>
      <c r="U55" s="113">
        <f>+C55+E55+F55+G55</f>
        <v>170</v>
      </c>
      <c r="V55" s="353">
        <f>+K55+L55+M55+N55</f>
        <v>17</v>
      </c>
      <c r="Z55" s="388" t="s">
        <v>581</v>
      </c>
      <c r="AA55" t="s">
        <v>436</v>
      </c>
      <c r="AB55">
        <v>163</v>
      </c>
      <c r="AC55">
        <v>5</v>
      </c>
      <c r="AD55" s="361">
        <v>130</v>
      </c>
    </row>
    <row r="56" spans="1:30" x14ac:dyDescent="0.25">
      <c r="A56" s="358" t="s">
        <v>579</v>
      </c>
      <c r="B56" s="113">
        <v>1</v>
      </c>
      <c r="C56" s="113">
        <v>0</v>
      </c>
      <c r="D56" s="113">
        <v>0</v>
      </c>
      <c r="E56" s="113">
        <v>20</v>
      </c>
      <c r="F56" s="113">
        <v>6</v>
      </c>
      <c r="G56" s="113">
        <v>49</v>
      </c>
      <c r="H56" s="113">
        <v>12</v>
      </c>
      <c r="I56" s="113">
        <v>623</v>
      </c>
      <c r="J56" s="113">
        <v>0</v>
      </c>
      <c r="K56" s="113">
        <v>0</v>
      </c>
      <c r="L56" s="113">
        <v>0</v>
      </c>
      <c r="M56" s="113">
        <v>8</v>
      </c>
      <c r="N56" s="113">
        <v>5</v>
      </c>
      <c r="O56" s="336" t="s">
        <v>501</v>
      </c>
      <c r="P56" s="113" t="s">
        <v>424</v>
      </c>
      <c r="Q56" s="360" t="s">
        <v>561</v>
      </c>
      <c r="S56" s="358" t="s">
        <v>579</v>
      </c>
      <c r="T56" s="352">
        <f>+B56+D56+H56+I56+J56</f>
        <v>636</v>
      </c>
      <c r="U56" s="113">
        <f>+C56+E56+F56+G56</f>
        <v>75</v>
      </c>
      <c r="V56" s="353">
        <f>+K56+L56+M56+N56</f>
        <v>13</v>
      </c>
      <c r="Z56" s="388"/>
      <c r="AA56" t="s">
        <v>437</v>
      </c>
      <c r="AB56">
        <v>32</v>
      </c>
      <c r="AC56">
        <v>3</v>
      </c>
      <c r="AD56" s="361">
        <v>38</v>
      </c>
    </row>
    <row r="57" spans="1:30" x14ac:dyDescent="0.25">
      <c r="A57" s="358" t="s">
        <v>580</v>
      </c>
      <c r="B57" s="113">
        <v>8</v>
      </c>
      <c r="C57" s="113">
        <v>0</v>
      </c>
      <c r="D57" s="113">
        <v>2</v>
      </c>
      <c r="E57" s="113">
        <v>229</v>
      </c>
      <c r="F57" s="113">
        <v>86</v>
      </c>
      <c r="G57" s="113">
        <v>393</v>
      </c>
      <c r="H57" s="113">
        <v>77</v>
      </c>
      <c r="I57" s="113">
        <v>6769</v>
      </c>
      <c r="J57" s="113">
        <v>4</v>
      </c>
      <c r="K57" s="113">
        <v>5</v>
      </c>
      <c r="L57" s="113">
        <v>4</v>
      </c>
      <c r="M57" s="113">
        <v>96</v>
      </c>
      <c r="N57" s="113">
        <v>133</v>
      </c>
      <c r="O57" s="336" t="s">
        <v>501</v>
      </c>
      <c r="P57" s="113" t="s">
        <v>424</v>
      </c>
      <c r="Q57" s="360" t="s">
        <v>561</v>
      </c>
      <c r="S57" s="358" t="s">
        <v>580</v>
      </c>
      <c r="T57" s="352">
        <f>+B57+D57+H57+I57+J57</f>
        <v>6860</v>
      </c>
      <c r="U57" s="113">
        <f>+C57+E57+F57+G57</f>
        <v>708</v>
      </c>
      <c r="V57" s="353">
        <f>+K57+L57+M57+N57</f>
        <v>238</v>
      </c>
      <c r="Z57" s="388"/>
      <c r="AA57" t="s">
        <v>438</v>
      </c>
      <c r="AB57">
        <v>11</v>
      </c>
      <c r="AC57">
        <v>0</v>
      </c>
      <c r="AD57" s="361">
        <v>4</v>
      </c>
    </row>
    <row r="58" spans="1:30" x14ac:dyDescent="0.25">
      <c r="A58" s="358" t="s">
        <v>438</v>
      </c>
      <c r="B58" s="113">
        <v>3</v>
      </c>
      <c r="C58" s="113">
        <v>0</v>
      </c>
      <c r="D58" s="113">
        <v>1</v>
      </c>
      <c r="E58" s="113">
        <v>58</v>
      </c>
      <c r="F58" s="113">
        <v>30</v>
      </c>
      <c r="G58" s="113">
        <v>177</v>
      </c>
      <c r="H58" s="113">
        <v>39</v>
      </c>
      <c r="I58" s="113">
        <v>2078</v>
      </c>
      <c r="J58" s="113">
        <v>0</v>
      </c>
      <c r="K58" s="113">
        <v>0</v>
      </c>
      <c r="L58" s="113">
        <v>0</v>
      </c>
      <c r="M58" s="113">
        <v>78</v>
      </c>
      <c r="N58" s="113">
        <v>74</v>
      </c>
      <c r="O58" s="336" t="s">
        <v>501</v>
      </c>
      <c r="P58" s="113" t="s">
        <v>424</v>
      </c>
      <c r="Q58" s="360" t="s">
        <v>561</v>
      </c>
      <c r="S58" s="358" t="s">
        <v>438</v>
      </c>
      <c r="T58" s="352">
        <f>+B58+D58+H58+I58+J58</f>
        <v>2121</v>
      </c>
      <c r="U58" s="113">
        <f>+C58+E58+F58+G58</f>
        <v>265</v>
      </c>
      <c r="V58" s="353">
        <f>+K58+L58+M58+N58</f>
        <v>152</v>
      </c>
      <c r="Z58" s="388"/>
      <c r="AA58" t="s">
        <v>439</v>
      </c>
      <c r="AB58">
        <v>8</v>
      </c>
      <c r="AC58">
        <v>0</v>
      </c>
      <c r="AD58" s="361">
        <v>7</v>
      </c>
    </row>
    <row r="59" spans="1:30" ht="15.75" thickBot="1" x14ac:dyDescent="0.3">
      <c r="A59" s="363" t="s">
        <v>439</v>
      </c>
      <c r="B59" s="364">
        <v>1</v>
      </c>
      <c r="C59" s="364">
        <v>0</v>
      </c>
      <c r="D59" s="364">
        <v>0</v>
      </c>
      <c r="E59" s="364">
        <v>31</v>
      </c>
      <c r="F59" s="364">
        <v>10</v>
      </c>
      <c r="G59" s="364">
        <v>74</v>
      </c>
      <c r="H59" s="364">
        <v>19</v>
      </c>
      <c r="I59" s="364">
        <v>939</v>
      </c>
      <c r="J59" s="364">
        <v>0</v>
      </c>
      <c r="K59" s="364">
        <v>0</v>
      </c>
      <c r="L59" s="364">
        <v>0</v>
      </c>
      <c r="M59" s="364">
        <v>22</v>
      </c>
      <c r="N59" s="364">
        <v>10</v>
      </c>
      <c r="O59" s="365" t="s">
        <v>501</v>
      </c>
      <c r="P59" s="364" t="s">
        <v>424</v>
      </c>
      <c r="Q59" s="366" t="s">
        <v>561</v>
      </c>
      <c r="S59" s="363" t="s">
        <v>439</v>
      </c>
      <c r="T59" s="367">
        <f>+B59+D59+H59+I59+J59</f>
        <v>959</v>
      </c>
      <c r="U59" s="364">
        <f>+C59+E59+F59+G59</f>
        <v>115</v>
      </c>
      <c r="V59" s="368">
        <f>+K59+L59+M59+N59</f>
        <v>32</v>
      </c>
      <c r="Z59" s="362"/>
      <c r="AD59" s="361"/>
    </row>
    <row r="60" spans="1:30" ht="45.75" customHeight="1" thickBot="1" x14ac:dyDescent="0.3">
      <c r="T60" s="369"/>
      <c r="Z60" s="388" t="s">
        <v>583</v>
      </c>
      <c r="AA60" t="s">
        <v>436</v>
      </c>
      <c r="AB60">
        <v>111</v>
      </c>
      <c r="AC60">
        <v>5</v>
      </c>
      <c r="AD60" s="361">
        <v>118</v>
      </c>
    </row>
    <row r="61" spans="1:30" s="338" customFormat="1" ht="45" x14ac:dyDescent="0.25">
      <c r="A61" s="342"/>
      <c r="B61" s="343" t="s">
        <v>0</v>
      </c>
      <c r="C61" s="343" t="s">
        <v>418</v>
      </c>
      <c r="D61" s="343" t="s">
        <v>417</v>
      </c>
      <c r="E61" s="343" t="s">
        <v>419</v>
      </c>
      <c r="F61" s="343" t="s">
        <v>422</v>
      </c>
      <c r="G61" s="343" t="s">
        <v>423</v>
      </c>
      <c r="H61" s="343" t="s">
        <v>420</v>
      </c>
      <c r="I61" s="343" t="s">
        <v>421</v>
      </c>
      <c r="J61" s="343" t="s">
        <v>121</v>
      </c>
      <c r="K61" s="343" t="s">
        <v>336</v>
      </c>
      <c r="L61" s="343" t="s">
        <v>124</v>
      </c>
      <c r="M61" s="343" t="s">
        <v>4</v>
      </c>
      <c r="N61" s="343" t="s">
        <v>5</v>
      </c>
      <c r="O61" s="344" t="s">
        <v>119</v>
      </c>
      <c r="P61" s="344" t="s">
        <v>120</v>
      </c>
      <c r="Q61" s="345" t="s">
        <v>38</v>
      </c>
      <c r="S61" s="342"/>
      <c r="T61" s="346" t="s">
        <v>433</v>
      </c>
      <c r="U61" s="347" t="s">
        <v>435</v>
      </c>
      <c r="V61" s="348" t="s">
        <v>336</v>
      </c>
      <c r="Z61" s="388"/>
      <c r="AA61" s="338" t="s">
        <v>437</v>
      </c>
      <c r="AB61" s="338">
        <v>44</v>
      </c>
      <c r="AC61" s="338">
        <v>1</v>
      </c>
      <c r="AD61" s="370">
        <v>38</v>
      </c>
    </row>
    <row r="62" spans="1:30" x14ac:dyDescent="0.25">
      <c r="A62" s="350" t="s">
        <v>581</v>
      </c>
      <c r="B62" s="113"/>
      <c r="C62" s="113"/>
      <c r="D62" s="113"/>
      <c r="E62" s="113"/>
      <c r="F62" s="113"/>
      <c r="G62" s="113"/>
      <c r="H62" s="113"/>
      <c r="I62" s="113"/>
      <c r="J62" s="113"/>
      <c r="K62" s="113"/>
      <c r="L62" s="113"/>
      <c r="M62" s="113"/>
      <c r="N62" s="113"/>
      <c r="O62" s="113"/>
      <c r="P62" s="113"/>
      <c r="Q62" s="351"/>
      <c r="S62" s="350" t="s">
        <v>581</v>
      </c>
      <c r="T62" s="352"/>
      <c r="U62" s="113"/>
      <c r="V62" s="353"/>
      <c r="Z62" s="388"/>
      <c r="AA62" t="s">
        <v>438</v>
      </c>
      <c r="AB62">
        <v>7</v>
      </c>
      <c r="AC62">
        <v>0</v>
      </c>
      <c r="AD62" s="361">
        <v>8</v>
      </c>
    </row>
    <row r="63" spans="1:30" ht="15.75" thickBot="1" x14ac:dyDescent="0.3">
      <c r="A63" s="358" t="s">
        <v>436</v>
      </c>
      <c r="B63" s="113">
        <v>83</v>
      </c>
      <c r="C63" s="113">
        <v>0</v>
      </c>
      <c r="D63" s="113">
        <v>12</v>
      </c>
      <c r="E63" s="113">
        <v>3</v>
      </c>
      <c r="F63" s="113">
        <v>0</v>
      </c>
      <c r="G63" s="113">
        <v>2</v>
      </c>
      <c r="H63" s="113">
        <v>4</v>
      </c>
      <c r="I63" s="113">
        <v>51</v>
      </c>
      <c r="J63" s="113">
        <v>13</v>
      </c>
      <c r="K63" s="113">
        <v>3</v>
      </c>
      <c r="L63" s="113">
        <v>2</v>
      </c>
      <c r="M63" s="113">
        <v>0</v>
      </c>
      <c r="N63" s="113">
        <v>125</v>
      </c>
      <c r="O63" s="359" t="s">
        <v>17</v>
      </c>
      <c r="P63" s="113" t="s">
        <v>424</v>
      </c>
      <c r="Q63" s="360" t="s">
        <v>561</v>
      </c>
      <c r="S63" s="358" t="s">
        <v>436</v>
      </c>
      <c r="T63" s="352">
        <f>+B63+D63+H63+I63+J63</f>
        <v>163</v>
      </c>
      <c r="U63" s="113">
        <f>+C63+E63+F63+G63</f>
        <v>5</v>
      </c>
      <c r="V63" s="353">
        <f>+K63+L63+M63+N63</f>
        <v>130</v>
      </c>
      <c r="Z63" s="389"/>
      <c r="AA63" s="371" t="s">
        <v>439</v>
      </c>
      <c r="AB63" s="371">
        <v>1</v>
      </c>
      <c r="AC63" s="371">
        <v>0</v>
      </c>
      <c r="AD63" s="372">
        <v>0</v>
      </c>
    </row>
    <row r="64" spans="1:30" x14ac:dyDescent="0.25">
      <c r="A64" s="358" t="s">
        <v>437</v>
      </c>
      <c r="B64" s="113">
        <v>16</v>
      </c>
      <c r="C64" s="113">
        <v>0</v>
      </c>
      <c r="D64" s="113">
        <v>1</v>
      </c>
      <c r="E64" s="113">
        <v>0</v>
      </c>
      <c r="F64" s="113">
        <v>0</v>
      </c>
      <c r="G64" s="113">
        <v>3</v>
      </c>
      <c r="H64" s="113">
        <v>0</v>
      </c>
      <c r="I64" s="113">
        <v>13</v>
      </c>
      <c r="J64" s="113">
        <v>2</v>
      </c>
      <c r="K64" s="113">
        <v>0</v>
      </c>
      <c r="L64" s="113">
        <v>1</v>
      </c>
      <c r="M64" s="113">
        <v>0</v>
      </c>
      <c r="N64" s="113">
        <v>37</v>
      </c>
      <c r="O64" s="359" t="s">
        <v>17</v>
      </c>
      <c r="P64" s="113" t="s">
        <v>424</v>
      </c>
      <c r="Q64" s="360" t="s">
        <v>561</v>
      </c>
      <c r="S64" s="358" t="s">
        <v>437</v>
      </c>
      <c r="T64" s="352">
        <f>+B64+D64+H64+I64+J64</f>
        <v>32</v>
      </c>
      <c r="U64" s="113">
        <f>+C64+E64+F64+G64</f>
        <v>3</v>
      </c>
      <c r="V64" s="353">
        <f>+K64+L64+M64+N64</f>
        <v>38</v>
      </c>
      <c r="Z64" s="338"/>
    </row>
    <row r="65" spans="1:30" ht="15.75" thickBot="1" x14ac:dyDescent="0.3">
      <c r="A65" s="358" t="s">
        <v>438</v>
      </c>
      <c r="B65" s="113">
        <v>5</v>
      </c>
      <c r="C65" s="113">
        <v>0</v>
      </c>
      <c r="D65" s="113">
        <v>1</v>
      </c>
      <c r="E65" s="113">
        <v>0</v>
      </c>
      <c r="F65" s="113">
        <v>0</v>
      </c>
      <c r="G65" s="113">
        <v>0</v>
      </c>
      <c r="H65" s="113">
        <v>1</v>
      </c>
      <c r="I65" s="113">
        <v>4</v>
      </c>
      <c r="J65" s="113"/>
      <c r="K65" s="113">
        <v>0</v>
      </c>
      <c r="L65" s="113">
        <v>0</v>
      </c>
      <c r="M65" s="113">
        <v>0</v>
      </c>
      <c r="N65" s="113">
        <v>4</v>
      </c>
      <c r="O65" s="359" t="s">
        <v>17</v>
      </c>
      <c r="P65" s="113" t="s">
        <v>424</v>
      </c>
      <c r="Q65" s="360" t="s">
        <v>561</v>
      </c>
      <c r="S65" s="358" t="s">
        <v>438</v>
      </c>
      <c r="T65" s="352">
        <f>+B65+D65+H65+I65+J65</f>
        <v>11</v>
      </c>
      <c r="U65" s="113">
        <f>+C65+E65+F65+G65</f>
        <v>0</v>
      </c>
      <c r="V65" s="353">
        <f>+K65+L65+M65+N65</f>
        <v>4</v>
      </c>
      <c r="Z65" s="338"/>
      <c r="AB65" s="373" t="s">
        <v>501</v>
      </c>
    </row>
    <row r="66" spans="1:30" ht="45.75" thickBot="1" x14ac:dyDescent="0.3">
      <c r="A66" s="358" t="s">
        <v>439</v>
      </c>
      <c r="B66" s="113">
        <v>3</v>
      </c>
      <c r="C66" s="113">
        <v>0</v>
      </c>
      <c r="D66" s="113">
        <v>0</v>
      </c>
      <c r="E66" s="113">
        <v>0</v>
      </c>
      <c r="F66" s="113">
        <v>0</v>
      </c>
      <c r="G66" s="113">
        <v>0</v>
      </c>
      <c r="H66" s="113">
        <v>0</v>
      </c>
      <c r="I66" s="113">
        <v>4</v>
      </c>
      <c r="J66" s="113">
        <v>1</v>
      </c>
      <c r="K66" s="113">
        <v>5</v>
      </c>
      <c r="L66" s="113">
        <v>0</v>
      </c>
      <c r="M66" s="113">
        <v>0</v>
      </c>
      <c r="N66" s="113">
        <v>2</v>
      </c>
      <c r="O66" s="359" t="s">
        <v>17</v>
      </c>
      <c r="P66" s="113" t="s">
        <v>424</v>
      </c>
      <c r="Q66" s="360" t="s">
        <v>561</v>
      </c>
      <c r="S66" s="358" t="s">
        <v>439</v>
      </c>
      <c r="T66" s="352">
        <f>+B66+D66+H66+I66+J66</f>
        <v>8</v>
      </c>
      <c r="U66" s="113">
        <f>+C66+E66+F66+G66</f>
        <v>0</v>
      </c>
      <c r="V66" s="353">
        <f>+K66+L66+M66+N66</f>
        <v>7</v>
      </c>
      <c r="Z66" s="374"/>
      <c r="AA66" s="355"/>
      <c r="AB66" s="374" t="s">
        <v>433</v>
      </c>
      <c r="AC66" s="356" t="s">
        <v>435</v>
      </c>
      <c r="AD66" s="357" t="s">
        <v>336</v>
      </c>
    </row>
    <row r="67" spans="1:30" ht="45" customHeight="1" x14ac:dyDescent="0.25">
      <c r="A67" s="350" t="s">
        <v>582</v>
      </c>
      <c r="B67" s="375"/>
      <c r="C67" s="375"/>
      <c r="D67" s="375"/>
      <c r="E67" s="375"/>
      <c r="F67" s="375"/>
      <c r="G67" s="375"/>
      <c r="H67" s="375"/>
      <c r="I67" s="375"/>
      <c r="J67" s="375"/>
      <c r="K67" s="375"/>
      <c r="L67" s="375"/>
      <c r="M67" s="375"/>
      <c r="N67" s="375"/>
      <c r="O67" s="336"/>
      <c r="P67" s="113" t="s">
        <v>424</v>
      </c>
      <c r="Q67" s="360" t="s">
        <v>561</v>
      </c>
      <c r="S67" s="350" t="s">
        <v>582</v>
      </c>
      <c r="T67" s="352"/>
      <c r="U67" s="113"/>
      <c r="V67" s="353"/>
      <c r="Z67" s="387" t="s">
        <v>577</v>
      </c>
      <c r="AA67" s="355" t="s">
        <v>578</v>
      </c>
      <c r="AB67" s="354">
        <v>1613</v>
      </c>
      <c r="AC67" s="355">
        <v>170</v>
      </c>
      <c r="AD67" s="376">
        <v>17</v>
      </c>
    </row>
    <row r="68" spans="1:30" x14ac:dyDescent="0.25">
      <c r="A68" s="377" t="s">
        <v>578</v>
      </c>
      <c r="B68" s="113">
        <v>2</v>
      </c>
      <c r="C68" s="113">
        <v>0</v>
      </c>
      <c r="D68" s="113">
        <v>0</v>
      </c>
      <c r="E68" s="113">
        <v>34</v>
      </c>
      <c r="F68" s="113">
        <v>12</v>
      </c>
      <c r="G68" s="113">
        <v>72</v>
      </c>
      <c r="H68" s="113">
        <v>11</v>
      </c>
      <c r="I68" s="113">
        <v>1307</v>
      </c>
      <c r="J68" s="113">
        <v>1</v>
      </c>
      <c r="K68" s="113">
        <v>4</v>
      </c>
      <c r="L68" s="113">
        <v>1</v>
      </c>
      <c r="M68" s="113">
        <v>13</v>
      </c>
      <c r="N68" s="113">
        <v>7</v>
      </c>
      <c r="O68" s="359" t="s">
        <v>501</v>
      </c>
      <c r="P68" s="113" t="s">
        <v>424</v>
      </c>
      <c r="Q68" s="360" t="s">
        <v>561</v>
      </c>
      <c r="S68" s="377" t="s">
        <v>578</v>
      </c>
      <c r="T68" s="352">
        <f>+B68+D68+H68+I68+J68</f>
        <v>1321</v>
      </c>
      <c r="U68" s="113">
        <f>+C68+E68+F68+G68</f>
        <v>118</v>
      </c>
      <c r="V68" s="353">
        <f>+K68+L68+M68+N68</f>
        <v>25</v>
      </c>
      <c r="Z68" s="388"/>
      <c r="AA68" t="s">
        <v>579</v>
      </c>
      <c r="AB68" s="378">
        <v>636</v>
      </c>
      <c r="AC68">
        <v>75</v>
      </c>
      <c r="AD68" s="361">
        <v>13</v>
      </c>
    </row>
    <row r="69" spans="1:30" x14ac:dyDescent="0.25">
      <c r="A69" s="377" t="s">
        <v>579</v>
      </c>
      <c r="B69" s="113">
        <v>1</v>
      </c>
      <c r="C69" s="113">
        <v>0</v>
      </c>
      <c r="D69" s="113">
        <v>0</v>
      </c>
      <c r="E69" s="113">
        <v>23</v>
      </c>
      <c r="F69" s="113">
        <v>4</v>
      </c>
      <c r="G69" s="113">
        <v>38</v>
      </c>
      <c r="H69" s="113">
        <v>9</v>
      </c>
      <c r="I69" s="113">
        <v>805</v>
      </c>
      <c r="J69" s="113">
        <v>0</v>
      </c>
      <c r="K69" s="113">
        <v>0</v>
      </c>
      <c r="L69" s="113">
        <v>0</v>
      </c>
      <c r="M69" s="113">
        <v>3</v>
      </c>
      <c r="N69" s="113">
        <v>3</v>
      </c>
      <c r="O69" s="359" t="s">
        <v>501</v>
      </c>
      <c r="P69" s="113" t="s">
        <v>424</v>
      </c>
      <c r="Q69" s="360" t="s">
        <v>561</v>
      </c>
      <c r="S69" s="377" t="s">
        <v>579</v>
      </c>
      <c r="T69" s="352">
        <f>+B69+D69+H69+I69+J69</f>
        <v>815</v>
      </c>
      <c r="U69" s="113">
        <f>+C69+E69+F69+G69</f>
        <v>65</v>
      </c>
      <c r="V69" s="353">
        <f>+K69+L69+M69+N69</f>
        <v>6</v>
      </c>
      <c r="Z69" s="388"/>
      <c r="AA69" t="s">
        <v>580</v>
      </c>
      <c r="AB69" s="378">
        <v>6860</v>
      </c>
      <c r="AC69">
        <v>708</v>
      </c>
      <c r="AD69" s="361">
        <v>238</v>
      </c>
    </row>
    <row r="70" spans="1:30" x14ac:dyDescent="0.25">
      <c r="A70" s="377" t="s">
        <v>580</v>
      </c>
      <c r="B70" s="113">
        <v>11</v>
      </c>
      <c r="C70" s="113">
        <v>0</v>
      </c>
      <c r="D70" s="113">
        <v>2</v>
      </c>
      <c r="E70" s="113">
        <v>225</v>
      </c>
      <c r="F70" s="113">
        <v>92</v>
      </c>
      <c r="G70" s="113">
        <v>419</v>
      </c>
      <c r="H70" s="113">
        <v>88</v>
      </c>
      <c r="I70" s="113">
        <v>7649</v>
      </c>
      <c r="J70" s="113">
        <v>2</v>
      </c>
      <c r="K70" s="113">
        <v>1</v>
      </c>
      <c r="L70" s="113">
        <v>0</v>
      </c>
      <c r="M70" s="113">
        <v>130</v>
      </c>
      <c r="N70" s="113">
        <v>131</v>
      </c>
      <c r="O70" s="359" t="s">
        <v>501</v>
      </c>
      <c r="P70" s="113" t="s">
        <v>424</v>
      </c>
      <c r="Q70" s="360" t="s">
        <v>561</v>
      </c>
      <c r="S70" s="377" t="s">
        <v>580</v>
      </c>
      <c r="T70" s="352">
        <f>+B70+D70+H70+I70+J70</f>
        <v>7752</v>
      </c>
      <c r="U70" s="113">
        <f>+C70+E70+F70+G70</f>
        <v>736</v>
      </c>
      <c r="V70" s="353">
        <f>+K70+L70+M70+N70</f>
        <v>262</v>
      </c>
      <c r="Z70" s="388"/>
      <c r="AA70" t="s">
        <v>438</v>
      </c>
      <c r="AB70" s="378">
        <v>2121</v>
      </c>
      <c r="AC70">
        <v>265</v>
      </c>
      <c r="AD70" s="361">
        <v>152</v>
      </c>
    </row>
    <row r="71" spans="1:30" ht="15.75" thickBot="1" x14ac:dyDescent="0.3">
      <c r="A71" s="377" t="s">
        <v>438</v>
      </c>
      <c r="B71" s="113">
        <v>1</v>
      </c>
      <c r="C71" s="113">
        <v>0</v>
      </c>
      <c r="D71" s="113">
        <v>1</v>
      </c>
      <c r="E71" s="113">
        <v>71</v>
      </c>
      <c r="F71" s="113">
        <v>17</v>
      </c>
      <c r="G71" s="113">
        <v>191</v>
      </c>
      <c r="H71" s="113">
        <v>32</v>
      </c>
      <c r="I71" s="113">
        <v>2053</v>
      </c>
      <c r="J71" s="113">
        <v>0</v>
      </c>
      <c r="K71" s="113">
        <v>3</v>
      </c>
      <c r="L71" s="113">
        <v>2</v>
      </c>
      <c r="M71" s="113">
        <v>73</v>
      </c>
      <c r="N71" s="113">
        <v>51</v>
      </c>
      <c r="O71" s="359" t="s">
        <v>501</v>
      </c>
      <c r="P71" s="113" t="s">
        <v>424</v>
      </c>
      <c r="Q71" s="360" t="s">
        <v>561</v>
      </c>
      <c r="S71" s="377" t="s">
        <v>438</v>
      </c>
      <c r="T71" s="352">
        <f>+B71+D71+H71+I71+J71</f>
        <v>2087</v>
      </c>
      <c r="U71" s="113">
        <f>+C71+E71+F71+G71</f>
        <v>279</v>
      </c>
      <c r="V71" s="353">
        <f>+K71+L71+M71+N71</f>
        <v>129</v>
      </c>
      <c r="Z71" s="389"/>
      <c r="AA71" s="371" t="s">
        <v>439</v>
      </c>
      <c r="AB71" s="379">
        <v>959</v>
      </c>
      <c r="AC71" s="371">
        <v>115</v>
      </c>
      <c r="AD71" s="372">
        <v>32</v>
      </c>
    </row>
    <row r="72" spans="1:30" ht="15.75" thickBot="1" x14ac:dyDescent="0.3">
      <c r="A72" s="379" t="s">
        <v>439</v>
      </c>
      <c r="B72" s="364">
        <v>0</v>
      </c>
      <c r="C72" s="364">
        <v>0</v>
      </c>
      <c r="D72" s="364">
        <v>0</v>
      </c>
      <c r="E72" s="364">
        <v>30</v>
      </c>
      <c r="F72" s="364">
        <v>9</v>
      </c>
      <c r="G72" s="364">
        <v>57</v>
      </c>
      <c r="H72" s="364">
        <v>14</v>
      </c>
      <c r="I72" s="364">
        <v>816</v>
      </c>
      <c r="J72" s="364">
        <v>2</v>
      </c>
      <c r="K72" s="364">
        <v>1</v>
      </c>
      <c r="L72" s="364">
        <v>1</v>
      </c>
      <c r="M72" s="364">
        <v>21</v>
      </c>
      <c r="N72" s="364">
        <v>16</v>
      </c>
      <c r="O72" s="380" t="s">
        <v>501</v>
      </c>
      <c r="P72" s="364" t="s">
        <v>424</v>
      </c>
      <c r="Q72" s="366" t="s">
        <v>561</v>
      </c>
      <c r="S72" s="379" t="s">
        <v>439</v>
      </c>
      <c r="T72" s="367">
        <f>+B72+D72+H72+I72+J72</f>
        <v>832</v>
      </c>
      <c r="U72" s="364">
        <f>+C72+E72+F72+G72</f>
        <v>96</v>
      </c>
      <c r="V72" s="368">
        <f>+K72+L72+M72+N72</f>
        <v>39</v>
      </c>
      <c r="Z72" s="362"/>
      <c r="AB72" s="378"/>
      <c r="AD72" s="361"/>
    </row>
    <row r="73" spans="1:30" ht="45.75" customHeight="1" thickBot="1" x14ac:dyDescent="0.3">
      <c r="T73" s="369"/>
      <c r="Z73" s="387" t="s">
        <v>582</v>
      </c>
      <c r="AA73" s="355" t="s">
        <v>578</v>
      </c>
      <c r="AB73" s="354">
        <v>1321</v>
      </c>
      <c r="AC73" s="355">
        <v>118</v>
      </c>
      <c r="AD73" s="376">
        <v>25</v>
      </c>
    </row>
    <row r="74" spans="1:30" s="338" customFormat="1" ht="45" x14ac:dyDescent="0.25">
      <c r="A74" s="342"/>
      <c r="B74" s="343" t="s">
        <v>0</v>
      </c>
      <c r="C74" s="343" t="s">
        <v>418</v>
      </c>
      <c r="D74" s="343" t="s">
        <v>417</v>
      </c>
      <c r="E74" s="343" t="s">
        <v>419</v>
      </c>
      <c r="F74" s="343" t="s">
        <v>422</v>
      </c>
      <c r="G74" s="343" t="s">
        <v>423</v>
      </c>
      <c r="H74" s="343" t="s">
        <v>420</v>
      </c>
      <c r="I74" s="343" t="s">
        <v>421</v>
      </c>
      <c r="J74" s="343" t="s">
        <v>121</v>
      </c>
      <c r="K74" s="343" t="s">
        <v>336</v>
      </c>
      <c r="L74" s="343" t="s">
        <v>124</v>
      </c>
      <c r="M74" s="343" t="s">
        <v>4</v>
      </c>
      <c r="N74" s="343" t="s">
        <v>5</v>
      </c>
      <c r="O74" s="344" t="s">
        <v>119</v>
      </c>
      <c r="P74" s="344" t="s">
        <v>120</v>
      </c>
      <c r="Q74" s="345" t="s">
        <v>38</v>
      </c>
      <c r="S74" s="342"/>
      <c r="T74" s="346" t="s">
        <v>433</v>
      </c>
      <c r="U74" s="347" t="s">
        <v>435</v>
      </c>
      <c r="V74" s="348" t="s">
        <v>336</v>
      </c>
      <c r="Z74" s="388"/>
      <c r="AA74" s="338" t="s">
        <v>579</v>
      </c>
      <c r="AB74" s="362">
        <v>815</v>
      </c>
      <c r="AC74" s="338">
        <v>65</v>
      </c>
      <c r="AD74" s="370">
        <v>6</v>
      </c>
    </row>
    <row r="75" spans="1:30" x14ac:dyDescent="0.25">
      <c r="A75" s="350" t="s">
        <v>583</v>
      </c>
      <c r="B75" s="113"/>
      <c r="C75" s="113"/>
      <c r="D75" s="113"/>
      <c r="E75" s="113"/>
      <c r="F75" s="113"/>
      <c r="G75" s="113"/>
      <c r="H75" s="113"/>
      <c r="I75" s="113"/>
      <c r="J75" s="113"/>
      <c r="K75" s="113"/>
      <c r="L75" s="113"/>
      <c r="M75" s="113"/>
      <c r="N75" s="113"/>
      <c r="O75" s="113"/>
      <c r="P75" s="113"/>
      <c r="Q75" s="351"/>
      <c r="S75" s="350" t="s">
        <v>583</v>
      </c>
      <c r="T75" s="352"/>
      <c r="U75" s="113"/>
      <c r="V75" s="353"/>
      <c r="Z75" s="388"/>
      <c r="AA75" t="s">
        <v>580</v>
      </c>
      <c r="AB75" s="378">
        <v>7752</v>
      </c>
      <c r="AC75">
        <v>736</v>
      </c>
      <c r="AD75" s="361">
        <v>262</v>
      </c>
    </row>
    <row r="76" spans="1:30" x14ac:dyDescent="0.25">
      <c r="A76" s="358" t="s">
        <v>436</v>
      </c>
      <c r="B76" s="113">
        <v>94</v>
      </c>
      <c r="C76" s="113">
        <v>0</v>
      </c>
      <c r="D76" s="113">
        <v>3</v>
      </c>
      <c r="E76" s="113">
        <v>2</v>
      </c>
      <c r="F76" s="113"/>
      <c r="G76" s="113">
        <v>3</v>
      </c>
      <c r="H76" s="113">
        <v>6</v>
      </c>
      <c r="I76" s="113">
        <v>4</v>
      </c>
      <c r="J76" s="113">
        <v>4</v>
      </c>
      <c r="K76" s="113">
        <v>15</v>
      </c>
      <c r="L76" s="113">
        <v>5</v>
      </c>
      <c r="M76" s="113">
        <v>8</v>
      </c>
      <c r="N76" s="113">
        <v>90</v>
      </c>
      <c r="O76" s="359" t="s">
        <v>17</v>
      </c>
      <c r="P76" s="113" t="s">
        <v>424</v>
      </c>
      <c r="Q76" s="360" t="s">
        <v>561</v>
      </c>
      <c r="S76" s="358" t="s">
        <v>436</v>
      </c>
      <c r="T76" s="352">
        <f>+B76+D76+H76+I76+J76</f>
        <v>111</v>
      </c>
      <c r="U76" s="113">
        <f>+C76+E76+F76+G76</f>
        <v>5</v>
      </c>
      <c r="V76" s="353">
        <f>+K76+L76+M76+N76</f>
        <v>118</v>
      </c>
      <c r="Z76" s="388"/>
      <c r="AA76" t="s">
        <v>438</v>
      </c>
      <c r="AB76" s="378">
        <v>2087</v>
      </c>
      <c r="AC76">
        <v>279</v>
      </c>
      <c r="AD76" s="361">
        <v>129</v>
      </c>
    </row>
    <row r="77" spans="1:30" ht="15.75" thickBot="1" x14ac:dyDescent="0.3">
      <c r="A77" s="358" t="s">
        <v>437</v>
      </c>
      <c r="B77" s="113">
        <v>26</v>
      </c>
      <c r="C77" s="113">
        <v>0</v>
      </c>
      <c r="D77" s="113">
        <v>2</v>
      </c>
      <c r="E77" s="113">
        <v>0</v>
      </c>
      <c r="F77" s="113">
        <v>0</v>
      </c>
      <c r="G77" s="113">
        <v>1</v>
      </c>
      <c r="H77" s="113">
        <v>1</v>
      </c>
      <c r="I77" s="113">
        <v>12</v>
      </c>
      <c r="J77" s="113">
        <v>3</v>
      </c>
      <c r="K77" s="113">
        <v>2</v>
      </c>
      <c r="L77" s="113">
        <v>0</v>
      </c>
      <c r="M77" s="113">
        <v>1</v>
      </c>
      <c r="N77" s="113">
        <v>35</v>
      </c>
      <c r="O77" s="359" t="s">
        <v>17</v>
      </c>
      <c r="P77" s="113" t="s">
        <v>424</v>
      </c>
      <c r="Q77" s="360" t="s">
        <v>561</v>
      </c>
      <c r="S77" s="358" t="s">
        <v>437</v>
      </c>
      <c r="T77" s="352">
        <f>+B77+D77+H77+I77+J77</f>
        <v>44</v>
      </c>
      <c r="U77" s="113">
        <f>+C77+E77+F77+G77</f>
        <v>1</v>
      </c>
      <c r="V77" s="353">
        <f>+K77+L77+M77+N77</f>
        <v>38</v>
      </c>
      <c r="Z77" s="389"/>
      <c r="AA77" s="371" t="s">
        <v>439</v>
      </c>
      <c r="AB77" s="379">
        <v>832</v>
      </c>
      <c r="AC77" s="371">
        <v>96</v>
      </c>
      <c r="AD77" s="372">
        <v>39</v>
      </c>
    </row>
    <row r="78" spans="1:30" ht="15.75" thickBot="1" x14ac:dyDescent="0.3">
      <c r="A78" s="358" t="s">
        <v>438</v>
      </c>
      <c r="B78" s="113">
        <v>4</v>
      </c>
      <c r="C78" s="113">
        <v>0</v>
      </c>
      <c r="D78" s="113">
        <v>0</v>
      </c>
      <c r="E78" s="113">
        <v>0</v>
      </c>
      <c r="F78" s="113">
        <v>0</v>
      </c>
      <c r="G78" s="113">
        <v>0</v>
      </c>
      <c r="H78" s="113">
        <v>0</v>
      </c>
      <c r="I78" s="113">
        <v>3</v>
      </c>
      <c r="J78" s="113">
        <v>0</v>
      </c>
      <c r="K78" s="113">
        <v>0</v>
      </c>
      <c r="L78" s="113">
        <v>1</v>
      </c>
      <c r="M78" s="113">
        <v>0</v>
      </c>
      <c r="N78" s="113">
        <v>7</v>
      </c>
      <c r="O78" s="359" t="s">
        <v>17</v>
      </c>
      <c r="P78" s="113" t="s">
        <v>424</v>
      </c>
      <c r="Q78" s="360" t="s">
        <v>561</v>
      </c>
      <c r="S78" s="358" t="s">
        <v>438</v>
      </c>
      <c r="T78" s="352">
        <f>+B78+D78+H78+I78+J78</f>
        <v>7</v>
      </c>
      <c r="U78" s="113">
        <f>+C78+E78+F78+G78</f>
        <v>0</v>
      </c>
      <c r="V78" s="353">
        <f>+K78+L78+M78+N78</f>
        <v>8</v>
      </c>
      <c r="Z78" s="362"/>
      <c r="AB78" s="378"/>
      <c r="AD78" s="361"/>
    </row>
    <row r="79" spans="1:30" ht="45" customHeight="1" x14ac:dyDescent="0.25">
      <c r="A79" s="358" t="s">
        <v>439</v>
      </c>
      <c r="B79" s="113">
        <v>1</v>
      </c>
      <c r="C79" s="113">
        <v>0</v>
      </c>
      <c r="D79" s="113">
        <v>0</v>
      </c>
      <c r="E79" s="113">
        <v>0</v>
      </c>
      <c r="F79" s="113">
        <v>0</v>
      </c>
      <c r="G79" s="113">
        <v>0</v>
      </c>
      <c r="H79" s="113">
        <v>0</v>
      </c>
      <c r="I79" s="113">
        <v>0</v>
      </c>
      <c r="J79" s="113">
        <v>0</v>
      </c>
      <c r="K79" s="113">
        <v>0</v>
      </c>
      <c r="L79" s="113">
        <v>0</v>
      </c>
      <c r="M79" s="113">
        <v>0</v>
      </c>
      <c r="N79" s="113">
        <v>0</v>
      </c>
      <c r="O79" s="359" t="s">
        <v>17</v>
      </c>
      <c r="P79" s="113" t="s">
        <v>424</v>
      </c>
      <c r="Q79" s="360" t="s">
        <v>561</v>
      </c>
      <c r="S79" s="358" t="s">
        <v>439</v>
      </c>
      <c r="T79" s="352">
        <f>+B79+D79+H79+I79+J79</f>
        <v>1</v>
      </c>
      <c r="U79" s="113">
        <f>+C79+E79+F79+G79</f>
        <v>0</v>
      </c>
      <c r="V79" s="353">
        <f>+K79+L79+M79+N79</f>
        <v>0</v>
      </c>
      <c r="Z79" s="387" t="s">
        <v>584</v>
      </c>
      <c r="AA79" s="355" t="s">
        <v>578</v>
      </c>
      <c r="AB79" s="354">
        <v>1020</v>
      </c>
      <c r="AC79" s="355">
        <v>114</v>
      </c>
      <c r="AD79" s="376">
        <v>11</v>
      </c>
    </row>
    <row r="80" spans="1:30" x14ac:dyDescent="0.25">
      <c r="A80" s="350" t="s">
        <v>584</v>
      </c>
      <c r="B80" s="375"/>
      <c r="C80" s="375"/>
      <c r="D80" s="375"/>
      <c r="E80" s="375"/>
      <c r="F80" s="375"/>
      <c r="G80" s="375"/>
      <c r="H80" s="375"/>
      <c r="I80" s="375"/>
      <c r="J80" s="375"/>
      <c r="K80" s="375"/>
      <c r="L80" s="375"/>
      <c r="M80" s="375"/>
      <c r="N80" s="375"/>
      <c r="O80" s="336"/>
      <c r="P80" s="113" t="s">
        <v>424</v>
      </c>
      <c r="Q80" s="360" t="s">
        <v>561</v>
      </c>
      <c r="S80" s="350" t="s">
        <v>584</v>
      </c>
      <c r="T80" s="352"/>
      <c r="U80" s="113"/>
      <c r="V80" s="353"/>
      <c r="Z80" s="388"/>
      <c r="AA80" t="s">
        <v>579</v>
      </c>
      <c r="AB80" s="378">
        <v>652</v>
      </c>
      <c r="AC80">
        <v>58</v>
      </c>
      <c r="AD80" s="361">
        <v>11</v>
      </c>
    </row>
    <row r="81" spans="1:30" x14ac:dyDescent="0.25">
      <c r="A81" s="358" t="s">
        <v>578</v>
      </c>
      <c r="B81" s="113">
        <v>2</v>
      </c>
      <c r="C81" s="113">
        <v>0</v>
      </c>
      <c r="D81" s="113">
        <v>0</v>
      </c>
      <c r="E81" s="113">
        <v>28</v>
      </c>
      <c r="F81" s="113">
        <v>15</v>
      </c>
      <c r="G81" s="113">
        <v>71</v>
      </c>
      <c r="H81" s="113">
        <v>6</v>
      </c>
      <c r="I81" s="113">
        <v>1012</v>
      </c>
      <c r="J81" s="113">
        <v>0</v>
      </c>
      <c r="K81" s="113">
        <v>0</v>
      </c>
      <c r="L81" s="113">
        <v>1</v>
      </c>
      <c r="M81" s="113">
        <v>5</v>
      </c>
      <c r="N81" s="113">
        <v>5</v>
      </c>
      <c r="O81" s="336" t="s">
        <v>501</v>
      </c>
      <c r="P81" s="113" t="s">
        <v>424</v>
      </c>
      <c r="Q81" s="360" t="s">
        <v>561</v>
      </c>
      <c r="S81" s="358" t="s">
        <v>578</v>
      </c>
      <c r="T81" s="352">
        <f>+B81+D81+H81+I81+J81</f>
        <v>1020</v>
      </c>
      <c r="U81" s="113">
        <f>+C81+E81+F81+G81</f>
        <v>114</v>
      </c>
      <c r="V81" s="353">
        <f>+K81+L81+M81+N81</f>
        <v>11</v>
      </c>
      <c r="Z81" s="388"/>
      <c r="AA81" t="s">
        <v>580</v>
      </c>
      <c r="AB81" s="378">
        <v>7624</v>
      </c>
      <c r="AC81">
        <v>729</v>
      </c>
      <c r="AD81" s="361">
        <v>249</v>
      </c>
    </row>
    <row r="82" spans="1:30" x14ac:dyDescent="0.25">
      <c r="A82" s="358" t="s">
        <v>579</v>
      </c>
      <c r="B82" s="113">
        <v>9</v>
      </c>
      <c r="C82" s="113">
        <v>1</v>
      </c>
      <c r="D82" s="113">
        <v>4</v>
      </c>
      <c r="E82" s="113">
        <v>13</v>
      </c>
      <c r="F82" s="113">
        <v>4</v>
      </c>
      <c r="G82" s="113">
        <v>40</v>
      </c>
      <c r="H82" s="113">
        <v>11</v>
      </c>
      <c r="I82" s="113">
        <v>628</v>
      </c>
      <c r="J82" s="113">
        <v>0</v>
      </c>
      <c r="K82" s="113">
        <v>0</v>
      </c>
      <c r="L82" s="113">
        <v>0</v>
      </c>
      <c r="M82" s="113">
        <v>5</v>
      </c>
      <c r="N82" s="113">
        <v>6</v>
      </c>
      <c r="O82" s="336" t="s">
        <v>501</v>
      </c>
      <c r="P82" s="113" t="s">
        <v>424</v>
      </c>
      <c r="Q82" s="360" t="s">
        <v>561</v>
      </c>
      <c r="S82" s="358" t="s">
        <v>579</v>
      </c>
      <c r="T82" s="352">
        <f>+B82+D82+H82+I82+J82</f>
        <v>652</v>
      </c>
      <c r="U82" s="113">
        <f>+C82+E82+F82+G82</f>
        <v>58</v>
      </c>
      <c r="V82" s="353">
        <f>+K82+L82+M82+N82</f>
        <v>11</v>
      </c>
      <c r="Z82" s="388"/>
      <c r="AA82" t="s">
        <v>438</v>
      </c>
      <c r="AB82" s="378">
        <v>2136</v>
      </c>
      <c r="AC82">
        <v>285</v>
      </c>
      <c r="AD82" s="361">
        <v>149</v>
      </c>
    </row>
    <row r="83" spans="1:30" ht="15.75" thickBot="1" x14ac:dyDescent="0.3">
      <c r="A83" s="358" t="s">
        <v>580</v>
      </c>
      <c r="B83" s="113">
        <v>3</v>
      </c>
      <c r="C83" s="113">
        <v>0</v>
      </c>
      <c r="D83" s="113">
        <v>0</v>
      </c>
      <c r="E83" s="113">
        <v>234</v>
      </c>
      <c r="F83" s="113">
        <v>101</v>
      </c>
      <c r="G83" s="113">
        <v>394</v>
      </c>
      <c r="H83" s="113">
        <v>92</v>
      </c>
      <c r="I83" s="113">
        <v>7525</v>
      </c>
      <c r="J83" s="113">
        <v>4</v>
      </c>
      <c r="K83" s="113">
        <v>10</v>
      </c>
      <c r="L83" s="113">
        <v>7</v>
      </c>
      <c r="M83" s="113">
        <v>119</v>
      </c>
      <c r="N83" s="113">
        <v>113</v>
      </c>
      <c r="O83" s="336" t="s">
        <v>501</v>
      </c>
      <c r="P83" s="113" t="s">
        <v>424</v>
      </c>
      <c r="Q83" s="360" t="s">
        <v>561</v>
      </c>
      <c r="S83" s="358" t="s">
        <v>580</v>
      </c>
      <c r="T83" s="352">
        <f>+B83+D83+H83+I83+J83</f>
        <v>7624</v>
      </c>
      <c r="U83" s="113">
        <f>+C83+E83+F83+G83</f>
        <v>729</v>
      </c>
      <c r="V83" s="353">
        <f>+K83+L83+M83+N83</f>
        <v>249</v>
      </c>
      <c r="Z83" s="389"/>
      <c r="AA83" s="371" t="s">
        <v>439</v>
      </c>
      <c r="AB83" s="379">
        <v>876</v>
      </c>
      <c r="AC83" s="371">
        <v>117</v>
      </c>
      <c r="AD83" s="372">
        <v>31</v>
      </c>
    </row>
    <row r="84" spans="1:30" x14ac:dyDescent="0.25">
      <c r="A84" s="358" t="s">
        <v>438</v>
      </c>
      <c r="B84" s="113">
        <v>2</v>
      </c>
      <c r="C84" s="113">
        <v>0</v>
      </c>
      <c r="D84" s="113">
        <v>0</v>
      </c>
      <c r="E84" s="113">
        <v>70</v>
      </c>
      <c r="F84" s="113">
        <v>31</v>
      </c>
      <c r="G84" s="113">
        <v>184</v>
      </c>
      <c r="H84" s="113">
        <v>50</v>
      </c>
      <c r="I84" s="113">
        <v>2083</v>
      </c>
      <c r="J84" s="113">
        <v>1</v>
      </c>
      <c r="K84" s="113">
        <v>2</v>
      </c>
      <c r="L84" s="113">
        <v>1</v>
      </c>
      <c r="M84" s="113">
        <v>89</v>
      </c>
      <c r="N84" s="113">
        <v>57</v>
      </c>
      <c r="O84" s="336" t="s">
        <v>501</v>
      </c>
      <c r="P84" s="113" t="s">
        <v>424</v>
      </c>
      <c r="Q84" s="360" t="s">
        <v>561</v>
      </c>
      <c r="S84" s="358" t="s">
        <v>438</v>
      </c>
      <c r="T84" s="352">
        <f>+B84+D84+H84+I84+J84</f>
        <v>2136</v>
      </c>
      <c r="U84" s="113">
        <f>+C84+E84+F84+G84</f>
        <v>285</v>
      </c>
      <c r="V84" s="353">
        <f>+K84+L84+M84+N84</f>
        <v>149</v>
      </c>
    </row>
    <row r="85" spans="1:30" ht="15.75" thickBot="1" x14ac:dyDescent="0.3">
      <c r="A85" s="363" t="s">
        <v>439</v>
      </c>
      <c r="B85" s="364">
        <v>0</v>
      </c>
      <c r="C85" s="364">
        <v>0</v>
      </c>
      <c r="D85" s="364">
        <v>0</v>
      </c>
      <c r="E85" s="364">
        <v>41</v>
      </c>
      <c r="F85" s="364">
        <v>23</v>
      </c>
      <c r="G85" s="364">
        <v>53</v>
      </c>
      <c r="H85" s="364">
        <v>16</v>
      </c>
      <c r="I85" s="364">
        <v>859</v>
      </c>
      <c r="J85" s="364">
        <v>1</v>
      </c>
      <c r="K85" s="364">
        <v>3</v>
      </c>
      <c r="L85" s="364">
        <v>1</v>
      </c>
      <c r="M85" s="364">
        <v>14</v>
      </c>
      <c r="N85" s="364">
        <v>13</v>
      </c>
      <c r="O85" s="365" t="s">
        <v>501</v>
      </c>
      <c r="P85" s="364" t="s">
        <v>424</v>
      </c>
      <c r="Q85" s="366" t="s">
        <v>561</v>
      </c>
      <c r="S85" s="363" t="s">
        <v>439</v>
      </c>
      <c r="T85" s="367">
        <f>+B85+D85+H85+I85+J85</f>
        <v>876</v>
      </c>
      <c r="U85" s="364">
        <f>+C85+E85+F85+G85</f>
        <v>117</v>
      </c>
      <c r="V85" s="368">
        <f>+K85+L85+M85+N85</f>
        <v>31</v>
      </c>
    </row>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27" spans="1:3" ht="60" x14ac:dyDescent="0.25">
      <c r="B127" s="338" t="s">
        <v>507</v>
      </c>
      <c r="C127" s="338" t="s">
        <v>508</v>
      </c>
    </row>
    <row r="128" spans="1:3" x14ac:dyDescent="0.25">
      <c r="A128" t="s">
        <v>505</v>
      </c>
      <c r="B128" s="381">
        <v>46</v>
      </c>
      <c r="C128" s="381">
        <v>2</v>
      </c>
    </row>
    <row r="129" spans="1:3" x14ac:dyDescent="0.25">
      <c r="A129" t="s">
        <v>506</v>
      </c>
      <c r="B129" s="381">
        <v>92</v>
      </c>
      <c r="C129" s="381">
        <v>12</v>
      </c>
    </row>
    <row r="130" spans="1:3" x14ac:dyDescent="0.25">
      <c r="A130" s="329" t="s">
        <v>592</v>
      </c>
    </row>
    <row r="145" spans="1:6" x14ac:dyDescent="0.25">
      <c r="B145">
        <v>2015</v>
      </c>
      <c r="C145">
        <v>2016</v>
      </c>
      <c r="D145">
        <v>2017</v>
      </c>
      <c r="E145">
        <v>2018</v>
      </c>
      <c r="F145">
        <v>2019</v>
      </c>
    </row>
    <row r="146" spans="1:6" x14ac:dyDescent="0.25">
      <c r="A146" t="s">
        <v>4</v>
      </c>
      <c r="B146">
        <v>261</v>
      </c>
      <c r="C146">
        <v>109</v>
      </c>
      <c r="D146">
        <v>148</v>
      </c>
      <c r="E146">
        <v>89</v>
      </c>
      <c r="F146">
        <v>414</v>
      </c>
    </row>
    <row r="147" spans="1:6" x14ac:dyDescent="0.25">
      <c r="A147" t="s">
        <v>124</v>
      </c>
      <c r="B147">
        <v>151</v>
      </c>
      <c r="C147">
        <v>33</v>
      </c>
      <c r="D147">
        <v>59</v>
      </c>
      <c r="E147">
        <v>115</v>
      </c>
      <c r="F147">
        <v>48</v>
      </c>
    </row>
    <row r="148" spans="1:6" x14ac:dyDescent="0.25">
      <c r="A148" s="27" t="s">
        <v>591</v>
      </c>
    </row>
  </sheetData>
  <mergeCells count="7">
    <mergeCell ref="Z73:Z77"/>
    <mergeCell ref="Z79:Z83"/>
    <mergeCell ref="A1:A2"/>
    <mergeCell ref="Z60:Z63"/>
    <mergeCell ref="Z55:Z58"/>
    <mergeCell ref="Z50:Z53"/>
    <mergeCell ref="Z67:Z71"/>
  </mergeCells>
  <phoneticPr fontId="39" type="noConversion"/>
  <hyperlinks>
    <hyperlink ref="R6" r:id="rId1" xr:uid="{2C08A19A-107E-46EA-86EF-E2C92D88059C}"/>
    <hyperlink ref="R7" r:id="rId2" xr:uid="{3EBA22D2-99F2-4A13-86AF-12E307ABAAC4}"/>
    <hyperlink ref="R8" r:id="rId3" xr:uid="{712CA058-5B6B-4DA7-9493-798005050E07}"/>
    <hyperlink ref="R9" r:id="rId4" xr:uid="{6D922823-444F-4FCA-90F9-43C43EE8BCE4}"/>
    <hyperlink ref="R10" r:id="rId5" xr:uid="{657BB10B-9494-4E4A-A7CF-94CF38E45AFE}"/>
    <hyperlink ref="R11" r:id="rId6" xr:uid="{315DE48C-3D6D-407B-8960-5B79E6D2755E}"/>
    <hyperlink ref="R12" r:id="rId7" xr:uid="{4FEC7571-5158-4183-969F-C4467216E6D5}"/>
    <hyperlink ref="R13" r:id="rId8" xr:uid="{6314F7E7-208A-48D4-9860-10C9F18355E4}"/>
    <hyperlink ref="R14" r:id="rId9" xr:uid="{258053A8-1A47-4C97-9121-C7B396ED366D}"/>
    <hyperlink ref="R15" r:id="rId10" xr:uid="{8C6FADA3-56EB-4C17-9490-9B5C7121872F}"/>
    <hyperlink ref="R16" r:id="rId11" xr:uid="{F1176B42-9A00-4A94-8B45-B9FAA7B43908}"/>
    <hyperlink ref="R17" r:id="rId12" xr:uid="{D75457A6-133F-4C71-8380-E627D44DCB65}"/>
    <hyperlink ref="R22" r:id="rId13" xr:uid="{63C7CDA3-8B83-498B-B6CD-4FBEC9E016E0}"/>
    <hyperlink ref="R20" r:id="rId14" xr:uid="{FFE79BFE-EB0F-402A-9A49-A5DF5B561FFA}"/>
    <hyperlink ref="R5" r:id="rId15" xr:uid="{AABA8A6B-DD50-4121-BA49-BA25794A3134}"/>
    <hyperlink ref="R26" r:id="rId16" xr:uid="{0300A577-F6F3-46A8-BEE5-79F8F3C2763C}"/>
    <hyperlink ref="A148" r:id="rId17" xr:uid="{269B6313-937E-48F2-B416-FDAA54824AC1}"/>
    <hyperlink ref="A130" r:id="rId18" xr:uid="{74518876-E52C-4623-92F2-16A7B7EE54FC}"/>
  </hyperlinks>
  <pageMargins left="0.7" right="0.7" top="0.75" bottom="0.75" header="0.3" footer="0.3"/>
  <pageSetup orientation="portrait" r:id="rId19"/>
  <drawing r:id="rId2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CONTENTS</vt:lpstr>
      <vt:lpstr>ETHANOL</vt:lpstr>
      <vt:lpstr>BIOBUTANOL</vt:lpstr>
      <vt:lpstr>BIODIESEL</vt:lpstr>
      <vt:lpstr>FATS</vt:lpstr>
      <vt:lpstr>RENEWABLE DIESEL</vt:lpstr>
      <vt:lpstr>RENEWABLE JET FUEL</vt:lpstr>
      <vt:lpstr>WOOD PELLETS</vt:lpstr>
      <vt:lpstr>BIOGAS</vt:lpstr>
      <vt:lpstr>WASTE TO ENERGY</vt:lpstr>
      <vt:lpstr>BIOPRODUCTS</vt:lpstr>
      <vt:lpstr>BIOPLASTICS</vt:lpstr>
      <vt:lpstr>BIOCHEMICALS</vt:lpstr>
      <vt:lpstr>ENZYMES</vt:lpstr>
      <vt:lpstr>FOREST PRODUCTS</vt:lpstr>
      <vt:lpstr>APPAREL AND TEXTILES</vt:lpstr>
      <vt:lpstr>FUNDING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Janire Pascual</dc:creator>
  <cp:keywords/>
  <dc:description/>
  <cp:lastModifiedBy>Janire Pascual Gonzalez</cp:lastModifiedBy>
  <cp:revision/>
  <cp:lastPrinted>2020-06-25T20:31:47Z</cp:lastPrinted>
  <dcterms:created xsi:type="dcterms:W3CDTF">2017-01-11T16:16:58Z</dcterms:created>
  <dcterms:modified xsi:type="dcterms:W3CDTF">2025-01-31T15:40:10Z</dcterms:modified>
  <cp:category/>
  <cp:contentStatus/>
</cp:coreProperties>
</file>