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https://sumailsyr-my.sharepoint.com/personal/jpascu02_syr_edu/Documents/DSLProjects/Bioeconomy/Bioindicators/2024Report/Chapter1/"/>
    </mc:Choice>
  </mc:AlternateContent>
  <xr:revisionPtr revIDLastSave="3249" documentId="8_{93D64068-29AD-4E82-8A2B-A35291F4C3E1}" xr6:coauthVersionLast="47" xr6:coauthVersionMax="47" xr10:uidLastSave="{8B925A93-BFE5-4BE5-AFA9-DA720818E4D2}"/>
  <bookViews>
    <workbookView xWindow="28680" yWindow="630" windowWidth="29040" windowHeight="15720" activeTab="4" xr2:uid="{208CC499-15C2-45FC-9827-EB05E18A4863}"/>
  </bookViews>
  <sheets>
    <sheet name="NEtZero" sheetId="6" r:id="rId1"/>
    <sheet name="NetZeroStates" sheetId="7" r:id="rId2"/>
    <sheet name="Ethanol" sheetId="1" r:id="rId3"/>
    <sheet name="Biodiesel" sheetId="2" r:id="rId4"/>
    <sheet name="Biofuels" sheetId="5" r:id="rId5"/>
    <sheet name="Trade" sheetId="9" r:id="rId6"/>
    <sheet name="Bioplastics" sheetId="4" r:id="rId7"/>
    <sheet name="Biobased Chemicals P" sheetId="3" r:id="rId8"/>
    <sheet name="Bioplastics P" sheetId="8" r:id="rId9"/>
    <sheet name="OilC" sheetId="10" r:id="rId10"/>
    <sheet name="Sheet2" sheetId="11" r:id="rId11"/>
  </sheets>
  <definedNames>
    <definedName name="_xlnm._FilterDatabase" localSheetId="2" hidden="1">Trade!$A$19:$A$19</definedName>
    <definedName name="_xlchart.v1.0" hidden="1">Biofuels!$A$164:$B$170</definedName>
    <definedName name="_xlchart.v1.1" hidden="1">Biofuels!$C$164:$C$170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4" i="4" l="1"/>
  <c r="L43" i="4"/>
  <c r="C41" i="4"/>
  <c r="D41" i="4"/>
  <c r="E41" i="4"/>
  <c r="F41" i="4"/>
  <c r="G41" i="4"/>
  <c r="H41" i="4"/>
  <c r="I41" i="4"/>
  <c r="J41" i="4"/>
  <c r="K41" i="4"/>
  <c r="L41" i="4"/>
  <c r="B41" i="4"/>
  <c r="I45" i="4"/>
  <c r="H43" i="4"/>
  <c r="I43" i="4" s="1"/>
  <c r="H44" i="4"/>
  <c r="I44" i="4"/>
  <c r="H45" i="4"/>
  <c r="H46" i="4"/>
  <c r="I46" i="4"/>
  <c r="H47" i="4"/>
  <c r="I47" i="4"/>
  <c r="I42" i="4"/>
  <c r="H42" i="4"/>
  <c r="P63" i="5"/>
  <c r="Q63" i="5" s="1"/>
  <c r="Q62" i="5"/>
  <c r="P62" i="5"/>
  <c r="D9" i="10"/>
  <c r="B8" i="10"/>
  <c r="C8" i="10"/>
  <c r="D8" i="10"/>
  <c r="E8" i="10"/>
  <c r="E3" i="10"/>
  <c r="E4" i="10"/>
  <c r="E5" i="10"/>
  <c r="E6" i="10"/>
  <c r="E7" i="10"/>
  <c r="E2" i="10"/>
  <c r="W9" i="1"/>
  <c r="T68" i="5"/>
  <c r="T67" i="5"/>
  <c r="W23" i="5"/>
  <c r="X23" i="5"/>
  <c r="W24" i="5"/>
  <c r="X24" i="5"/>
  <c r="W25" i="5"/>
  <c r="X25" i="5"/>
  <c r="W26" i="5"/>
  <c r="X26" i="5"/>
  <c r="W27" i="5"/>
  <c r="X27" i="5"/>
  <c r="W28" i="5"/>
  <c r="X28" i="5"/>
  <c r="W30" i="5"/>
  <c r="X30" i="5"/>
  <c r="X22" i="5"/>
  <c r="O49" i="5"/>
  <c r="N49" i="5"/>
  <c r="D49" i="5"/>
  <c r="E49" i="5"/>
  <c r="F49" i="5"/>
  <c r="G49" i="5"/>
  <c r="H49" i="5"/>
  <c r="I49" i="5"/>
  <c r="J49" i="5"/>
  <c r="K49" i="5"/>
  <c r="L49" i="5"/>
  <c r="M49" i="5"/>
  <c r="C12" i="5"/>
  <c r="D12" i="5"/>
  <c r="E12" i="5"/>
  <c r="F12" i="5"/>
  <c r="G12" i="5"/>
  <c r="H12" i="5"/>
  <c r="I12" i="5"/>
  <c r="J12" i="5"/>
  <c r="K12" i="5"/>
  <c r="L12" i="5"/>
  <c r="M12" i="5"/>
  <c r="N12" i="5"/>
  <c r="O12" i="5"/>
  <c r="B176" i="5" s="1"/>
  <c r="P12" i="5"/>
  <c r="Q12" i="5"/>
  <c r="R12" i="5"/>
  <c r="S12" i="5"/>
  <c r="T12" i="5"/>
  <c r="U12" i="5"/>
  <c r="V12" i="5"/>
  <c r="W12" i="5"/>
  <c r="X12" i="5"/>
  <c r="C13" i="5"/>
  <c r="D13" i="5"/>
  <c r="E13" i="5"/>
  <c r="F13" i="5"/>
  <c r="G13" i="5"/>
  <c r="H13" i="5"/>
  <c r="I13" i="5"/>
  <c r="J13" i="5"/>
  <c r="K13" i="5"/>
  <c r="L13" i="5"/>
  <c r="M13" i="5"/>
  <c r="N13" i="5"/>
  <c r="O13" i="5"/>
  <c r="P13" i="5"/>
  <c r="Q13" i="5"/>
  <c r="R13" i="5"/>
  <c r="S13" i="5"/>
  <c r="T13" i="5"/>
  <c r="U13" i="5"/>
  <c r="V13" i="5"/>
  <c r="W13" i="5"/>
  <c r="X13" i="5"/>
  <c r="C14" i="5"/>
  <c r="D14" i="5"/>
  <c r="E14" i="5"/>
  <c r="F14" i="5"/>
  <c r="G14" i="5"/>
  <c r="H14" i="5"/>
  <c r="I14" i="5"/>
  <c r="J14" i="5"/>
  <c r="K14" i="5"/>
  <c r="L14" i="5"/>
  <c r="M14" i="5"/>
  <c r="N14" i="5"/>
  <c r="O14" i="5"/>
  <c r="P14" i="5"/>
  <c r="Q14" i="5"/>
  <c r="R14" i="5"/>
  <c r="S14" i="5"/>
  <c r="T14" i="5"/>
  <c r="U14" i="5"/>
  <c r="V14" i="5"/>
  <c r="W14" i="5"/>
  <c r="X14" i="5"/>
  <c r="C15" i="5"/>
  <c r="D15" i="5"/>
  <c r="E15" i="5"/>
  <c r="F15" i="5"/>
  <c r="G15" i="5"/>
  <c r="H15" i="5"/>
  <c r="I15" i="5"/>
  <c r="J15" i="5"/>
  <c r="K15" i="5"/>
  <c r="L15" i="5"/>
  <c r="M15" i="5"/>
  <c r="N15" i="5"/>
  <c r="O15" i="5"/>
  <c r="P15" i="5"/>
  <c r="Q15" i="5"/>
  <c r="R15" i="5"/>
  <c r="S15" i="5"/>
  <c r="T15" i="5"/>
  <c r="U15" i="5"/>
  <c r="V15" i="5"/>
  <c r="W15" i="5"/>
  <c r="X15" i="5"/>
  <c r="C16" i="5"/>
  <c r="D16" i="5"/>
  <c r="E16" i="5"/>
  <c r="F16" i="5"/>
  <c r="G16" i="5"/>
  <c r="H16" i="5"/>
  <c r="I16" i="5"/>
  <c r="J16" i="5"/>
  <c r="K16" i="5"/>
  <c r="L16" i="5"/>
  <c r="M16" i="5"/>
  <c r="N16" i="5"/>
  <c r="O16" i="5"/>
  <c r="P16" i="5"/>
  <c r="Q16" i="5"/>
  <c r="R16" i="5"/>
  <c r="S16" i="5"/>
  <c r="T16" i="5"/>
  <c r="U16" i="5"/>
  <c r="V16" i="5"/>
  <c r="W16" i="5"/>
  <c r="X16" i="5"/>
  <c r="C17" i="5"/>
  <c r="D17" i="5"/>
  <c r="E17" i="5"/>
  <c r="F17" i="5"/>
  <c r="G17" i="5"/>
  <c r="H17" i="5"/>
  <c r="I17" i="5"/>
  <c r="J17" i="5"/>
  <c r="K17" i="5"/>
  <c r="L17" i="5"/>
  <c r="M17" i="5"/>
  <c r="N17" i="5"/>
  <c r="O17" i="5"/>
  <c r="P17" i="5"/>
  <c r="Q17" i="5"/>
  <c r="R17" i="5"/>
  <c r="S17" i="5"/>
  <c r="T17" i="5"/>
  <c r="U17" i="5"/>
  <c r="V17" i="5"/>
  <c r="W17" i="5"/>
  <c r="X17" i="5"/>
  <c r="C18" i="5"/>
  <c r="D18" i="5"/>
  <c r="E18" i="5"/>
  <c r="F18" i="5"/>
  <c r="G18" i="5"/>
  <c r="H18" i="5"/>
  <c r="I18" i="5"/>
  <c r="J18" i="5"/>
  <c r="K18" i="5"/>
  <c r="L18" i="5"/>
  <c r="M18" i="5"/>
  <c r="N18" i="5"/>
  <c r="O18" i="5"/>
  <c r="P18" i="5"/>
  <c r="Q18" i="5"/>
  <c r="R18" i="5"/>
  <c r="S18" i="5"/>
  <c r="T18" i="5"/>
  <c r="U18" i="5"/>
  <c r="V18" i="5"/>
  <c r="W18" i="5"/>
  <c r="X18" i="5"/>
  <c r="C20" i="5"/>
  <c r="D20" i="5"/>
  <c r="E20" i="5"/>
  <c r="F20" i="5"/>
  <c r="G20" i="5"/>
  <c r="H20" i="5"/>
  <c r="I20" i="5"/>
  <c r="J20" i="5"/>
  <c r="K20" i="5"/>
  <c r="L20" i="5"/>
  <c r="M20" i="5"/>
  <c r="N20" i="5"/>
  <c r="O20" i="5"/>
  <c r="B177" i="5" s="1"/>
  <c r="P20" i="5"/>
  <c r="Q20" i="5"/>
  <c r="R20" i="5"/>
  <c r="S20" i="5"/>
  <c r="T20" i="5"/>
  <c r="U20" i="5"/>
  <c r="V20" i="5"/>
  <c r="W20" i="5"/>
  <c r="X20" i="5"/>
  <c r="B13" i="5"/>
  <c r="B14" i="5"/>
  <c r="B15" i="5"/>
  <c r="B16" i="5"/>
  <c r="B17" i="5"/>
  <c r="B18" i="5"/>
  <c r="B20" i="5"/>
  <c r="B12" i="5"/>
  <c r="C32" i="5"/>
  <c r="D32" i="5"/>
  <c r="E32" i="5"/>
  <c r="F32" i="5"/>
  <c r="G32" i="5"/>
  <c r="H32" i="5"/>
  <c r="I32" i="5"/>
  <c r="J32" i="5"/>
  <c r="K32" i="5"/>
  <c r="L32" i="5"/>
  <c r="M32" i="5"/>
  <c r="N32" i="5"/>
  <c r="O32" i="5"/>
  <c r="B178" i="5" s="1"/>
  <c r="P32" i="5"/>
  <c r="Q32" i="5"/>
  <c r="R32" i="5"/>
  <c r="S32" i="5"/>
  <c r="T32" i="5"/>
  <c r="U32" i="5"/>
  <c r="V32" i="5"/>
  <c r="W32" i="5"/>
  <c r="X32" i="5"/>
  <c r="C33" i="5"/>
  <c r="D33" i="5"/>
  <c r="E33" i="5"/>
  <c r="F33" i="5"/>
  <c r="G33" i="5"/>
  <c r="H33" i="5"/>
  <c r="I33" i="5"/>
  <c r="J33" i="5"/>
  <c r="K33" i="5"/>
  <c r="L33" i="5"/>
  <c r="M33" i="5"/>
  <c r="N33" i="5"/>
  <c r="O33" i="5"/>
  <c r="P33" i="5"/>
  <c r="Q33" i="5"/>
  <c r="R33" i="5"/>
  <c r="S33" i="5"/>
  <c r="T33" i="5"/>
  <c r="U33" i="5"/>
  <c r="V33" i="5"/>
  <c r="W33" i="5"/>
  <c r="X33" i="5"/>
  <c r="C34" i="5"/>
  <c r="D34" i="5"/>
  <c r="E34" i="5"/>
  <c r="F34" i="5"/>
  <c r="G34" i="5"/>
  <c r="H34" i="5"/>
  <c r="I34" i="5"/>
  <c r="J34" i="5"/>
  <c r="K34" i="5"/>
  <c r="L34" i="5"/>
  <c r="M34" i="5"/>
  <c r="N34" i="5"/>
  <c r="O34" i="5"/>
  <c r="Z34" i="5" s="1"/>
  <c r="P34" i="5"/>
  <c r="Q34" i="5"/>
  <c r="R34" i="5"/>
  <c r="S34" i="5"/>
  <c r="T34" i="5"/>
  <c r="U34" i="5"/>
  <c r="V34" i="5"/>
  <c r="W34" i="5"/>
  <c r="X34" i="5"/>
  <c r="C35" i="5"/>
  <c r="D35" i="5"/>
  <c r="E35" i="5"/>
  <c r="F35" i="5"/>
  <c r="G35" i="5"/>
  <c r="H35" i="5"/>
  <c r="I35" i="5"/>
  <c r="J35" i="5"/>
  <c r="K35" i="5"/>
  <c r="L35" i="5"/>
  <c r="M35" i="5"/>
  <c r="N35" i="5"/>
  <c r="O35" i="5"/>
  <c r="P35" i="5"/>
  <c r="Q35" i="5"/>
  <c r="R35" i="5"/>
  <c r="S35" i="5"/>
  <c r="T35" i="5"/>
  <c r="U35" i="5"/>
  <c r="V35" i="5"/>
  <c r="W35" i="5"/>
  <c r="X35" i="5"/>
  <c r="C36" i="5"/>
  <c r="D36" i="5"/>
  <c r="E36" i="5"/>
  <c r="F36" i="5"/>
  <c r="G36" i="5"/>
  <c r="H36" i="5"/>
  <c r="I36" i="5"/>
  <c r="J36" i="5"/>
  <c r="K36" i="5"/>
  <c r="L36" i="5"/>
  <c r="M36" i="5"/>
  <c r="N36" i="5"/>
  <c r="O36" i="5"/>
  <c r="P36" i="5"/>
  <c r="Q36" i="5"/>
  <c r="R36" i="5"/>
  <c r="S36" i="5"/>
  <c r="T36" i="5"/>
  <c r="U36" i="5"/>
  <c r="V36" i="5"/>
  <c r="W36" i="5"/>
  <c r="X36" i="5"/>
  <c r="C37" i="5"/>
  <c r="D37" i="5"/>
  <c r="E37" i="5"/>
  <c r="F37" i="5"/>
  <c r="G37" i="5"/>
  <c r="H37" i="5"/>
  <c r="I37" i="5"/>
  <c r="J37" i="5"/>
  <c r="K37" i="5"/>
  <c r="L37" i="5"/>
  <c r="M37" i="5"/>
  <c r="N37" i="5"/>
  <c r="O37" i="5"/>
  <c r="P37" i="5"/>
  <c r="Q37" i="5"/>
  <c r="R37" i="5"/>
  <c r="S37" i="5"/>
  <c r="T37" i="5"/>
  <c r="U37" i="5"/>
  <c r="V37" i="5"/>
  <c r="W37" i="5"/>
  <c r="X37" i="5"/>
  <c r="Z37" i="5" s="1"/>
  <c r="C38" i="5"/>
  <c r="D38" i="5"/>
  <c r="E38" i="5"/>
  <c r="F38" i="5"/>
  <c r="G38" i="5"/>
  <c r="H38" i="5"/>
  <c r="I38" i="5"/>
  <c r="J38" i="5"/>
  <c r="K38" i="5"/>
  <c r="L38" i="5"/>
  <c r="M38" i="5"/>
  <c r="N38" i="5"/>
  <c r="O38" i="5"/>
  <c r="P38" i="5"/>
  <c r="Q38" i="5"/>
  <c r="R38" i="5"/>
  <c r="S38" i="5"/>
  <c r="T38" i="5"/>
  <c r="U38" i="5"/>
  <c r="V38" i="5"/>
  <c r="W38" i="5"/>
  <c r="X38" i="5"/>
  <c r="C40" i="5"/>
  <c r="D40" i="5"/>
  <c r="E40" i="5"/>
  <c r="F40" i="5"/>
  <c r="G40" i="5"/>
  <c r="H40" i="5"/>
  <c r="I40" i="5"/>
  <c r="J40" i="5"/>
  <c r="K40" i="5"/>
  <c r="L40" i="5"/>
  <c r="M40" i="5"/>
  <c r="N40" i="5"/>
  <c r="O40" i="5"/>
  <c r="B179" i="5" s="1"/>
  <c r="P40" i="5"/>
  <c r="Q40" i="5"/>
  <c r="R40" i="5"/>
  <c r="S40" i="5"/>
  <c r="T40" i="5"/>
  <c r="U40" i="5"/>
  <c r="V40" i="5"/>
  <c r="W40" i="5"/>
  <c r="X40" i="5"/>
  <c r="B33" i="5"/>
  <c r="B34" i="5"/>
  <c r="B35" i="5"/>
  <c r="B36" i="5"/>
  <c r="B37" i="5"/>
  <c r="B38" i="5"/>
  <c r="B40" i="5"/>
  <c r="B32" i="5"/>
  <c r="C22" i="5"/>
  <c r="D22" i="5"/>
  <c r="E22" i="5"/>
  <c r="F22" i="5"/>
  <c r="G22" i="5"/>
  <c r="H22" i="5"/>
  <c r="I22" i="5"/>
  <c r="J22" i="5"/>
  <c r="K22" i="5"/>
  <c r="L22" i="5"/>
  <c r="M22" i="5"/>
  <c r="N22" i="5"/>
  <c r="O22" i="5"/>
  <c r="P22" i="5"/>
  <c r="Q22" i="5"/>
  <c r="R22" i="5"/>
  <c r="S22" i="5"/>
  <c r="T22" i="5"/>
  <c r="U22" i="5"/>
  <c r="V22" i="5"/>
  <c r="W22" i="5"/>
  <c r="C23" i="5"/>
  <c r="D23" i="5"/>
  <c r="E23" i="5"/>
  <c r="F23" i="5"/>
  <c r="G23" i="5"/>
  <c r="H23" i="5"/>
  <c r="I23" i="5"/>
  <c r="J23" i="5"/>
  <c r="K23" i="5"/>
  <c r="L23" i="5"/>
  <c r="M23" i="5"/>
  <c r="N23" i="5"/>
  <c r="O23" i="5"/>
  <c r="P23" i="5"/>
  <c r="Q23" i="5"/>
  <c r="R23" i="5"/>
  <c r="S23" i="5"/>
  <c r="T23" i="5"/>
  <c r="U23" i="5"/>
  <c r="V23" i="5"/>
  <c r="C24" i="5"/>
  <c r="D24" i="5"/>
  <c r="E24" i="5"/>
  <c r="F24" i="5"/>
  <c r="G24" i="5"/>
  <c r="H24" i="5"/>
  <c r="I24" i="5"/>
  <c r="J24" i="5"/>
  <c r="K24" i="5"/>
  <c r="L24" i="5"/>
  <c r="M24" i="5"/>
  <c r="N24" i="5"/>
  <c r="O24" i="5"/>
  <c r="P24" i="5"/>
  <c r="Q24" i="5"/>
  <c r="R24" i="5"/>
  <c r="S24" i="5"/>
  <c r="T24" i="5"/>
  <c r="U24" i="5"/>
  <c r="V24" i="5"/>
  <c r="C25" i="5"/>
  <c r="D25" i="5"/>
  <c r="E25" i="5"/>
  <c r="F25" i="5"/>
  <c r="G25" i="5"/>
  <c r="H25" i="5"/>
  <c r="I25" i="5"/>
  <c r="J25" i="5"/>
  <c r="K25" i="5"/>
  <c r="L25" i="5"/>
  <c r="M25" i="5"/>
  <c r="N25" i="5"/>
  <c r="O25" i="5"/>
  <c r="P25" i="5"/>
  <c r="Q25" i="5"/>
  <c r="R25" i="5"/>
  <c r="S25" i="5"/>
  <c r="T25" i="5"/>
  <c r="U25" i="5"/>
  <c r="V25" i="5"/>
  <c r="C26" i="5"/>
  <c r="D26" i="5"/>
  <c r="E26" i="5"/>
  <c r="F26" i="5"/>
  <c r="G26" i="5"/>
  <c r="H26" i="5"/>
  <c r="I26" i="5"/>
  <c r="J26" i="5"/>
  <c r="K26" i="5"/>
  <c r="L26" i="5"/>
  <c r="M26" i="5"/>
  <c r="N26" i="5"/>
  <c r="O26" i="5"/>
  <c r="P26" i="5"/>
  <c r="Q26" i="5"/>
  <c r="R26" i="5"/>
  <c r="S26" i="5"/>
  <c r="T26" i="5"/>
  <c r="U26" i="5"/>
  <c r="V26" i="5"/>
  <c r="C27" i="5"/>
  <c r="D27" i="5"/>
  <c r="E27" i="5"/>
  <c r="F27" i="5"/>
  <c r="G27" i="5"/>
  <c r="H27" i="5"/>
  <c r="I27" i="5"/>
  <c r="J27" i="5"/>
  <c r="K27" i="5"/>
  <c r="L27" i="5"/>
  <c r="M27" i="5"/>
  <c r="N27" i="5"/>
  <c r="O27" i="5"/>
  <c r="Y27" i="5" s="1"/>
  <c r="P27" i="5"/>
  <c r="Q27" i="5"/>
  <c r="R27" i="5"/>
  <c r="S27" i="5"/>
  <c r="T27" i="5"/>
  <c r="U27" i="5"/>
  <c r="V27" i="5"/>
  <c r="C28" i="5"/>
  <c r="D28" i="5"/>
  <c r="E28" i="5"/>
  <c r="F28" i="5"/>
  <c r="G28" i="5"/>
  <c r="H28" i="5"/>
  <c r="I28" i="5"/>
  <c r="J28" i="5"/>
  <c r="K28" i="5"/>
  <c r="L28" i="5"/>
  <c r="M28" i="5"/>
  <c r="N28" i="5"/>
  <c r="O28" i="5"/>
  <c r="P28" i="5"/>
  <c r="Q28" i="5"/>
  <c r="R28" i="5"/>
  <c r="S28" i="5"/>
  <c r="T28" i="5"/>
  <c r="U28" i="5"/>
  <c r="V28" i="5"/>
  <c r="C30" i="5"/>
  <c r="D30" i="5"/>
  <c r="E30" i="5"/>
  <c r="F30" i="5"/>
  <c r="G30" i="5"/>
  <c r="H30" i="5"/>
  <c r="I30" i="5"/>
  <c r="J30" i="5"/>
  <c r="K30" i="5"/>
  <c r="L30" i="5"/>
  <c r="M30" i="5"/>
  <c r="N30" i="5"/>
  <c r="O30" i="5"/>
  <c r="P30" i="5"/>
  <c r="Q30" i="5"/>
  <c r="R30" i="5"/>
  <c r="S30" i="5"/>
  <c r="T30" i="5"/>
  <c r="U30" i="5"/>
  <c r="V30" i="5"/>
  <c r="B23" i="5"/>
  <c r="B24" i="5"/>
  <c r="B25" i="5"/>
  <c r="B26" i="5"/>
  <c r="B27" i="5"/>
  <c r="B28" i="5"/>
  <c r="B30" i="5"/>
  <c r="B22" i="5"/>
  <c r="Z17" i="5" l="1"/>
  <c r="Z26" i="5"/>
  <c r="Y33" i="5"/>
  <c r="Z40" i="5"/>
  <c r="Z18" i="5"/>
  <c r="Z12" i="5"/>
  <c r="Z38" i="5"/>
  <c r="Z32" i="5"/>
  <c r="Y16" i="5"/>
  <c r="Z23" i="5"/>
  <c r="Y20" i="5"/>
  <c r="Y14" i="5"/>
  <c r="Z36" i="5"/>
  <c r="Y26" i="5"/>
  <c r="Y15" i="5"/>
  <c r="Z20" i="5"/>
  <c r="Z33" i="5"/>
  <c r="Z25" i="5"/>
  <c r="Z22" i="5"/>
  <c r="Y40" i="5"/>
  <c r="Z30" i="5"/>
  <c r="Z24" i="5"/>
  <c r="Y13" i="5"/>
  <c r="Z35" i="5"/>
  <c r="Z28" i="5"/>
  <c r="Z27" i="5"/>
  <c r="Z13" i="5"/>
  <c r="Y24" i="5"/>
  <c r="Y30" i="5"/>
  <c r="Y37" i="5"/>
  <c r="Z14" i="5"/>
  <c r="Y17" i="5"/>
  <c r="Z15" i="5"/>
  <c r="Y25" i="5"/>
  <c r="Y32" i="5"/>
  <c r="Y38" i="5"/>
  <c r="Z16" i="5"/>
  <c r="Y18" i="5"/>
  <c r="Y12" i="5"/>
  <c r="Y34" i="5"/>
  <c r="Y22" i="5"/>
  <c r="Y28" i="5"/>
  <c r="Y35" i="5"/>
  <c r="Y23" i="5"/>
  <c r="Y36" i="5"/>
  <c r="B3" i="5"/>
  <c r="C3" i="5"/>
  <c r="D3" i="5"/>
  <c r="E3" i="5"/>
  <c r="F3" i="5"/>
  <c r="G3" i="5"/>
  <c r="H3" i="5"/>
  <c r="I3" i="5"/>
  <c r="J3" i="5"/>
  <c r="K3" i="5"/>
  <c r="L3" i="5"/>
  <c r="M3" i="5"/>
  <c r="N3" i="5"/>
  <c r="O3" i="5"/>
  <c r="P3" i="5"/>
  <c r="Q3" i="5"/>
  <c r="R3" i="5"/>
  <c r="S3" i="5"/>
  <c r="T3" i="5"/>
  <c r="U3" i="5"/>
  <c r="V3" i="5"/>
  <c r="W3" i="5"/>
  <c r="X3" i="5"/>
  <c r="B4" i="5"/>
  <c r="C4" i="5"/>
  <c r="D4" i="5"/>
  <c r="E4" i="5"/>
  <c r="F4" i="5"/>
  <c r="G4" i="5"/>
  <c r="H4" i="5"/>
  <c r="I4" i="5"/>
  <c r="J4" i="5"/>
  <c r="K4" i="5"/>
  <c r="L4" i="5"/>
  <c r="M4" i="5"/>
  <c r="N4" i="5"/>
  <c r="O4" i="5"/>
  <c r="P4" i="5"/>
  <c r="Q4" i="5"/>
  <c r="R4" i="5"/>
  <c r="S4" i="5"/>
  <c r="T4" i="5"/>
  <c r="U4" i="5"/>
  <c r="V4" i="5"/>
  <c r="W4" i="5"/>
  <c r="X4" i="5"/>
  <c r="B5" i="5"/>
  <c r="C5" i="5"/>
  <c r="D5" i="5"/>
  <c r="E5" i="5"/>
  <c r="F5" i="5"/>
  <c r="G5" i="5"/>
  <c r="H5" i="5"/>
  <c r="I5" i="5"/>
  <c r="J5" i="5"/>
  <c r="K5" i="5"/>
  <c r="L5" i="5"/>
  <c r="M5" i="5"/>
  <c r="N5" i="5"/>
  <c r="O5" i="5"/>
  <c r="P5" i="5"/>
  <c r="Q5" i="5"/>
  <c r="R5" i="5"/>
  <c r="S5" i="5"/>
  <c r="T5" i="5"/>
  <c r="U5" i="5"/>
  <c r="V5" i="5"/>
  <c r="W5" i="5"/>
  <c r="X5" i="5"/>
  <c r="B6" i="5"/>
  <c r="C6" i="5"/>
  <c r="D6" i="5"/>
  <c r="E6" i="5"/>
  <c r="F6" i="5"/>
  <c r="G6" i="5"/>
  <c r="H6" i="5"/>
  <c r="I6" i="5"/>
  <c r="J6" i="5"/>
  <c r="K6" i="5"/>
  <c r="L6" i="5"/>
  <c r="M6" i="5"/>
  <c r="N6" i="5"/>
  <c r="O6" i="5"/>
  <c r="P6" i="5"/>
  <c r="Q6" i="5"/>
  <c r="R6" i="5"/>
  <c r="S6" i="5"/>
  <c r="T6" i="5"/>
  <c r="U6" i="5"/>
  <c r="V6" i="5"/>
  <c r="W6" i="5"/>
  <c r="X6" i="5"/>
  <c r="B7" i="5"/>
  <c r="C7" i="5"/>
  <c r="D7" i="5"/>
  <c r="E7" i="5"/>
  <c r="F7" i="5"/>
  <c r="G7" i="5"/>
  <c r="H7" i="5"/>
  <c r="I7" i="5"/>
  <c r="J7" i="5"/>
  <c r="K7" i="5"/>
  <c r="L7" i="5"/>
  <c r="M7" i="5"/>
  <c r="N7" i="5"/>
  <c r="O7" i="5"/>
  <c r="P7" i="5"/>
  <c r="Q7" i="5"/>
  <c r="R7" i="5"/>
  <c r="S7" i="5"/>
  <c r="T7" i="5"/>
  <c r="U7" i="5"/>
  <c r="V7" i="5"/>
  <c r="W7" i="5"/>
  <c r="X7" i="5"/>
  <c r="B8" i="5"/>
  <c r="C8" i="5"/>
  <c r="D8" i="5"/>
  <c r="E8" i="5"/>
  <c r="F8" i="5"/>
  <c r="G8" i="5"/>
  <c r="H8" i="5"/>
  <c r="I8" i="5"/>
  <c r="J8" i="5"/>
  <c r="K8" i="5"/>
  <c r="L8" i="5"/>
  <c r="M8" i="5"/>
  <c r="N8" i="5"/>
  <c r="O8" i="5"/>
  <c r="P8" i="5"/>
  <c r="Q8" i="5"/>
  <c r="R8" i="5"/>
  <c r="S8" i="5"/>
  <c r="T8" i="5"/>
  <c r="U8" i="5"/>
  <c r="V8" i="5"/>
  <c r="W8" i="5"/>
  <c r="X8" i="5"/>
  <c r="C9" i="5"/>
  <c r="D9" i="5"/>
  <c r="F9" i="5"/>
  <c r="G9" i="5"/>
  <c r="O9" i="5"/>
  <c r="P9" i="5"/>
  <c r="R9" i="5"/>
  <c r="S9" i="5"/>
  <c r="W9" i="5"/>
  <c r="B10" i="5"/>
  <c r="C10" i="5"/>
  <c r="D10" i="5"/>
  <c r="E10" i="5"/>
  <c r="F10" i="5"/>
  <c r="G10" i="5"/>
  <c r="H10" i="5"/>
  <c r="I10" i="5"/>
  <c r="J10" i="5"/>
  <c r="K10" i="5"/>
  <c r="L10" i="5"/>
  <c r="M10" i="5"/>
  <c r="N10" i="5"/>
  <c r="O10" i="5"/>
  <c r="P10" i="5"/>
  <c r="Q10" i="5"/>
  <c r="R10" i="5"/>
  <c r="S10" i="5"/>
  <c r="T10" i="5"/>
  <c r="U10" i="5"/>
  <c r="V10" i="5"/>
  <c r="W10" i="5"/>
  <c r="X10" i="5"/>
  <c r="C2" i="5"/>
  <c r="D2" i="5"/>
  <c r="E2" i="5"/>
  <c r="F2" i="5"/>
  <c r="G2" i="5"/>
  <c r="H2" i="5"/>
  <c r="I2" i="5"/>
  <c r="J2" i="5"/>
  <c r="K2" i="5"/>
  <c r="L2" i="5"/>
  <c r="M2" i="5"/>
  <c r="N2" i="5"/>
  <c r="O2" i="5"/>
  <c r="B174" i="5" s="1"/>
  <c r="P2" i="5"/>
  <c r="Q2" i="5"/>
  <c r="R2" i="5"/>
  <c r="S2" i="5"/>
  <c r="T2" i="5"/>
  <c r="U2" i="5"/>
  <c r="V2" i="5"/>
  <c r="W2" i="5"/>
  <c r="X2" i="5"/>
  <c r="C37" i="2"/>
  <c r="D37" i="2"/>
  <c r="E37" i="2"/>
  <c r="F37" i="2"/>
  <c r="G37" i="2"/>
  <c r="H37" i="2"/>
  <c r="I37" i="2"/>
  <c r="J37" i="2"/>
  <c r="K37" i="2"/>
  <c r="L37" i="2"/>
  <c r="M37" i="2"/>
  <c r="N37" i="2"/>
  <c r="O37" i="2"/>
  <c r="P37" i="2"/>
  <c r="Q37" i="2"/>
  <c r="R37" i="2"/>
  <c r="S37" i="2"/>
  <c r="T37" i="2"/>
  <c r="U37" i="2"/>
  <c r="V37" i="2"/>
  <c r="W37" i="2"/>
  <c r="X37" i="2"/>
  <c r="C28" i="2"/>
  <c r="D28" i="2"/>
  <c r="E28" i="2"/>
  <c r="F28" i="2"/>
  <c r="G28" i="2"/>
  <c r="H28" i="2"/>
  <c r="I28" i="2"/>
  <c r="J28" i="2"/>
  <c r="K28" i="2"/>
  <c r="L28" i="2"/>
  <c r="M28" i="2"/>
  <c r="N28" i="2"/>
  <c r="O28" i="2"/>
  <c r="P28" i="2"/>
  <c r="Q28" i="2"/>
  <c r="R28" i="2"/>
  <c r="S28" i="2"/>
  <c r="T28" i="2"/>
  <c r="U28" i="2"/>
  <c r="V28" i="2"/>
  <c r="W28" i="2"/>
  <c r="X28" i="2"/>
  <c r="C18" i="2"/>
  <c r="D18" i="2"/>
  <c r="E18" i="2"/>
  <c r="F18" i="2"/>
  <c r="G18" i="2"/>
  <c r="H18" i="2"/>
  <c r="I18" i="2"/>
  <c r="J18" i="2"/>
  <c r="K18" i="2"/>
  <c r="L18" i="2"/>
  <c r="M18" i="2"/>
  <c r="N18" i="2"/>
  <c r="O18" i="2"/>
  <c r="P18" i="2"/>
  <c r="Q18" i="2"/>
  <c r="R18" i="2"/>
  <c r="S18" i="2"/>
  <c r="T18" i="2"/>
  <c r="U18" i="2"/>
  <c r="V18" i="2"/>
  <c r="W18" i="2"/>
  <c r="X18" i="2"/>
  <c r="C9" i="2"/>
  <c r="D9" i="2"/>
  <c r="E9" i="2"/>
  <c r="F9" i="2"/>
  <c r="G9" i="2"/>
  <c r="H9" i="2"/>
  <c r="I9" i="2"/>
  <c r="J9" i="2"/>
  <c r="K9" i="2"/>
  <c r="L9" i="2"/>
  <c r="M9" i="2"/>
  <c r="N9" i="2"/>
  <c r="O9" i="2"/>
  <c r="P9" i="2"/>
  <c r="Q9" i="2"/>
  <c r="R9" i="2"/>
  <c r="S9" i="2"/>
  <c r="T9" i="2"/>
  <c r="U9" i="2"/>
  <c r="V9" i="2"/>
  <c r="W9" i="2"/>
  <c r="X9" i="2"/>
  <c r="B37" i="2"/>
  <c r="B28" i="2"/>
  <c r="B18" i="2"/>
  <c r="B9" i="2"/>
  <c r="C37" i="1"/>
  <c r="C39" i="5" s="1"/>
  <c r="D37" i="1"/>
  <c r="D39" i="5" s="1"/>
  <c r="E37" i="1"/>
  <c r="E39" i="5" s="1"/>
  <c r="F37" i="1"/>
  <c r="F39" i="5" s="1"/>
  <c r="G37" i="1"/>
  <c r="G39" i="5" s="1"/>
  <c r="H37" i="1"/>
  <c r="H39" i="5" s="1"/>
  <c r="I37" i="1"/>
  <c r="I39" i="5" s="1"/>
  <c r="J37" i="1"/>
  <c r="J39" i="5" s="1"/>
  <c r="K37" i="1"/>
  <c r="K39" i="5" s="1"/>
  <c r="L37" i="1"/>
  <c r="L39" i="5" s="1"/>
  <c r="M37" i="1"/>
  <c r="M39" i="5" s="1"/>
  <c r="N37" i="1"/>
  <c r="N39" i="5" s="1"/>
  <c r="O37" i="1"/>
  <c r="O39" i="5" s="1"/>
  <c r="P37" i="1"/>
  <c r="P39" i="5" s="1"/>
  <c r="Q37" i="1"/>
  <c r="Q39" i="5" s="1"/>
  <c r="R37" i="1"/>
  <c r="R39" i="5" s="1"/>
  <c r="S37" i="1"/>
  <c r="S39" i="5" s="1"/>
  <c r="T37" i="1"/>
  <c r="T39" i="5" s="1"/>
  <c r="U37" i="1"/>
  <c r="U39" i="5" s="1"/>
  <c r="V37" i="1"/>
  <c r="V39" i="5" s="1"/>
  <c r="W37" i="1"/>
  <c r="W39" i="5" s="1"/>
  <c r="X37" i="1"/>
  <c r="X39" i="5" s="1"/>
  <c r="C28" i="1"/>
  <c r="C29" i="5" s="1"/>
  <c r="D28" i="1"/>
  <c r="D29" i="5" s="1"/>
  <c r="E28" i="1"/>
  <c r="E29" i="5" s="1"/>
  <c r="F28" i="1"/>
  <c r="F29" i="5" s="1"/>
  <c r="G28" i="1"/>
  <c r="G29" i="5" s="1"/>
  <c r="H28" i="1"/>
  <c r="H29" i="5" s="1"/>
  <c r="I28" i="1"/>
  <c r="I29" i="5" s="1"/>
  <c r="J28" i="1"/>
  <c r="J29" i="5" s="1"/>
  <c r="K28" i="1"/>
  <c r="K29" i="5" s="1"/>
  <c r="L28" i="1"/>
  <c r="L29" i="5" s="1"/>
  <c r="M28" i="1"/>
  <c r="M29" i="5" s="1"/>
  <c r="N28" i="1"/>
  <c r="N29" i="5" s="1"/>
  <c r="O28" i="1"/>
  <c r="O29" i="5" s="1"/>
  <c r="P28" i="1"/>
  <c r="P29" i="5" s="1"/>
  <c r="Q28" i="1"/>
  <c r="Q29" i="5" s="1"/>
  <c r="R28" i="1"/>
  <c r="R29" i="5" s="1"/>
  <c r="S28" i="1"/>
  <c r="S29" i="5" s="1"/>
  <c r="T28" i="1"/>
  <c r="T29" i="5" s="1"/>
  <c r="U28" i="1"/>
  <c r="U29" i="5" s="1"/>
  <c r="V28" i="1"/>
  <c r="V29" i="5" s="1"/>
  <c r="W28" i="1"/>
  <c r="W29" i="5" s="1"/>
  <c r="X28" i="1"/>
  <c r="X29" i="5" s="1"/>
  <c r="Y29" i="5" s="1"/>
  <c r="X9" i="1"/>
  <c r="X9" i="5" s="1"/>
  <c r="C18" i="1"/>
  <c r="C19" i="5" s="1"/>
  <c r="D18" i="1"/>
  <c r="D19" i="5" s="1"/>
  <c r="E18" i="1"/>
  <c r="E19" i="5" s="1"/>
  <c r="F18" i="1"/>
  <c r="F19" i="5" s="1"/>
  <c r="G18" i="1"/>
  <c r="G19" i="5" s="1"/>
  <c r="H18" i="1"/>
  <c r="H19" i="5" s="1"/>
  <c r="I18" i="1"/>
  <c r="I19" i="5" s="1"/>
  <c r="J18" i="1"/>
  <c r="J19" i="5" s="1"/>
  <c r="K18" i="1"/>
  <c r="K19" i="5" s="1"/>
  <c r="L18" i="1"/>
  <c r="L19" i="5" s="1"/>
  <c r="M18" i="1"/>
  <c r="M19" i="5" s="1"/>
  <c r="N18" i="1"/>
  <c r="N19" i="5" s="1"/>
  <c r="O18" i="1"/>
  <c r="O19" i="5" s="1"/>
  <c r="P18" i="1"/>
  <c r="P19" i="5" s="1"/>
  <c r="Q18" i="1"/>
  <c r="Q19" i="5" s="1"/>
  <c r="R18" i="1"/>
  <c r="R19" i="5" s="1"/>
  <c r="S18" i="1"/>
  <c r="S19" i="5" s="1"/>
  <c r="T18" i="1"/>
  <c r="T19" i="5" s="1"/>
  <c r="U18" i="1"/>
  <c r="U19" i="5" s="1"/>
  <c r="V18" i="1"/>
  <c r="V19" i="5" s="1"/>
  <c r="W18" i="1"/>
  <c r="W19" i="5" s="1"/>
  <c r="X18" i="1"/>
  <c r="X19" i="5" s="1"/>
  <c r="B37" i="1"/>
  <c r="B39" i="5" s="1"/>
  <c r="B28" i="1"/>
  <c r="B29" i="5" s="1"/>
  <c r="B18" i="1"/>
  <c r="B19" i="5" s="1"/>
  <c r="B9" i="1"/>
  <c r="B9" i="5" s="1"/>
  <c r="C9" i="1"/>
  <c r="D9" i="1"/>
  <c r="E9" i="1"/>
  <c r="E9" i="5" s="1"/>
  <c r="F9" i="1"/>
  <c r="G9" i="1"/>
  <c r="H9" i="1"/>
  <c r="H9" i="5" s="1"/>
  <c r="I9" i="1"/>
  <c r="I9" i="5" s="1"/>
  <c r="J9" i="1"/>
  <c r="J9" i="5" s="1"/>
  <c r="K9" i="1"/>
  <c r="K9" i="5" s="1"/>
  <c r="L9" i="1"/>
  <c r="L9" i="5" s="1"/>
  <c r="M9" i="1"/>
  <c r="M9" i="5" s="1"/>
  <c r="N9" i="1"/>
  <c r="N9" i="5" s="1"/>
  <c r="O9" i="1"/>
  <c r="P9" i="1"/>
  <c r="Q9" i="1"/>
  <c r="Q9" i="5" s="1"/>
  <c r="R9" i="1"/>
  <c r="S9" i="1"/>
  <c r="T9" i="1"/>
  <c r="T9" i="5" s="1"/>
  <c r="U9" i="1"/>
  <c r="U9" i="5" s="1"/>
  <c r="V9" i="1"/>
  <c r="V9" i="5" s="1"/>
  <c r="N68" i="5"/>
  <c r="N67" i="5"/>
  <c r="Z7" i="5" l="1"/>
  <c r="Z19" i="5"/>
  <c r="B175" i="5"/>
  <c r="Y19" i="5"/>
  <c r="Y39" i="5"/>
  <c r="Z39" i="5"/>
  <c r="Z29" i="5"/>
  <c r="Z2" i="5"/>
  <c r="Z3" i="5"/>
  <c r="Z4" i="5"/>
  <c r="Z5" i="5"/>
  <c r="Z6" i="5"/>
  <c r="Z8" i="5"/>
  <c r="Y9" i="5"/>
  <c r="Z9" i="5"/>
  <c r="Y10" i="5"/>
  <c r="Z10" i="5"/>
  <c r="Y3" i="5"/>
  <c r="Y6" i="5"/>
  <c r="Y2" i="5"/>
  <c r="Y5" i="5"/>
  <c r="Y7" i="5"/>
  <c r="Y4" i="5"/>
  <c r="Y8" i="5"/>
  <c r="B2" i="5"/>
</calcChain>
</file>

<file path=xl/sharedStrings.xml><?xml version="1.0" encoding="utf-8"?>
<sst xmlns="http://schemas.openxmlformats.org/spreadsheetml/2006/main" count="1861" uniqueCount="741">
  <si>
    <t>China</t>
  </si>
  <si>
    <t>Bioplastics</t>
  </si>
  <si>
    <t>US Production (million gallons)</t>
  </si>
  <si>
    <t>EU Production (million gallons)</t>
  </si>
  <si>
    <t>Canada Production (million gallons)</t>
  </si>
  <si>
    <t>China Production (million gallons)</t>
  </si>
  <si>
    <t>UK Production (million gallons)</t>
  </si>
  <si>
    <t>US Consumption (million gallons)</t>
  </si>
  <si>
    <t>EU Consumption (million gallons)</t>
  </si>
  <si>
    <t>Canada Consumption (million gallons)</t>
  </si>
  <si>
    <t>China Consumption (million gallons)</t>
  </si>
  <si>
    <t>UK Consumption (million gallons)</t>
  </si>
  <si>
    <t>US Imports (million gallons)</t>
  </si>
  <si>
    <t>EU Imports (million gallons)</t>
  </si>
  <si>
    <t>Canada Imports (million gallons)</t>
  </si>
  <si>
    <t>China Imports (million gallons)</t>
  </si>
  <si>
    <t>UK Imports (million gallons)</t>
  </si>
  <si>
    <t>US Exports (million gallons)</t>
  </si>
  <si>
    <t>EU Exports (million gallons)</t>
  </si>
  <si>
    <t>Canada Exports (million gallons)</t>
  </si>
  <si>
    <t>China Exports (million gallons)</t>
  </si>
  <si>
    <t>UK Exports (million gallons)</t>
  </si>
  <si>
    <t>Source</t>
  </si>
  <si>
    <t>Retrieve Date</t>
  </si>
  <si>
    <t>OECD-FAO Agricultural Outlook</t>
  </si>
  <si>
    <t>https://www.oecd-ilibrary.org/agriculture-and-food/data/oecd-agriculture-statistics/oecd-fao-agricultural-outlook-edition-2023_3f870a2b-en</t>
  </si>
  <si>
    <t>URL</t>
  </si>
  <si>
    <t>Brazil Production (million gallons)</t>
  </si>
  <si>
    <t>Brazil Consumption (million gallons)</t>
  </si>
  <si>
    <t>Brazil Exports (million gallons)</t>
  </si>
  <si>
    <t>Brazil Imports (million gallons)</t>
  </si>
  <si>
    <t>Ethanol Production</t>
  </si>
  <si>
    <t>Ethanol Trade</t>
  </si>
  <si>
    <t>Indonesia Production (million gallons)</t>
  </si>
  <si>
    <t>Indonesia Consumption (million gallons)</t>
  </si>
  <si>
    <t>Indonesia Imports (million gallons)</t>
  </si>
  <si>
    <t>Indonesia Exports (million gallons)</t>
  </si>
  <si>
    <t>IRENA</t>
  </si>
  <si>
    <t>https://www.irena.org/Data/View-data-by-topic/Benefits/Renewable-Energy-Employment-by-Country</t>
  </si>
  <si>
    <t>Europe</t>
  </si>
  <si>
    <t>North America</t>
  </si>
  <si>
    <t>Middle East &amp; Africa</t>
  </si>
  <si>
    <t>Africa</t>
  </si>
  <si>
    <t>South America</t>
  </si>
  <si>
    <t>Western Europe</t>
  </si>
  <si>
    <t>Central Europe &amp; CIS</t>
  </si>
  <si>
    <t>India</t>
  </si>
  <si>
    <t>Japan</t>
  </si>
  <si>
    <t>Rest of Asia</t>
  </si>
  <si>
    <t>Oceania</t>
  </si>
  <si>
    <t>https://btafrica.co.za/bioplastics_worldwide/</t>
  </si>
  <si>
    <t>Percentage share of total production (%)</t>
  </si>
  <si>
    <t>Percentage share of total consumption (%)</t>
  </si>
  <si>
    <t>Biofuels Production (million gallons)</t>
  </si>
  <si>
    <t>Biofuels Consumption (million gallons)</t>
  </si>
  <si>
    <t>United States</t>
  </si>
  <si>
    <t>Brazil</t>
  </si>
  <si>
    <t>European Union</t>
  </si>
  <si>
    <t>Canada</t>
  </si>
  <si>
    <t>Indonesia</t>
  </si>
  <si>
    <t>UK</t>
  </si>
  <si>
    <t>Biofuels Imports (million gallons)</t>
  </si>
  <si>
    <t>Biofuels Exports (million gallons)</t>
  </si>
  <si>
    <t>Biofuels direct and indirect jobs (thousand jobs)</t>
  </si>
  <si>
    <t>Ethanol</t>
  </si>
  <si>
    <t>Biodiesel</t>
  </si>
  <si>
    <t>Biojet fuel</t>
  </si>
  <si>
    <t>Demand in billion litres per year</t>
  </si>
  <si>
    <t>2017-2022</t>
  </si>
  <si>
    <t>Advanced economies</t>
  </si>
  <si>
    <t>Emerging economies</t>
  </si>
  <si>
    <t>Other advanced</t>
  </si>
  <si>
    <t>Other emerging</t>
  </si>
  <si>
    <t>Biodiesel and Renewable Diesel</t>
  </si>
  <si>
    <t>IEA</t>
  </si>
  <si>
    <t>https://www.iea.org/reports/renewables-2023/transport-biofuels</t>
  </si>
  <si>
    <t>BioTech Africa</t>
  </si>
  <si>
    <t>Net-Zero targets</t>
  </si>
  <si>
    <t>Other mitigation targets</t>
  </si>
  <si>
    <t>No target</t>
  </si>
  <si>
    <t>TOTAL</t>
  </si>
  <si>
    <t>RoW</t>
  </si>
  <si>
    <t>World</t>
  </si>
  <si>
    <t>2023 companies with targets</t>
  </si>
  <si>
    <t>Total Emissions share (%)</t>
  </si>
  <si>
    <t>Other countries with similar net zero announcements</t>
  </si>
  <si>
    <t>European Union (EU27) </t>
  </si>
  <si>
    <t>Countries with no net zero target</t>
  </si>
  <si>
    <t>last_updated</t>
  </si>
  <si>
    <t>id_code</t>
  </si>
  <si>
    <t>name</t>
  </si>
  <si>
    <t>end_target_status</t>
  </si>
  <si>
    <t>end_target</t>
  </si>
  <si>
    <t>end_target_year</t>
  </si>
  <si>
    <t>status_date</t>
  </si>
  <si>
    <t>interim_target</t>
  </si>
  <si>
    <t>interim_target_percentage_reduction</t>
  </si>
  <si>
    <t>interim_target_baseline_year</t>
  </si>
  <si>
    <t>interim_target_year</t>
  </si>
  <si>
    <t>end_target_text</t>
  </si>
  <si>
    <t>interim_target_text</t>
  </si>
  <si>
    <t>target_notes</t>
  </si>
  <si>
    <t>source_url</t>
  </si>
  <si>
    <t>gasses_coverage</t>
  </si>
  <si>
    <t>territorial_emissions</t>
  </si>
  <si>
    <t>consumption_emissions</t>
  </si>
  <si>
    <t>historical_emissions</t>
  </si>
  <si>
    <t>coverage_notes</t>
  </si>
  <si>
    <t>has_plan</t>
  </si>
  <si>
    <t>plan_options</t>
  </si>
  <si>
    <t>reporting_mechanism</t>
  </si>
  <si>
    <t>equity</t>
  </si>
  <si>
    <t>accountability</t>
  </si>
  <si>
    <t>governance_notes</t>
  </si>
  <si>
    <t>carbon_credit_offsets</t>
  </si>
  <si>
    <t>removals_targets</t>
  </si>
  <si>
    <t>cdr</t>
  </si>
  <si>
    <t>sinks_and_credits_notes</t>
  </si>
  <si>
    <t>population</t>
  </si>
  <si>
    <t>ghg</t>
  </si>
  <si>
    <t>inventory_year</t>
  </si>
  <si>
    <t>gdp_real</t>
  </si>
  <si>
    <t>interim_target_other</t>
  </si>
  <si>
    <t>carbon_credit_conditions</t>
  </si>
  <si>
    <t>max_emission_offset</t>
  </si>
  <si>
    <t>conditions_other</t>
  </si>
  <si>
    <t>end_target_percentage_reduction</t>
  </si>
  <si>
    <t>end_target_baseline_year</t>
  </si>
  <si>
    <t>end_target_other</t>
  </si>
  <si>
    <t>2024-03-13 10:44:21</t>
  </si>
  <si>
    <t>REG-0003</t>
  </si>
  <si>
    <t>Louisiana</t>
  </si>
  <si>
    <t>In law</t>
  </si>
  <si>
    <t>Net zero</t>
  </si>
  <si>
    <t>Emissions reduction target</t>
  </si>
  <si>
    <t>by 2050 reduce greenhouse gas emissions to net zero</t>
  </si>
  <si>
    <t>by 2025, reduce net greenhouse gas emissions by 26-28% of 2005 levels
by 2030, reduce net greenhouse gas emissions by 40-50% of 2005 levels</t>
  </si>
  <si>
    <t>https://gov.louisiana.gov/page/climate-initiatives-task-force</t>
  </si>
  <si>
    <t>https://gov.louisiana.gov/assets/docs/CCI-Task-force/CAP/Climate_Action_Plan_FINAL_3.pdf</t>
  </si>
  <si>
    <t>Carbon dioxide and other GHGs</t>
  </si>
  <si>
    <t>Yes</t>
  </si>
  <si>
    <t>No</t>
  </si>
  <si>
    <t>https://gov.louisiana.gov/assets/docs/CCI-Task-force/CAP/Climate_Action_Plan_FINAL_3.pdf, pg. 3
The GHG emissions reduction goals (Figure 1) are derived in part from the declaration by the Intergovernmental Panel on Climate Change (IPCC) that “global net human-caused emissions of carbon dioxide [CO2]...would need to fall by about 45 percent from 2010 levels by 2030, reaching ‘net zero’ around 2050.”1 These goals also align with the U.S.' Nationally Determined Contributions (NDCs) which represent its commitment in the Paris Climate Agreement to limit global warming to 1.5°C,2 and are calibrated to 2005 to correspond to Louisiana‘s 2010 Greenhouse Gas Inventory (GHG Inventory). Additionally, Governor Edwards’ goals put Louisiana in line with commitments made by dozens of other states as well as businesses operating in multiple sectors internationally, nationally, and within Louisiana. These businesses span a variety of industrial sectors including energy producers, public utilities, chemical manufacturers, technology firms, and finance.
https://gov.louisiana.gov/assets/docs/CCI-Task-force/CAP/Climate_Action_Plan_FINAL_3.pdf, pg. 11
in Louisiana, the industrial sector contributes an overwhelming 66% of overall state emissions. Though Louisiana’s GHG emissions are most concentrated in the industrial sector, transportation and power generation emissions across the state are also significant. The transportation sector is responsible for 19% of CO2e emissions, and the electric power sector makes up 13% of Louisiana’s CO2e emissions.</t>
  </si>
  <si>
    <t>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t>
  </si>
  <si>
    <t>Annual reporting</t>
  </si>
  <si>
    <t>Not Specified</t>
  </si>
  <si>
    <t>2023 Annual Report: https://drive.google.com/uc?id=1qzBtt2Dt0QF4PHWqEQi49UNWF0HHIgSn&amp;export=download
EQUITY
https://gov.louisiana.gov/assets/docs/CCI-Task-force/CAP/Climate_Action_Plan_FINAL_3.pdf, pg 36
"In Louisiana and around the world, climate change and GHG emissions disproportionately impact low-income, Black, and Indigenous communities. These communities are the least responsible for emissions but bear the highest costs in health and environmental degradation. In addition to their own inherent value as people of the state of Louisiana and the price they have paid through past inequities, these communities hold tremendous knowledge of the state’s lands, waters, wildlife, and environment and are needed leaders in the implementation of GHG-reducing actions. Representation and process integration are the foundation for equitable opportunity and outcomes. From the start of the Climate Action Plan development process, the Task Force and supporting members were chosen with this reality in mind, and open discussion of equity considerations were fostered during public meetings. In addition, an equity advisory group was formed to specifically consider the potential outcomes of policy proposals for advancing or negating progress toward a more equitable society. The equity advisory group developed a definition of climate equity and evaluated the potential impact of climate actions on the three equity-centered fundamental objectives aimed at reducing disparities, addressing historic and structural inequities, and increasing participation for Black, low- income, historically marginalized, and Indigenous peoples across Louisiana."
STRATEGY 17. Build a more inclusive and resilient economy for all Louisiana residents
https://gov.louisiana.gov/assets/docs/CCI-Task-force/CAP/Climate_Action_Plan_FINAL_3.pdf, pg 97
Deliberate action is necessary to ensure that all Louisianans have equitable access to future economic opportunities and that any disruptions to the economy associated with the energy transition do not fall disproportionately on any one community. By prioritizing the success of those who have historically been excluded from the benefits of prior economic transitions and those who are most directly affected by the energy transition, the shift to a low-carbon economy can more broadly, inclusively, and equitably provide benefits throughout the state.</t>
  </si>
  <si>
    <t>Yes (nature-based and CCS-based removals)</t>
  </si>
  <si>
    <t>"Louisiana's forested areas 'are a considerable carbon sink' with wetlands -- assessed for the first time in this inventory -- also supporting carbon sequestration... Louisiana’s land-based carbon sequestration has increased since 2012, contributing to an annual reduction of 35 MMT CO2e, which is comparable to the entire power generation sector."
https://gov.louisiana.gov/assets/docs/CCI-Task-force/CAP/Climate_Action_Plan_FINAL_3.pdf, pg 38
ACTION 14.2 Support the expansion of urban tree canopy and green spaces
https://gov.louisiana.gov/assets/docs/CCI-Task-force/CAP/Climate_Action_Plan_FINAL_3.pdf, pg 89
Activities that reforest public areas in urban environments, increase urban green spaces (e.g., parks, gardens, farms), and provide landscape-based stormwater management through green infrastructure can sequester carbon while also reducing heat island effect, reducing localized flooding, and increasing access to open space. Further co-benefits are reduced energy consumption and ongoing energy use due to a reduced heat island effect. This action proposes the state government, through LDAF, serve as convenor of parish and municipal governments to develop and promote a coherent, statewide approach that supports tree planting programs and maintenance in urban areas, particularly in historically underserved communities. In addition to this statewide approach, this action should empower locals to survey existing tree canopies in urban areas, with progress tracked and reported annually. Near-term deployment of a statewide approach and local surveys of existing canopies should inform longer-term urban transportation projects. Specific focus should be on increasing tree canopy and open space access in low-income, urban areas in both regional and local plans (e.g., State Watershed Plan, Hazard Mitigation Plan, Comprehensive Plans).
ACTION 15.1 Optimize the carbon sequestration potential of Louisiana’s coastal wetlands through implementation of Coastal Master Plan projects
https://gov.louisiana.gov/assets/docs/CCI-Task-force/CAP/Climate_Action_Plan_FINAL_3.pdf, pg 90
Implementation of Louisiana’s Coastal Master Plan* includes coastal restoration actions to reduce land loss with a focus on risk reduction to support coastal communities. This action proposes that the Coastal Protection and Restoration Authority (CPRA) incorporate climate mitigation goals and measures (e.g., carbon sequestration potential of wetlands) into future iterations of the Coastal Master Plan as well as into project design and prioritization. Carbon sequestration potential should further make the case for investment in Louisiana’s coastal program and unlock additional resources for project implementation. (Associated Submitted Action Proposals: 77)
ACTION 16.7 Encourage sustainable forest management and greater use of Louisiana forest products for construction
https://gov.louisiana.gov/assets/docs/CCI-Task-force/CAP/Climate_Action_Plan_FINAL_3.pdf, pg 95
Markets for wood products create incentives for landowners to plant more trees and better manage forests, resulting in more carbon sequestered. Educating landowners on and establishing sustainable forestry practices maximizes carbon sequestration of forested lands, encourages participation in carbon markets, and enhances early succession benefits and realized co-benefits to ecosystems and species. Further, implementation of a Buy Clean Louisiana policy (Action 6.1) will encourage and require manufacturers and end users to purchase sustainably forested products in construction and consumer products, increasing the amount of carbon stored by trees. This action proposes LDAF’s Forestry Protection Program and the Louisiana Forestry Association (LFA) partner to educate major foresters on the sustainable management of forests and the necessary steps to engage in existing carbon markets. 
ACTION 26.2 Solicit a study to more comprehensively understand potential impacts of CCUS technology and infrastructure on communities, ecosystems, and cultural resources to inform siting and permitting deployment
https://gov.louisiana.gov/assets/docs/CCI-Task-force/CAP/Climate_Action_Plan_FINAL_3.pdf, pg 110
With Louisiana’s extensive geologic storage potential and federal incentives for near-term investment, Louisiana is seeing significant interest and investment in the deployment of CCUS to address industrial GHG emissions. Members of the Task Force and the public have raised concerns related to the capture process at facilities, transport through pipelines, and geologic storage underground. To address these concerns, this action recommends the state, through leadership of DNR, and its research institutions synthesize existing research on CCUS and disseminate information and materials for public education. The state and its research institutions should also fund a comprehensive understanding of CCUS impacts, including but not limited to siting impacts on cultural characteristics of neighboring populations, air quality impacts on nearby communities, increased energy intensity for different industry processes, pipeline safety implications, environmental and resilience impact of pipeline buildout, potential incidents of geologic storage, and long-term risks and costs. (Associated Submitted Action Proposals: N/A)</t>
  </si>
  <si>
    <t>2024-03-19 14:22:41</t>
  </si>
  <si>
    <t>REG-0004</t>
  </si>
  <si>
    <t>Nevada</t>
  </si>
  <si>
    <t>In policy document</t>
  </si>
  <si>
    <t>long-term reductions of greenhouse gas emissions to zero or near-zero by the year 2050</t>
  </si>
  <si>
    <t xml:space="preserve">statewide  reduction of net greenhouse gas emissions of 28 percent by the year 2025, as compared to the level of greenhouse gas emissions in this State in 2005
statewide  reduction in net greenhouse gas emissions of 45 percent by the year 2030, as compared to the level of greenhouse gas emissions in this State in 2005
However, under current policies and based on the best available science, Nevada is currently on a path to reduce economy-wide GHG emissions 24% by 2025 (4% short of the 28% goal) and 26% by 2030 (19% short of the 45% goal), thus missing the emissions-reduction goals. (GHG inventory, p.12) </t>
  </si>
  <si>
    <t xml:space="preserve">The targets themselves do not appear to be in law (referring to policies "that could achieve reductions"), but the submission of the annual report is
Law SB254: https://www.leg.state.nv.us/App/NELIS/REL/80th2019/Bill/6431/Text
GHG inventory 2021: https://ndep.nv.gov/uploads/air-pollutants-docs/ghg_report_2021.pdf </t>
  </si>
  <si>
    <t>https://climateaction.nv.gov/wp-content/uploads/2021/01/NVClimateStrategy_011921.pdf</t>
  </si>
  <si>
    <t>"statewide inventory of greenhouse gas emissions"</t>
  </si>
  <si>
    <t>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</si>
  <si>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 xml:space="preserve">Annual reporting: " requiring  the  State Department  of  Conservation  and  Natural  Resources  to  issue an annual report concerning greenhouse gas emissions in this State"; "equires the report  to  provide  policies,  identified  by  an  entity  or  entities  designated  by  the Governor, that could achieve reductions in greenhouse gas emissions and a qualitative  assessment  of  whether  such  policies  support  long-term  reductions  of greenhouse  gas  emissions  in  this  State  to  zero  or  near-zero  by  the  year  2050"
Reporting here: https://ndep.nv.gov/air/air-pollutants/greenhouse-gas-emissions
Public plan: Nevada's 2020 State Climate Strategy has catalog of policies it plans to implement across different sectors, and each policy is assessed on 4 metrics: (1.) GHG Emissions reduction potential; (2.) Climate justice considerations; (3.) Budgetary and economic implications; (4.) Implementation feasibility (Climate Strategy, p.52)
Equity: One of the key metrics per proposed climate policy is climate justice, which is defined as: Have communities of color, low-income households, and tribal partners (i.e., Indigenous communities) been directly engaged and consulted about the challenges and opportunities associated with the policy? Will the policy avoid any negative impacts to vulnerable communities, provide the opportunity for a net benefit, and/or reconcile broader social justice issues? (Climate Strategy, p.53)
GHG inventory (2021) suggests need to establish a state climate structure centred on equity, environmental justice, and economic recovery (p. 50). 
In Kleinmann report (2023): "While much of the strategic modeling of CCS and CDR  deployment has focused on techno–economic impact  categories, these types of analyses can overlook the  cumulative social and environmental impacts of these  approaches. Many of the strategies identified in this study  could place increasing stress on marginalized populations." (p. 7, https://kleinmanenergy.upenn.edu/wp-content/uploads/2022/04/KCEP-Digest-Net-Zero-Nevada_withthanks.pdf) 
</t>
  </si>
  <si>
    <t>Yes (nature-based removals e.g. Forestation, soil carbon enhancement)</t>
  </si>
  <si>
    <t>NATURE BASED REMOVALS ARE ADDRESSED but no explicit details are provided on the extent of these nature-based removal schemes and by how much they will reduce emissions by. 
In https://climateaction.nv.gov/wp-content/uploads/2021/01/NVClimateStrategy_011921.pdf there is reference to: Promote land management practices that increase carbon sequestration by natural lands that are typical and/or native to Nevada. Expand speci</t>
  </si>
  <si>
    <t>2023-05-12 06:50:54</t>
  </si>
  <si>
    <t>REG-0005</t>
  </si>
  <si>
    <t>Colorado</t>
  </si>
  <si>
    <t>(2) It is further declared that:
(g) (I) Accordingly, Colorado shall strive to increase renewable
energy generation and eliminate statewide greenhouse gas pollution by the
middle of the twenty-first century and have goals of achieving, at a
minimum: ... (F) A ONE HUNDRED percent reduction in statewide
greenhouse gas pollution by 2050.</t>
  </si>
  <si>
    <t>(A) A twenty-six percent reduction in statewide greenhouse gas
pollution by 2025;
(B) A fifty percent reduction in statewide greenhouse gas pollution
by 2030;
(C) A SIXTY- FIVE PERCENT REDUCTION IN STATEWIDE GREENHOUSE
GAS POLLUTION BY 2035;
(D) A SEVENTY - FIVE PERCENT REDUCTION IN STATEWIDE
GREENHOUSE GAS POLLUTION BY 2040;
(E) A NINETY PERCENT REDUCTION IN STATEWIDE GREENHOUSE GAS
POLLUTION BY 2045; and ... (II) The reductions identified in this subsection (2)(g) are measured
relative to 2005 statewide greenhouse gas pollution levels.</t>
  </si>
  <si>
    <t>2019 law: https://leg.colorado.gov/bills/hb19-1261
Full 2023 bill: https://leg.colorado.gov/sites/default/files/documents/2023A/bills/2023a_016_enr.pdf
https://www.edf.org/media/colorado-legislature-passes-bill-strengthening-states-climate-targets</t>
  </si>
  <si>
    <t>https://leg.colorado.gov/bills/sb23-016</t>
  </si>
  <si>
    <t>Methane also included in target (e.g., " "Recovered methane protocol" means a documented set of
procedures and requirements established by the air quality control
commission to quantify ongoing greenhouse gas emission reductions or
greenhouse gas removal enhancements achieved by a recovered methane
project and to calculate the project baseline.")</t>
  </si>
  <si>
    <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t>
  </si>
  <si>
    <t>No reporting mechanism</t>
  </si>
  <si>
    <t xml:space="preserve">Equity p14 of Reduction Roadmap: https://energyoffice.colorado.gov/climate-energy/ghg-pollution-reduction-roadmap
Revision over time: e) (II) Consistent with section 25-7-102 (2)(g), the commission
shall timely promulgate implementing rules and regulations. The
implementing rules may take into account other relevant laws and rules, as
well as voluntary actions taken by local communities and the private sector,
to enhance efficiency and cost-effectiveness, and shall be revised as
necessary over time to ensure timely progress toward the 2025, 2030, 2035,
2040, 2045, and 2050 goals. </t>
  </si>
  <si>
    <t>Yes (unspecified)</t>
  </si>
  <si>
    <t>""Recovered methane protocol" means a documented set of procedures and requirements established by the air quality control commission to quantify ongoing greenhouse gas emission reductions or greenhouse gas removal enhancements achieved by a recovered methane project and to calculate the project baseline."
"1) The Colorado energy office shall ... (XIII) SUPPORT POLLUTION REDUCTION THROUGH CARBON CAPTURE AND SEQUESTRATION AND OTHER FORMS OF CARBON MANAGEMENT"</t>
  </si>
  <si>
    <t>2024-03-12 16:37:59</t>
  </si>
  <si>
    <t>REG-0009</t>
  </si>
  <si>
    <t>California</t>
  </si>
  <si>
    <t>"achieve carbon neutrality as soon as possible, and no later than 2045, and achieve and maintain net negative emissions thereafter"</t>
  </si>
  <si>
    <t>2030: 40% below 1990 levels 
2050: 80% below 1990 levels
- Scoping plan furthered the interim target: "That includes a 48% reduction of greenhouse gasses by 2030, surpassing the statutory mandate to reduce emissions 40% below 1990 levels in 2030;" (source: https://www.gov.ca.gov/2022/11/16/california-releases-worlds-first-plan-to-achieve-net-zero-carbon-pollution/)</t>
  </si>
  <si>
    <t>B-55-18 is an executive order, so carries the force of law
https://ww2.arb.ca.gov/sites/default/files/2020-08/e3_cn_draft_report_aug2020.pdf
https://leginfo.legislature.ca.gov/faces/billTextClient.xhtml?bill_id=201520160SB32</t>
  </si>
  <si>
    <t>https://www.ca.gov/archive/gov39/wp-content/uploads/2018/09/9.10.18-Executive-Order.pdf</t>
  </si>
  <si>
    <t>California's fourth climate change assessment covers Temperature, Water, Wildfire, Sea Level, Communities and Governance (California's Fourth Climate Change Assessment)</t>
  </si>
  <si>
    <t>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t>
  </si>
  <si>
    <t>"shall seek to improve air quality and support the health and economic resiliency of urban and rural communities, particularly low-income and disadvantaged communities" and "shall be implemented in a manner that supports climate adaptation and biodiversity"
Plans -https://ww2.arb.ca.gov/our-work/programs/ab-32-climate-change-scoping-plan; https://ww2.arb.ca.gov/sites/default/files/2020-08/e3_cn_draft_report_aug2020.pdf</t>
  </si>
  <si>
    <t>"shall include sequestration targets in the Natural and Working Lands Climate Change Implementation Plan"</t>
  </si>
  <si>
    <t>2024-03-12 14:17:24</t>
  </si>
  <si>
    <t>REG-0010</t>
  </si>
  <si>
    <t>Hawaii</t>
  </si>
  <si>
    <t>Climate neutral</t>
  </si>
  <si>
    <t>"pledge to be carbon-neutral by 2045" - https://governor.hawaii.gov/newsroom/latest-news/governors-office-news-release-governor-david-ige-signs-bills-to-set-carbon-neutral-goal-and-combat-climate-change/</t>
  </si>
  <si>
    <t>"Hawaiʻi again reaffirmed this comitment with Act 238 (Session Laws of Hawaii, or SLH 2022) which codified in Hawai‘i Revised Statutes (HRS) §225P-5, requires Hawai‘i to reduce GHG emissions by at least 50 percent below 2005 levels by 2030 and 100% by 2045, in line with the United States’ Paris Agreement commitments and Nationally Determined Contribution." (https://climate.hawaii.gov/wp-content/uploads/2024/03/Hawaii-PCAP-FINAL-March-1-2024-1-3.pdf, page 2)</t>
  </si>
  <si>
    <t>commitment to have a one hundred per cent renewable energy portfolio by 2045</t>
  </si>
  <si>
    <t>https://climate.hawaii.gov/wp-content/uploads/2024/03/Hawaii-PCAP-FINAL-March-1-2024-1-3.pdf</t>
  </si>
  <si>
    <t>Gases included are CO2, SF6, N2O, CH4, HFCs, PFCs</t>
  </si>
  <si>
    <t>Reports - https://climate.hawaii.gov/hi-mitigation/mitigation-reports/
"Beginning with the regular session of 2024, submit an annual report of its findings and recommendations, including any proposed legislation, to the legislature and the climate change mitigation and adaptation commission no later than twenty days prior to the convening of each regular session" - https://www.capitol.hawaii.gov/session2018/bills/HB2182_CD1_.htm
Plan and measures detailed on page 25-28 of https://climate.hawaii.gov/wp-content/uploads/2024/03/Hawaii-PCAP-FINAL-March-1-2024-1-3.pdf
"Equity is at the center of Hawai‘i’s response to climate change" and "To build climate equity, it is essential to center the voices and strengths of historically underserved communities and acknowledge the institutions and policies that are responsible for these disparities. Recognizing this, CCMAC puts equity at the center of its mission statement, to quickly “promote ambitious climate-neutral culturally responsive strategies for climate change mitigation and adaptation in a manner that is clean, equitable and resilient.”" (https://climate.hawaii.gov/wp-content/uploads/2024/03/Hawaii-PCAP-FINAL-March-1-2024-1-3.pdf, page 2)</t>
  </si>
  <si>
    <t>"In Act 33, Session Laws of Hawaii 2017, the State established the carbon farming task force to gain a more thorough understanding of how agricultural land management practices can sequester carbon, provide greenhouse gas benefits, and decrease marine sedimentation"
aim to "create a carbon offset program"
"3.Increase long term carbon sequestration and ecosystem resilience by planting 2,800 food trees, 1,100 native trees, and 17,000 native understory species on 110 acres over a five-year period." (https://climate.hawaii.gov/wp-content/uploads/2024/03/Hawaii-PCAP-FINAL-March-1-2024-1-3.pdf, page 23)</t>
  </si>
  <si>
    <t>2023-01-04 15:14:33</t>
  </si>
  <si>
    <t>REG-0011</t>
  </si>
  <si>
    <t>Maine</t>
  </si>
  <si>
    <t>Carbon neutral(ity)</t>
  </si>
  <si>
    <t>shall strive to achieve a carbon neutral economy no later than 2045</t>
  </si>
  <si>
    <t>2030: gross annual greenhouse gas emissions at least 45% below 1990
2040: gross annual greenhouse gas emissions must, at a minimum, be on an annual trajectory sufficient to achieve the 2050 annual emissions (80%)
renewable energy mandate of 80 percent renewable energy by 2030 and a goal of 100 percent by 2050</t>
  </si>
  <si>
    <t>https://legislature.maine.gov/legis/bills/bills_129th/billtexts/SP055002.asp</t>
  </si>
  <si>
    <t>https://www.maine.gov/governor/mills/sites/maine.gov.governor.mills/files/inline-files/Executive%20Order%209-23-2019_0.pdf</t>
  </si>
  <si>
    <t>Schedule for regular review of measures|Information on the extent to which measures will be applied (e.g. if switching to EVs, what share of the fleet; if installing an own solar PV installation, what is the installed capacity)</t>
  </si>
  <si>
    <t>Less than annual reporting</t>
  </si>
  <si>
    <t>Maine Climate Council "update that plan every four years" and "responsible for Maine's Climate Action Plan"
Plan from 2020: http://climatecouncil.maine.gov/future/sites/maine.gov.future/files/inline-files/MaineWontWait_December2020_printable_12.1.20.pdf
https://www.maine.gov/dep/sustainability/climate/mitigation-actions.html - progress reports are bienniel (Dec 2022 report here: https://www.maine.gov/future/sites/maine.gov.future/files/inline-files/MWWProgressReport_December2022_digital.pdf)
goal of 100,000 heat pumps before 2025
goal of weatherizing 17,500 homes by 2025
127 communities are now participating in the Community Resilience Partnership, a new program to encourage cities, towns, and Tribal governments to identify climate and resilience priorities and start or expand their local climate planning and actions</t>
  </si>
  <si>
    <t>"Develop New Incentives to Increase Carbon Storage" - http://climatecouncil.maine.gov/future/sites/maine.gov.future/files/inline-files/MaineWontWait_December2020_printable_12.1.20.pdf
"a comprehensive Maine carbon-cycle analysis is needed for the state to understand and track its progress towards carbon neutrality and allow for accurate potential future participation in carbon-offset markets" - not currently a participant in offsetting</t>
  </si>
  <si>
    <t>2024-03-19 17:19:16</t>
  </si>
  <si>
    <t>REG-0012</t>
  </si>
  <si>
    <t>Massachusetts</t>
  </si>
  <si>
    <t>https://www.mass.gov/doc/clean-energy-and-climate-plan-for-2025-and-2030/download
'A statewide limit of net zero emissions means that in 2050, total GHG emissions emitted by all sources in Massachusetts must be equal to or less than the total amount of carbon sequestered within Massachusetts or through actions directly attributable to Massachusetts'</t>
  </si>
  <si>
    <t>"As part of a letter issued contemporaneously with the Clean Energy and Climate Plan for 2025 and 2030 (2025/2030 CECP), the Secretary of the Executive Office of Energy and Environmental Affairs has determined that the Commonwealth’s economy-wide emissions limit will be a 33% reduction from 1990 level in 2025, and a 50% reduction in 2030." [p12]</t>
  </si>
  <si>
    <t>Previous target 25% reduction on 1990 levels for 2020. 
Massachusetts’ approach to achieving its emissions limits and sublimits is based on three basic
principles: (1) electrify non-electric energy uses, (2) decarbonize the electric grid, and (3) reduce energy
costs and the costs of transition by increasing the efficiency of transportation and energy systems.</t>
  </si>
  <si>
    <t>https://malegislature.gov/Bills/191/H4912</t>
  </si>
  <si>
    <t xml:space="preserve">https://www.mass.gov/news/baker-polito-administration-issues-letter-establishing-net-zero-emissions-target
https://www.mass.gov/doc/ma-2050-decarbonization-roadmap/download direct and indrect emissions mentioned, but not explicitly clear what the target includes.
The 2021 climate law includes setting sector-specific GHG emissions limits, including in residential heating and cooling, commercial and industrial heating and cooling, transportation, electrical power, natural gas distribution and service and industrial processes. 
GHG emissions associated with agriculture, solid waste decomposition in landfills, and wastewater disposal are not represented in the sector specific sublimit. </t>
  </si>
  <si>
    <t>Reports - https://www.mass.gov/info-details/ma-decarbonization-roadmap#final-reports-
"Achieving Net Zero Affordably for All" - https://www.mass.gov/doc/ma-2050-decarbonization-roadmap/download
"The decarbonization policies and approaches contained in this 2025/2030 CECP will have substantial
impacts on Massachusetts residents and the economy. To estimate these impacts, BW Research
Partnership and Industrial Economics, Incorporated (the research team) worked with EEA to model the
employment, macroeconomic, and equity impacts of the decarbonization pathway" [p119]</t>
  </si>
  <si>
    <t>Natural and working lands’ ability to sequester emissions will be a critical component of achieving net zero GHG emissions in Massachusetts. For the first time, this 2025/2030 CECP provides an analysis of the emissions from, and the carbon sequestration by, Massachusetts’ NWL; outlines policies to support the conservation, climate smart management, and restoration of NWL; and identifies additional ongoing and existing actions the Commonwealth is pursuing to achieve net zero emissions by 2050.
"Achieving net zero in 2050 will require real, verified annual sequestration of as much as 14.2 MMTCO2e by resources in, or attributable to, the Commonwealth. EEA’s current assessment is that NWL in Massachusetts are not likely to be capable of sequestering carbon dioxide at this rate in 2050 without seriously compromising other ecosystem services and land uses. Thus, it will be necessary to develop regionally consistent sequestration measurement, accounting, and market frameworks that will allow Massachusetts to purchase additional, least-cost sequestration services from other states in the region to allow the Commonwealth to achieve net zero GHG emissions in 2050." [p117]</t>
  </si>
  <si>
    <t>2024-03-12 14:00:31</t>
  </si>
  <si>
    <t>REG-0013</t>
  </si>
  <si>
    <t>Michigan</t>
  </si>
  <si>
    <t>"economy-wide carbon neutrality no later than 2050, and to maintain net negative greenhouse gas emissions thereafter"</t>
  </si>
  <si>
    <t>Reduce GHG emissions 28% below 2005 levels by 2025
Reduce GHG emissions 52% below 2005 levels by 2030</t>
  </si>
  <si>
    <t>https://www.michigan.gov/whitmer/0,9309,7-387-90499_90704-540278--,00.html
https://www.michigan.gov/egle/-/media/Project/Websites/egle/Documents/Offices/OCE/MI-Healthy-Climate-Plan.pdf?rev=d13f4adc2b1d45909bd708cafccbfffa</t>
  </si>
  <si>
    <t>https://www.michigan.gov/whitmer/news/state-orders-and-directives/2020/09/23/executive-directive-2020-10.pdf</t>
  </si>
  <si>
    <t>Not specified- reference is only to GHG</t>
  </si>
  <si>
    <t>Information on the extent to which measures will be applied (e.g. if switching to EVs, what share of the fleet; if installing an own solar PV installation, what is the installed capacity)</t>
  </si>
  <si>
    <t xml:space="preserve">Quite a detailed plan on Energy productions, transportation, businesses and homes, environmental justice, leadership and innovation. </t>
  </si>
  <si>
    <t>2024-03-19 15:14:18</t>
  </si>
  <si>
    <t>REG-0014</t>
  </si>
  <si>
    <t>Montana</t>
  </si>
  <si>
    <t>GHG neutral(ity)</t>
  </si>
  <si>
    <t>Other</t>
  </si>
  <si>
    <t>"goal of net greenhouse gas neutrality economy-wide at a date to be determined by the Council." 
Executive Order 8-2019, p. 3, http://formergovernors.mt.gov/bullock/docs/2019EOs/EO-08-2019_Creating%20Climate%20Solutions%20Council.pdf
2020 montana climate solutions plan, p.4, https://deq.mt.gov/files/deqadmin/climate/2020-09-09_montanaclimatesolutions_final.pdf</t>
  </si>
  <si>
    <t>"interim goal of net ghg neutrality for average annual electric loads in the state by no later than 2035"
Executive Order 8-2019, p. 3, http://formergovernors.mt.gov/bullock/docs/2019EOs/EO-08-2019_Creating%20Climate%20Solutions%20Council.pdf
2020 montana climate solutions plan, p.4, https://deq.mt.gov/files/deqadmin/climate/2020-09-09_montanaclimatesolutions_final.pdf</t>
  </si>
  <si>
    <t>This record gives updates from March 2024 - Montana's Priority Climate Action Plan:
This plan differs from past climate planning because it is directly tied to federal funding made available to implement the projects states identify. This is an opportunity for Montana-made, market-driven solutions focused on innovation that will also reduce emissions.
Nothing in this plan is intended to be implemented through new policies, regulations, or requirements, and projects that propose to use regulation to cut emissions are not covered by this plan. From the start, DEQ (Department of Environmental Quality) established an expectation that the measures included in Montana’s plan would be non-regulatory, incentive-based actions that focus on innovation and do not expand government.
However, priority measures include Healthy Resilient Forests, Sustainable Schools, Innovative Agricultural Practices &amp; Working Lands, Clean, Reliable Transportation, Industrial &amp; Power Sector Innovation, High Performance Homes &amp; Businesses, Waste Reduction or Diversion
These suggested measures are accompanied by quantifications of how much emissions reduction each could achieve
E.g. within the forests section, Expand Forest Management &amp; Wildfire Mitigation is calculated to have the capacity to reduce GHG emissions by 0.22 MMT CO2e by 2030 or 1.09 MMT by 2050</t>
  </si>
  <si>
    <t>https://deq.mt.gov/files/About/CPRG/Montana%20Pollution%20Reduction%20Plan.pdf</t>
  </si>
  <si>
    <t>"net greenhouse gas neutrality economy-wide" (pg 3)
http://formergovernors.mt.gov/bullock/docs/2019EOs/EO-08-2019_Creating%20Climate%20Solutions%20Council.pdf</t>
  </si>
  <si>
    <t>Measures for all emission scopes that are covered by the target|Information on the emission reductions expected from these measures within a certain time period</t>
  </si>
  <si>
    <t xml:space="preserve">https://deq.mt.gov/about/Climate-Resilience:
Plan:
Under the Climate Pollution Reductions Grant , DEQ is beginning the process of developing a Montana Climate Action Plan. The planning grant has three deliverables:
Priority Climate Action Plan (PCAP) due March 1, 2024 (this has been submitted: https://deq.mt.gov/files/About/CPRG/Montana%20Pollution%20Reduction%20Plan.pdf)
Comprehensive Climate Action Plan (CCAP) due summer 2025
Status Report due summer 2027
Equity:
In the Priority Climate Action Plan (PCAP), with reference to restoring forests: This measure would deliver substantial benefits to low-income and disadvantaged communities, aligning with Justice. This strategic focus addresses the heightened risks these communities face due to climate change and their limited resources to adapt or recover from such impacts. In addition, the measure would help protect public health by reducing wildfire smoke, a significant source of air pollution.
The plan also has a section entitled 'LOW-INCOME AND DISADVANTAGED COMMUNITY BENEFITS ANALYSIS'
</t>
  </si>
  <si>
    <t xml:space="preserve">March 2024 Priority Climate Action Plan focuses on nature-based removals (reforestation, aovided forest conversion, fire management, soil carbon sequestration). 
Not much mention of CCS, however a section on Innovation in the Beef &amp; Cattle Industry mentions 'tools to improve efficiency and reduce the environmental impacts of the beef supply chain through capture and reuse of methane gas' - 'If the emissions of 50,000 cows are reduced by 50 percent through methane capture and/or feed advancements,2 that results in 2,495 metric tons of methane reduced every five years'
"b) Reducing emissions from traditional electricity generation sources while maintaining competitive advantages in electricity production, generation, and exports such as;
1. Continuing to advance the demonstration and deployment of carbon capture, storage, and utilization in support of negative emissions technologies;" (pg 3)
http://formergovernors.mt.gov/bullock/docs/2019EOs/EO-08 2019_Creating%20Climate%20Solutions%20Council.pdf 
Lots of discussion of carbon capture in Montana Climate Solutions Plan:
"Even as Montana diversifies its energy portfolio, fossil fuels are expected to meet a portion of energy demand. The deployment of carbon capture and storage (CCS) technology can accelerate efforts to reduce emissions from power plants and industrial processes, and support other needs such as renewable fuel production central to meeting the net-neutral goal." (pg 52)  https://deq.mt.gov/files/DEQAdmin/Climate/2020-09-09_MontanaClimateSolutions_Final.pdf 
Nature based solutions 
"3. Northern Plains Precision Agricultural and Soil Carbon Innovation. A Northern Plains precision agriculture and soil carbon innovation cluster would build on and expand research capacity at MSU Northern and MSU. Agriculture is an important sector in Montana’s economy and culture and is a key sector with opportunities to reduce emissions from operations, sequester carbon in soils, and meet regional and global market demands" (pg 64)
https://deq.mt.gov/files/DEQAdmin/Climate/2020-09-09_MontanaClimateSolutions_Final.pdf 
</t>
  </si>
  <si>
    <t>"interim goal of net ghg neutrality for average annual electric loads in the state by no later than 2035 and the goal of net green house gas neutrality economy-wide at a date to be determined by the concil"
executive order 8-2019, p. 3, http://formergovernors.mt.gov/bullock/docs/2019eos/eo-08-2019_creating%20climate%20solutions%20council.pdf
2020 montana climate solutions plan, p.4, https://deq.mt.gov/files/deqadmin/climate/2020-09-09_montanaclimatesolutions_final.pdf</t>
  </si>
  <si>
    <t>2024-03-12 14:23:48</t>
  </si>
  <si>
    <t>REG-0015</t>
  </si>
  <si>
    <t>New York State</t>
  </si>
  <si>
    <t>"Net-Zero emissions statewide by 2050"
"adopt measures to put the state on a path to reduce statewide greenhouse gas emissions by eighty-five percent by two thousand fifty and net zero emissions in all sectors of the economy"</t>
  </si>
  <si>
    <t>2030: 40% below 1990 levels by 2030 
2050: no less than 85% below 1990 levels</t>
  </si>
  <si>
    <t>"minimum of 70 percent of statewide electric generation be secured by renewable energy systems by 2030 and zero emissions from the statewide electrical demand system in 2040"
"the community air monitoring program required by section 2 of the act shall take effect on October 1, 2022"
More updated version of the bill at: https://climate.ny.gov/resources/scoping-plan/</t>
  </si>
  <si>
    <t>https://www.nysenate.gov/legislation/bills/2019/s6599</t>
  </si>
  <si>
    <t>"statewide greenhouse gas emissions means the total annual emissions of greenhouse gases produced within the state from anthropogenic sources and greenhouse gases produced outside  of  the state that are associated with the generation of electricity imported into the state and the extraction and transmission of fossil fuels  imported into the state"</t>
  </si>
  <si>
    <t>Plan and measures detailed page 12-22 in Executive Summary of https://climate.ny.gov/resources/scoping-plan/
Equity - "provisions to address potential impacts on disadvantaged communities"; "THE  COUNCIL  SHALL  CONVENE  A JUST TRANSITION WORKING GROUP
"This Scoping Plan prioritizes Disadvantaged Communities and the creation of good, family-sustaining, union jobs accessible to all New Yorkers." (https://climate.ny.gov/resources/scoping-plan/ page 3)
"Every four years, DEC will publish a report on the implementation of GHG
emission reduction measures, in consultation with the Council and CJWG." (https://climate.ny.gov/resources/scoping-plan/ Executive Summary page 23)</t>
  </si>
  <si>
    <t>Offsetting: 
"the use of such  mechanism  shall  account  for  not  greater  than fifteen  percent  of  statewide  greenhouse gas emissions estimated as a percentage of nineteen ninety emissions pursuant to section  75-0105  of this  article,  provided  that  the  use of this mechanism must offset a quantity greater than or equal to  the  greenhouse  gases  emitted"
"the offset  of  greenhouse  gas  emissions shall not result in disadvantaged communities having to bear a disproportionate  burden of environmental
impacts"</t>
  </si>
  <si>
    <t>Must be high environmental integrity|Avoid social harm|Maximum percentage of emissions that can be offset|Other conditions</t>
  </si>
  <si>
    <t>"real, additional, verifiable, enforceable, and permanent"
"sufficiently demonstrate  that  compliance with  the  greenhouse gas emissions limits is not technologically feasible, and that the source has reduced emissions  to  the  maximum  extent practicable"
"sources in the electric generation sector shall not be eligible to participate in such mechanism."
other prohibited projects: waste-to-energy projects (inc incineration and pyrolysis), biofuels for energy/transport, research projects and studies/assessments without commitment to implement
"discernable benefit to the environment rather than to the source"
"located in the  same  county,  and  within  twenty-five  linear miles, of the source of emissions, to the extent practicable"</t>
  </si>
  <si>
    <t>2023-01-04 15:24:36</t>
  </si>
  <si>
    <t>REG-0016</t>
  </si>
  <si>
    <t>Washington State</t>
  </si>
  <si>
    <t>"net zero greenhouse gas emissions by 2050"</t>
  </si>
  <si>
    <t>2030: 45% below 2005
2040: 70% below 2005
2050: 95% below 2005 &amp; achieve net zero GHG emissions</t>
  </si>
  <si>
    <t>https://apps.leg.wa.gov/rcw/default.aspx?cite=70A.45.020</t>
  </si>
  <si>
    <t>https://ecology.wa.gov/Air-Climate/Climate-change/Greenhouse-gases</t>
  </si>
  <si>
    <t>"overall emissions of greenhouse gases in the state"</t>
  </si>
  <si>
    <t>Measures for all emission scopes that are covered by the target</t>
  </si>
  <si>
    <t>"By December 31st of each even-numbered year beginning in 2010, the department and the department of commerce shall report to the governor and the appropriate committees of the senate and house of representatives the total emissions of greenhouse gases for the preceding two years" - https://apps.leg.wa.gov/rcw/default.aspx?cite=70A.45.020
Equity: limits to be met in a way that
(a) Reduces the burdens and creates benefits for vulnerable populations and highly impacted communities with long-term and short-term outcomes for public health, economic well-being, local environments, and community resiliency that benefits all Washington residents;
(b) Supports the current skilled and trained construction workforce, retains and creates other high quality employment opportunities, and generates broad, widely shared economic benefits for the state and Washington residents; and
(c) Maintains Washington's manufacturing economy and avoids leakage of emissions to other jurisdictions
Proposed actions are details in this report https://apps.ecology.wa.gov/publications/SummaryPages/1201004.html (particularly in appendices)</t>
  </si>
  <si>
    <t>"all pathways to one and one-half degrees Celsius rely on some amount of negative emissions through carbon sequestration. It is therefore the intent of the legislature to strengthen Washington's statutory greenhouse gas emission limits to reflect current science and to align with the limits that other jurisdictions are setting to combat climate change and to encourage voluntary actions that increase carbon sequestration on natural and working lands and storage in the related products from those lands." - https://apps.leg.wa.gov/rcw/default.aspx?cite=70A.45.020
https://ecology.wa.gov/Air-Climate/Climate-change/Greenhouse-gases/Reducing-greenhouse-gases/Climate-Commitment-Act "A portion of a facility’s compliance obligation can come from credits generated by projects that prevent greenhouse gas emissions, called offset projects. Covered entities can meet up to 5% of their obligations with offsets through 2026, and 4% from 2027 to 2030"</t>
  </si>
  <si>
    <t>Maximum percentage of emissions that can be offset</t>
  </si>
  <si>
    <t>2023-03-21 14:42:25</t>
  </si>
  <si>
    <t>REG-0074</t>
  </si>
  <si>
    <t>Alabama</t>
  </si>
  <si>
    <t>Alabama is only 1 of 8 States to not have a Statewide Comprehensive Energy Plan (https://www.naseo.org/stateenergyplans)
Alabama is considered as a part of the Southeast region along with (Georgia, Mississippi, North Carolina, South Carolina, and Tennessee). With some initial investigation about net zero target.
//efaidnbmnnnibpcajpcglclefindmkaj/https://irp-cdn.multiscreensite.com/be6d1d56/files/uploaded/SDSN_Southeast%20Report_FINAL.pdf</t>
  </si>
  <si>
    <t>2024-03-12 14:53:14</t>
  </si>
  <si>
    <t>REG-0075</t>
  </si>
  <si>
    <t>Alaska</t>
  </si>
  <si>
    <t>Bill Walker ordered the creation of a Climate Action for Alaska Leadership Team in 2017 (https://gov.alaska.gov/admin-orders/administrative-order-no-289/). They published a plan (https://web.archive.org/web/20181130010258/http://climatechange.gov.alaska.gov/wp-content/uploads/sites/11/2018/09/Ak_Climate_Action_Plan_brochure_final_web.pdf) in 2018 for reductions, but were disbanded by Michael Dunleavy in 2019 (https://gov.alaska.gov/admin-orders/administrative-order-no-309/)</t>
  </si>
  <si>
    <t>2024-03-12 15:04:17</t>
  </si>
  <si>
    <t>REG-0076</t>
  </si>
  <si>
    <t>Arizona</t>
  </si>
  <si>
    <t>In 2006, the then Governor signed Executive Order 2006-13 " to reduce GHG emissions in Arizona to its 2000 emissions level by 2020 and to 50 percent below its 2000 emissions level by 2040" https://apps.azsos.gov/public_services/register/2006/37/governor.pdf
In 2010, this was effectively nullified by the signing of a bill prohibiting state regulation of GHGs without permission of the state legislature by the new Governor (https://www.azleg.gov/legtext/49leg/2r/bills/hb2442h.pdf)
Arizona Corporation Commissions regulates utilities:
https://www.azcc.gov/news/2021/05/26/may-26-2021-special-open-meeting-highlights
"Arizona’s regulated utilities [should be] 100% carbon-free energy by 2070" with "50% reduction by 2032, a 65% reduction by 2040, an 80% reduction by 2050, and a 95% reduction by 2060."
https://www.azcc.gov/news/2022/01/27/january-contingency-open-meeting-highlights
"Commissioners voted 3-2 at their January Contingency Open Meeting to not move forward with a package of energy rules that, if adopted, would have required electric utilities to achieve 100% zero-carbon emissions energy by 2070."</t>
  </si>
  <si>
    <t>2023-09-09 08:00:57</t>
  </si>
  <si>
    <t>REG-0077</t>
  </si>
  <si>
    <t>Arkansas</t>
  </si>
  <si>
    <t xml:space="preserve">No state-wide target in place.
Although the report from the Governor's Commission on Global Warming (published in 2008) includes recommended emission reduction goals (written on the second page of the report, which can be accessed here: https://web.archive.org/web/20230618211959/https://uccrnna.org/wp-content/uploads/2017/06/Arkansas_2008_Governors-Commission-On-Global-Warming.pdf) it was only a report, and there doesn’t appear to be any legal instruments that are putting any state-wide emissions reduction target into effect. 
Arkansas’ lack of an emissions reduction target is also reflected on these websites: 
- https://climate-xchange.org/dashboard/map/arkansas/ 
- https://www.c2es.org/document/greenhouse-gas-emissions-targets/ 
- https://spotforcleanenergy.org/state/arkansas/emissions-standard/ </t>
  </si>
  <si>
    <t>2024-03-12 16:52:16</t>
  </si>
  <si>
    <t>REG-0078</t>
  </si>
  <si>
    <t>Connecticut</t>
  </si>
  <si>
    <t>By 2050, overall state emissions will be 80% below the level emitted in 2001
Governor's Bill No. 10 - Connecticut General Assembly, p.10, https://www.cga.ct.gov/2022/TOB/S/PDF/2022SB-00010-R00-SB.PDF</t>
  </si>
  <si>
    <t>The state shall reduce the level of emissions of greenhouse gas: 
(1) Not later than January 1, 2020, to a level at least 10% below the level emitted in 1990;  
(2) Not later than January 1, 2030, to a level at least 45% below the level emitted in 2001;
(3) Not later than January 1, 2040, to a level of 0% from electricity supplied to electric customers in the state; and 
(4) Not later than January 1, 2050, to a level at least 80% below the level emitted in 2001
Governor's Bill No. 10 - Connecticut General Assembly, p.10, https://www.cga.ct.gov/2022/TOB/S/PDF/2022SB-00010-R00-SB.PDF</t>
  </si>
  <si>
    <t xml:space="preserve">"Economy-wide reduction target of 45% below 2001 levels by 2030...ensures Connecticut is on a downward trajectory from today's GHG emissions to the 80% reduction the Global Warming Solutions Act requires by 2050" (Building a Low Carbon future for Connecticut Report, p.11) </t>
  </si>
  <si>
    <t>https://www.cga.ct.gov/2022/TOB/S/PDF/2022SB-00010-R00-SB.PDF</t>
  </si>
  <si>
    <t>The target covers the electric sector (focusing on a transition to green energy by 84% in 2050), transportation sector (increase in light-duty ZEV penetration rate to at least 20% by 2030), building sector (transition to 26% renewable thermal technologies by 2050) and non-energy GHG emissions (e..g.g., agricultural, industrial and waste sectors) (Building a Low Carbon future for Connecticut Report)</t>
  </si>
  <si>
    <t>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t>
  </si>
  <si>
    <t>In relation to equity, there is the aim to be involved in “prioritizing, integrating and advancing equitable distribution of the costs and benefits of climate change mitigation planning policies, specifically addressing disproportionate impacts of such strategies on environmental justice communities,” 
2021 GC3 Phase 1 Report: https://portal.ct.gov/-/media/DEEP/climatechange/GC3/GC3_Phase1_Report_Jan2021.pdf
Climate Action Timeline for Connecticut: https://portal.ct.gov/DEEP/Climate-Change/Climate-Action-Timeline-for-Connecticut</t>
  </si>
  <si>
    <t>Aims to increase the mitigation of GHG in Connecticut's forests through several means: 
a. Evaluate feasibility of a goal of permanent protection of at least 50% of core forests greater than 250 acres by 2040 and identify resources that would be needed to achieve that goal.
b. Consider actions to increase statewide forest cover from 59% to over 60% by 2040.
2021 GC3 Phase 1 Report: https://portal.ct.gov/-/media/DEEP/climatechange/GC3/GC3_Phase1_Report_Jan2021.pdf</t>
  </si>
  <si>
    <t>2023-03-21 15:03:49</t>
  </si>
  <si>
    <t>REG-0079</t>
  </si>
  <si>
    <t>Delaware</t>
  </si>
  <si>
    <t xml:space="preserve">"In 2017, Governor John Carney committed Delaware to reducing greenhouse gas
emissions by 26% to 28% from 2005 levels by 2025. Delaware’s Climate Action Plan provides information on our state’s emissions reduction progress and lays out strategies for meeting or exceeding our goal." (pg 12)
https://documents.dnrec.delaware.gov/energy/Documents/Climate/Plan/Delaware-Climate-Action-Plan-2021.pdf </t>
  </si>
  <si>
    <t>https://documents.dnrec.delaware.gov/energy/Documents/Climate/Plan/Delaware-Climate-Action-Plan-2021.pdf</t>
  </si>
  <si>
    <t xml:space="preserve">"Delaware’s goal for 2025 is to reduce annual emissions to approximately 16,500,000 MT CO2e, a reduction of 28% (and a difference of about 6,300,000 MT CO2e) compared to 2005. 
What is MT CO2e? This is called the carbon dioxide equivalent (CO2e), and it allows us to use a single measure to calculate all greenhouse gas emissions: metric tons of carbon dioxide equivalent (MT CO2e)." (pg 51) 
https://documents.dnrec.delaware.gov/energy/Documents/Climate/Plan/Delaware-Climate-Action-Plan-2021.pdf </t>
  </si>
  <si>
    <t>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t>
  </si>
  <si>
    <t xml:space="preserve">"Collaborations and partnerships with communities can help build equity into climate action. Early and continued engagement is essential, as residents can speak first-hand to community-specific climatic and economic impacts." (pg 19)
"It is also important to gain an understanding of how climate action, such as transitioning to low-carbon energy, could impact existing jobs or alter job opportunities. Knowledge of potential job gains and losses resulting from climate action can help guide where state resources are most needed to ensure that certain populations are not left behind." (pg 83)
https://documents.dnrec.delaware.gov/energy/Documents/Climate/Plan/Delaware-Climate-Action-Plan-2021.pdf </t>
  </si>
  <si>
    <t xml:space="preserve">"Delaware’s forests, croplands, wetlands and urban greenspaces can play an important role in
responding to climate change. The plants and soils in these “natural and working lands” have the ability to absorb (or sequester) carbon dioxide from the atmosphere. This provides a cost-effective, temporary or long-term carbon storage solution. Capitalizing on natural carbon storage can help offset a portion of emissions released by human activities.
Strategies Delaware can implement:
- Support best management practices on agricultural lands that provide greenhouse gas emissions co-benefits
- Support conservation and restoration of forest lands
- Support local communities’ enhancement of urban greenspaces
- Improve methods for measuring and tracking carbon sequestration" (pg 16)
https://documents.dnrec.delaware.gov/energy/Documents/Climate/Plan/Delaware-Climate-Action-Plan-2021.pdf </t>
  </si>
  <si>
    <t>2024-03-12 16:16:01</t>
  </si>
  <si>
    <t>REG-0080</t>
  </si>
  <si>
    <t>Florida</t>
  </si>
  <si>
    <t>" by 2050, reduce greenhouse gas emissions by 80% of 1990 levels"</t>
  </si>
  <si>
    <t>"by 2025, reduce greenhouse gas emissions to 1990 levels"</t>
  </si>
  <si>
    <t>https://flsenate.gov/Session/Bill/2020/178 "Prohibiting state-financed constructors from commencing construction of certain structures in coastal areas after a specified date without first taking certain steps regarding a sea level impact projection study"
https://www.fsec.ucf.edu/en/media/enews/2007/pdf/07-128-actionteam.pdf creation of Action Team (subsequent report: https://www.fdacs.gov/ezs3download/download/89011/2560887/Media/Files/Energy-Files/Florida%20Energy%20and%20Climate%20Plan.pdf)</t>
  </si>
  <si>
    <t>https://www.fsec.ucf.edu/en/media/enews/2007/pdf/07-127-emissions.pdf</t>
  </si>
  <si>
    <t>Report covers infrastructure, transport, energy-water nexus, education and workforce development, R&amp;D, electric industry, agriculture and efficiency and renewable energy. (Florida Energy and Climate Plan Powering Change, iii)</t>
  </si>
  <si>
    <t>Information on the extent to which measures will be applied (e.g. if switching to EVs, what share of the fleet; if installing an own solar PV installation, what is the installed capacity)|Information on the emission reductions expected from these measures within a certain time period</t>
  </si>
  <si>
    <t>https://www.fdacs.gov/ezs3download/download/89011/2560887/Media/Files/Energy-Files/Florida%20Energy%20and%20Climate%20Plan.pdf</t>
  </si>
  <si>
    <t>Sinks and Credits are not a key part of this report (Florida Energy and Climate Plan Powering Change)</t>
  </si>
  <si>
    <t>reduce greenhouse gas emissions to 1990 levels</t>
  </si>
  <si>
    <t>2023-10-27 16:33:55</t>
  </si>
  <si>
    <t>REG-0081</t>
  </si>
  <si>
    <t>Idaho</t>
  </si>
  <si>
    <t xml:space="preserve">Idaho has no climate change policies in place as seen in https://www.americashealthrankings.org/explore/measures/climate_policy/ID </t>
  </si>
  <si>
    <t>2023-10-26 11:41:05</t>
  </si>
  <si>
    <t>REG-0082</t>
  </si>
  <si>
    <t>Illinois</t>
  </si>
  <si>
    <t>The U.S. Climate Alliance (including Illinois) is a bipartisan coalition of governors securing America’s net-zero future by advancing state-led, high-impact climate action.
Alliance members are working to achieve the Paris Agreement’s goal of keeping temperature increases below 1.5 degrees Celsius through four key commitments:
1. Reducing Emissions - "Reducing collective net greenhouse gas (GHG) emissions at least 26-28% by 2025 and 50-52% by 2030, both below 2005 levels, and collectively achieving overall net-zero GHG emissions as soon as practicable, and no later than 2050." 
2. Accelerating Action - "Accelerating new and existing policies to reduce climate pollution, build resilience to the impacts of climate change, and promote clean energy deployment at the state and federal levels."
3. Centering Equity - "Centering equity, environmental justice, and a just economic transition in their efforts to achieve their climate goals and create high-quality jobs."
4. Tracking Progress - "Tracking and reporting progress to the global community in appropriate settings, including when the world convenes to take stock of the Paris Agreement."
https://usclimatealliance.org/about/</t>
  </si>
  <si>
    <t>Reducing collective net GHG emissions at least 26-28 percent by 2025 and 50-52 percent by 2030 (below 2005 levels)</t>
  </si>
  <si>
    <t xml:space="preserve">2023 Update: SPRINGFIELD, IL – Gov. JB Pritzker signed legislation protecting Illinois-based clean energy projects from a growing number of local bans. HB4412 prevents counties from enacting preemptive local ordinances that outright ban local wind and solar projects, hindering the state’s new climate goals set forth in the Climate and Equitable Jobs Act (CEJA). The bill passed during the Illinois General Assembly’s lame duck legislative session, and Gov. Pritzker signed it into law on Friday, Jan. 27, 2023. - https://ilenviro.org/gov-pritzker-signs-legislation-protecting-clean-energy-projects/
Climate and Equitable Jobs Act - https://www2.illinois.gov/IISNews/23893-Climate_and_Equitable_Jobs_Act.pdf
2022 Update: The Illinois Department of Natural Resources (IDNR) has developed a Climate Action Plan (CAP) with the goal of achieving net-zero greenhouse gas emissions by 2050. The CAP outlines strategies for reducing emissions from operations, buildings, and transportation, and increasing the use of renewable energy production sources. The CAP was facilitated by the Illinois Smart Energy Design Assistance Center (SEDAC) and developed with the participation of over 70 IDNR staff over the past year. The CAP will guide the agency’s path to reducing its climate footprint while increasing the resilience of natural resources in its care. The CAP outlines the steps to address climate change across the agency and in partnership with communities. - https://dnr.illinois.gov/content/dam/soi/en/web/dnr/outreach/cap/cap-documents/cap-executive-summary.pdf
EO 2019-06: Illinois joined US Climate Alliance (http://www.usclimatealliance.org) - https://www.illinois.gov/government/executive-orders/executive-order.executive-order-number-6.2019.html
State of Illinois to move toward 100% clean energy by 2050; path to 40% renewable energy by 2030 and 50% by 2040 - https://www.illinois.gov/news/press-release.23893.html
</t>
  </si>
  <si>
    <t>https://static1.squarespace.com/static/5a4cfbfe18b27d4da21c9361/t/5d8e52300ba3362bcd5df005/1569608241528/USCA_2019+State+Factsheet-IL_20190924.pdf</t>
  </si>
  <si>
    <t>Reach Net Zero Greenhouse Gas Emissions by 2050. IDNR emits an estimated 38,700 MTCO2e annually, equivalent to emissions from 8,600 gasoline-powered passenger vehicles driven for one year. IDNR emissions come from building energy use (72%), internal transportation and fuels for site operations (20%), solid waste (7%), and water/wastewater (1%). IDNR’s goal is to reduce emissions as much as possible through conservation and energy efficiency. Remaining emissions will be offset with renewable energy generation to reach Net Zero emissions by 2050. - https://dnr.illinois.gov/outreach/climate-action-plan.html</t>
  </si>
  <si>
    <t>Information on the emission reductions expected from these measures within a certain time period</t>
  </si>
  <si>
    <t>Equity: IDNR should prioritize equity and inclusion in its climate action efforts by engaging and empowering underserved communities that have been disproportionately impacted by climate change and by promoting diversity, equity, accessibility, and inclusion within the organization. - https://dnr.illinois.gov/content/dam/soi/en/web/dnr/outreach/cap/cap-documents/cap-executive-summary.pdf
https://www2.illinois.gov/IISNews/23893-Climate_and_Equitable_Jobs_Act.pdf</t>
  </si>
  <si>
    <t>Unavoidable emissions from visitor transportation can be offset by biological carbon sequestration initiatives: native plantings, habitat restoration, prairie recovery, and floodplain management. - https://dnr.illinois.gov/content/dam/soi/en/web/dnr/outreach/cap/cap-documents/cap-executive-summary.pdf</t>
  </si>
  <si>
    <t>2023-12-21 16:45:46</t>
  </si>
  <si>
    <t>REG-0083</t>
  </si>
  <si>
    <t>Indiana</t>
  </si>
  <si>
    <t>2023-11-02 10:58:32</t>
  </si>
  <si>
    <t>REG-0084</t>
  </si>
  <si>
    <t>Iowa</t>
  </si>
  <si>
    <t>2023-12-16 17:00:13</t>
  </si>
  <si>
    <t>REG-0085</t>
  </si>
  <si>
    <t>Kansas</t>
  </si>
  <si>
    <t>2023-12-21 16:52:01</t>
  </si>
  <si>
    <t>REG-0086</t>
  </si>
  <si>
    <t>Kentucky</t>
  </si>
  <si>
    <t>2024-03-12 15:48:34</t>
  </si>
  <si>
    <t>REG-0087</t>
  </si>
  <si>
    <t>Maryland</t>
  </si>
  <si>
    <t>"Attain a net-zero economy by 2045" (June 2023 Maryland's Climate Pathway Report, p.20)</t>
  </si>
  <si>
    <t>"60% reduction of GHG emissions by 2031 relative to 2006 levels" (June 2023 Maryland's Climate Pathway Report, p.20)</t>
  </si>
  <si>
    <t>"Climate Solutions Now Act of 2022" sets more ambitious targets than the 2016 "Greenhouse Gas Emissions Reduction Act – Reauthorization" and codifies into law the target of reaching net-zero by 2045
Maryland plans to meet these targets "with additional reductions including 3.6 MMTCO2e from transportation, 2.3 MMTCO2e from electricity generation and 1.6 MMTCO2e from buildings"</t>
  </si>
  <si>
    <t>https://mde.maryland.gov/programs/air/ClimateChange/Documents/MARYLANDS%20PATHWAY%20REPORT%20AND%202031%20GHG%20PLAN/Maryland%27s%20Climate%20Pathway%20Report.pdf</t>
  </si>
  <si>
    <t>"GHG emission results are calibrated to the 2020 Maryland GHG inventory the last available year of historical data" (June 2023 Maryland's Climate Pathway Report, p.31)</t>
  </si>
  <si>
    <t>"Once the final version of Maryland's climate plan has been adopted, further collaboration and engagement within and across sectors can help support and deliver the needed action...This report identifies key areas for continued work to deepen the understanding of important sectors and strategies for meeting the state's climate goals". (June 2023 Maryland's Climate Pathway Report, p.99) - Although the report recognises that further work will be needed, it does not set out formal deadlines to ensure accountability. 
 "State agencies, many of which have a prominent role in the implementation of the policies and initiatives in this plan, are required to report annually on the status of programs that support the state’s GHG reduction efforts or address climate change to the Maryland Commission on Climate Change." (https://mde.maryland.gov/programs/air/ClimateChange/Maryland%20Climate%20Reduction%20Plan/Maryland%27s%20Climate%20Pollution%20Reduction%20Plan%20-%20Final%20-%20Dec%2028%202023.pdf, page 95)
 - "These annual reports must include program descriptions and objectives; implementation milestones and whether or not they have been met; enhancement opportunities; funding; challenges; estimated GHG reductions by program for the prior calendar year; and any other information that the agency considers relevant"</t>
  </si>
  <si>
    <t>Most of the plan focuses on emissions reduction for particular sectors rather than looking at ways in which carbon could be stored or captured from the atmosphere.
"Net emissions sinks (carbon sequestration pathways) in this sector include the carbon flux in forested and treed landscapes; carbon stored in harvested wood products, wood in landfills, and landfilled yard trimmings and food scraps; carbon flux in agricultural soils; and carbon flux in coastal (tidal) wetlands and submerged aquatic vegetation. This sector is not included in Maryland’s gross emissions accounting and is instead factored into Maryland’s net emissions calculation for 2045." (https://mde.maryland.gov/programs/air/ClimateChange/Maryland%20Climate%20Reduction%20Plan/Maryland%27s%20Climate%20Pollution%20Reduction%20Plan%20-%20Final%20-%20Dec%2028%202023.pdf, page 60)
"Expanding statewide adoption of agricultural conservation practices and scaling forest conservation and restoration beyond current levels offers an opportunity to increase carbon removal from the atmosphere" (https://mde.maryland.gov/programs/air/ClimateChange/Maryland%20Climate%20Reduction%20Plan/Maryland%27s%20Climate%20Pollution%20Reduction%20Plan%20-%20Final%20-%20Dec%2028%202023.pdf, page 64)</t>
  </si>
  <si>
    <t>2023-05-23 14:54:46</t>
  </si>
  <si>
    <t>REG-0088</t>
  </si>
  <si>
    <t>Minnesota</t>
  </si>
  <si>
    <t>In 2007, Governor Tim Pawlenty signed the Next Generation Energy Act (NGEA), which outlined a series of goals for reducing carbon emissions and supporting energy efficiency and clean, renewable energy in Minnesota. The NGEA, which had bipartisan support in the state legislature, set statutory goals to reduce GHG emissions in the state by 30% by 2025 (from 2005 levels) and by 80% by 2050. But Minnesota did not meet its 2015 goal of 15% reduction, and is not on track to meet the 2025 goal.</t>
  </si>
  <si>
    <t>https://mn.gov/commerce/news/?id=17-563384
Bill signed in 2023 for "100% carbon-free electricity by 2040"</t>
  </si>
  <si>
    <t>https://climate.state.mn.us/</t>
  </si>
  <si>
    <t>""Greenhouse gases" include carbon dioxide, methane, nitrous oxide, hydrofluorocarbons, perfluorocarbons, and sulfur hexafluoride or any other chemical that is determined by the Pollution Control Agency to contribute comparably to global climate change and that is emitted by anthropogenic sources." - https://www.revisor.mn.gov/bills/text.php?number=HF436&amp;type=ce&amp;version=1&amp;session=ls85&amp;session_year=2007&amp;session_number=0</t>
  </si>
  <si>
    <t>https://mn.gov/governor/assets/2019_12_2_EO_19-37_Climate_tcm1055-412094.pdf</t>
  </si>
  <si>
    <t>2023-12-21 16:48:32</t>
  </si>
  <si>
    <t>REG-0089</t>
  </si>
  <si>
    <t>Mississippi</t>
  </si>
  <si>
    <t>https://climate-xchange.org/dashboard/map/mississippi/</t>
  </si>
  <si>
    <t>2023-12-09 13:10:15</t>
  </si>
  <si>
    <t>REG-0090</t>
  </si>
  <si>
    <t>Missouri</t>
  </si>
  <si>
    <t>2023-12-21 16:50:24</t>
  </si>
  <si>
    <t>REG-0091</t>
  </si>
  <si>
    <t>Nebraska</t>
  </si>
  <si>
    <t>2023-09-23 18:07:42</t>
  </si>
  <si>
    <t>REG-0092</t>
  </si>
  <si>
    <t>New Hampshire</t>
  </si>
  <si>
    <t>"The Task Force recommends that New Hampshire strive to achieve a long-term reduction in greenhouse gas emissions of 80 percent below 1990 levels by 2050."</t>
  </si>
  <si>
    <t>"Based on the greenhouse gas emission reductions projected for the recommended actions, the Task Force has chosen a mid-term goal of reducing greenhouse gas emissions 20 percent below 1990 levels by 2025."</t>
  </si>
  <si>
    <t>https://www.des.nh.gov/sites/g/files/ehbemt341/files/documents/r-ard-09-1.pdf</t>
  </si>
  <si>
    <t>New Hampshire is part of RGGI</t>
  </si>
  <si>
    <t>2024-02-21 10:26:31</t>
  </si>
  <si>
    <t>REG-0093</t>
  </si>
  <si>
    <t>New Jersey</t>
  </si>
  <si>
    <t>"Under this law, the Department of Environmental Protection (DEP) is responsible for assessing the state’s greenhouse gas emissions and, in collaboration with other state agencies, presenting recommendations for reducing emissions by 20% below 2006 levels by 2020 and 80% by 2050—known as the 80x50 goal." (as of 2020 in Version 1.0 of the New Jersey 80x50 report)</t>
  </si>
  <si>
    <t>https://dep.nj.gov/ghg/ghg-emissions-goals/: "In 2021, Governor Murphy signed Executive Order 274, this order established an interim greenhouse gas reduction target of 50 percent below 2006 levels (approximately 60.6 MMTCO2e) by 2030."</t>
  </si>
  <si>
    <t xml:space="preserve">As of October 2020, New Jersey has already reduced emissions by 20% below 2006 levels.
https://dep.nj.gov/ghg/ghg-emissions-goals/:
The Global Warming Response Act (GWRA) (P.L. 2007 c.112; P.L. 2019 c.197) established two greenhouse gas reduction goals for New Jersey:
1) Reduce statewide greenhouse gas emissions to 1990 levels (approximately 111.5 MMTCO2e) by the year 2020, and,
2) Reduce statewide greenhouse gas emissions 80% below the 2006 level (approximately 24.2 MMTCO2e) by the year 2050.
</t>
  </si>
  <si>
    <t>https://dep.nj.gov/wp-content/uploads/climatechange/nj-gwra-80x50-report-2020.pdf</t>
  </si>
  <si>
    <t>Gases covered: CO2, black carbon, methane, halogenated gases (HFCs)</t>
  </si>
  <si>
    <t>"Natural carbon sinks are an important component of New Jersey’s GHG inventory and management system...New Jersey’s land sector sequestered the equivalent of 8.1 MMT CO2e (8% of New Jersey’s net emissions) in 2018... Collectively, DEP projects that strategies to conserve and protect the state’s natural carbon sinks could increase carbon sequestration up to 33% to 10.8 MMT CO2e by 2050."</t>
  </si>
  <si>
    <t>2024-02-25 20:41:36</t>
  </si>
  <si>
    <t>REG-0094</t>
  </si>
  <si>
    <t>New Mexico</t>
  </si>
  <si>
    <t xml:space="preserve">The State of New Mexico will support the 2015 Paris Agreement Goals by joining the U.S. Climate Alliance. New Mexico's objective is to achieve a statewide reduction in greenhouse gas emissions of at least 45% by 2030 as compared to 2005 levels. </t>
  </si>
  <si>
    <t>Still working towards this target in latest Climate Strategy Report (2021): https://www.climateaction.nm.gov/wp-content/uploads/sites/39/2023/07/NMClimateChange_2021_final.pdf</t>
  </si>
  <si>
    <t>https://www.governor.state.nm.us/wp-content/uploads/2019/01/EO_2019-003.pdf</t>
  </si>
  <si>
    <t>Between 2019-2021, an annual Climate Strategy Report was published; this no longer appears to be the case.</t>
  </si>
  <si>
    <t>2021 Climate Strategy Report discusses purchasing credits from generators of low-carbon-intensity fuels or businesses that reduce emissions from the transportation sector*
2019 Climate Strategy Report discusses reforestation projects**
*https://www.climateaction.nm.gov/wp-content/uploads/sites/39/2023/07/NMClimateChange_2021_final.pdf
**https://www.climateaction.nm.gov/wp-content/uploads/sites/39/2023/07/NMClimateChange_2019.pdf</t>
  </si>
  <si>
    <t>2024-02-29 04:15:25</t>
  </si>
  <si>
    <t>REG-0095</t>
  </si>
  <si>
    <t>North Carolina</t>
  </si>
  <si>
    <t>Pledge</t>
  </si>
  <si>
    <t xml:space="preserve">In EXECUTIVE ORDER NO. 246: NORTH CAROLINA'S TRANSFORMATION TO A CLEAN, EQUITABLE ECONOMY (ordered January 7, 2022):
"...achieve net-zero emissions as soon as possible, no later than 2050,"
</t>
  </si>
  <si>
    <t>"Reduce statewide GHG emissions to at least 50 percent below 2005 levels by 2030,"</t>
  </si>
  <si>
    <t>"Governor Roy Cooper today issued Executive Order No. 246 affirming North Carolina’s commitment to a clean energy economy and directing next steps in the state’s plan to achieve net-zero greenhouse gas emissions and create economic opportunities for North Carolinians across the state, especially in underserved communities." (https://governor.nc.gov/news/press-releases/2022/01/07/governor-cooper-signs-executive-order-detailing-next-steps-path-clean-energy-and-equitable-economy) 
Updates North Carolina’s economy-wide carbon reduction emissions goals to align with climate science, reduce pollution, create good jobs and protect communities. Increases the statewide goal to a 50% reduction from 2005 levels by 2030 and net-zero greenhouse gas emissions as soon as possible, no later than 2050. Directs the Governor’s administration to update a statewide greenhouse gas inventory to measure current levels of greenhouse gas emissions, as well as analyze potential pathways for achieving net-zero greenhouse gas emissions by 2050.
Calls for an increase in registered zero-emission vehicles (ZEVs) to at least 1,250,000 by 2030 and for 50% of sales of new vehicles in North Carolina to be zero-emission by 2030. It also directs the North Carolina Department of Transportation to develop a North Carolina Clean Transportation Plan for decarbonizing the transportation sector through reductions in vehicle miles traveled, an increase in zero-emission cars, trucks, and buses, and other strategies.</t>
  </si>
  <si>
    <t>https://governor.nc.gov/executive-order-no-246/open</t>
  </si>
  <si>
    <t>2023-12-16 17:06:16</t>
  </si>
  <si>
    <t>REG-0096</t>
  </si>
  <si>
    <t>North Dakota</t>
  </si>
  <si>
    <t>Proposed</t>
  </si>
  <si>
    <t>"We can reach carbon neutrality in the state of North Dakota by 2030 without a single mandate, without any additional regulation"; "challenge to make North Dakota a carbon-neutral state by 2030"</t>
  </si>
  <si>
    <t>https://climate-xchange.org/dashboard/map/north-dakota/</t>
  </si>
  <si>
    <t>Yes (CCS-based removals e.g. BECCS, DACCS)</t>
  </si>
  <si>
    <t>https://www.governor.nd.gov/news/updated-waudio-burgum-addresses-williston-basin-petroleum-conference-issues-carbon-neutral
There are bills to support CCSU efforts</t>
  </si>
  <si>
    <t>2023-06-21 12:46:01</t>
  </si>
  <si>
    <t>REG-0097</t>
  </si>
  <si>
    <t>Ohio</t>
  </si>
  <si>
    <t>2023-07-20 22:04:10</t>
  </si>
  <si>
    <t>REG-0098</t>
  </si>
  <si>
    <t>Oklahoma</t>
  </si>
  <si>
    <t xml:space="preserve">Oklahoma plans to remain a top 5 producer of clean renewable energy, partner with new technologies to maximise solar power. Oklahoma pioneered the 'Water for 2060' Act, this aims to consume no more freshwater than was consumed in 2010. Oklahoma achieved its goals of expanding CNG fueling and EV charging infrastructure as outlined in the 2011 First Energy Plan. After reaching a high of 125 stations in 2016, CNG has settled at 120 fueling stations. Oklahoma is home to 258 EV Charging locations, which they predict to rise through the ChargeOK program. </t>
  </si>
  <si>
    <t>https://ee.ok.gov/wp-content/uploads/2021/09/FUL-FEP_Final-Draft6-1.pdf</t>
  </si>
  <si>
    <t>'Our Vision is to protect and enhance the natural beauty of the State of Oklahoma. This vision will ensure that the land, air, water and wildlife of our beautiful and ecologically diverse State remain
accessible for generations to come. Oklahoma will continue to harness our vast natural resources to allow our economy to thrive while delivering a pristine environment for our citizens. We will pursue regulatory policies that ensure a prosperous Oklahoma without sacrificing environmental protection. Our support for the Environmental, Health, and Safety Audit Privilege Act shows our commitment to this dual purpose. Oklahoma’s Water for 2060 Plan, our partnership with U.S. EPA under the National Water Reuse Action Plan, and our dedication to improve the efficiency of water systems around the state, all show our commitment to remain responsible stewards of our water resources. Our commitment to expand our electric vehicle infrastructure and capitalize on clean burning fuels for our vehicles demonstrates our continued effort to improve our air quality.'</t>
  </si>
  <si>
    <t>Report states it has been over a decade since Oklahoma last published an Energy plan. 
'The Oklahoma 2021 Energy Plan is meant to highlight Oklahoma’s incredible energy story and set a roadmap for the future.' 
Plan does not specify numeric goals and states that 'Oklahoma tries to avoid picking winners and losers. We achieved our status as energy leaders and energy pioneers by following the trends of consumers and investors while following demand.'</t>
  </si>
  <si>
    <t xml:space="preserve">No mention of sinks/credits. </t>
  </si>
  <si>
    <t>oklahoma’s plans to 'continue of a lower carbon trajectory' but no specific carbon reduction plans in place as of the 2021 state energy &amp; environment plan. oklahoma describes their environmental plan as follows 'you will notice that this plan does not set specific numeric goals for one particular fuel source versus another and oklahoma tries to avoid picking winners and losers. we achieved our status as energy leaders and energy pioneers by following the trends of consumers and investors while following demand. unnecessary regulation and mandates serves only to penalize the consumer by making all forms of energy more expensive while not following demand. one of our main objectives is to ready our state to take on whatever new challenges arise and to lead in whatever’s next in energy that fits our diverse natural resources and human capital.'</t>
  </si>
  <si>
    <t>2023-12-16 13:22:58</t>
  </si>
  <si>
    <t>REG-0099</t>
  </si>
  <si>
    <t>Oregon</t>
  </si>
  <si>
    <t>Executive Order No. 20-04, Page Five
2. GHG Emissions Reduction Goals. Consistent with the Minimum GHG reduction goals set forth in ORS 468A.205(1)(c), this Executive Order establishes science-based GHG emissions reduction goals, and calls for the State of Oregon to reduce its GHG emissions (1) at least 45 percent below 1990 emisisons levels by 2035; and (20 at least 80 percent below 1990 emissions levels by 2050.
https://www.oregon.gov/gov/eo/eo_20-04.pdf</t>
  </si>
  <si>
    <t>https://www.oregon.gov/gov/Pages/carbonpolicy_climatechange.aspx 
https://www.oregon.gov/energy/energy-oregon/Pages/Climate-Change-Energy.aspx 
https://www.oregonencyclopedia.org/articles/climate-change-in-oregon/
2021 Bill "Requires retail electricity providers to reduce greenhouse gas emissions associated with electricity sold to Oregon consumers to 80 percent below baseline emissions levels by 2030, 90 percent below baseline emissions levels by 2035 and 100 percent below baseline emissions levels by 2040." - https://olis.oregonlegislature.gov/liz/2021R1/Measures/Overview/HB2021
Oregon made significant progress in 2021 by passing a clean electricity standard requiring utilities to eliminate electricity-related GHG emissions by 2040, adopting the Clean Trucks Rule to accelerate zero-emissions truck sales, and approving a new emissions cap for covered natural gas and transportation fuels under the Climate Protection Program (CPP). If implemented, these historic policies could significantly cut Oregon’s emissions by 2050. Oregon’s clean electricity standard will reduce power sector emissions 100% by 2040 through 2050, compared to just a 36% reduction by 2050 without it, cutting state-wide GHG emissions more than 11 MMT annually by 2040. The state’s average temperatures have increased by 2.2ºF (1.2ºC) since 1895, and scientists predict they will increase by another 5ºF (2.8ºC) by 2050 and 8.2ºF (4.6ºC) by 2080.</t>
  </si>
  <si>
    <t>https://www.oregon.gov/gov/eo/eo_20-04.pdf</t>
  </si>
  <si>
    <t>Schedule for regular review of measures</t>
  </si>
  <si>
    <t>The Oregon Global Warming Commission (OGWC) is directed by statute to produce a biennial report to the Governor and Legislature on Oregon’s progress toward meeting the state’s GHG emission reduction goals. High-level plan from OGWC is the Oregon Climate Action Roadmap to 2030 (https://static1.squarespace.com/static/59c554e0f09ca40655ea6eb0/t/64275befc3f5d82a60b981b2/1680301043241/2023-Climate-Action-Roadmap.pdf). 
Details of plan's methods are in the Transformational Integrated Greenhouse Gas Emissions Reduction Project Report (https://static1.squarespace.com/static/59c554e0f09ca40655ea6eb0/t/64275c449499a72eb55aa206/1680301133140/2023-TIGHGER-Project-Report.pdf). Appears to only cover Scope 1: "Calculated GHG reduction amounts from each action are only the direct emission reductions (scope one emissions) and not the secondary or tertiary emission reductions. Only the GHG emissions reductions from direct energy use reduction or avoided emissions caused by an action were calculated."
Programs and projects related to targets are led by various state entities, summarized at https://olis.oregonlegislature.gov/liz/2023R1/Downloads/CommitteeMeetingDocument/261893.</t>
  </si>
  <si>
    <t>"consideration of adoption of state goals for carbon sequestration and storage by Oregon's natural and working landscapes'</t>
  </si>
  <si>
    <t>2023-06-20 13:57:02</t>
  </si>
  <si>
    <t>REG-0100</t>
  </si>
  <si>
    <t>Pennsylvania</t>
  </si>
  <si>
    <t>"Governor Tom Wolf issued an Executive Order in 2019 that established a Pennsylvania climate goal of ... an 80% reduction by 2050, from 2005 levels."
Sources:
- https://www.youtube.com/watch?v=0o815pMSB9E
- https://www.dep.pa.gov/Citizens/climate/Pages/PA-Climate-Action-Plan.aspx
- https://www.sierraclub.org/pennsylvania/blog/2022/02/overview-pennsylvanias-2021-climate-action-plan</t>
  </si>
  <si>
    <t>"Governor Tom Wolf issued an Executive Order in 2019 that established a Pennsylvania climate goal of a 26% reduction in GHG emissions statewide by 2025 ...from 2005 levels."
Sources:
- https://www.youtube.com/watch?v=0o815pMSB9E
- https://www.dep.pa.gov/Citizens/climate/Pages/PA-Climate-Action-Plan.aspx
- https://www.sierraclub.org/pennsylvania/blog/2022/02/overview-pennsylvanias-2021-climate-action-plan</t>
  </si>
  <si>
    <t>https://files.dep.state.pa.us/Energy/Office%20of%20Energy%20and%20Technology/OETDPortalFiles/Climate%20Change%20Advisory%20Committee/2021/6-22-21/FINAL_DRAFT_PA_CAP_2021_June_16_2021.pdf</t>
  </si>
  <si>
    <t>- “[g]ases that trap heat in the atmosphere, contributing to global warming and climate change. Common GHGs include carbon dioxide (CO2), methane (CH4), nitrous oxide (N20), and fluorinated gases”.  (p. 162) 
Source: https://www.dep.pa.gov/Citizens/climate/Pages/PA-Climate-Action-Plan.aspx
- "If all states achieved such targets, and other nations met comparable goals, climate science analysis suggests that global temperature rise could be kept below the 2-degree Celsius threshold. Accordingly, the GHG reduction targets used in this Plan are: 26 percent reduction of net GHG emissions by 2025, from 2005 levels, 80 percent reduction of net GHG emissions by 2050, from 2005 levels"
Source: https://www.c2es.org/wp-content/uploads/2020/06/PA_2019_Action_Plan.pdf</t>
  </si>
  <si>
    <t>- "The Pennsylvania Climate Change Act of 2008 (Act 70) requires the Department of Environmental Protection (DEP) to compile an annual greenhouse gas (GHG) inventory for Pennsylvania’s GHG emissions, to develop a voluntary GHG registry, and to develop a climate action plan (CAP) and impacts assessment (IA) and update them every three years."
- "Equity was considered and integrated into the evaluation and prioritization of the GHG reduction strategies. Strategy-specific considerations related to equity are included in the implementation recommendations below."
- Example of equity consideration in Pennsylvania Climate Action Plan 2021: "Be cost-effective on a cost per MTCO2e reduced basis when considered together as a cohesive approach to reducing GHG emissions in the Commonwealth. Additionally, most strategies result in co-benefits such as improved air and water quality, improved health outcomes, increased energy security, and improved equity and environmental justice outcomes."
Source: https://files.dep.state.pa.us/Energy/Office%20of%20Energy%20and%20Technology/OETDPortalFiles/Climate%20Change%20Advisory%20Committee/2021/6-2221/FINAL_DRAFT_PA_CAP_2021_June_16_2021.pdf</t>
  </si>
  <si>
    <t>"The strategies outlined above will rely on existing and future technologies. Leveraging technologies will allow the Commonwealth to more effectively implement the proposed GHG reduction strategies, typically by optimizing performance, reducing overall implementation costs, and/or by reducing GHG emissions at a greater level than possible through alternative technologies or in the absence of technology. Many of these technologies will also be key elements of increasing the resilience and reliability of Pennsylvania’s energy systems. Seven key enabling technologies were identified, including:
• Incentivizing grid-level battery storage;
• Power-to-gas and blue and green hydrogen;
• Carbon capture, utilization, and storage (CCUS);
• Direct Air Capture (DAC);
• Peak energy load and balancing strategies;
• Carbon offsets; and
• Disruptive digital technologies"
Source: https://files.dep.state.pa.us/Energy/Office%20of%20Energy%20and%20Technology/OETDPortalFiles/Climate%20Change%20Advisory%20Committee/2021/6-22-21/FINAL_DRAFT_PA_CAP_2021_June_16_2021.pdf</t>
  </si>
  <si>
    <t>Must be high environmental integrity|Other conditions</t>
  </si>
  <si>
    <t>"Carbon offsets must meet the following requirements: 
• Be verified as legitimate (i.e., a trusted third-party verifies that the offset action will truly reduce emissions)
• Be “additional” (i.e., the activity would not have taken place without the purchase of the offset)
• Be real and permanent (i.e., an acre of trees was actually planted and will not be cut down right after the offset is issued)"
Source: https://files.dep.state.pa.us/Energy/Office%20of%20Energy%20and%20Technology/OETDPortalFiles/Climate%20Change%20Advisory%20Committee/2021/6-2221/FINAL_DRAFT_PA_CAP_2021_June_16_2021.pdf</t>
  </si>
  <si>
    <t>2023-09-12 16:22:19</t>
  </si>
  <si>
    <t>REG-0101</t>
  </si>
  <si>
    <t>Rhode Island</t>
  </si>
  <si>
    <t>§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(http://webserver.rilin.state.ri.us/Statutes/TITLE42/42-6.2/42-6.2-9.htm)</t>
  </si>
  <si>
    <t>2021 Act on Climate mandates 45% reduction below 1990 levels by 2030, 80% below 1990 levels by 2040, and net-zero emissions by 2050. (https://climatechange.ri.gov/act-climate)</t>
  </si>
  <si>
    <t>http://webserver.rilin.state.ri.us/Statutes/TITLE42/42-6.2/INDEX.HTM</t>
  </si>
  <si>
    <t>CO2 and other GHGs are specified in the 2022 Climate Update (https://climatechange.ri.gov/act-climate/2025-climate-update; 2022 Climate Update pdf; pg 14).</t>
  </si>
  <si>
    <t xml:space="preserve">A comprehensive climate strategy will be developed by 2025, to be updated every five years thereafter. The 2022 Climate Update report refined the 1990 baseline measures and provided recommendations for priority actions by sector. High-level modeling of some recommended actions showed that the 2030 mandate will not be met. "[I]t is projected that Rhode Island is not fully on track to meet the Act on Climate’s 2030 reduction mandate of 45% by 0.5 MMTCO2e. To put this in perspective, the emissions in 2030 are projected by the EPS to be 7.39 MMTCO2e, as compared to the 1990 baseline of 12.48 MMTCO2e...More refined modeling and development of specific strategies to increase that confidence will be the crux of the 2025 Climate Strategy." (https://climatechange.ri.gov/act-climate/2025-climate-update; 2022 Climate Update pdf; pgs 9, 60)
References to equity are in § 42-6.2-2 (2) (http://webserver.rilin.state.ri.us/Statutes/TITLE42/42-6.2/42-6.2-2.htm) and the 2022 Update, Priority Actions to Address Climate Justice (pg 88). 
Enforcement (§ 42-6.2-10; http://webserver.rilin.state.ri.us/Statutes/TITLE42/42-6.2/42-6.2-10.htm) allows the state Attorney General or state residents/entities to bring a civil suit after 2026 for not meeting targets. </t>
  </si>
  <si>
    <t>Per 2022 Update (https://climatechange.ri.gov/act-climate/2025-climate-update; 2022 Climate Update pdf), Rhode Island’s revised GHG methodology for the 2019 inventory included emissions sinks. Accounting for 2019 (baseline) included -7.2% of gross GHG emissions (-0.78 MMTCO2e) offset by Land Use, Land Use Change, and Forestry (pg 22). "As we progress toward 2050, we will continue to refine methods of accounting for emissions reductions due to land use, land use change, and forestry." (pg. 16) 
The 2022 Update addresses the use of offsets for baseline accounting in the electric sector (pgs 25-27), but future methodology is not specified.</t>
  </si>
  <si>
    <t>2023-11-19 16:07:46</t>
  </si>
  <si>
    <t>REG-0102</t>
  </si>
  <si>
    <t>South Carolina</t>
  </si>
  <si>
    <t>there are two source URLs:
https://columbiabusinessreport.com/news/innovation/84178/
https://www.sustainsouthcarolina.org/roadmap-to-sustain-sc</t>
  </si>
  <si>
    <t>https://www.sustainsouthcarolina.org/roadmap-to-sustain-sc</t>
  </si>
  <si>
    <t xml:space="preserve">no target specified. </t>
  </si>
  <si>
    <t xml:space="preserve">no public plan published. </t>
  </si>
  <si>
    <t>there are 7 key areas that sustain sc had identified as part of their roadmap to work on to improve south carolina's rankings of sustainable states in the u.s. :
1) partnerships for economic prosperity and quality of life: sustain sc will advance a future of strong cross-sector collaboration among commerce and conservation partners to attract new, sustainable industries, enhance the existing industry in south carolina, and protect our quality of life.
2) the three-legged stool - affordable, reliable, and sustainable energy: through multi-stakeholder engagement with the private and public sector and conservation ngos, sustain sc supports cross-sector energy engagement to retain and attract industry in our state.
3) stem2030 workforce accelerator: sustain sc is modernizing the stem initiative to ensure all learners have the knowledge and skills to promote sustainable development, enhance scientific research, upgrade technology capabilities, and encourage sustainable innovation throughout every workforce sector. 
4) capitalizing on the sustainable revolution: in an effort to establish south carolina as the center point of sustainable economic development, sustain sc is forging alliances between industry and conservation organizations to transition from traditional 20th-century economic practices to 21st-century industries that provide well-paying jobs and implement innovative, sustainable methods in production, supply chain management, and distribution. between 2022 and 2023, companies announced more than $9.7 billion in ev investments across south carolina.
5) the circular economy - south carolina’s new economic opportunity: reducing, reusing, repairing, and repurposing materials for production and consumption in south carolina not only lowers emissions and protects our natural resources, it creates innovative solutions, reduces costs, increases profits, and saves consumers money. industries in sc are engaged in the circular economy, re-envisioning our waste as an economic engine for our future.
6) a resilient state: sustain sc land and water action platform: after five consecutive years of flooding and storms, south carolina’s office of resilience (scor) has created a plan to protect our state’s natural resources and buffer our communities from increased threats through nature-based solutions. sustain sc is collaborating with scor, as well as businesses and organizations in the industry and conservation sectors to leverage state dollars with private and federal dollar investments to protect south carolina's most critical natural resources.
7) meeting goals at the local level: approximately 80% of industries in south carolina are actively assessing and tracking their sustainability efforts. sustain sc is collaborating with both industry and conservation partners to establish standardized metrics and approaches for measuring sustainability at the state level.</t>
  </si>
  <si>
    <t>2023-09-23 12:56:57</t>
  </si>
  <si>
    <t>REG-0103</t>
  </si>
  <si>
    <t>South Dakota</t>
  </si>
  <si>
    <t xml:space="preserve">The state passed over an opportunity to draft a GHG emission reduction plan. It could have availed the grants under Inflation Reduction Act, but failed to do so. 
https://listen.sdpb.org/politics/2023-04-03/state-skips-out-on-3-million-to-craft-emissions-reduction-plan </t>
  </si>
  <si>
    <t>2023-09-20 09:04:54</t>
  </si>
  <si>
    <t>REG-0104</t>
  </si>
  <si>
    <t>Tennessee</t>
  </si>
  <si>
    <t>2023-02-22 13:29:03</t>
  </si>
  <si>
    <t>REG-0105</t>
  </si>
  <si>
    <t>Texas</t>
  </si>
  <si>
    <t>2024-03-19 14:14:40</t>
  </si>
  <si>
    <t>REG-0106</t>
  </si>
  <si>
    <t>Utah</t>
  </si>
  <si>
    <t>Reduce CO2 emissions statewide ... 80% [below 2005 levels] by 2050.</t>
  </si>
  <si>
    <t>Reduce CO2 emissions statewide 25% below 2005 levels by 2025, 50% by 2030</t>
  </si>
  <si>
    <t>"At the request of the Utah Legislature, the Kem C. Gardner Policy Institute ... prepared this Utah Roadmap to assist with legislative policy" - NB have NOT since been adopted by resolution or statute as suggested. See 'roadmap' here - https://gardner.utah.edu/wp-content/uploads/TheUtahRoadmap-Feb2020.pdf?x71849</t>
  </si>
  <si>
    <t>https://gardner.utah.edu/utahroadmap/</t>
  </si>
  <si>
    <t>Carbon dioxide only</t>
  </si>
  <si>
    <t>Reduce criteria pollutant air emissions below 2017 levels by 50% by 2050.
Reduce CO2 emissions statewide 25% below 2005 levels by 2025, 50% by 2030, and 80% by 2050.</t>
  </si>
  <si>
    <t>Equity: Provide transition assistance to impacted rural communities. Prioritize rural economic development in energy dependent areas, Provide training/scholarships, Invest in placemaking, Invest in housing, Capitalize on opportunity zones</t>
  </si>
  <si>
    <t xml:space="preserve">Roadmap only mentions market-based approaches such as "neutral/border adjusted carbon pricing, cap and trade". Also mentions more funding for reforestation. </t>
  </si>
  <si>
    <t>2022-02-05 12:28:53</t>
  </si>
  <si>
    <t>REG-0107</t>
  </si>
  <si>
    <t>Vermont</t>
  </si>
  <si>
    <t>In 2020, the Vermont Legislature passed the Global Warming Solutions Act (Act 153 as Enacted), which created legally binding emission reduction targets. The Act was created in response to concerns around Vermont’s changing climate and the magnitude of what must be done to reduce greenhouse gas emissions and prepare for the impacts of climate change on Vermont’s landscape. The Act requires Vermont to reduce greenhouse gas pollution to 26% below 2005 levels by 2025. Emissions would need to be 40% below 1990 levels by 2030 and 80% below by 2050. In addition to the emission reductions required by the statute, the law also directs the Council to consider opportunities for conservation through long-term carbon sequestration and identify actions Vermont communities can take to better prepare for more extreme weather.</t>
  </si>
  <si>
    <t xml:space="preserve">In 2020, the Vermont Legislature passed the Global Warming Solutions Act (Act 153 as Enacted), which created legally binding emission reduction targets. The Act was created in response to concerns around Vermont’s changing climate and the magnitude of what must be done to reduce greenhouse gas emissions and prepare for the impacts of climate change on Vermont’s landscape. The Act requires Vermont to reduce greenhouse gas pollution to 26% below 2005 levels by 2025. Emissions would need to be 40% below 1990 levels by 2030 and 80% below by 2050. In addition to the emission reductions required by the statute, the law also directs the Council to consider opportunities for conservation through long-term carbon sequestration and identify actions Vermont communities can take to better prepare for more extreme weather.
</t>
  </si>
  <si>
    <t>http://climatechange.ri.gov/state-actions/governor-climate-priorities.php</t>
  </si>
  <si>
    <t>The calculations in https://dec.vermont.gov/sites/dec/files/aqc/climate-change/documents/_Vermont_Greenhouse_Gas_Emissions_Inventory_Update_1990-2017_Final.pdf appear to cover all sectors. this is the basis of their targets.
"The Global Warming Solutions Act includes a requirement that
Vermont achieve net zero emissions by 2050 but does not outline which sectors should be
included and how to quantify fluxes" Vermont has calculated its GHG emissions and Carbon Removal from agriculture, forestry,
and other land uses (AFOLU) in the GHG Emissions Inventory and the Carbon Budget resp. but has not decided what is included in its targets</t>
  </si>
  <si>
    <t>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t>
  </si>
  <si>
    <t xml:space="preserve">SHORT SUMMARY OF PLAN: https://climatechange.vermont.gov/sites/climatecouncilsandbox/files/2021-12/VT%20CAP%20Summary_Final_0.pdf
FULL PLAN: https://climatechange.vermont.gov/sites/climatecouncilsandbox/files/2021-12/Initial%20Climate%20Action%20Plan%20-%20Final%20-%2012-1-21.pdf
Measures start at page 80, with timelines given for each, and numerical targets given some of the time.
REPORTING 2009-2017: https://dec.vermont.gov/sites/dec/files/aqc/climate-change/documents/_Vermont_Greenhouse_Gas_Emissions_Inventory_Update_1990-2017_Final.pdf
SCHEDULE FOR REVIEW: "Adoption of the Vermont Climate Action Plan by December 1, 2021, to be updated at
least every 4 years, "
COMMITMENT TO REPORTING:"Identification of accurate means to measure the state’s GHG emissions and progress
towards meeting the reduction requirements"
EQUITY: "Support economic sectors and regions of the state that face the greatest barriers to
emissions reductions, especially rural and economically distressed regions and industries" equity is mentioned in the details of all the actions
</t>
  </si>
  <si>
    <t>As above, Vermont hasn't decided whether to include natural carbon sinks will be included in its targets</t>
  </si>
  <si>
    <t>2023-08-23 13:44:15</t>
  </si>
  <si>
    <t>REG-0108</t>
  </si>
  <si>
    <t>Virginia</t>
  </si>
  <si>
    <t>Establishing greenhouse gas emissions reduction goals across Virginia's economy sufficient to reach net-zero emissions by 2045, including the electric power, transportation, industrial, agricultural, building, and infrastructure sectors
Source: https://lis.virginia.gov/cgi-bin/legp604.exe?201+ful+CHAP1191</t>
  </si>
  <si>
    <t>Developing energy resources necessary to produce 30 percent of Virginia's electricity from renewable energy sources by 2030. 
Source: https://lis.virginia.gov/cgi-bin/legp604.exe?201+ful+CHAP1191</t>
  </si>
  <si>
    <t>https://lis.virginia.gov/cgi-bin/legp604.exe?201+ful+CHAP1191</t>
  </si>
  <si>
    <t>Virginia aims to decarbonise energy sources whilst ensuring this energy is reliable 
Source: https://lis.virginia.gov/cgi-bin/legp604.exe?201+ful+CHAP1191</t>
  </si>
  <si>
    <t>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t>
  </si>
  <si>
    <t xml:space="preserve">There will be interim updates on the Plan by using numerous scoring systems to measure solar and wind power and measuring the impact on disadvantaged communities. </t>
  </si>
  <si>
    <t xml:space="preserve">virginia intends to improve the welfare and health of their citizens through enabling widespread renewable, cost-efficient energy sources which will also lead to new jobs and generate revenue. by prioritising investments in disadvantaged communities, virgina aims to mitigate the negative impacts of climate change and develop carbon-free energy resources which will in turn decarbonise the power supply of the commonwealth and include the production of 30% renewable energy sources by 2030. </t>
  </si>
  <si>
    <t>2023-12-21 16:54:26</t>
  </si>
  <si>
    <t>REG-0109</t>
  </si>
  <si>
    <t>West Virginia</t>
  </si>
  <si>
    <t>2023-06-20 14:56:03</t>
  </si>
  <si>
    <t>REG-0110</t>
  </si>
  <si>
    <t>Wisconsin</t>
  </si>
  <si>
    <t>"This commitment was first demonstrated in Governor Evers' February 2019 announcement... that he would joining the U.S. Climate Alliance, a bipartisan coalition of 25 governors committed to implementing policies that advance the goals of the Paris Agreement: to reduce GHG emissions to 26-28 percent below 2005 levels by 2025'</t>
  </si>
  <si>
    <t>The emissions reduction percentage is between 26-28% below 2005 levels.</t>
  </si>
  <si>
    <t>https://climatechange.wi.gov/Documents/Final%20Report/GovernorsTaskForceonClimateChangeReport-LowRes.pdf</t>
  </si>
  <si>
    <t>-"Ensure the State of Wisconsin is fulfilling the carbon reduction goals of the 2015 Paris Climate Accord."
Source: https://evers.wi.gov/Documents/EO%20038%20Clean%20Energy.pdf
-"To reduce GHG emissions to 26–28 percent below 2005 levels by 2025."
Source: https://climatechange.wi.gov/Documents/Final%20Report/GovernorsTaskForceonClimateChangeReport-LowRes.pdf</t>
  </si>
  <si>
    <t>-The 2020 Governor's Task Force on Climate Change Report outline climate solutions across 9 sectors including climate justice &amp; equity, energy, transportation and eduction.
Source: https://climatechange.wi.gov/Documents/Final%20Report/GovernorsTaskForceonClimateChangeReport-LowRes.pdf
-Additionally, there is an updated 2023 sectoral plan focusing on how to establish carbon neutral clean energy by 2050.  
Source: https://osce.wi.gov/PublishingImages/Pages/Forms/EditForm/Clean%20Energy%20Plan%202023%20Progress%20Report.pdf</t>
  </si>
  <si>
    <t xml:space="preserve">- The 2020 Governor's Task Force on Climate Change Report will launch carbon pricing pilots, conducting "internal carbon price research and implementation through UW System Institutions"
- "Wisconsin can request plans from utilities that identify how they can cost-effectively close coal plants early. Wisconsin could also consider mechanisms that would allow utilities to cost-effectively address the remaining non-depreciated “book value” of their coal facilities, so these facilities can be closed as soon as feasible, including: Seeking carbon credits from the California or voluntary carbon markets"
- Example of relying on nature-based removals to offset GHG emissions; "In addition, producing thermal energy from sustainably produced biomass that is currently generated by propane or heating oil can offset fossil-fuel use and reduce GHG emissions."
Source: https://climatechange.wi.gov/Documents/Final%20Report/GovernorsTaskForceonClimateChangeReport-LowRes.pdf
</t>
  </si>
  <si>
    <t>No conditions specified</t>
  </si>
  <si>
    <t>2023-12-21 16:52:58</t>
  </si>
  <si>
    <t>REG-0111</t>
  </si>
  <si>
    <t>Wyoming</t>
  </si>
  <si>
    <t>Governor has spoken of "ambitious goal of net negative C02 emissions", but without disruption to fossil fuel industry or mentioning a date
https://governor.wyo.gov/media/news-releases/2021-news-releases/terrapower-wyoming-governor-and-pacificorp-announce-efforts-to-advance-nuc</t>
  </si>
  <si>
    <t>https://governor.wyo.gov/media/news-releases/2021-news-releases/governor-gordon-celebrates-states-resilience-lays-out-vision-to-address-w</t>
  </si>
  <si>
    <t>2024-03-21 18:38:43</t>
  </si>
  <si>
    <t>REG-0790</t>
  </si>
  <si>
    <t>Georgia</t>
  </si>
  <si>
    <t>The State of Georgia does not have an emission reduction target. The Georgia Environmental Protection Division (EPD) has published the "Peach State Voluntary Emission Reduction Plan" (https://www.epa.gov/system/files/documents/2024-03/georgia_psverp.pdf; dated March 8, 2024). The plan states that "[b]ecause the measures included in this plan are voluntary in nature, no additional regulatory authority is required to enable their implementation." The Georgia EPD plans to publish the "Comprehensive Peach State Voluntary Emission Reduction Plan" by June 1, 2025, which will include voluntary GHG reduction targets (see Section 8.2 Comprehensive Peach State Voluntary Emission Reduction Plan).</t>
  </si>
  <si>
    <t>https://www.epa.gov/system/files/documents/2024-03/georgia_psverp.pdf</t>
  </si>
  <si>
    <t>Net Zero Tracker</t>
  </si>
  <si>
    <t>https://ca1-nzt.edcdn.com/Reports/Net_Zero_Stocktake_2023.pdf?v=1696255114/</t>
  </si>
  <si>
    <t>Total Emissions share (%) 2023</t>
  </si>
  <si>
    <t>https://climateactiontracker.org/global/cat-net-zero-target-evaluations/</t>
  </si>
  <si>
    <t>Climate Action Tracker</t>
  </si>
  <si>
    <t>https://zerotracker.net/#data-explorer</t>
  </si>
  <si>
    <t>Biofuels price (US Dollars per gallon)</t>
  </si>
  <si>
    <t>Bioplastics Production (Thousand Tons)</t>
  </si>
  <si>
    <t xml:space="preserve">Canada </t>
  </si>
  <si>
    <t xml:space="preserve">China </t>
  </si>
  <si>
    <t>Bioplastics Market Value ($ million)</t>
  </si>
  <si>
    <t>United Kingdom</t>
  </si>
  <si>
    <t>Market – European Bioplastics e.V. (european-bioplastics.org)</t>
  </si>
  <si>
    <t>Global production with counts provided, originally sourced from nova-Institute</t>
  </si>
  <si>
    <t>BIOPLASTICS MARKET DEVELOPMENT UPDATE 2023 – European Bioplastics e.V. (european-bioplastics.org)</t>
  </si>
  <si>
    <t>Plasticsthefastfacts2023-1.pdf (plasticseurope.org)</t>
  </si>
  <si>
    <t>Potential Additional Data/Data Types</t>
  </si>
  <si>
    <t>https://advantage-marketline-com.libezproxy2.syr.edu/Analysis/ViewasPDF/united-states-bioplastics-183364</t>
  </si>
  <si>
    <t>Report</t>
  </si>
  <si>
    <t>Bioplastics in the United States</t>
  </si>
  <si>
    <t>https://advantage-marketline-com.libezproxy2.syr.edu/Analysis/ViewasPDF/europe-bioplastics-183384</t>
  </si>
  <si>
    <t>Bioplastics in Europe</t>
  </si>
  <si>
    <t>https://advantage-marketline-com.libezproxy2.syr.edu/Analysis/ViewasPDF/canada-bioplastics-183375</t>
  </si>
  <si>
    <t>Bioplastics in Canada</t>
  </si>
  <si>
    <t>Bioplastics in China</t>
  </si>
  <si>
    <t>Bioplastics in Brazil</t>
  </si>
  <si>
    <t>https://advantage-marketline-com.libezproxy2.syr.edu/Analysis/ViewasPDF/brazil-bioplastics-183374</t>
  </si>
  <si>
    <t>Bioplastics in the United Kingdom</t>
  </si>
  <si>
    <t>https://advantage-marketline-com.libezproxy2.syr.edu/Analysis/ViewasPDF/united-kingdom-bioplastics-183398</t>
  </si>
  <si>
    <t>https://advantage-marketline-com.libezproxy2.syr.edu/Analysis/ViewasPDF/china-bioplastics-183405</t>
  </si>
  <si>
    <t>Source of Figure 1.4.1</t>
  </si>
  <si>
    <t>Advanced Economies</t>
  </si>
  <si>
    <t>Emerginf Economies</t>
  </si>
  <si>
    <t>RoW Production (million gallons)</t>
  </si>
  <si>
    <t>World Production (million gallons)</t>
  </si>
  <si>
    <t>RoW Consumption (million gallons)</t>
  </si>
  <si>
    <t>World Consumption (million gallons)</t>
  </si>
  <si>
    <t>RoW Imports (million gallons)</t>
  </si>
  <si>
    <t>World Imports (million gallons)</t>
  </si>
  <si>
    <t>RoW Exports (million gallons)</t>
  </si>
  <si>
    <t>World Exports (million gallons)</t>
  </si>
  <si>
    <t>Renewable diesel</t>
  </si>
  <si>
    <t>2023-2028</t>
  </si>
  <si>
    <t>%</t>
  </si>
  <si>
    <t>Bio-based Chemicals: Key Governmental Policies and Drivers</t>
  </si>
  <si>
    <t>Country/Compact</t>
  </si>
  <si>
    <t>Title</t>
  </si>
  <si>
    <t>Explanation</t>
  </si>
  <si>
    <t>Dates in Place</t>
  </si>
  <si>
    <t>Scale (state or federal, compact or national)</t>
  </si>
  <si>
    <t>Link</t>
  </si>
  <si>
    <t>Extra Information</t>
  </si>
  <si>
    <t xml:space="preserve">
</t>
  </si>
  <si>
    <t>US</t>
  </si>
  <si>
    <t>1. Biopreferred Program 
2. "Bold Goals" &amp; Biden-era executive orders</t>
  </si>
  <si>
    <r>
      <rPr>
        <u/>
        <sz val="10"/>
        <color theme="1"/>
        <rFont val="Arial"/>
        <family val="2"/>
      </rPr>
      <t xml:space="preserve">From BioPreferred: </t>
    </r>
    <r>
      <rPr>
        <sz val="10"/>
        <color theme="1"/>
        <rFont val="Arial"/>
        <family val="2"/>
      </rPr>
      <t xml:space="preserve">"The two major parts of the Program are: </t>
    </r>
    <r>
      <rPr>
        <b/>
        <sz val="10"/>
        <color theme="1"/>
        <rFont val="Arial"/>
        <family val="2"/>
      </rPr>
      <t>mandatory purchasing requirements</t>
    </r>
    <r>
      <rPr>
        <sz val="10"/>
        <color theme="1"/>
        <rFont val="Arial"/>
        <family val="2"/>
      </rPr>
      <t xml:space="preserve"> for federal agencies and their contractors; and, a </t>
    </r>
    <r>
      <rPr>
        <b/>
        <sz val="10"/>
        <color theme="1"/>
        <rFont val="Arial"/>
        <family val="2"/>
      </rPr>
      <t>voluntary labeling initiative</t>
    </r>
    <r>
      <rPr>
        <sz val="10"/>
        <color theme="1"/>
        <rFont val="Arial"/>
        <family val="2"/>
      </rPr>
      <t xml:space="preserve"> for biobased products."
</t>
    </r>
    <r>
      <rPr>
        <u/>
        <sz val="10"/>
        <color theme="1"/>
        <rFont val="Arial"/>
        <family val="2"/>
      </rPr>
      <t xml:space="preserve">From Bold Goals: </t>
    </r>
    <r>
      <rPr>
        <sz val="10"/>
        <color theme="1"/>
        <rFont val="Arial"/>
        <family val="2"/>
      </rPr>
      <t>"Goal 2.1: Develop Low-Carbon-Intensity Chemicals and Materials –</t>
    </r>
    <r>
      <rPr>
        <b/>
        <sz val="10"/>
        <color theme="1"/>
        <rFont val="Arial"/>
        <family val="2"/>
      </rPr>
      <t xml:space="preserve"> In 5 years, produce &gt;20 commercially viable bioproducts with &gt;70% reduced lifecycle GHG emissions</t>
    </r>
    <r>
      <rPr>
        <sz val="10"/>
        <color theme="1"/>
        <rFont val="Arial"/>
        <family val="2"/>
      </rPr>
      <t xml:space="preserve"> over current production practices. 
Goal 2.2: Spur a Circular Economy for Materials – In 20 years, demonstrate and deploy cost-effective and sustainable routes </t>
    </r>
    <r>
      <rPr>
        <b/>
        <sz val="10"/>
        <color theme="1"/>
        <rFont val="Arial"/>
        <family val="2"/>
      </rPr>
      <t xml:space="preserve">to convert bio-based feedstocks into recyclable-by-design polymers that can displace &gt;90% of today’s plastics and other commercial polymers at scale...
</t>
    </r>
    <r>
      <rPr>
        <sz val="10"/>
        <color theme="1"/>
        <rFont val="Arial"/>
        <family val="2"/>
      </rPr>
      <t>Develop innovations at the interface of biology and chemistry to produce platform chemicals and</t>
    </r>
    <r>
      <rPr>
        <b/>
        <sz val="10"/>
        <color theme="1"/>
        <rFont val="Arial"/>
        <family val="2"/>
      </rPr>
      <t xml:space="preserve"> final products with greatest potential to reduce GHG emissions.</t>
    </r>
    <r>
      <rPr>
        <sz val="10"/>
        <color theme="1"/>
        <rFont val="Arial"/>
        <family val="2"/>
      </rPr>
      <t xml:space="preserve"> (Goal 2.1) (pg. 8)"</t>
    </r>
  </si>
  <si>
    <t>Federal agency purchasing preference for biobased products, certification/labeling process (USDA Certified Biobased Product Label) - &gt;3000 companies in US
Executive orders introduced by the Biden administration and addressed/carried out by federal agencies</t>
  </si>
  <si>
    <t>First introduced 2002, reauthorized 2018
Published March 2023</t>
  </si>
  <si>
    <t>Federal</t>
  </si>
  <si>
    <r>
      <rPr>
        <u/>
        <sz val="10"/>
        <color rgb="FF1155CC"/>
        <rFont val="Arial"/>
        <family val="2"/>
      </rPr>
      <t xml:space="preserve">BioPreferred|About
</t>
    </r>
    <r>
      <rPr>
        <u/>
        <sz val="10"/>
        <color rgb="FF99B5E6"/>
        <rFont val="Arial"/>
        <family val="2"/>
      </rPr>
      <t>https://www.whitehouse.gov/wp-content/uploads/2023/03/Bold-Goals-for-U.S.-Biotechnology-and-Biomanufacturing-Harnessing-Research-and-Development-To-Further-Societal-Goals-FINAL.pdf</t>
    </r>
  </si>
  <si>
    <r>
      <rPr>
        <u/>
        <sz val="10"/>
        <color rgb="FF1155CC"/>
        <rFont val="Arial"/>
        <family val="2"/>
      </rPr>
      <t xml:space="preserve">Government regulation of bio-based fuels and chemicals - ScienceDirect (syr.edu)
</t>
    </r>
    <r>
      <rPr>
        <sz val="11"/>
        <color theme="1"/>
        <rFont val="Calibri"/>
        <family val="2"/>
        <scheme val="minor"/>
      </rPr>
      <t xml:space="preserve">(interesting summary on *regulations* involved in the approval of different bio-based chemicals, no form of policy driver mentioned)
</t>
    </r>
    <r>
      <rPr>
        <u/>
        <sz val="10"/>
        <color rgb="FF99B5E6"/>
        <rFont val="Arial"/>
        <family val="2"/>
      </rPr>
      <t xml:space="preserve">https://www.betalabservices.com/biobased/regulatory-bodies.html
</t>
    </r>
    <r>
      <rPr>
        <sz val="11"/>
        <color theme="1"/>
        <rFont val="Calibri"/>
        <family val="2"/>
        <scheme val="minor"/>
      </rPr>
      <t>(Lists state tax credit programs in the U.S. for renewable chemical production including Iowa, Maine, Minnesota)</t>
    </r>
  </si>
  <si>
    <t>EU</t>
  </si>
  <si>
    <t>1. EU Communication: Chemicals Strategy for Sustainability Towards a Toxic-Free Environment
2. EU Green Deal (Circular Economy Action Plan)
3. REACH Regulation Revisions (CLP)</t>
  </si>
  <si>
    <r>
      <rPr>
        <u/>
        <sz val="10"/>
        <color theme="1"/>
        <rFont val="Arial"/>
        <family val="2"/>
      </rPr>
      <t>From Chemicals Communication:</t>
    </r>
    <r>
      <rPr>
        <sz val="10"/>
        <color theme="1"/>
        <rFont val="Arial"/>
        <family val="2"/>
      </rPr>
      <t xml:space="preserve"> "2.1. Promoting safe and sustainable-by-design chemicals...
The Commission will:
·develop </t>
    </r>
    <r>
      <rPr>
        <b/>
        <sz val="10"/>
        <color theme="1"/>
        <rFont val="Arial"/>
        <family val="2"/>
      </rPr>
      <t>EU safe and sustainable-by-design criteria</t>
    </r>
    <r>
      <rPr>
        <sz val="10"/>
        <color theme="1"/>
        <rFont val="Arial"/>
        <family val="2"/>
      </rPr>
      <t xml:space="preserve"> for chemicals;
·establish an EU-wide safe and sustainable-by-design support network to promote cooperation and sharing of information across sectors and the value chain and provide technical expertise on alternatives;
·ensure the development, commercialisation, deployment and uptake of safe and sustainable-by-design substances, materials and products </t>
    </r>
    <r>
      <rPr>
        <b/>
        <sz val="10"/>
        <color theme="1"/>
        <rFont val="Arial"/>
        <family val="2"/>
      </rPr>
      <t>through financial support 25 – in particular to SMEs – under Horizon Europe, cohesion policy, the LIFE programme, other relevant EU funding and investment instruments and public-private partnerships;</t>
    </r>
    <r>
      <rPr>
        <sz val="10"/>
        <color theme="1"/>
        <rFont val="Arial"/>
        <family val="2"/>
      </rPr>
      <t xml:space="preserve">
·map and address safe and sustainable-by-design skills mismatches and competence gaps, and ensure adequate skills at all levels - including in vocational and tertiary education, research, industry and among regulators;
·establish, in close cooperation with stakeholders, </t>
    </r>
    <r>
      <rPr>
        <b/>
        <sz val="10"/>
        <color theme="1"/>
        <rFont val="Arial"/>
        <family val="2"/>
      </rPr>
      <t>Key Performance Indicators to measure the industrial transition towards the production of safe and sustainable chemicals</t>
    </r>
    <r>
      <rPr>
        <sz val="10"/>
        <color theme="1"/>
        <rFont val="Arial"/>
        <family val="2"/>
      </rPr>
      <t xml:space="preserve">;
·ensure that the legislation on industrial emissions promotes the use of safer chemicals by industry in the EU by </t>
    </r>
    <r>
      <rPr>
        <b/>
        <sz val="10"/>
        <color theme="1"/>
        <rFont val="Arial"/>
        <family val="2"/>
      </rPr>
      <t>requiring on-site risk assessments and by restricting the use of substances of very high concern</t>
    </r>
    <r>
      <rPr>
        <sz val="10"/>
        <color theme="1"/>
        <rFont val="Arial"/>
        <family val="2"/>
      </rPr>
      <t xml:space="preserve">."
</t>
    </r>
    <r>
      <rPr>
        <u/>
        <sz val="10"/>
        <color theme="1"/>
        <rFont val="Arial"/>
        <family val="2"/>
      </rPr>
      <t>From Circular Economy Action Plan:</t>
    </r>
    <r>
      <rPr>
        <sz val="10"/>
        <color theme="1"/>
        <rFont val="Arial"/>
        <family val="2"/>
      </rPr>
      <t xml:space="preserve"> "As part of this legislative initiative, and, where appropriate, through complementary legislative proposals, the Commission will consider establishing sustainability principles and other appropriate ways to regulate the following aspects:
·improving product durability, reusability, upgradability and reparability, </t>
    </r>
    <r>
      <rPr>
        <b/>
        <sz val="10"/>
        <color theme="1"/>
        <rFont val="Arial"/>
        <family val="2"/>
      </rPr>
      <t>addressing the presence of hazardous chemicals in products</t>
    </r>
    <r>
      <rPr>
        <sz val="10"/>
        <color theme="1"/>
        <rFont val="Arial"/>
        <family val="2"/>
      </rPr>
      <t>, and increasing their energy and resource efficiency;
·increasing recycled content in products, while ensuring their performance and safety;
·</t>
    </r>
    <r>
      <rPr>
        <b/>
        <sz val="10"/>
        <color theme="1"/>
        <rFont val="Arial"/>
        <family val="2"/>
      </rPr>
      <t>enabling remanufacturing and high-quality recycling</t>
    </r>
    <r>
      <rPr>
        <sz val="10"/>
        <color theme="1"/>
        <rFont val="Arial"/>
        <family val="2"/>
      </rPr>
      <t xml:space="preserve">;..."
</t>
    </r>
    <r>
      <rPr>
        <u/>
        <sz val="10"/>
        <color theme="1"/>
        <rFont val="Arial"/>
        <family val="2"/>
      </rPr>
      <t xml:space="preserve">
From EU REACH regulations: </t>
    </r>
    <r>
      <rPr>
        <sz val="10"/>
        <color theme="1"/>
        <rFont val="Arial"/>
        <family val="2"/>
      </rPr>
      <t xml:space="preserve">"Once adopted, the agreed changes in the regulation of today, </t>
    </r>
    <r>
      <rPr>
        <b/>
        <sz val="10"/>
        <color theme="1"/>
        <rFont val="Arial"/>
        <family val="2"/>
      </rPr>
      <t>as well as the new hazard criteria for endocrine disruptors and persistent and toxic chemicals in the environment</t>
    </r>
    <r>
      <rPr>
        <sz val="10"/>
        <color theme="1"/>
        <rFont val="Arial"/>
        <family val="2"/>
      </rPr>
      <t xml:space="preserve"> that already apply since April this year, will ensure improved communication and identification of chemical hazards. "</t>
    </r>
  </si>
  <si>
    <t>Thorough communication outlining the approach of EU to addressing chemical sustainability through circularity, with emphasis on "sustainable-by-design" production, industrial transitions, and proposed revision of REACH (Registration, Evaluation, Authorisation, and Restriction of Chemicals) regulations
Circular Economy Action Plan places a large emphasis on the removal of harmful/hazardous chemicals from product supply chains like plastics and textiles (3.4, 3.5), ensuring secondary raw materials are toxic-free (4.2), in addition to providing examples of potential funding for circular innovations like chemical recycling (6.3)
Revision of initial REACH regulations from 2007 to expand for environmental protections is a key driver to increased production/application of bio-based chemicals as a means of conforming with the new regulations against hazardous materials, PFAs, endocrine disruptors, etc. - classification, labeling and packaging of chemicals (CLP) regulation is one of the new revisions</t>
  </si>
  <si>
    <t>Published 10/2020
Published 11/2020
Initial CLP reivison announced 12/2022, revised CLP regulations in effect 12/2023</t>
  </si>
  <si>
    <t>Compact</t>
  </si>
  <si>
    <r>
      <rPr>
        <u/>
        <sz val="10"/>
        <color rgb="FF1155CC"/>
        <rFont val="Arial"/>
        <family val="2"/>
      </rPr>
      <t xml:space="preserve">EUR-Lex - 52020DC0667 - EN - EUR-Lex (europa.eu) 
</t>
    </r>
    <r>
      <rPr>
        <u/>
        <sz val="10"/>
        <color rgb="FF99B5E6"/>
        <rFont val="Arial"/>
        <family val="2"/>
      </rPr>
      <t>https://eur-lex.europa.eu/legal-content/EN/TXT/?uri=COM:2020:98:FIN</t>
    </r>
    <r>
      <rPr>
        <sz val="11"/>
        <color theme="1"/>
        <rFont val="Calibri"/>
        <family val="2"/>
        <scheme val="minor"/>
      </rPr>
      <t xml:space="preserve">
</t>
    </r>
    <r>
      <rPr>
        <u/>
        <sz val="10"/>
        <color rgb="FF99B5E6"/>
        <rFont val="Arial"/>
        <family val="2"/>
      </rPr>
      <t>https://ec.europa.eu/commission/presscorner/detail/en/ip_22_7775</t>
    </r>
    <r>
      <rPr>
        <sz val="11"/>
        <color theme="1"/>
        <rFont val="Calibri"/>
        <family val="2"/>
        <scheme val="minor"/>
      </rPr>
      <t xml:space="preserve">
</t>
    </r>
    <r>
      <rPr>
        <u/>
        <sz val="10"/>
        <color rgb="FF99B5E6"/>
        <rFont val="Arial"/>
        <family val="2"/>
      </rPr>
      <t>https://ec.europa.eu/commission/presscorner/detail/en/ip_23_6381</t>
    </r>
    <r>
      <rPr>
        <sz val="11"/>
        <color theme="1"/>
        <rFont val="Calibri"/>
        <family val="2"/>
        <scheme val="minor"/>
      </rPr>
      <t xml:space="preserve">
(CLP endocrine disruptor/long lasting chemical rules + CLP Regulation provisional agreement)
</t>
    </r>
    <r>
      <rPr>
        <u/>
        <sz val="10"/>
        <color rgb="FF99B5E6"/>
        <rFont val="Arial"/>
        <family val="2"/>
      </rPr>
      <t>https://research-and-innovation.ec.europa.eu/document/download/2c78478d-b493-48c4-9bc9-f97464d22b6f_en?filename=Commission%20recommendation%20-%20establishing%20a%20European%20assessment%20framework%20for%20safe%20and%20sustainable%20by%20design.PDF</t>
    </r>
    <r>
      <rPr>
        <sz val="11"/>
        <color theme="1"/>
        <rFont val="Calibri"/>
        <family val="2"/>
        <scheme val="minor"/>
      </rPr>
      <t xml:space="preserve"> (Framework for assessment of "safe and sustainable by design")
</t>
    </r>
    <r>
      <rPr>
        <u/>
        <sz val="10"/>
        <color rgb="FF99B5E6"/>
        <rFont val="Arial"/>
        <family val="2"/>
      </rPr>
      <t xml:space="preserve">
</t>
    </r>
  </si>
  <si>
    <t>1. Pan-Canadian Framework on Clean Growth and Climate Change, Synthesis report with examples of application/implementation
2. Guidance Document for the New Substances Notification</t>
  </si>
  <si>
    <r>
      <rPr>
        <u/>
        <sz val="10"/>
        <color theme="1"/>
        <rFont val="Arial"/>
        <family val="2"/>
      </rPr>
      <t>From Pan-Canadian Framework, Under 'Industry'</t>
    </r>
    <r>
      <rPr>
        <sz val="10"/>
        <color theme="1"/>
        <rFont val="Arial"/>
        <family val="2"/>
      </rPr>
      <t xml:space="preserve">:
"New actions
1. Increasing stored carbon
Federal, provincial, and territorial governments will work together to protect and enhance carbon sinks, including in forests, wetlands, and agricultural lands (e.g. through land-use and conservation measures).
2. Increasing the use of wood for construction
Federal, provincial, and territorial governments will collaborate to encourage the increased use of wood products in construction, including through updated building codes.
3. Generating bioenergy and bioproducts
</t>
    </r>
    <r>
      <rPr>
        <b/>
        <sz val="10"/>
        <color theme="1"/>
        <rFont val="Arial"/>
        <family val="2"/>
      </rPr>
      <t>Federal, provincial, and territorial governments will work together to identify opportunities to produce renewable fuels and bioproducts</t>
    </r>
    <r>
      <rPr>
        <sz val="10"/>
        <color theme="1"/>
        <rFont val="Arial"/>
        <family val="2"/>
      </rPr>
      <t xml:space="preserve">, for example, generating renewable fuel from waste.
4. Advancing innovation
Federal, provincial, and territorial governments will work together to enhance innovation to advance GHG efficient management practices in forestry and agriculture."
</t>
    </r>
    <r>
      <rPr>
        <u/>
        <sz val="10"/>
        <color theme="1"/>
        <rFont val="Arial"/>
        <family val="2"/>
      </rPr>
      <t>From 4th Implementation Report, Under 'Generating bioenergy and bioproducts':</t>
    </r>
    <r>
      <rPr>
        <sz val="10"/>
        <color theme="1"/>
        <rFont val="Arial"/>
        <family val="2"/>
      </rPr>
      <t xml:space="preserve">
"Canada finished accepting projects for the </t>
    </r>
    <r>
      <rPr>
        <b/>
        <sz val="10"/>
        <color theme="1"/>
        <rFont val="Arial"/>
        <family val="2"/>
      </rPr>
      <t>Agricultural Clean Technology Program</t>
    </r>
    <r>
      <rPr>
        <sz val="10"/>
        <color theme="1"/>
        <rFont val="Arial"/>
        <family val="2"/>
      </rPr>
      <t xml:space="preserve">, with 12 projects being approved for funding.
British Columbia continued funding bioproducts, biogas, and clean technology development under the </t>
    </r>
    <r>
      <rPr>
        <b/>
        <sz val="10"/>
        <color theme="1"/>
        <rFont val="Arial"/>
        <family val="2"/>
      </rPr>
      <t>Agri-Innovation Program</t>
    </r>
    <r>
      <rPr>
        <sz val="10"/>
        <color theme="1"/>
        <rFont val="Arial"/>
        <family val="2"/>
      </rPr>
      <t xml:space="preserve">, and continued developing a new Forest Biomass Supply Information System to support high-value bioproducts development.
Québec continued implementation of the </t>
    </r>
    <r>
      <rPr>
        <b/>
        <sz val="10"/>
        <color theme="1"/>
        <rFont val="Arial"/>
        <family val="2"/>
      </rPr>
      <t>2018-2023 Development Strategy for Québec’s Forest Products Industry</t>
    </r>
    <r>
      <rPr>
        <sz val="10"/>
        <color theme="1"/>
        <rFont val="Arial"/>
        <family val="2"/>
      </rPr>
      <t xml:space="preserve"> and continued providing support for programs and initiatives to promote and increase the use of biofuels and biomass."
</t>
    </r>
    <r>
      <rPr>
        <u/>
        <sz val="10"/>
        <color theme="1"/>
        <rFont val="Arial"/>
        <family val="2"/>
      </rPr>
      <t xml:space="preserve">
From Guidance on New Substance: </t>
    </r>
    <r>
      <rPr>
        <sz val="10"/>
        <color theme="1"/>
        <rFont val="Arial"/>
        <family val="2"/>
      </rPr>
      <t xml:space="preserve">"This Guidance Document is meant to </t>
    </r>
    <r>
      <rPr>
        <b/>
        <sz val="10"/>
        <color theme="1"/>
        <rFont val="Arial"/>
        <family val="2"/>
      </rPr>
      <t>help notifiers determine whether a substance is subject to notification under the Regulations and identify the information requirements</t>
    </r>
    <r>
      <rPr>
        <sz val="10"/>
        <color theme="1"/>
        <rFont val="Arial"/>
        <family val="2"/>
      </rPr>
      <t xml:space="preserve">. In addition, it provides information including but not limited to:
- step-by-step instructions for the completion of a New Substances Notification (NSN)
- user-friendly flowcharts to aid in determining the appropriate Schedule to file (consult Appendix 1)
- technical considerations of the information requirements
- detailed instructions on how to complete the New Substances Notification Form
- identification of appropriate test procedures and practices to use and
- an outline of how confidential information should be submitted"
</t>
    </r>
  </si>
  <si>
    <t>Pan-Canadian Framework adopts several different measures to increase biomass utilization, with focus on encouraging innovation for bioproducts through government funding and collaboration. Efforts are particularly focused on developing biofuels and incorporating biomass into energy profiles. Limited attention on advancing 'green chemistry', 'biochemistry', 'renewable/sustainable chemical alternatives' or anything similar in Canada's sustainability policy.
Follow-up report shows examples of state collaboration and province-based initiatives with regard to biomass incorporation and application development.
Guidance document outlines policies included in the New Substances Fees Regulations for chemicals and polymers such as testing, reporting, and production guidelines 
***Not necessarily a direct driver of biobased chemical usage, but provides in-depth information on how biobased chemicals are approved/accepted into Canadian markets</t>
  </si>
  <si>
    <t>Pan-Canadian Framework adopted in 2016, implementation progress report up to 2020 published in 2022 (5th report expected in 2024 according to update cycle)
New Substances Notification Regulations established in 2005, guidance for biopolymers/bioproducts updated in 2023</t>
  </si>
  <si>
    <t>National with province-based application for Pan-Canadian Framework, National for New Substances Notification</t>
  </si>
  <si>
    <r>
      <rPr>
        <u/>
        <sz val="10"/>
        <color rgb="FF99B5E6"/>
        <rFont val="Arial"/>
        <family val="2"/>
      </rPr>
      <t>https://www.canada.ca/en/services/environment/weather/climatechange/pan-canadian-framework.html</t>
    </r>
    <r>
      <rPr>
        <sz val="11"/>
        <color theme="1"/>
        <rFont val="Calibri"/>
        <family val="2"/>
        <scheme val="minor"/>
      </rPr>
      <t xml:space="preserve">
</t>
    </r>
    <r>
      <rPr>
        <u/>
        <sz val="10"/>
        <color rgb="FF99B5E6"/>
        <rFont val="Arial"/>
        <family val="2"/>
      </rPr>
      <t>https://www.canada.ca/en/services/environment/weather/climatechange/pan-canadian-framework/fourth-annual-report.html#toc12</t>
    </r>
    <r>
      <rPr>
        <sz val="11"/>
        <color theme="1"/>
        <rFont val="Calibri"/>
        <family val="2"/>
        <scheme val="minor"/>
      </rPr>
      <t xml:space="preserve"> (4th follow-up report on implementation of Pan-Canadian Framework with examples)
</t>
    </r>
    <r>
      <rPr>
        <u/>
        <sz val="10"/>
        <color rgb="FF99B5E6"/>
        <rFont val="Arial"/>
        <family val="2"/>
      </rPr>
      <t xml:space="preserve">https://laws-lois.justice.gc.ca/eng/regulations/SOR-2005-247/page-1.html#h-717759
</t>
    </r>
    <r>
      <rPr>
        <sz val="11"/>
        <color theme="1"/>
        <rFont val="Calibri"/>
        <family val="2"/>
        <scheme val="minor"/>
      </rPr>
      <t xml:space="preserve">(2005 regulation law)
</t>
    </r>
    <r>
      <rPr>
        <u/>
        <sz val="10"/>
        <color rgb="FF99B5E6"/>
        <rFont val="Arial"/>
        <family val="2"/>
      </rPr>
      <t xml:space="preserve">https://www.canada.ca/en/environment-climate-change/services/managing-pollution/evaluating-new-substances/chemicals-polymers/guidance.html#toc1
</t>
    </r>
    <r>
      <rPr>
        <sz val="11"/>
        <color theme="1"/>
        <rFont val="Calibri"/>
        <family val="2"/>
        <scheme val="minor"/>
      </rPr>
      <t xml:space="preserve">(guidance document)
</t>
    </r>
  </si>
  <si>
    <t>1. 14th Five-Year Plan for Bioeconomy Development (2021-2025)
2. Action Plan on New Pollutants Governance
3. National Standard GB/T 39514-2020</t>
  </si>
  <si>
    <r>
      <rPr>
        <u/>
        <sz val="10"/>
        <color theme="1"/>
        <rFont val="Arial"/>
        <family val="2"/>
      </rPr>
      <t>From the 14th 5-Year Plan</t>
    </r>
    <r>
      <rPr>
        <sz val="10"/>
        <color theme="1"/>
        <rFont val="Arial"/>
        <family val="2"/>
      </rPr>
      <t xml:space="preserve">: "Stage I: (2021–2025)
By 2025, </t>
    </r>
    <r>
      <rPr>
        <b/>
        <sz val="10"/>
        <color theme="1"/>
        <rFont val="Arial"/>
        <family val="2"/>
      </rPr>
      <t>Chinese bioeconomy should be increased in its scale with enhanced comprehensive strength in science and technology combined with industrial integration</t>
    </r>
    <r>
      <rPr>
        <sz val="10"/>
        <color theme="1"/>
        <rFont val="Arial"/>
        <family val="2"/>
      </rPr>
      <t xml:space="preserve"> and enhanced bio‐security. The bioeconomy will protect and use biological resources, deeply integrating medicine, healthcare, agriculture, forestry, energy, environmental protection, </t>
    </r>
    <r>
      <rPr>
        <b/>
        <sz val="10"/>
        <color theme="1"/>
        <rFont val="Arial"/>
        <family val="2"/>
      </rPr>
      <t>materials</t>
    </r>
    <r>
      <rPr>
        <sz val="10"/>
        <color theme="1"/>
        <rFont val="Arial"/>
        <family val="2"/>
      </rPr>
      <t xml:space="preserve">, and other sectors so as to allow bioeconomy to become a key driving force for high‐quality developments.
Stage II: (2026–2035)
By 2035, China is set to be at the forefront in the world in terms of the comprehensive strength of its bioeconomy. In details, China will basically </t>
    </r>
    <r>
      <rPr>
        <b/>
        <sz val="10"/>
        <color theme="1"/>
        <rFont val="Arial"/>
        <family val="2"/>
      </rPr>
      <t>establish a new stage of development featuring advanced technology, strong bioindustries, extensive integration and applications</t>
    </r>
    <r>
      <rPr>
        <sz val="10"/>
        <color theme="1"/>
        <rFont val="Arial"/>
        <family val="2"/>
      </rPr>
      <t>, strong resource support, controllable bio‐risks, and complete institutional R&amp;D systems....
As problems such as environmental pollution and global warming are becoming increasingly serious, it is of great significance t</t>
    </r>
    <r>
      <rPr>
        <b/>
        <sz val="10"/>
        <color theme="1"/>
        <rFont val="Arial"/>
        <family val="2"/>
      </rPr>
      <t>o develop an environmentally friendly and sustainable bio‐manufacturing industry</t>
    </r>
    <r>
      <rPr>
        <sz val="10"/>
        <color theme="1"/>
        <rFont val="Arial"/>
        <family val="2"/>
      </rPr>
      <t xml:space="preserve">...Synthetic and systems biology, metabolic engineering, and new processing technology </t>
    </r>
    <r>
      <rPr>
        <b/>
        <sz val="10"/>
        <color theme="1"/>
        <rFont val="Arial"/>
        <family val="2"/>
      </rPr>
      <t>will be used for low‐cost production of chemicals</t>
    </r>
    <r>
      <rPr>
        <sz val="10"/>
        <color theme="1"/>
        <rFont val="Arial"/>
        <family val="2"/>
      </rPr>
      <t xml:space="preserve">, materials, fuels, proteins, and medicines"
</t>
    </r>
    <r>
      <rPr>
        <u/>
        <sz val="10"/>
        <color theme="1"/>
        <rFont val="Arial"/>
        <family val="2"/>
      </rPr>
      <t>From Action Plan</t>
    </r>
    <r>
      <rPr>
        <sz val="10"/>
        <color theme="1"/>
        <rFont val="Arial"/>
        <family val="2"/>
      </rPr>
      <t xml:space="preserve">: "The Plan </t>
    </r>
    <r>
      <rPr>
        <b/>
        <sz val="10"/>
        <color theme="1"/>
        <rFont val="Arial"/>
        <family val="2"/>
      </rPr>
      <t>establishes a framework</t>
    </r>
    <r>
      <rPr>
        <sz val="10"/>
        <color theme="1"/>
        <rFont val="Arial"/>
        <family val="2"/>
      </rPr>
      <t>, which will be developed by decrees and regulations to come,</t>
    </r>
    <r>
      <rPr>
        <b/>
        <sz val="10"/>
        <color theme="1"/>
        <rFont val="Arial"/>
        <family val="2"/>
      </rPr>
      <t xml:space="preserve"> for an environmental risk management system for chemical</t>
    </r>
    <r>
      <rPr>
        <sz val="10"/>
        <color theme="1"/>
        <rFont val="Arial"/>
        <family val="2"/>
      </rPr>
      <t xml:space="preserve">s, and integration and expansion of China’s existing regulatory programs on chemicals. It also encourages local governments to implement a risk assessment system and promulgate local control plans, rules, and standards on the management of key chemicals to supplement the regulatory programs specified in the Plan."
</t>
    </r>
    <r>
      <rPr>
        <u/>
        <sz val="10"/>
        <color theme="1"/>
        <rFont val="Arial"/>
        <family val="2"/>
      </rPr>
      <t>From National Standard</t>
    </r>
    <r>
      <rPr>
        <sz val="10"/>
        <color theme="1"/>
        <rFont val="Arial"/>
        <family val="2"/>
      </rPr>
      <t>: "This standard includes 58 terminologies and their definitions...This standard specifies the identification of biobased materials and product materials.</t>
    </r>
  </si>
  <si>
    <t>The 14th Five-Year Plan establishes (mostly in vague terms) an outline for critical areas of advancement in the Chinese bioeconomy. The 'Bio-manufacturing' field (3.3) focuses on implementation of biomass power in rural areas, while 'Industrial development' (4.2) is incorporated as a pathway for improving development of bioeconomy through increased usage of biological alternatives in medical, agricultural, energy, and chemical industries
The Action Plan creates a regulatory enforcement framework for compliance with toxic chemicals. ***Not a direct driver, but an applied regulation on chemicals that could be replaced by biological sustainable alternatives. 
National Standard creaets definitions for biobased materials, including biobased chemicals, that are required for creation of new biobased materials and their implementation into the market</t>
  </si>
  <si>
    <t>Five-year plan created in 2022, Action Plan issued in 2022, National Standard released in 2021</t>
  </si>
  <si>
    <t xml:space="preserve">National </t>
  </si>
  <si>
    <r>
      <rPr>
        <u/>
        <sz val="10"/>
        <color rgb="FF99B5E6"/>
        <rFont val="Arial"/>
        <family val="2"/>
      </rPr>
      <t>https://www-ncbi-nlm-nih-gov.libezproxy2.syr.edu/pmc/articles/PMC9995158/</t>
    </r>
    <r>
      <rPr>
        <sz val="11"/>
        <color theme="1"/>
        <rFont val="Calibri"/>
        <family val="2"/>
        <scheme val="minor"/>
      </rPr>
      <t xml:space="preserve">
</t>
    </r>
    <r>
      <rPr>
        <u/>
        <sz val="10"/>
        <color rgb="FF99B5E6"/>
        <rFont val="Arial"/>
        <family val="2"/>
      </rPr>
      <t>https://www.bdlaw.com/publications/china-sets-out-a-regulatory-roadmap-to-control-new-chemicals/</t>
    </r>
    <r>
      <rPr>
        <sz val="11"/>
        <color theme="1"/>
        <rFont val="Calibri"/>
        <family val="2"/>
        <scheme val="minor"/>
      </rPr>
      <t xml:space="preserve">
</t>
    </r>
    <r>
      <rPr>
        <u/>
        <sz val="10"/>
        <color rgb="FF99B5E6"/>
        <rFont val="Arial"/>
        <family val="2"/>
      </rPr>
      <t>https://www.sgs.com/en-id/news/2021/04/safeguards-04721-china-releases-a-new-national-standard-gb-t-39514-2020</t>
    </r>
  </si>
  <si>
    <t>1. 25 Year Environmnetal Plan 
2. UK REACH</t>
  </si>
  <si>
    <r>
      <rPr>
        <u/>
        <sz val="10"/>
        <color theme="1"/>
        <rFont val="Arial"/>
        <family val="2"/>
      </rPr>
      <t>From ChemTrust</t>
    </r>
    <r>
      <rPr>
        <sz val="10"/>
        <color theme="1"/>
        <rFont val="Arial"/>
        <family val="2"/>
      </rPr>
      <t xml:space="preserve">: "The UK Government committed to developing a new Chemicals Strategy to set out its approach for managing chemicals. </t>
    </r>
    <r>
      <rPr>
        <b/>
        <sz val="10"/>
        <color theme="1"/>
        <rFont val="Arial"/>
        <family val="2"/>
      </rPr>
      <t>However, the publication of this strategy has been subject to a series of delays</t>
    </r>
    <r>
      <rPr>
        <sz val="10"/>
        <color theme="1"/>
        <rFont val="Arial"/>
        <family val="2"/>
      </rPr>
      <t xml:space="preserve">."
</t>
    </r>
    <r>
      <rPr>
        <u/>
        <sz val="10"/>
        <color theme="1"/>
        <rFont val="Arial"/>
        <family val="2"/>
      </rPr>
      <t>From 25 Year Plan</t>
    </r>
    <r>
      <rPr>
        <sz val="10"/>
        <color theme="1"/>
        <rFont val="Arial"/>
        <family val="2"/>
      </rPr>
      <t>: "We will make sure that chemicals are safely used and managed, and that the levels of harmful chemicals entering the environment (including through agriculture) are significantly reduced. We will do this by:
- seeking in particular to eliminate the use of Polychlorinated Biphenyls by 2025, in line with our commitments under the Stockholm Convention
- reducing land-based emissions of mercury to air and water by 50% by 2030
- substantially increasing the amount of Persistent Organic Pollutants material being destroyed or irreversibly transformed by 2030, to make sure there are negligible emissions to the environment
- fulfilling our commitments under the Stockholm Convention as outlined in the UK’s most recent National Implementation Plan"</t>
    </r>
  </si>
  <si>
    <t>The UK lacks any form of cohesive biochemical policy post Brexit - a formal Chemical Strategy is planned as part of the 25 Year Environmental Plan, but there is no proposed date/year for release. There are several UK-based organizations that have made recommendations for a strategy with emphasis on biomaterials, but they are not formal or government-owned (included in extra information)
The 25 Year Plan does highlight eliminating certain chemicals as part of their still anticipated Chemical Strategy
UK REACH mirrors 'grandfathered' EU regulations on chemicals and compliance in addition to new substance registrations</t>
  </si>
  <si>
    <t>Chemical Strategy TBD (25 Year Plan set in 2018)
UK REACH launched in 2021</t>
  </si>
  <si>
    <t>National</t>
  </si>
  <si>
    <r>
      <rPr>
        <u/>
        <sz val="10"/>
        <color rgb="FF99B5E6"/>
        <rFont val="Arial"/>
        <family val="2"/>
      </rPr>
      <t>https://chemtrust.org/uk-policy/#ukstrategy
https://assets.publishing.service.gov.uk/media/5ab3a67840f0b65bb584297e/25-year-environment-plan.pdf</t>
    </r>
    <r>
      <rPr>
        <sz val="11"/>
        <color theme="1"/>
        <rFont val="Calibri"/>
        <family val="2"/>
        <scheme val="minor"/>
      </rPr>
      <t xml:space="preserve"> (25 Year Plan)
</t>
    </r>
    <r>
      <rPr>
        <u/>
        <sz val="10"/>
        <color rgb="FF99B5E6"/>
        <rFont val="Arial"/>
        <family val="2"/>
      </rPr>
      <t>https://assets.publishing.service.gov.uk/media/5a8208dbe5274a2e8ab57276/25-year-environment-plan-annex2.pdf</t>
    </r>
    <r>
      <rPr>
        <sz val="11"/>
        <color theme="1"/>
        <rFont val="Calibri"/>
        <family val="2"/>
        <scheme val="minor"/>
      </rPr>
      <t xml:space="preserve"> (strategies document)
</t>
    </r>
    <r>
      <rPr>
        <u/>
        <sz val="10"/>
        <color rgb="FF99B5E6"/>
        <rFont val="Arial"/>
        <family val="2"/>
      </rPr>
      <t>https://www.hse.gov.uk/reach/about.htm</t>
    </r>
    <r>
      <rPr>
        <sz val="11"/>
        <color theme="1"/>
        <rFont val="Calibri"/>
        <family val="2"/>
        <scheme val="minor"/>
      </rPr>
      <t xml:space="preserve">
</t>
    </r>
    <r>
      <rPr>
        <u/>
        <sz val="10"/>
        <color rgb="FF99B5E6"/>
        <rFont val="Arial"/>
        <family val="2"/>
      </rPr>
      <t xml:space="preserve">https://www.gov.uk/government/news/new-uk-chemicals-regime-launched
</t>
    </r>
  </si>
  <si>
    <r>
      <rPr>
        <u/>
        <sz val="10"/>
        <rFont val="Arial"/>
        <family val="2"/>
      </rPr>
      <t>UK Chemical Organization Plans/Recommendations:</t>
    </r>
    <r>
      <rPr>
        <sz val="10"/>
        <rFont val="Arial"/>
        <family val="2"/>
      </rPr>
      <t xml:space="preserve">
CIA (Chemical Industries Association) - </t>
    </r>
    <r>
      <rPr>
        <u/>
        <sz val="10"/>
        <color rgb="FF99B5E6"/>
        <rFont val="Arial"/>
        <family val="2"/>
      </rPr>
      <t>https://www.cia.org.uk/Portals/0/Documents/CIA%20Manifesto%202024_4.pdf?ver=2024-02-14-171451-233</t>
    </r>
    <r>
      <rPr>
        <sz val="10"/>
        <rFont val="Arial"/>
        <family val="2"/>
      </rPr>
      <t xml:space="preserve">
SOCI (Society of Chemical Industry) -
</t>
    </r>
    <r>
      <rPr>
        <u/>
        <sz val="10"/>
        <color rgb="FF99B5E6"/>
        <rFont val="Arial"/>
        <family val="2"/>
      </rPr>
      <t xml:space="preserve">https://www.soci.org/-/media/Files/Innovation-Group/CGP-Strategy-for-delivering-chemistryfuelled-growth-of-the-uk-economy.ashx?la=en#:~:text=Essential%20to%20chemistry's%20ability%20to,the%20UK's%20chemistry%20supply%20chains
</t>
    </r>
    <r>
      <rPr>
        <sz val="10"/>
        <rFont val="Arial"/>
        <family val="2"/>
      </rPr>
      <t xml:space="preserve">RSC (Royal Society of Chemistry) -
</t>
    </r>
    <r>
      <rPr>
        <u/>
        <sz val="10"/>
        <color rgb="FF99B5E6"/>
        <rFont val="Arial"/>
        <family val="2"/>
      </rPr>
      <t>https://www.rsc.org/globalassets/22-new-perspectives/sustainability/a-chemicals-strategy-for-a-sustainable-chemicals-revolution/rsc-uk-chemical-framework-drivers-scope-2020.pdf</t>
    </r>
  </si>
  <si>
    <t>1. State of Pará Plan for the Bioeconomy
2. National Inventory of Chemical Substances</t>
  </si>
  <si>
    <r>
      <rPr>
        <u/>
        <sz val="10"/>
        <color theme="1"/>
        <rFont val="Arial"/>
        <family val="2"/>
      </rPr>
      <t>From State of Para Plan for the Bioeconomy:</t>
    </r>
    <r>
      <rPr>
        <sz val="10"/>
        <color theme="1"/>
        <rFont val="Arial"/>
        <family val="2"/>
      </rPr>
      <t xml:space="preserve"> 
"1. Establishment of the Bioeconomy Observatory to gather and analyse research and data on different bioeconomy value chains
2. </t>
    </r>
    <r>
      <rPr>
        <b/>
        <sz val="10"/>
        <color theme="1"/>
        <rFont val="Arial"/>
        <family val="2"/>
      </rPr>
      <t xml:space="preserve">Incubate bioeconomy start-ups working with bioproducts and bio-businesses </t>
    </r>
    <r>
      <rPr>
        <sz val="10"/>
        <color theme="1"/>
        <rFont val="Arial"/>
        <family val="2"/>
      </rPr>
      <t xml:space="preserve">
7. Draw up a state-wide policy on technical assistance and extension services that </t>
    </r>
    <r>
      <rPr>
        <b/>
        <sz val="10"/>
        <color theme="1"/>
        <rFont val="Arial"/>
        <family val="2"/>
      </rPr>
      <t>strengthen local value chains working with the bioeconomy</t>
    </r>
    <r>
      <rPr>
        <sz val="10"/>
        <color theme="1"/>
        <rFont val="Arial"/>
        <family val="2"/>
      </rPr>
      <t xml:space="preserve">"
</t>
    </r>
    <r>
      <rPr>
        <u/>
        <sz val="10"/>
        <color theme="1"/>
        <rFont val="Arial"/>
        <family val="2"/>
      </rPr>
      <t>From the National Inventory of Chemical substances translated bill text:</t>
    </r>
    <r>
      <rPr>
        <sz val="10"/>
        <color theme="1"/>
        <rFont val="Arial"/>
        <family val="2"/>
      </rPr>
      <t xml:space="preserve"> " Art.  2nd  The  National  Inventory  of  Chemical  Substances  aims  at  consolidating  an  
information  base  on  chemical  substances  with  hazardous  characteristics,  as  listed  by  the  
Globally  Harmonized  System  of  Classification  and  Labeling  of  Chemical  Products-GHS,  
established  by  the  United  Nations-UN,  and  which  are  characterized  as  chemical  substances  in  
themselves  or  present  in  mixtures,  imported  or  produced  nationally" </t>
    </r>
  </si>
  <si>
    <t>Brazil lacks any form of national/centralized bioeconomy strategy despite being a leader in biofuel production. The State of Para, which includes a large swath of the Amazon Rainforest, is leading the way with their state bioeconomy plan, which emphasizes biodiverstiy</t>
  </si>
  <si>
    <t>State of Para Plan for the Bioeconomy launched in 2022</t>
  </si>
  <si>
    <t>State, National (chemical inventory)</t>
  </si>
  <si>
    <r>
      <rPr>
        <u/>
        <sz val="10"/>
        <color rgb="FF99B5E6"/>
        <rFont val="Arial"/>
        <family val="2"/>
      </rPr>
      <t>https://www.semas.pa.gov.br/wp-content/uploads/2022/12/STATE-OF-PAR%C3%81-BIOECONOMY-PLAN-vs.INGLES.pdf</t>
    </r>
    <r>
      <rPr>
        <sz val="11"/>
        <color theme="1"/>
        <rFont val="Calibri"/>
        <family val="2"/>
        <scheme val="minor"/>
      </rPr>
      <t xml:space="preserve">
</t>
    </r>
    <r>
      <rPr>
        <u/>
        <sz val="10"/>
        <color rgb="FF99B5E6"/>
        <rFont val="Arial"/>
        <family val="2"/>
      </rPr>
      <t>https://renewable-carbon.eu/news/media/2021/11/Bioeconomy-Strategy-of-Para-state-2021.pdf</t>
    </r>
    <r>
      <rPr>
        <sz val="11"/>
        <color theme="1"/>
        <rFont val="Calibri"/>
        <family val="2"/>
        <scheme val="minor"/>
      </rPr>
      <t xml:space="preserve"> (more thorough report on the State of Para Bioeconomy Strategy)
</t>
    </r>
    <r>
      <rPr>
        <u/>
        <sz val="10"/>
        <color rgb="FF99B5E6"/>
        <rFont val="Arial"/>
        <family val="2"/>
      </rPr>
      <t>https://chemical.chemlinked.com/database/view/1831
https://www.iaeg.com/binaries/content/assets/iaeg-newsletters/2022/12/bra_-draft-chemical-law-2019_english.pdf</t>
    </r>
    <r>
      <rPr>
        <sz val="11"/>
        <color theme="1"/>
        <rFont val="Calibri"/>
        <family val="2"/>
        <scheme val="minor"/>
      </rPr>
      <t xml:space="preserve"> (bill language translated in english through Google translate)
</t>
    </r>
    <r>
      <rPr>
        <u/>
        <sz val="10"/>
        <color rgb="FF99B5E6"/>
        <rFont val="Arial"/>
        <family val="2"/>
      </rPr>
      <t>https://product.enhesa.com/1069062/brazil-senate-moves-closer-to-passing-chemicals-management-legislation</t>
    </r>
    <r>
      <rPr>
        <sz val="11"/>
        <color theme="1"/>
        <rFont val="Calibri"/>
        <family val="2"/>
        <scheme val="minor"/>
      </rPr>
      <t xml:space="preserve"> (status of bill as of 05/01/2024, still awaiting full senate approval)</t>
    </r>
  </si>
  <si>
    <r>
      <rPr>
        <u/>
        <sz val="10"/>
        <rFont val="Arial"/>
        <family val="2"/>
      </rPr>
      <t>Scholarly Articles on Brazilian Bioeconomy:</t>
    </r>
    <r>
      <rPr>
        <u/>
        <sz val="10"/>
        <color rgb="FF000000"/>
        <rFont val="Arial"/>
        <family val="2"/>
      </rPr>
      <t xml:space="preserve">
</t>
    </r>
    <r>
      <rPr>
        <u/>
        <sz val="10"/>
        <color rgb="FF1155CC"/>
        <rFont val="Arial"/>
        <family val="2"/>
      </rPr>
      <t xml:space="preserve">https://onlinelibrary-wiley-com.libezproxy2.syr.edu/doi/full/10.1002/bbb.1978
</t>
    </r>
    <r>
      <rPr>
        <u/>
        <sz val="10"/>
        <color rgb="FF99B5E6"/>
        <rFont val="Arial"/>
        <family val="2"/>
      </rPr>
      <t>https://www-sciencedirect-com.libezproxy2.syr.edu/science/article/pii/S1364032120308583</t>
    </r>
    <r>
      <rPr>
        <sz val="10"/>
        <color rgb="FFBFBFBF"/>
        <rFont val="Arial"/>
        <family val="2"/>
      </rPr>
      <t xml:space="preserve">
</t>
    </r>
    <r>
      <rPr>
        <u/>
        <sz val="10"/>
        <color rgb="FF99B5E6"/>
        <rFont val="Arial"/>
        <family val="2"/>
      </rPr>
      <t>https://abbi.org.br/wp-content/uploads/2023/05/ABBI_Bioeconomy_Decarbonization_Nov2022.pdf</t>
    </r>
  </si>
  <si>
    <r>
      <rPr>
        <u/>
        <sz val="10"/>
        <color rgb="FF000000"/>
        <rFont val="Arial"/>
        <family val="2"/>
      </rPr>
      <t xml:space="preserve">*Brazilian biofuel policy - may be useful for that section?
</t>
    </r>
    <r>
      <rPr>
        <u/>
        <sz val="10"/>
        <color rgb="FF99B5E6"/>
        <rFont val="Arial"/>
        <family val="2"/>
      </rPr>
      <t>https://braziliannr.com/brazilian-environmental-legislation/law-no-13576-provides-for-the-brazilian-biofuel-policy-renovabio/</t>
    </r>
    <r>
      <rPr>
        <u/>
        <sz val="10"/>
        <color rgb="FF000000"/>
        <rFont val="Arial"/>
        <family val="2"/>
      </rPr>
      <t xml:space="preserve">
</t>
    </r>
    <r>
      <rPr>
        <u/>
        <sz val="10"/>
        <color rgb="FF99B5E6"/>
        <rFont val="Arial"/>
        <family val="2"/>
      </rPr>
      <t>https://worldbiomarketinsights.com/brazil-paves-the-way-with-22nd-corn-based-ethanol-facility/</t>
    </r>
  </si>
  <si>
    <t xml:space="preserve">1. Science, Technology, and Innovation Basic Plan
2. The Basic Policy for the Realization of GX (Green Transformation Plan) </t>
  </si>
  <si>
    <r>
      <rPr>
        <u/>
        <sz val="10"/>
        <color theme="1"/>
        <rFont val="Arial"/>
        <family val="2"/>
      </rPr>
      <t>From STI Plan (Chapter 3, section 1):</t>
    </r>
    <r>
      <rPr>
        <sz val="10"/>
        <color theme="1"/>
        <rFont val="Arial"/>
        <family val="2"/>
      </rPr>
      <t xml:space="preserve"> "Based on this recognition, during the period of the Sixth Basic Plan, the government </t>
    </r>
    <r>
      <rPr>
        <b/>
        <sz val="10"/>
        <color theme="1"/>
        <rFont val="Arial"/>
        <family val="2"/>
      </rPr>
      <t>will steadily implement measures incorporated in the Market Domain Roadmap</t>
    </r>
    <r>
      <rPr>
        <sz val="10"/>
        <color theme="1"/>
        <rFont val="Arial"/>
        <family val="2"/>
      </rPr>
      <t xml:space="preserve">, which sets market size targets as of 2030, </t>
    </r>
    <r>
      <rPr>
        <b/>
        <sz val="10"/>
        <color theme="1"/>
        <rFont val="Arial"/>
        <family val="2"/>
      </rPr>
      <t>in nine market domains, including high-performance bio-materials</t>
    </r>
    <r>
      <rPr>
        <sz val="10"/>
        <color theme="1"/>
        <rFont val="Arial"/>
        <family val="2"/>
      </rPr>
      <t xml:space="preserve">, sustainable primary production systems, and biopharmaceuticals and regenerative medicine-related industries, based on Bio Strategy 2019 (Basic Policies) and Bio Strategy 2020 (Definitive Measures for Market Domains), which embody and update Bio Strategy 2020. 
Specifically, the government will formulate guidelines for collaboration and utilization of bio-data and promote measures based on the guidelines, promote the formation and investment of global and regional bio-communities, and develop bio-manufacturing demonstration and human resource development base functions in global bio-communities, in accordance with each field. "
</t>
    </r>
    <r>
      <rPr>
        <u/>
        <sz val="10"/>
        <color theme="1"/>
        <rFont val="Arial"/>
        <family val="2"/>
      </rPr>
      <t>From the Realization of the GX Plan</t>
    </r>
    <r>
      <rPr>
        <sz val="10"/>
        <color theme="1"/>
        <rFont val="Arial"/>
        <family val="2"/>
      </rPr>
      <t xml:space="preserve">: "b. Bio-manufacturing 
To create initial demand, measures such as </t>
    </r>
    <r>
      <rPr>
        <b/>
        <sz val="10"/>
        <color theme="1"/>
        <rFont val="Arial"/>
        <family val="2"/>
      </rPr>
      <t>increasing the percentage of bio-based products 
in public procurement or involving agriculture and other businesses</t>
    </r>
    <r>
      <rPr>
        <sz val="10"/>
        <color theme="1"/>
        <rFont val="Arial"/>
        <family val="2"/>
      </rPr>
      <t xml:space="preserve"> will be taken to build up the 
market. 
Usage of bio-based products can be </t>
    </r>
    <r>
      <rPr>
        <b/>
        <sz val="10"/>
        <color theme="1"/>
        <rFont val="Arial"/>
        <family val="2"/>
      </rPr>
      <t>incentivized by creating certification and credit programs 
for CO2 and other raw materials</t>
    </r>
    <r>
      <rPr>
        <sz val="10"/>
        <color theme="1"/>
        <rFont val="Arial"/>
        <family val="2"/>
      </rPr>
      <t xml:space="preserve"> to justify their costs added to the prices as well as establishing 
schemes for reuse and collection, among other approaches."</t>
    </r>
  </si>
  <si>
    <t>The 2021 STI Plan sets goals for the Japanese economy to reach through green transitions in carbon-intensive industries in order to achieve 'Society 5.0'. This plan focuses primarily on driving these transitions through public funding for R&amp;D and the creation of private partnerships, with a particular focus on strengthening 8 different industrial areas including biotechnology.
The Realization report was published by the Ministry for Economy, Trade and Industry to outline the initiatives to be taken by the GX Implementation Council to reach environmental goals within the 10 years following its release. Bio-manufacturing is included as an element of Carbon Recycling/CCS.</t>
  </si>
  <si>
    <t>STI Plan released in 2021, Realization report released in 2023</t>
  </si>
  <si>
    <t>https://www8.cao.go.jp/cstp/english/sti_basic_plan.pdf
https://www.meti.go.jp/english/press/2023/pdf/0210_003a-2.pdf</t>
  </si>
  <si>
    <r>
      <t xml:space="preserve">Specific Actions/Effects
</t>
    </r>
    <r>
      <rPr>
        <sz val="11"/>
        <rFont val="Arial"/>
        <family val="2"/>
      </rPr>
      <t>(Quotes added in order of links/title of policies)</t>
    </r>
  </si>
  <si>
    <t>Bio-based Plastics: Key Governmental Policies and Drivers</t>
  </si>
  <si>
    <r>
      <t xml:space="preserve">Specific Actions/Effects
</t>
    </r>
    <r>
      <rPr>
        <sz val="10"/>
        <color theme="1"/>
        <rFont val="Arial"/>
        <family val="2"/>
      </rPr>
      <t>(Quotes added in order of links/title of policies)</t>
    </r>
  </si>
  <si>
    <t>1. Biopreferred Program 
2. FTC Green Guides
3. "Bold Goals" &amp; Biden-era executive orders</t>
  </si>
  <si>
    <r>
      <t xml:space="preserve">"The two major parts of the Program are: </t>
    </r>
    <r>
      <rPr>
        <b/>
        <sz val="10"/>
        <color theme="1"/>
        <rFont val="Arial"/>
        <family val="2"/>
      </rPr>
      <t>mandatory purchasing requirements</t>
    </r>
    <r>
      <rPr>
        <sz val="10"/>
        <color theme="1"/>
        <rFont val="Arial"/>
        <family val="2"/>
      </rPr>
      <t xml:space="preserve"> for federal agencies and their contractors; and, a </t>
    </r>
    <r>
      <rPr>
        <b/>
        <sz val="10"/>
        <color theme="1"/>
        <rFont val="Arial"/>
        <family val="2"/>
      </rPr>
      <t>voluntary labeling initiative</t>
    </r>
    <r>
      <rPr>
        <sz val="10"/>
        <color theme="1"/>
        <rFont val="Arial"/>
        <family val="2"/>
      </rPr>
      <t xml:space="preserve"> for biobased products."
"Established in 1992, and updated over the years, Green Guides offer help to consumers in making “green product” choices and companies in how they market their products. The Green Guides have evolved to help consumers understand different environmental claims and benefits as well as the logos and emblems used to distinguish products in the marketplace.
The updated FTC Green Guides </t>
    </r>
    <r>
      <rPr>
        <b/>
        <sz val="10"/>
        <color theme="1"/>
        <rFont val="Arial"/>
        <family val="2"/>
      </rPr>
      <t>address specific claims companies may make, including recent additions that address third-party certification seals and claims about carbon offsets and “renewable” materials and energy sources</t>
    </r>
    <r>
      <rPr>
        <sz val="10"/>
        <color theme="1"/>
        <rFont val="Arial"/>
        <family val="2"/>
      </rPr>
      <t>."
"Goal 2.1: Develop Low-Carbon-Intensity Chemicals and Materials –</t>
    </r>
    <r>
      <rPr>
        <b/>
        <sz val="10"/>
        <color theme="1"/>
        <rFont val="Arial"/>
        <family val="2"/>
      </rPr>
      <t xml:space="preserve"> In 5 years, produce &gt;20 commercially viable bioproducts with &gt;70% reduced lifecycle GHG emissions</t>
    </r>
    <r>
      <rPr>
        <sz val="10"/>
        <color theme="1"/>
        <rFont val="Arial"/>
        <family val="2"/>
      </rPr>
      <t xml:space="preserve"> over current production practices. 
Goal 2.2: Spur a Circular Economy for Materials – In 20 years, demonstrate and deploy cost-effective and sustainable routes </t>
    </r>
    <r>
      <rPr>
        <b/>
        <sz val="10"/>
        <color theme="1"/>
        <rFont val="Arial"/>
        <family val="2"/>
      </rPr>
      <t>to convert bio-based feedstocks into recyclable-by-design polymers that can displace &gt;90% of today’s plastics and other commercial polymers at scale</t>
    </r>
    <r>
      <rPr>
        <sz val="10"/>
        <color theme="1"/>
        <rFont val="Arial"/>
        <family val="2"/>
      </rPr>
      <t>"</t>
    </r>
  </si>
  <si>
    <t>Federal agency purchasing preference for biobased products, certification/labeling process (USDA Certified Biobased Product Label) - &gt;3000 companies in US
Established in 1992 to help consumers make 'green' choices for product purchases, addresses/verifies claims made by companies regarding certifications, offsets, and renewable alternatives
Executive orders introduced by the Biden administration and addressed/carried out by federal agencies</t>
  </si>
  <si>
    <t>First introduced 2002, reauthorized 2018
First introduced in 1992
Published March 2023</t>
  </si>
  <si>
    <r>
      <rPr>
        <u/>
        <sz val="10"/>
        <color rgb="FF1155CC"/>
        <rFont val="Arial"/>
        <family val="2"/>
      </rPr>
      <t xml:space="preserve">https://www.biopreferred.gov/BioPreferred/faces/pages/AboutBioPreferred.xhtml
</t>
    </r>
    <r>
      <rPr>
        <sz val="10"/>
        <rFont val="Arial"/>
        <family val="2"/>
      </rPr>
      <t xml:space="preserve">From Bioplastics Marketwatch 2016 document
</t>
    </r>
    <r>
      <rPr>
        <u/>
        <sz val="10"/>
        <color rgb="FF99B5E6"/>
        <rFont val="Arial"/>
        <family val="2"/>
      </rPr>
      <t>https://www.whitehouse.gov/wp-content/uploads/2023/03/Bold-Goals-for-U.S.-Biotechnology-and-Biomanufacturing-Harnessing-Research-and-Development-To-Further-Societal-Goals-FINAL.pdf</t>
    </r>
  </si>
  <si>
    <t>1. Communication – EU policy framework on bio-based materials
2. Biodegradable and Compostable plastics (element of European Green Deal, EU circular economy action plan, and plastics strategy)</t>
  </si>
  <si>
    <r>
      <t>"---</t>
    </r>
    <r>
      <rPr>
        <b/>
        <sz val="10"/>
        <color theme="1"/>
        <rFont val="Arial"/>
        <family val="2"/>
      </rPr>
      <t>improving the understanding around these materials</t>
    </r>
    <r>
      <rPr>
        <sz val="10"/>
        <color theme="1"/>
        <rFont val="Arial"/>
        <family val="2"/>
      </rPr>
      <t xml:space="preserve"> and clarify where these plastics can bring genuine environmental benefits, under which conditions and applications
---guiding citizens, public authorities and businesses in their </t>
    </r>
    <r>
      <rPr>
        <b/>
        <sz val="10"/>
        <color theme="1"/>
        <rFont val="Arial"/>
        <family val="2"/>
      </rPr>
      <t>policy, purchasing or investing decisions</t>
    </r>
    <r>
      <rPr>
        <sz val="10"/>
        <color theme="1"/>
        <rFont val="Arial"/>
        <family val="2"/>
      </rPr>
      <t xml:space="preserve">
---preventing differences at national level and fragmentation of the market by</t>
    </r>
    <r>
      <rPr>
        <b/>
        <sz val="10"/>
        <color theme="1"/>
        <rFont val="Arial"/>
        <family val="2"/>
      </rPr>
      <t xml:space="preserve"> promoting a shared understanding across the EU on the production and use of these plastics</t>
    </r>
    <r>
      <rPr>
        <sz val="10"/>
        <color theme="1"/>
        <rFont val="Arial"/>
        <family val="2"/>
      </rPr>
      <t xml:space="preserve">"
No specific actions in EU Green Deal outlined
Plastics strategy (specifically regarding single-use) =
"Specific targets include a </t>
    </r>
    <r>
      <rPr>
        <b/>
        <sz val="10"/>
        <color theme="1"/>
        <rFont val="Arial"/>
        <family val="2"/>
      </rPr>
      <t>77% separate collection target for plastic bottles by 2025</t>
    </r>
    <r>
      <rPr>
        <sz val="10"/>
        <color theme="1"/>
        <rFont val="Arial"/>
        <family val="2"/>
      </rPr>
      <t xml:space="preserve"> – increasing to 90% by 2029, incorporating </t>
    </r>
    <r>
      <rPr>
        <b/>
        <sz val="10"/>
        <color theme="1"/>
        <rFont val="Arial"/>
        <family val="2"/>
      </rPr>
      <t>25% of recycled plastic in PET beverage bottles from 2025, and 30% in all plastic beverage bottles from 2030</t>
    </r>
    <r>
      <rPr>
        <sz val="10"/>
        <color theme="1"/>
        <rFont val="Arial"/>
        <family val="2"/>
      </rPr>
      <t>"
(more thoroughly outlined in 'Directive - 2019/904' in links section under Article 4)</t>
    </r>
  </si>
  <si>
    <t>No formal law or transition system currently in place; "Communications" framework document establishes standards and defines biobased/biodegradable/compostable plastics, sourcing conditions, labeling, and practical/preferred applications and uses 
Attached to single use plastic ban to an extent (outlines an alternative)</t>
  </si>
  <si>
    <t>Communication introduced in 2022, no direct follow-ups since</t>
  </si>
  <si>
    <r>
      <rPr>
        <u/>
        <sz val="10"/>
        <color rgb="FF1155CC"/>
        <rFont val="Arial"/>
        <family val="2"/>
      </rPr>
      <t xml:space="preserve">Biobased, biodegradable and compostable plastics - European Commission (europa.eu)
https://www.european-bioplastics.org/policy/eu-policy-framework-on-bioplastics/#:~:text=Biobased%20plastics%20can%20contribute%20to,advantage%20for%20the%20European%20industry.
</t>
    </r>
    <r>
      <rPr>
        <u/>
        <sz val="10"/>
        <color rgb="FF99B5E6"/>
        <rFont val="Arial"/>
        <family val="2"/>
      </rPr>
      <t>https://commission.europa.eu/strategy-and-policy/priorities-2019-2024/european-green-deal_en
https://environment.ec.europa.eu/strategy/circular-economy-action-plan_en
https://environment.ec.europa.eu/strategy/plastics-strategy_en</t>
    </r>
    <r>
      <rPr>
        <sz val="11"/>
        <color theme="1"/>
        <rFont val="Calibri"/>
        <family val="2"/>
        <scheme val="minor"/>
      </rPr>
      <t xml:space="preserve">
</t>
    </r>
    <r>
      <rPr>
        <u/>
        <sz val="10"/>
        <color rgb="FF99B5E6"/>
        <rFont val="Arial"/>
        <family val="2"/>
      </rPr>
      <t>https://eur-lex.europa.eu/eli/dir/2019/904/oj</t>
    </r>
  </si>
  <si>
    <t>1. "Plastics Challenge" 
2. Single-Use Plastic Prohibition Regulations</t>
  </si>
  <si>
    <r>
      <rPr>
        <sz val="10"/>
        <color theme="1"/>
        <rFont val="Arial"/>
        <family val="2"/>
      </rPr>
      <t xml:space="preserve">"The goal of this challenge is improved biodegradability of bio-based plastics derived from agricultural or wood-based biomass suitable for use as replacements for single use plastics (e.g. packaging)... </t>
    </r>
    <r>
      <rPr>
        <b/>
        <sz val="10"/>
        <color theme="1"/>
        <rFont val="Arial"/>
        <family val="2"/>
      </rPr>
      <t>Funding of up to $150,000.00 CAD</t>
    </r>
    <r>
      <rPr>
        <sz val="10"/>
        <color theme="1"/>
        <rFont val="Arial"/>
        <family val="2"/>
      </rPr>
      <t xml:space="preserve"> for up to 6 months could be available </t>
    </r>
    <r>
      <rPr>
        <b/>
        <sz val="10"/>
        <color theme="1"/>
        <rFont val="Arial"/>
        <family val="2"/>
      </rPr>
      <t xml:space="preserve">for any Phase 1 grant </t>
    </r>
    <r>
      <rPr>
        <sz val="10"/>
        <color theme="1"/>
        <rFont val="Arial"/>
        <family val="2"/>
      </rPr>
      <t>resulting from this Challenge.</t>
    </r>
    <r>
      <rPr>
        <b/>
        <sz val="10"/>
        <color theme="1"/>
        <rFont val="Arial"/>
        <family val="2"/>
      </rPr>
      <t xml:space="preserve"> Funding of up to $1,000,000.00 CAD</t>
    </r>
    <r>
      <rPr>
        <sz val="10"/>
        <color theme="1"/>
        <rFont val="Arial"/>
        <family val="2"/>
      </rPr>
      <t xml:space="preserve"> for up to 2 years could be available </t>
    </r>
    <r>
      <rPr>
        <b/>
        <sz val="10"/>
        <color theme="1"/>
        <rFont val="Arial"/>
        <family val="2"/>
      </rPr>
      <t>for any Phase 2 grant</t>
    </r>
    <r>
      <rPr>
        <sz val="10"/>
        <color theme="1"/>
        <rFont val="Arial"/>
        <family val="2"/>
      </rPr>
      <t xml:space="preserve"> resulting from this Challenge."
"The Regulations </t>
    </r>
    <r>
      <rPr>
        <b/>
        <sz val="10"/>
        <color theme="1"/>
        <rFont val="Arial"/>
        <family val="2"/>
      </rPr>
      <t>prohibit the manufacture, import and sale of single-use plastic checkout bags, cutlery, foodservice ware made from or containing problematic plastics, ring carriers, stir sticks, and straws.</t>
    </r>
    <r>
      <rPr>
        <sz val="10"/>
        <color theme="1"/>
        <rFont val="Arial"/>
        <family val="2"/>
      </rPr>
      <t xml:space="preserve"> An exception in the Regulations allow single-use plastic flexible straws to remain available, under certain conditions (outlined in the guidance documents below), so people who need them still have access."</t>
    </r>
  </si>
  <si>
    <t>"Plastics Challenge" incentivizing innovation in biodegradability for bio-based plastics through grants for projects to private company (example provided in link)
Regulation on the sale, manufacturing, and import/export of single-use plastics (e.g., straws, cups, food containers) (facing legal challenges, with a stay order)</t>
  </si>
  <si>
    <t>Introduced in 2018 (applications opened)
Implemented in 2023, facing legal challenges currently</t>
  </si>
  <si>
    <t xml:space="preserve">Canada Supports Innovation for Compostable Bioplastic - Canada.ca
https://ised-isde.canada.ca/site/innovative-solutions-canada/en/plastics-challenge-improved-compostability-bioplastics
https://www.canada.ca/en/environment-climate-change/services/managing-reducing-waste/reduce-plastic-waste/single-use-plastic-overview.html
</t>
  </si>
  <si>
    <t xml:space="preserve">1. Single-use Plastic Ban 
2. National Standard Definitions and Requirements </t>
  </si>
  <si>
    <r>
      <t xml:space="preserve">"It is </t>
    </r>
    <r>
      <rPr>
        <b/>
        <sz val="10"/>
        <color theme="1"/>
        <rFont val="Arial"/>
        <family val="2"/>
      </rPr>
      <t>forbidden to produce and sell ultra-thin plastic shopping bags with a thickness of less than 0.025 mm and polyethylene agricultural mulch film with a thickness of less than 0.01 mm</t>
    </r>
    <r>
      <rPr>
        <sz val="10"/>
        <color theme="1"/>
        <rFont val="Arial"/>
        <family val="2"/>
      </rPr>
      <t xml:space="preserve">. It is forbidden to use medical waste as a raw material to manufacture plastic products. A complete ban on the import of waste plastics. </t>
    </r>
    <r>
      <rPr>
        <b/>
        <sz val="10"/>
        <color theme="1"/>
        <rFont val="Arial"/>
        <family val="2"/>
      </rPr>
      <t>By the end of 2020, the production and sale of disposable foamed plastic tableware and disposable plastic cotton swabs will be prohibited</t>
    </r>
    <r>
      <rPr>
        <sz val="10"/>
        <color theme="1"/>
        <rFont val="Arial"/>
        <family val="2"/>
      </rPr>
      <t xml:space="preserve">, and the production of daily chemical products containing plastic microbeads will be prohibited. </t>
    </r>
    <r>
      <rPr>
        <b/>
        <sz val="10"/>
        <color theme="1"/>
        <rFont val="Arial"/>
        <family val="2"/>
      </rPr>
      <t>By the end of 2022, the sale of daily chemical products containing plastic microbeads will be banned</t>
    </r>
    <r>
      <rPr>
        <sz val="10"/>
        <color theme="1"/>
        <rFont val="Arial"/>
        <family val="2"/>
      </rPr>
      <t xml:space="preserve">." (Translated actual policy text into English from Mandarin, summary of this found in the english article)
"Biodegradable plastic materials and products must meet the following requirements:
</t>
    </r>
    <r>
      <rPr>
        <b/>
        <sz val="10"/>
        <color theme="1"/>
        <rFont val="Arial"/>
        <family val="2"/>
      </rPr>
      <t>Have an organic content (volatile solid content) of at least 51 percent</t>
    </r>
    <r>
      <rPr>
        <sz val="10"/>
        <color theme="1"/>
        <rFont val="Arial"/>
        <family val="2"/>
      </rPr>
      <t xml:space="preserve">
Meet the content requirements for heavy metals and other specified elements as shown in the table"
(From link with short overview)</t>
    </r>
  </si>
  <si>
    <t>Prohibition of single-use plastics in 2020 led to 2x-10x increases in productions of most popular polymers (PLA and PHA) for usage in biobased single-used alternatives, but has slowed down in the last 1-2 years in recognition of feasability issues (i.e. difficulties in meeting 90% biodegradability requirement) and lack of scalable innovations.
National standard for general biodegradability, labeling, and plastic quality in products coming in 2024*</t>
  </si>
  <si>
    <t>Prohibition introduced in 2020
National standard for production requirements expected in 2024</t>
  </si>
  <si>
    <r>
      <rPr>
        <u/>
        <sz val="10"/>
        <color rgb="FF99B5E6"/>
        <rFont val="Arial"/>
        <family val="2"/>
      </rPr>
      <t xml:space="preserve">https://chinadialogue.net/en/pollution/china-cools-on-biodegradable-plastic/
</t>
    </r>
    <r>
      <rPr>
        <sz val="11"/>
        <color theme="1"/>
        <rFont val="Calibri"/>
        <family val="2"/>
        <scheme val="minor"/>
      </rPr>
      <t xml:space="preserve">(provides link to policy text in Mandarin)
</t>
    </r>
    <r>
      <rPr>
        <u/>
        <sz val="10"/>
        <color rgb="FF99B5E6"/>
        <rFont val="Arial"/>
        <family val="2"/>
      </rPr>
      <t xml:space="preserve">https://thechinaproject.com/2022/06/27/the-rise-of-chinas-biodegradable-plastics-industry/
</t>
    </r>
    <r>
      <rPr>
        <sz val="11"/>
        <color theme="1"/>
        <rFont val="Calibri"/>
        <family val="2"/>
        <scheme val="minor"/>
      </rPr>
      <t xml:space="preserve">(provides some statistics on China Customs imports/exports, key companies, pollution context)
</t>
    </r>
    <r>
      <rPr>
        <u/>
        <sz val="10"/>
        <color rgb="FF99B5E6"/>
        <rFont val="Arial"/>
        <family val="2"/>
      </rPr>
      <t>https://enviliance.com/regions/east-asia/cn/report_5023</t>
    </r>
    <r>
      <rPr>
        <sz val="11"/>
        <color theme="1"/>
        <rFont val="Calibri"/>
        <family val="2"/>
        <scheme val="minor"/>
      </rPr>
      <t xml:space="preserve">
(brief overview of standards for biodegradability in plastics)
</t>
    </r>
    <r>
      <rPr>
        <u/>
        <sz val="10"/>
        <color rgb="FF99B5E6"/>
        <rFont val="Arial"/>
        <family val="2"/>
      </rPr>
      <t xml:space="preserve">https://www.codeofchina.com/standard/GBT41010-2021.html
</t>
    </r>
    <r>
      <rPr>
        <sz val="11"/>
        <color theme="1"/>
        <rFont val="Calibri"/>
        <family val="2"/>
        <scheme val="minor"/>
      </rPr>
      <t xml:space="preserve">(thorough overview within PDF on site)
</t>
    </r>
    <r>
      <rPr>
        <u/>
        <sz val="10"/>
        <color rgb="FF99B5E6"/>
        <rFont val="Arial"/>
        <family val="2"/>
      </rPr>
      <t xml:space="preserve">https://m.nbd.com.cn/articles/2022-05-28/2300089.html
</t>
    </r>
    <r>
      <rPr>
        <sz val="11"/>
        <color theme="1"/>
        <rFont val="Calibri"/>
        <family val="2"/>
        <scheme val="minor"/>
      </rPr>
      <t>(additional resource for specifics on biodegradability policy)</t>
    </r>
  </si>
  <si>
    <t>1. Standards on bioplastic biodegradability, quality etc.
2. Phased Single-use Plastic Ban (all "unnecessary" plastics banned by 2042) 
3. National Innovation Strategy</t>
  </si>
  <si>
    <r>
      <t xml:space="preserve">"That is why Defra and BEIS published a call for evidence on the demand, benefit, and implications of developing standards for bio-based, biodegradable, and compostable plastics. </t>
    </r>
    <r>
      <rPr>
        <b/>
        <sz val="10"/>
        <color theme="1"/>
        <rFont val="Arial"/>
        <family val="2"/>
      </rPr>
      <t>This document sets out a summary of responses to that call for evidence and outlines the government response</t>
    </r>
    <r>
      <rPr>
        <sz val="10"/>
        <color theme="1"/>
        <rFont val="Arial"/>
        <family val="2"/>
      </rPr>
      <t xml:space="preserve">...
We are </t>
    </r>
    <r>
      <rPr>
        <b/>
        <sz val="10"/>
        <color theme="1"/>
        <rFont val="Arial"/>
        <family val="2"/>
      </rPr>
      <t>taking forward a number of policy proposals informed by the evidence received in response to this call</t>
    </r>
    <r>
      <rPr>
        <sz val="10"/>
        <color theme="1"/>
        <rFont val="Arial"/>
        <family val="2"/>
      </rPr>
      <t xml:space="preserve">. This includes further consultations on </t>
    </r>
    <r>
      <rPr>
        <b/>
        <sz val="10"/>
        <color theme="1"/>
        <rFont val="Arial"/>
        <family val="2"/>
      </rPr>
      <t>extended producer responsibility for packaging</t>
    </r>
    <r>
      <rPr>
        <sz val="10"/>
        <color theme="1"/>
        <rFont val="Arial"/>
        <family val="2"/>
      </rPr>
      <t xml:space="preserve"> and consistent recycling collections. The responses will also inform future policies aimed at tackling single-use plastic and the application of HMT’s plastic packaging tax. We are also minded to</t>
    </r>
    <r>
      <rPr>
        <b/>
        <sz val="10"/>
        <color theme="1"/>
        <rFont val="Arial"/>
        <family val="2"/>
      </rPr>
      <t xml:space="preserve"> introduce a ban on oxo-degradable plastics</t>
    </r>
    <r>
      <rPr>
        <sz val="10"/>
        <color theme="1"/>
        <rFont val="Arial"/>
        <family val="2"/>
      </rPr>
      <t xml:space="preserve">, subject to further evidence and a public consultation."
"Online and over-the-counter sales and supply of </t>
    </r>
    <r>
      <rPr>
        <b/>
        <sz val="10"/>
        <color theme="1"/>
        <rFont val="Arial"/>
        <family val="2"/>
      </rPr>
      <t>the following single-use plastic items are banned</t>
    </r>
    <r>
      <rPr>
        <sz val="10"/>
        <color theme="1"/>
        <rFont val="Arial"/>
        <family val="2"/>
      </rPr>
      <t xml:space="preserve">: polystyrene food and drink containers, drinks stirrers, balloon sticks, cutlery 
Online and over-the-counter sales and supply of </t>
    </r>
    <r>
      <rPr>
        <b/>
        <sz val="10"/>
        <color theme="1"/>
        <rFont val="Arial"/>
        <family val="2"/>
      </rPr>
      <t>the following single-use plastic items have restrictions</t>
    </r>
    <r>
      <rPr>
        <sz val="10"/>
        <color theme="1"/>
        <rFont val="Arial"/>
        <family val="2"/>
      </rPr>
      <t xml:space="preserve">: plates, bowls and trays, straws, cotton buds"
"Where fossil-derived fuels or plastics are required, biomanufacturing will deliver biobased and waste-derived alternatives </t>
    </r>
    <r>
      <rPr>
        <b/>
        <sz val="10"/>
        <color theme="1"/>
        <rFont val="Arial"/>
        <family val="2"/>
      </rPr>
      <t>in 80% of the cases by 2035</t>
    </r>
    <r>
      <rPr>
        <sz val="10"/>
        <color theme="1"/>
        <rFont val="Arial"/>
        <family val="2"/>
      </rPr>
      <t>. " (Innovation Strategy provides extremely limited information on plastic-related policy compared to previous Bioeconomy Strategy)</t>
    </r>
  </si>
  <si>
    <t>Standards outline goals for bioplastic innovation that need to be met for widespread implementation and usage, requirements for composting and biodegradability, and sourcing for feedstocks
Single-use plastic ban for traditional single-use items (cutlery, straws, plats/bowls, takeaway containers)
Bioeconomy document outlines pathway to introduction of bioeconomy assets through emphasis on research/development/innovation to spur growth of bioeconomy, goal of doubling the size and impact of bioeconomy to 440bn british pounds by 2030, establish metrics, etc.</t>
  </si>
  <si>
    <t>Standards introduced in 2021
Single-use plastic ban introduced before but implemented in Jan. 2024
Bioeconomy strategy published in 2018, withdrawn in 2021 and superseded by broader Innovation Strategy</t>
  </si>
  <si>
    <t xml:space="preserve">https://assets.publishing.service.gov.uk/media/606eb6518fa8f573570f6a81/standards-biobased-biodegradable-compostable-plastics.pdf
https://www.gov.uk/guidance/single-use-plastics-bans-and-restrictions
https://assets.publishing.service.gov.uk/media/61a60c91d3bf7f055b2934cf/181205_BEIS_Growing_the_Bioeconomy__Web_SP_.pdf
</t>
  </si>
  <si>
    <t>1. City/state-based plastic bans (for plastic bags specifically) 
2. National ban (introduced several times in different ways, not implemented)
Some sense of a bioeconomy strategy but not as robust as other countries</t>
  </si>
  <si>
    <r>
      <rPr>
        <sz val="10"/>
        <color theme="1"/>
        <rFont val="Arial"/>
        <family val="2"/>
      </rPr>
      <t xml:space="preserve">"On June 25, 2018, the governor of the state of Rio de Janeiro promulgated Law No. 8,006 (Lei No. 8.006, de 25 de Junho de 2018, State of Rio de Janeiro Legislative Assembly website) </t>
    </r>
    <r>
      <rPr>
        <b/>
        <sz val="10"/>
        <color theme="1"/>
        <rFont val="Arial"/>
        <family val="2"/>
      </rPr>
      <t>banning the use, distribution, and even sale of plastic bags all over the state</t>
    </r>
    <r>
      <rPr>
        <sz val="10"/>
        <color theme="1"/>
        <rFont val="Arial"/>
        <family val="2"/>
      </rPr>
      <t xml:space="preserve">."
"Traditional white plastic bags distributed in Brazilian supermarkets are </t>
    </r>
    <r>
      <rPr>
        <b/>
        <sz val="10"/>
        <color theme="1"/>
        <rFont val="Arial"/>
        <family val="2"/>
      </rPr>
      <t>now prohibited by law in São Paulo</t>
    </r>
    <r>
      <rPr>
        <sz val="10"/>
        <color theme="1"/>
        <rFont val="Arial"/>
        <family val="2"/>
      </rPr>
      <t xml:space="preserve">, Brazil...Unlike the petrol based white bags, these [new] bags are </t>
    </r>
    <r>
      <rPr>
        <b/>
        <sz val="10"/>
        <color theme="1"/>
        <rFont val="Arial"/>
        <family val="2"/>
      </rPr>
      <t>sourced from sugarcane ethanol</t>
    </r>
    <r>
      <rPr>
        <sz val="10"/>
        <color theme="1"/>
        <rFont val="Arial"/>
        <family val="2"/>
      </rPr>
      <t xml:space="preserve">."
"Most of the projects are attached to other proposals that deal with similar issues and are being processed jointly, of which PL 612/2007 stands out, dealing with the use of biodegradable bags for packaging products and goods and has about 22 attached bills. Still, 12 projects were archived.
Only 20 bills are in progress with their own processing. Despite the existence of more than 100 bills, </t>
    </r>
    <r>
      <rPr>
        <b/>
        <sz val="10"/>
        <color theme="1"/>
        <rFont val="Arial"/>
        <family val="2"/>
      </rPr>
      <t>none of the identified projects have been approved so far.</t>
    </r>
    <r>
      <rPr>
        <sz val="10"/>
        <color theme="1"/>
        <rFont val="Arial"/>
        <family val="2"/>
      </rPr>
      <t>"</t>
    </r>
  </si>
  <si>
    <t>Brazil does not have a formal single-use plastics ban despite having a notably large bioplastics economy/industry, only bans for single-use plastics that have been implemented are grocery bag bans in Rio de Janeiro and Sau Paulo (2009 and 2011) with ethanol or sugarcane based alternatives now being used
Limited action made on advancing initiatives for the greater bioeconomy</t>
  </si>
  <si>
    <t>City/state bans in 2009/2011,
Bioeconomy strategy from 2017</t>
  </si>
  <si>
    <t>State/city, some National progress</t>
  </si>
  <si>
    <r>
      <rPr>
        <u/>
        <sz val="10"/>
        <color rgb="FF1155CC"/>
        <rFont val="Arial"/>
        <family val="2"/>
      </rPr>
      <t xml:space="preserve">https://www.loc.gov/item/global-legal-monitor/2018-07-05/brazil-state-of-rio-de-janeiro-bans-plastic-bags/#:~:text=(July%205%2C%202018)%20On,bags%20all%20over%20the%20state.
</t>
    </r>
    <r>
      <rPr>
        <u/>
        <sz val="10"/>
        <color rgb="FF99B5E6"/>
        <rFont val="Arial"/>
        <family val="2"/>
      </rPr>
      <t>https://www.smartcitiesdive.com/ex/sustainablecitiescollective/city-s-o-paulo-brazil-launches-ban-traditional-plastic-bags/1071541/</t>
    </r>
    <r>
      <rPr>
        <sz val="10"/>
        <color rgb="FFBFBFBF"/>
        <rFont val="Arial"/>
        <family val="2"/>
      </rPr>
      <t xml:space="preserve">
</t>
    </r>
    <r>
      <rPr>
        <u/>
        <sz val="10"/>
        <color rgb="FF99B5E6"/>
        <rFont val="Arial"/>
        <family val="2"/>
      </rPr>
      <t>https://www.livrosabertos.abcd.usp.br/portaldelivrosUSP/catalog/download/1180/1079/4055?inline=1
https://fapesp.br/eventos/2017/6dialogue/08-11-17/15h45_Bruno_Nunes.pdf</t>
    </r>
  </si>
  <si>
    <t>1. Roadmap for Bioplastics Introduction
2. Resource Circulation Strategy for Plastics</t>
  </si>
  <si>
    <r>
      <t xml:space="preserve">
</t>
    </r>
    <r>
      <rPr>
        <u/>
        <sz val="10"/>
        <color theme="1"/>
        <rFont val="Arial"/>
        <family val="2"/>
      </rPr>
      <t>From the Roadmap:</t>
    </r>
    <r>
      <rPr>
        <sz val="10"/>
        <color theme="1"/>
        <rFont val="Arial"/>
        <family val="2"/>
      </rPr>
      <t xml:space="preserve"> "The Resource Circulation Strategy for Plastics (hereafter referred to as “the Strategy”) sets forth the “3Rs + Renewable” as a basic principle. Based on the premise that sustainability will be assured throughout their lifecycle, the Strategy </t>
    </r>
    <r>
      <rPr>
        <b/>
        <sz val="10"/>
        <color theme="1"/>
        <rFont val="Arial"/>
        <family val="2"/>
      </rPr>
      <t xml:space="preserve">aims to introduce the maximum amount of bio-based plastics (approximately 2 million tons) by 2030
</t>
    </r>
    <r>
      <rPr>
        <sz val="10"/>
        <color theme="1"/>
        <rFont val="Arial"/>
        <family val="2"/>
      </rPr>
      <t xml:space="preserve">Based on the principles described in (1) above, </t>
    </r>
    <r>
      <rPr>
        <b/>
        <sz val="10"/>
        <color theme="1"/>
        <rFont val="Arial"/>
        <family val="2"/>
      </rPr>
      <t>the government will implement the 
measures for [1]Promotion of use, [2]Appeal and awareness-raising activities to target 
consumers, [3]Development of R&amp;D and production systems, [4]Measures related to 
Research and follow up, and [5]Measures for the specific product areas in coordination 
to actions of relevant entities</t>
    </r>
    <r>
      <rPr>
        <sz val="10"/>
        <color theme="1"/>
        <rFont val="Arial"/>
        <family val="2"/>
      </rPr>
      <t xml:space="preserve">" (more information provided on how these principles will be reached in graphics within the report)
</t>
    </r>
    <r>
      <rPr>
        <u/>
        <sz val="10"/>
        <color theme="1"/>
        <rFont val="Arial"/>
        <family val="2"/>
      </rPr>
      <t>From the Resource Circulation Strategy for Plastics</t>
    </r>
    <r>
      <rPr>
        <sz val="10"/>
        <color theme="1"/>
        <rFont val="Arial"/>
        <family val="2"/>
      </rPr>
      <t xml:space="preserve">: 
"Reduce - 
</t>
    </r>
    <r>
      <rPr>
        <b/>
        <sz val="10"/>
        <color theme="1"/>
        <rFont val="Arial"/>
        <family val="2"/>
      </rPr>
      <t>Reduced total outflow of single-use plastics by 25% by 2030</t>
    </r>
    <r>
      <rPr>
        <sz val="10"/>
        <color theme="1"/>
        <rFont val="Arial"/>
        <family val="2"/>
      </rPr>
      <t xml:space="preserve">
Reuse and Recycle        - 
Adoption of designs that allow reuse and recycling by 2025
Reuse and recycling of 60% of container packaging by 2030
Achievement of effective use through 100% reuse or recycling of used plastic by 2035
Recycle and Biomass Plastics - 
Recycling doubled by </t>
    </r>
    <r>
      <rPr>
        <b/>
        <sz val="10"/>
        <color theme="1"/>
        <rFont val="Arial"/>
        <family val="2"/>
      </rPr>
      <t>2030
Use of approximately two million tons of biomass plastics b</t>
    </r>
    <r>
      <rPr>
        <sz val="10"/>
        <color theme="1"/>
        <rFont val="Arial"/>
        <family val="2"/>
      </rPr>
      <t xml:space="preserve">y 2030"
</t>
    </r>
  </si>
  <si>
    <t>The Roadmap for Bioplastics introduction establishes a static goal of 2 million tons bioplastics used by 2030, in addition to setting out 6 principles of how this number should be accounted for (under (1) Basic Principles for introduction) and 5 measures to be introduced by the government to aid industry in reaching these goals
The Resource Circulation Strategy creates a number of goals for the curbing of plastic usage in addition adoption of bioplastics. Japan has not yet established a true single use plastic ban, but has smaller measures such as charging for plastic grocery bag usage in place.</t>
  </si>
  <si>
    <t>Roadmap published in 2021, plastics strategy established in 2019</t>
  </si>
  <si>
    <r>
      <rPr>
        <u/>
        <sz val="10"/>
        <color rgb="FF1155CC"/>
        <rFont val="Arial"/>
        <family val="2"/>
      </rPr>
      <t>https://www.env.go.jp/content/900534219.pdf</t>
    </r>
    <r>
      <rPr>
        <sz val="11"/>
        <color theme="1"/>
        <rFont val="Calibri"/>
        <family val="2"/>
        <scheme val="minor"/>
      </rPr>
      <t xml:space="preserve"> (roadmap document)
</t>
    </r>
    <r>
      <rPr>
        <sz val="10"/>
        <color rgb="FFBFBFBF"/>
        <rFont val="Arial"/>
        <family val="2"/>
      </rPr>
      <t xml:space="preserve">
</t>
    </r>
    <r>
      <rPr>
        <u/>
        <sz val="10"/>
        <color rgb="FF99B5E6"/>
        <rFont val="Arial"/>
        <family val="2"/>
      </rPr>
      <t>https://www.iwatani.co.jp/eng/business/material/functional-plastics/information/solution01/#:~:text=The%20targets%20of%20the%20Resource,(approximately%20two%20million%20tons)
https://www.env.go.jp/content/900457446.pdf</t>
    </r>
    <r>
      <rPr>
        <sz val="11"/>
        <color theme="1"/>
        <rFont val="Calibri"/>
        <family val="2"/>
        <scheme val="minor"/>
      </rPr>
      <t xml:space="preserve"> (document from the Ministry of the Environment)</t>
    </r>
  </si>
  <si>
    <t>ecovio (PBAT, PLA), ecoflex (PBAT)</t>
  </si>
  <si>
    <t xml:space="preserve">Largest company producing bio-based plastics globally with widest range of applications
(total annual capacity of 74,000 metric tons for ecoflex, production not provided for ecovio) </t>
  </si>
  <si>
    <r>
      <rPr>
        <u/>
        <sz val="10"/>
        <color rgb="FF1155CC"/>
        <rFont val="Arial"/>
        <family val="2"/>
      </rPr>
      <t xml:space="preserve">Ecovio® (PBAT, PLA) (basf.com)
</t>
    </r>
    <r>
      <rPr>
        <u/>
        <sz val="10"/>
        <color rgb="FF99B5E6"/>
        <rFont val="Arial"/>
        <family val="2"/>
      </rPr>
      <t>https://plastics-rubber.basf.com/global/en/performance_polymers/products/ecoflex.html
https://www.european-bioplastics.org/member-portrait-basf/
https://www.chemanager-online.com/en/products/basfs-ecoflex-plant-starts-operations</t>
    </r>
  </si>
  <si>
    <t>First to produce PLA at commercial scale - largest manufacturer globaly of PLA 
(total annual capacity of 150,000 metric tons)</t>
  </si>
  <si>
    <t>https://www.european-bioplastics.org/member-portrait-natureworks/</t>
  </si>
  <si>
    <t>BASF</t>
  </si>
  <si>
    <t>Braskem</t>
  </si>
  <si>
    <t>Cargill Incorporated</t>
  </si>
  <si>
    <t>Genomatica</t>
  </si>
  <si>
    <t>Mitsubishi chemical corporation</t>
  </si>
  <si>
    <t>Country</t>
  </si>
  <si>
    <t>Germany</t>
  </si>
  <si>
    <t>Employees</t>
  </si>
  <si>
    <t>Company</t>
  </si>
  <si>
    <t>Revenue 2023 b</t>
  </si>
  <si>
    <t>USA</t>
  </si>
  <si>
    <t>Products</t>
  </si>
  <si>
    <t>Eastman Chemical Company</t>
  </si>
  <si>
    <t>NatureWorks LLC</t>
  </si>
  <si>
    <t>Futamura Group</t>
  </si>
  <si>
    <t>Plantic Technologies</t>
  </si>
  <si>
    <t>AUS</t>
  </si>
  <si>
    <t>Notes</t>
  </si>
  <si>
    <t>Ingeo (PLA) derived from corn starch</t>
  </si>
  <si>
    <t>Starch-based bioplatics for packaging applications</t>
  </si>
  <si>
    <t>bio-based polyethylene, sourced from renewable sugarcane.</t>
  </si>
  <si>
    <t>https://www.braskem.com/imgreen/my-environmental-impact</t>
  </si>
  <si>
    <t>https://www.genomatica.com/products/</t>
  </si>
  <si>
    <t>bio-based chemicals like renewable butanediol (bio-BDO) and bio-based nylon</t>
  </si>
  <si>
    <t>bio-based intermediates, including bio-polyols, and chemicals for industrial applications</t>
  </si>
  <si>
    <t>bio-based polymers, and biodegradable materials</t>
  </si>
  <si>
    <t>TREVA cellulose-based bioplastic for packaging applications</t>
  </si>
  <si>
    <t>https://www.eastman.com/en/products/product-finder</t>
  </si>
  <si>
    <t>Natureflex, a compostable cellulose packaging film</t>
  </si>
  <si>
    <t>https://www.futamuragroup.com/en/divisions/cellulose-films/products/natureflex/</t>
  </si>
  <si>
    <t>https://plantic.com.au/</t>
  </si>
  <si>
    <t>https://www.cargill.com/bioindustrial/bioindustrial-product-categories</t>
  </si>
  <si>
    <t>Netherlands</t>
  </si>
  <si>
    <t>Korea</t>
  </si>
  <si>
    <t>Colombia</t>
  </si>
  <si>
    <t>Mexico</t>
  </si>
  <si>
    <t>Peru</t>
  </si>
  <si>
    <t>Philippines</t>
  </si>
  <si>
    <t>Jamaica</t>
  </si>
  <si>
    <t>Singapore</t>
  </si>
  <si>
    <t>Norway</t>
  </si>
  <si>
    <t>Italy</t>
  </si>
  <si>
    <t>Origin</t>
  </si>
  <si>
    <t>Destination</t>
  </si>
  <si>
    <t>Million Gallons</t>
  </si>
  <si>
    <t>Commodity</t>
  </si>
  <si>
    <t>South Korea</t>
  </si>
  <si>
    <t>Nigeria</t>
  </si>
  <si>
    <t>Ghana</t>
  </si>
  <si>
    <t>Cameron</t>
  </si>
  <si>
    <t>Row</t>
  </si>
  <si>
    <t>South Arabia</t>
  </si>
  <si>
    <t>USA P</t>
  </si>
  <si>
    <t>RoW P</t>
  </si>
  <si>
    <t>USA C</t>
  </si>
  <si>
    <t>RoW C</t>
  </si>
  <si>
    <t>USA E</t>
  </si>
  <si>
    <t>RoW E</t>
  </si>
  <si>
    <t>BP</t>
  </si>
  <si>
    <t>ExxonMobil</t>
  </si>
  <si>
    <t>Chevron</t>
  </si>
  <si>
    <t>Eni</t>
  </si>
  <si>
    <t>Shell</t>
  </si>
  <si>
    <t>TotalEnergies</t>
  </si>
  <si>
    <t>total</t>
  </si>
  <si>
    <t>Renewable Diesel/SAF</t>
  </si>
  <si>
    <t>Cold line</t>
  </si>
  <si>
    <t>CTO</t>
  </si>
  <si>
    <t>Entrée Station</t>
  </si>
  <si>
    <t xml:space="preserve">Grill </t>
  </si>
  <si>
    <t>Pizza</t>
  </si>
  <si>
    <t>Post consumer</t>
  </si>
  <si>
    <t>Order</t>
  </si>
  <si>
    <t>MarketLine Industry Profiles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</si>
</sst>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000000000"/>
  </numFmts>
  <fonts count="41" x14ac:knownFonts="1">
    <font>
      <sz val="11"/>
      <color theme="1"/>
      <name val="Calibri"/>
      <family val="2"/>
      <scheme val="minor"/>
    </font>
    <font>
      <b/>
      <sz val="11"/>
      <color theme="1"/>
      <name val="Calibri"/>
      <family val="2"/>
      <scheme val="minor"/>
    </font>
    <font>
      <sz val="11"/>
      <color rgb="FFFF0000"/>
      <name val="Calibri"/>
      <family val="2"/>
      <scheme val="minor"/>
    </font>
    <font>
      <sz val="10"/>
      <name val="Arial"/>
      <family val="2"/>
    </font>
    <font>
      <sz val="10"/>
      <name val="Arial"/>
      <family val="2"/>
    </font>
    <font>
      <sz val="11"/>
      <name val="Calibri"/>
      <family val="2"/>
    </font>
    <font>
      <sz val="11"/>
      <name val="Calibri"/>
      <family val="2"/>
      <scheme val="minor"/>
    </font>
    <font>
      <u/>
      <sz val="11"/>
      <color theme="10"/>
      <name val="Calibri"/>
      <family val="2"/>
      <scheme val="minor"/>
    </font>
    <font>
      <sz val="11"/>
      <color theme="1"/>
      <name val="Calibri"/>
      <family val="2"/>
      <scheme val="minor"/>
    </font>
    <font>
      <b/>
      <sz val="11"/>
      <name val="Calibri"/>
      <family val="2"/>
      <scheme val="minor"/>
    </font>
    <font>
      <b/>
      <u/>
      <sz val="10"/>
      <color theme="1"/>
      <name val="Arial"/>
      <family val="2"/>
    </font>
    <font>
      <sz val="10"/>
      <color theme="1"/>
      <name val="Arial"/>
      <family val="2"/>
    </font>
    <font>
      <u/>
      <sz val="10"/>
      <color rgb="FF0000FF"/>
      <name val="Arial"/>
      <family val="2"/>
    </font>
    <font>
      <sz val="10"/>
      <color rgb="FF000000"/>
      <name val="Arial"/>
      <family val="2"/>
    </font>
    <font>
      <sz val="12"/>
      <color theme="1"/>
      <name val="Calibri"/>
      <family val="2"/>
      <scheme val="minor"/>
    </font>
    <font>
      <b/>
      <i/>
      <sz val="11"/>
      <color theme="1"/>
      <name val="Calibri"/>
      <family val="2"/>
      <scheme val="minor"/>
    </font>
    <font>
      <sz val="11"/>
      <color rgb="FF182026"/>
      <name val="Calibri"/>
      <family val="2"/>
      <scheme val="minor"/>
    </font>
    <font>
      <sz val="10"/>
      <color theme="1"/>
      <name val="Arial"/>
      <family val="2"/>
    </font>
    <font>
      <sz val="10"/>
      <color theme="1"/>
      <name val="Calibri"/>
      <family val="2"/>
      <scheme val="minor"/>
    </font>
    <font>
      <u/>
      <sz val="10"/>
      <color rgb="FF99B5E6"/>
      <name val="Arial"/>
      <family val="2"/>
    </font>
    <font>
      <b/>
      <sz val="16"/>
      <color theme="1"/>
      <name val="Calibri"/>
      <family val="2"/>
      <scheme val="minor"/>
    </font>
    <font>
      <u/>
      <sz val="10"/>
      <color theme="1"/>
      <name val="Arial"/>
      <family val="2"/>
    </font>
    <font>
      <b/>
      <sz val="10"/>
      <color theme="1"/>
      <name val="Arial"/>
      <family val="2"/>
    </font>
    <font>
      <u/>
      <sz val="10"/>
      <color rgb="FF1155CC"/>
      <name val="Arial"/>
      <family val="2"/>
    </font>
    <font>
      <sz val="10"/>
      <color rgb="FF0000FF"/>
      <name val="Arial"/>
      <family val="2"/>
    </font>
    <font>
      <u/>
      <sz val="10"/>
      <name val="Arial"/>
      <family val="2"/>
    </font>
    <font>
      <u/>
      <sz val="10"/>
      <color rgb="FF000000"/>
      <name val="Arial"/>
      <family val="2"/>
    </font>
    <font>
      <sz val="10"/>
      <color rgb="FFBFBFBF"/>
      <name val="Arial"/>
      <family val="2"/>
    </font>
    <font>
      <b/>
      <sz val="16"/>
      <color rgb="FF000000"/>
      <name val="Calibri"/>
      <family val="2"/>
      <scheme val="minor"/>
    </font>
    <font>
      <b/>
      <sz val="13"/>
      <color theme="1"/>
      <name val="Calibri"/>
      <family val="2"/>
      <scheme val="minor"/>
    </font>
    <font>
      <sz val="11"/>
      <name val="Arial"/>
      <family val="2"/>
    </font>
    <font>
      <b/>
      <sz val="11"/>
      <name val="Arial"/>
      <family val="2"/>
    </font>
    <font>
      <u/>
      <sz val="11"/>
      <name val="Arial"/>
      <family val="2"/>
    </font>
    <font>
      <b/>
      <sz val="14"/>
      <color theme="9" tint="-0.499984740745262"/>
      <name val="Calibri"/>
      <family val="2"/>
      <scheme val="minor"/>
    </font>
    <font>
      <sz val="11"/>
      <color theme="9" tint="-0.499984740745262"/>
      <name val="Calibri"/>
      <family val="2"/>
      <scheme val="minor"/>
    </font>
    <font>
      <b/>
      <sz val="14"/>
      <color theme="7" tint="-0.499984740745262"/>
      <name val="Calibri"/>
      <family val="2"/>
      <scheme val="minor"/>
    </font>
    <font>
      <sz val="10"/>
      <color theme="7" tint="-0.499984740745262"/>
      <name val="Calibri"/>
      <family val="2"/>
      <scheme val="minor"/>
    </font>
    <font>
      <sz val="10"/>
      <color rgb="FF000000"/>
      <name val="Calibri"/>
      <family val="2"/>
      <scheme val="minor"/>
    </font>
    <font>
      <b/>
      <sz val="10"/>
      <color theme="1"/>
      <name val="Calibri"/>
      <family val="2"/>
      <scheme val="minor"/>
    </font>
    <font>
      <b/>
      <sz val="10"/>
      <name val="Arial"/>
    </font>
    <font>
      <sz val="11"/>
      <color rgb="FF182026"/>
      <name val="Arial"/>
      <family val="2"/>
    </font>
  </fonts>
  <fills count="9">
    <fill>
      <patternFill patternType="none"/>
    </fill>
    <fill>
      <patternFill patternType="gray125"/>
    </fill>
    <fill>
      <patternFill patternType="solid">
        <fgColor rgb="FFFFFFFF"/>
        <bgColor indexed="64"/>
      </patternFill>
    </fill>
    <fill>
      <patternFill patternType="solid">
        <fgColor rgb="FFB6D7A8"/>
        <bgColor rgb="FFB6D7A8"/>
      </patternFill>
    </fill>
    <fill>
      <patternFill patternType="solid">
        <fgColor theme="0" tint="-0.14999847407452621"/>
        <bgColor indexed="64"/>
      </patternFill>
    </fill>
    <fill>
      <patternFill patternType="solid">
        <fgColor theme="0"/>
        <bgColor indexed="64"/>
      </patternFill>
    </fill>
    <fill>
      <patternFill patternType="solid">
        <fgColor theme="0"/>
        <bgColor rgb="FF274E13"/>
      </patternFill>
    </fill>
    <fill>
      <patternFill patternType="solid">
        <fgColor theme="0" tint="-0.249977111117893"/>
        <bgColor indexed="64"/>
      </patternFill>
    </fill>
    <fill>
      <patternFill patternType="solid">
        <fgColor theme="2"/>
        <bgColor indexed="64"/>
      </patternFill>
    </fill>
  </fills>
  <borders count="36">
    <border>
      <left/>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indexed="64"/>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indexed="64"/>
      </right>
      <top/>
      <bottom/>
      <diagonal/>
    </border>
    <border>
      <left/>
      <right style="thin">
        <color auto="1"/>
      </right>
      <top style="medium">
        <color auto="1"/>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style="medium">
        <color indexed="64"/>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style="medium">
        <color indexed="64"/>
      </left>
      <right style="thin">
        <color auto="1"/>
      </right>
      <top/>
      <bottom style="medium">
        <color indexed="64"/>
      </bottom>
      <diagonal/>
    </border>
    <border>
      <left style="thin">
        <color auto="1"/>
      </left>
      <right/>
      <top/>
      <bottom style="medium">
        <color indexed="64"/>
      </bottom>
      <diagonal/>
    </border>
    <border>
      <left style="thin">
        <color rgb="FF9E9E9E"/>
      </left>
      <right style="thin">
        <color rgb="FF9E9E9E"/>
      </right>
      <top style="thin">
        <color rgb="FF9E9E9E"/>
      </top>
      <bottom style="thin">
        <color rgb="FF9E9E9E"/>
      </bottom>
      <diagonal/>
    </border>
    <border>
      <left/>
      <right style="thin">
        <color rgb="FF9E9E9E"/>
      </right>
      <top style="thin">
        <color rgb="FF9E9E9E"/>
      </top>
      <bottom style="thin">
        <color rgb="FF9E9E9E"/>
      </bottom>
      <diagonal/>
    </border>
  </borders>
  <cellStyleXfs count="7">
    <xf numFmtId="0" fontId="0" fillId="0" borderId="0"/>
    <xf numFmtId="0" fontId="3" fillId="0" borderId="0"/>
    <xf numFmtId="43" fontId="4" fillId="0" borderId="0" applyFont="0" applyFill="0" applyBorder="0" applyAlignment="0" applyProtection="0"/>
    <xf numFmtId="43" fontId="4" fillId="0" borderId="0" applyFont="0" applyFill="0" applyBorder="0" applyAlignment="0" applyProtection="0"/>
    <xf numFmtId="0" fontId="7" fillId="0" borderId="0" applyNumberFormat="0" applyFill="0" applyBorder="0" applyAlignment="0" applyProtection="0"/>
    <xf numFmtId="9" fontId="8" fillId="0" borderId="0" applyFont="0" applyFill="0" applyBorder="0" applyAlignment="0" applyProtection="0"/>
    <xf numFmtId="43" fontId="8" fillId="0" borderId="0" applyFont="0" applyFill="0" applyBorder="0" applyAlignment="0" applyProtection="0"/>
  </cellStyleXfs>
  <cellXfs count="146">
    <xf numFmtId="0" fontId="0" fillId="0" borderId="0" xfId="0"/>
    <xf numFmtId="0" fontId="1" fillId="0" borderId="0" xfId="0" applyFont="1"/>
    <xf numFmtId="0" fontId="0" fillId="0" borderId="3" xfId="0" applyBorder="1"/>
    <xf numFmtId="3" fontId="5" fillId="0" borderId="3" xfId="0" applyNumberFormat="1" applyFont="1" applyBorder="1" applyAlignment="1">
      <alignment wrapText="1" readingOrder="1"/>
    </xf>
    <xf numFmtId="17" fontId="0" fillId="0" borderId="0" xfId="0" applyNumberFormat="1"/>
    <xf numFmtId="0" fontId="2" fillId="0" borderId="0" xfId="0" applyFont="1"/>
    <xf numFmtId="0" fontId="6" fillId="0" borderId="3" xfId="0" applyFont="1" applyBorder="1"/>
    <xf numFmtId="0" fontId="7" fillId="0" borderId="3" xfId="4" applyBorder="1"/>
    <xf numFmtId="0" fontId="0" fillId="0" borderId="15" xfId="0" applyBorder="1"/>
    <xf numFmtId="0" fontId="0" fillId="0" borderId="1" xfId="0" applyBorder="1"/>
    <xf numFmtId="17" fontId="0" fillId="0" borderId="4" xfId="0" applyNumberFormat="1" applyBorder="1"/>
    <xf numFmtId="0" fontId="6" fillId="0" borderId="1" xfId="0" applyFont="1" applyBorder="1"/>
    <xf numFmtId="0" fontId="0" fillId="0" borderId="2" xfId="0" applyBorder="1"/>
    <xf numFmtId="3" fontId="5" fillId="0" borderId="5" xfId="0" applyNumberFormat="1" applyFont="1" applyBorder="1" applyAlignment="1">
      <alignment wrapText="1" readingOrder="1"/>
    </xf>
    <xf numFmtId="0" fontId="0" fillId="0" borderId="5" xfId="0" applyBorder="1"/>
    <xf numFmtId="17" fontId="0" fillId="0" borderId="6" xfId="0" applyNumberFormat="1" applyBorder="1"/>
    <xf numFmtId="0" fontId="0" fillId="0" borderId="13" xfId="0" applyBorder="1"/>
    <xf numFmtId="3" fontId="5" fillId="0" borderId="12" xfId="0" applyNumberFormat="1" applyFont="1" applyBorder="1" applyAlignment="1">
      <alignment wrapText="1" readingOrder="1"/>
    </xf>
    <xf numFmtId="0" fontId="0" fillId="0" borderId="12" xfId="0" applyBorder="1"/>
    <xf numFmtId="17" fontId="0" fillId="0" borderId="14" xfId="0" applyNumberFormat="1" applyBorder="1"/>
    <xf numFmtId="0" fontId="0" fillId="0" borderId="16" xfId="0" applyBorder="1"/>
    <xf numFmtId="17" fontId="0" fillId="0" borderId="17" xfId="0" applyNumberFormat="1" applyBorder="1"/>
    <xf numFmtId="0" fontId="1" fillId="0" borderId="7" xfId="0" applyFont="1" applyBorder="1"/>
    <xf numFmtId="0" fontId="1" fillId="0" borderId="8" xfId="0" applyFont="1" applyBorder="1"/>
    <xf numFmtId="0" fontId="1" fillId="0" borderId="9" xfId="0" applyFont="1" applyBorder="1"/>
    <xf numFmtId="0" fontId="0" fillId="0" borderId="10" xfId="0" applyBorder="1"/>
    <xf numFmtId="3" fontId="5" fillId="0" borderId="18" xfId="0" applyNumberFormat="1" applyFont="1" applyBorder="1" applyAlignment="1">
      <alignment wrapText="1" readingOrder="1"/>
    </xf>
    <xf numFmtId="0" fontId="0" fillId="0" borderId="18" xfId="0" applyBorder="1"/>
    <xf numFmtId="17" fontId="0" fillId="0" borderId="11" xfId="0" applyNumberFormat="1" applyBorder="1"/>
    <xf numFmtId="1" fontId="0" fillId="0" borderId="3" xfId="0" applyNumberFormat="1" applyBorder="1"/>
    <xf numFmtId="17" fontId="6" fillId="0" borderId="4" xfId="0" applyNumberFormat="1" applyFont="1" applyBorder="1"/>
    <xf numFmtId="0" fontId="7" fillId="0" borderId="15" xfId="4" applyBorder="1"/>
    <xf numFmtId="1" fontId="0" fillId="0" borderId="5" xfId="0" applyNumberFormat="1" applyBorder="1"/>
    <xf numFmtId="164" fontId="0" fillId="0" borderId="0" xfId="5" applyNumberFormat="1" applyFont="1"/>
    <xf numFmtId="0" fontId="7" fillId="0" borderId="18" xfId="4" applyBorder="1"/>
    <xf numFmtId="0" fontId="1" fillId="0" borderId="20" xfId="0" applyFont="1" applyBorder="1"/>
    <xf numFmtId="0" fontId="11" fillId="0" borderId="0" xfId="0" applyFont="1"/>
    <xf numFmtId="0" fontId="11" fillId="0" borderId="3" xfId="0" applyFont="1" applyBorder="1"/>
    <xf numFmtId="0" fontId="11" fillId="0" borderId="15" xfId="0" applyFont="1" applyBorder="1"/>
    <xf numFmtId="0" fontId="10" fillId="0" borderId="7" xfId="0" applyFont="1" applyBorder="1"/>
    <xf numFmtId="0" fontId="12" fillId="0" borderId="0" xfId="0" applyFont="1"/>
    <xf numFmtId="0" fontId="11" fillId="0" borderId="16" xfId="0" applyFont="1" applyBorder="1"/>
    <xf numFmtId="0" fontId="11" fillId="0" borderId="1" xfId="0" applyFont="1" applyBorder="1"/>
    <xf numFmtId="0" fontId="11" fillId="0" borderId="2" xfId="0" applyFont="1" applyBorder="1"/>
    <xf numFmtId="3" fontId="11" fillId="0" borderId="15" xfId="0" applyNumberFormat="1" applyFont="1" applyBorder="1"/>
    <xf numFmtId="3" fontId="11" fillId="0" borderId="3" xfId="0" applyNumberFormat="1" applyFont="1" applyBorder="1"/>
    <xf numFmtId="3" fontId="11" fillId="0" borderId="5" xfId="0" applyNumberFormat="1" applyFont="1" applyBorder="1"/>
    <xf numFmtId="3" fontId="0" fillId="0" borderId="0" xfId="0" applyNumberFormat="1"/>
    <xf numFmtId="0" fontId="12" fillId="0" borderId="3" xfId="0" applyFont="1" applyBorder="1"/>
    <xf numFmtId="0" fontId="11" fillId="0" borderId="10" xfId="0" applyFont="1" applyBorder="1"/>
    <xf numFmtId="0" fontId="11" fillId="0" borderId="18" xfId="0" applyFont="1" applyBorder="1"/>
    <xf numFmtId="0" fontId="12" fillId="0" borderId="18" xfId="0" applyFont="1" applyBorder="1"/>
    <xf numFmtId="0" fontId="13" fillId="3" borderId="0" xfId="0" applyFont="1" applyFill="1" applyAlignment="1">
      <alignment horizontal="center"/>
    </xf>
    <xf numFmtId="0" fontId="1" fillId="0" borderId="3" xfId="0" applyFont="1" applyBorder="1"/>
    <xf numFmtId="9" fontId="0" fillId="0" borderId="3" xfId="5" applyFont="1" applyBorder="1"/>
    <xf numFmtId="0" fontId="9" fillId="0" borderId="3" xfId="1" applyFont="1" applyBorder="1" applyAlignment="1">
      <alignment horizontal="left" vertical="center"/>
    </xf>
    <xf numFmtId="0" fontId="6" fillId="0" borderId="3" xfId="1" applyFont="1" applyBorder="1" applyAlignment="1">
      <alignment vertical="top"/>
    </xf>
    <xf numFmtId="9" fontId="6" fillId="0" borderId="3" xfId="1" applyNumberFormat="1" applyFont="1" applyBorder="1" applyAlignment="1">
      <alignment vertical="top"/>
    </xf>
    <xf numFmtId="0" fontId="14" fillId="0" borderId="3" xfId="0" applyFont="1" applyBorder="1"/>
    <xf numFmtId="17" fontId="0" fillId="0" borderId="3" xfId="0" applyNumberFormat="1" applyBorder="1"/>
    <xf numFmtId="0" fontId="0" fillId="4" borderId="3" xfId="0" applyFill="1" applyBorder="1"/>
    <xf numFmtId="0" fontId="0" fillId="4" borderId="15" xfId="0" applyFill="1" applyBorder="1"/>
    <xf numFmtId="0" fontId="0" fillId="4" borderId="18" xfId="0" applyFill="1" applyBorder="1"/>
    <xf numFmtId="3" fontId="6" fillId="0" borderId="15" xfId="0" applyNumberFormat="1" applyFont="1" applyBorder="1" applyAlignment="1">
      <alignment wrapText="1" readingOrder="1"/>
    </xf>
    <xf numFmtId="3" fontId="6" fillId="0" borderId="3" xfId="0" applyNumberFormat="1" applyFont="1" applyBorder="1" applyAlignment="1">
      <alignment wrapText="1" readingOrder="1"/>
    </xf>
    <xf numFmtId="3" fontId="6" fillId="0" borderId="5" xfId="0" applyNumberFormat="1" applyFont="1" applyBorder="1" applyAlignment="1">
      <alignment wrapText="1" readingOrder="1"/>
    </xf>
    <xf numFmtId="3" fontId="6" fillId="0" borderId="18" xfId="0" applyNumberFormat="1" applyFont="1" applyBorder="1" applyAlignment="1">
      <alignment wrapText="1" readingOrder="1"/>
    </xf>
    <xf numFmtId="1" fontId="0" fillId="0" borderId="15" xfId="0" applyNumberFormat="1" applyBorder="1"/>
    <xf numFmtId="1" fontId="0" fillId="4" borderId="3" xfId="0" applyNumberFormat="1" applyFill="1" applyBorder="1"/>
    <xf numFmtId="0" fontId="0" fillId="4" borderId="5" xfId="0" applyFill="1" applyBorder="1"/>
    <xf numFmtId="2" fontId="16" fillId="2" borderId="15" xfId="0" applyNumberFormat="1" applyFont="1" applyFill="1" applyBorder="1" applyAlignment="1">
      <alignment horizontal="right" vertical="center"/>
    </xf>
    <xf numFmtId="2" fontId="16" fillId="2" borderId="18" xfId="0" applyNumberFormat="1" applyFont="1" applyFill="1" applyBorder="1" applyAlignment="1">
      <alignment horizontal="right" vertical="center"/>
    </xf>
    <xf numFmtId="17" fontId="0" fillId="0" borderId="19" xfId="0" applyNumberFormat="1" applyBorder="1"/>
    <xf numFmtId="0" fontId="0" fillId="4" borderId="8" xfId="0" applyFill="1" applyBorder="1"/>
    <xf numFmtId="0" fontId="1" fillId="4" borderId="8" xfId="0" applyFont="1" applyFill="1" applyBorder="1"/>
    <xf numFmtId="0" fontId="0" fillId="4" borderId="21" xfId="0" applyFill="1" applyBorder="1"/>
    <xf numFmtId="0" fontId="0" fillId="4" borderId="22" xfId="0" applyFill="1" applyBorder="1"/>
    <xf numFmtId="0" fontId="0" fillId="4" borderId="23" xfId="0" applyFill="1" applyBorder="1"/>
    <xf numFmtId="0" fontId="17" fillId="0" borderId="0" xfId="0" applyFont="1"/>
    <xf numFmtId="0" fontId="7" fillId="0" borderId="12" xfId="4" applyBorder="1"/>
    <xf numFmtId="3" fontId="5" fillId="0" borderId="26" xfId="0" applyNumberFormat="1" applyFont="1" applyBorder="1" applyAlignment="1">
      <alignment wrapText="1" readingOrder="1"/>
    </xf>
    <xf numFmtId="3" fontId="5" fillId="0" borderId="27" xfId="0" applyNumberFormat="1" applyFont="1" applyBorder="1" applyAlignment="1">
      <alignment wrapText="1" readingOrder="1"/>
    </xf>
    <xf numFmtId="3" fontId="5" fillId="0" borderId="28" xfId="0" applyNumberFormat="1" applyFont="1" applyBorder="1" applyAlignment="1">
      <alignment wrapText="1" readingOrder="1"/>
    </xf>
    <xf numFmtId="0" fontId="1" fillId="0" borderId="29" xfId="0" applyFont="1" applyBorder="1"/>
    <xf numFmtId="0" fontId="1" fillId="0" borderId="30" xfId="0" applyFont="1" applyBorder="1"/>
    <xf numFmtId="0" fontId="1" fillId="0" borderId="31" xfId="0" applyFont="1" applyBorder="1"/>
    <xf numFmtId="0" fontId="0" fillId="0" borderId="32" xfId="0" applyBorder="1"/>
    <xf numFmtId="3" fontId="5" fillId="0" borderId="24" xfId="0" applyNumberFormat="1" applyFont="1" applyBorder="1" applyAlignment="1">
      <alignment wrapText="1" readingOrder="1"/>
    </xf>
    <xf numFmtId="3" fontId="5" fillId="0" borderId="33" xfId="0" applyNumberFormat="1" applyFont="1" applyBorder="1" applyAlignment="1">
      <alignment wrapText="1" readingOrder="1"/>
    </xf>
    <xf numFmtId="0" fontId="1" fillId="0" borderId="24" xfId="0" applyFont="1" applyBorder="1"/>
    <xf numFmtId="0" fontId="0" fillId="4" borderId="3" xfId="0" applyFill="1" applyBorder="1" applyAlignment="1">
      <alignment vertical="center"/>
    </xf>
    <xf numFmtId="1" fontId="0" fillId="0" borderId="18" xfId="0" applyNumberFormat="1" applyBorder="1"/>
    <xf numFmtId="0" fontId="0" fillId="5" borderId="18" xfId="0" applyFill="1" applyBorder="1"/>
    <xf numFmtId="1" fontId="0" fillId="5" borderId="15" xfId="0" applyNumberFormat="1" applyFill="1" applyBorder="1"/>
    <xf numFmtId="1" fontId="0" fillId="5" borderId="3" xfId="0" applyNumberFormat="1" applyFill="1" applyBorder="1"/>
    <xf numFmtId="1" fontId="0" fillId="5" borderId="18" xfId="0" applyNumberFormat="1" applyFill="1" applyBorder="1"/>
    <xf numFmtId="0" fontId="15" fillId="4" borderId="15" xfId="0" applyFont="1" applyFill="1" applyBorder="1" applyAlignment="1">
      <alignment vertical="center"/>
    </xf>
    <xf numFmtId="9" fontId="0" fillId="4" borderId="3" xfId="5" applyFont="1" applyFill="1" applyBorder="1"/>
    <xf numFmtId="0" fontId="15" fillId="4" borderId="3" xfId="0" applyFont="1" applyFill="1" applyBorder="1" applyAlignment="1">
      <alignment vertical="center"/>
    </xf>
    <xf numFmtId="9" fontId="0" fillId="4" borderId="18" xfId="5" applyFont="1" applyFill="1" applyBorder="1"/>
    <xf numFmtId="0" fontId="0" fillId="4" borderId="18" xfId="0" applyFill="1" applyBorder="1" applyAlignment="1">
      <alignment vertical="center"/>
    </xf>
    <xf numFmtId="9" fontId="0" fillId="4" borderId="15" xfId="5" applyFont="1" applyFill="1" applyBorder="1"/>
    <xf numFmtId="2" fontId="16" fillId="2" borderId="25" xfId="0" applyNumberFormat="1" applyFont="1" applyFill="1" applyBorder="1" applyAlignment="1">
      <alignment horizontal="right" vertical="center"/>
    </xf>
    <xf numFmtId="3" fontId="5" fillId="0" borderId="12" xfId="0" applyNumberFormat="1" applyFont="1" applyBorder="1" applyAlignment="1">
      <alignment readingOrder="1"/>
    </xf>
    <xf numFmtId="0" fontId="7" fillId="0" borderId="5" xfId="4" applyBorder="1"/>
    <xf numFmtId="0" fontId="18" fillId="0" borderId="0" xfId="0" applyFont="1" applyAlignment="1">
      <alignment wrapText="1"/>
    </xf>
    <xf numFmtId="0" fontId="11" fillId="0" borderId="0" xfId="0" applyFont="1" applyAlignment="1">
      <alignment wrapText="1"/>
    </xf>
    <xf numFmtId="0" fontId="0" fillId="0" borderId="0" xfId="0" applyAlignment="1">
      <alignment wrapText="1"/>
    </xf>
    <xf numFmtId="0" fontId="12" fillId="0" borderId="0" xfId="0" applyFont="1" applyAlignment="1">
      <alignment wrapText="1"/>
    </xf>
    <xf numFmtId="0" fontId="20" fillId="0" borderId="0" xfId="0" applyFont="1" applyAlignment="1">
      <alignment wrapText="1"/>
    </xf>
    <xf numFmtId="0" fontId="19" fillId="0" borderId="0" xfId="0" applyFont="1" applyAlignment="1">
      <alignment wrapText="1"/>
    </xf>
    <xf numFmtId="0" fontId="24"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31" fillId="0" borderId="0" xfId="0" applyFont="1" applyAlignment="1">
      <alignment wrapText="1"/>
    </xf>
    <xf numFmtId="0" fontId="31" fillId="0" borderId="0" xfId="0" applyFont="1" applyAlignment="1">
      <alignment horizontal="right" wrapText="1"/>
    </xf>
    <xf numFmtId="0" fontId="32" fillId="0" borderId="0" xfId="0" applyFont="1" applyAlignment="1">
      <alignment wrapText="1"/>
    </xf>
    <xf numFmtId="0" fontId="6" fillId="0" borderId="0" xfId="0" applyFont="1"/>
    <xf numFmtId="0" fontId="22" fillId="7" borderId="0" xfId="0" applyFont="1" applyFill="1" applyAlignment="1">
      <alignment horizontal="center" vertical="center" wrapText="1"/>
    </xf>
    <xf numFmtId="0" fontId="22" fillId="7" borderId="0" xfId="0" applyFont="1" applyFill="1" applyAlignment="1">
      <alignment horizontal="center" vertical="center"/>
    </xf>
    <xf numFmtId="0" fontId="11" fillId="0" borderId="0" xfId="0" applyFont="1" applyAlignment="1">
      <alignment vertical="center"/>
    </xf>
    <xf numFmtId="0" fontId="37" fillId="0" borderId="0" xfId="0" applyFont="1" applyAlignment="1">
      <alignment vertical="center"/>
    </xf>
    <xf numFmtId="0" fontId="18" fillId="0" borderId="3" xfId="0" applyFont="1" applyBorder="1" applyAlignment="1">
      <alignment wrapText="1"/>
    </xf>
    <xf numFmtId="3" fontId="18" fillId="0" borderId="3" xfId="0" applyNumberFormat="1" applyFont="1" applyBorder="1" applyAlignment="1">
      <alignment wrapText="1"/>
    </xf>
    <xf numFmtId="0" fontId="0" fillId="0" borderId="3" xfId="0" applyBorder="1" applyAlignment="1">
      <alignment wrapText="1"/>
    </xf>
    <xf numFmtId="0" fontId="38" fillId="8" borderId="3" xfId="0" applyFont="1" applyFill="1" applyBorder="1" applyAlignment="1">
      <alignment wrapText="1"/>
    </xf>
    <xf numFmtId="0" fontId="11" fillId="0" borderId="3" xfId="0" applyFont="1" applyBorder="1" applyAlignment="1">
      <alignment wrapText="1"/>
    </xf>
    <xf numFmtId="0" fontId="19" fillId="0" borderId="3" xfId="0" applyFont="1" applyBorder="1"/>
    <xf numFmtId="0" fontId="12" fillId="0" borderId="3" xfId="0" applyFont="1" applyBorder="1" applyAlignment="1">
      <alignment wrapText="1"/>
    </xf>
    <xf numFmtId="0" fontId="7" fillId="0" borderId="3" xfId="4" applyBorder="1" applyAlignment="1">
      <alignment wrapText="1"/>
    </xf>
    <xf numFmtId="0" fontId="39" fillId="0" borderId="0" xfId="0" applyFont="1" applyAlignment="1">
      <alignment wrapText="1"/>
    </xf>
    <xf numFmtId="1" fontId="0" fillId="0" borderId="0" xfId="0" applyNumberFormat="1"/>
    <xf numFmtId="0" fontId="3" fillId="0" borderId="0" xfId="0" applyFont="1" applyAlignment="1">
      <alignment wrapText="1"/>
    </xf>
    <xf numFmtId="0" fontId="40" fillId="0" borderId="0" xfId="0" applyFont="1"/>
    <xf numFmtId="0" fontId="40" fillId="2" borderId="34" xfId="0" applyFont="1" applyFill="1" applyBorder="1" applyAlignment="1">
      <alignment horizontal="right" vertical="center" wrapText="1"/>
    </xf>
    <xf numFmtId="0" fontId="40" fillId="2" borderId="35" xfId="0" applyFont="1" applyFill="1" applyBorder="1" applyAlignment="1">
      <alignment horizontal="right" vertical="center" wrapText="1"/>
    </xf>
    <xf numFmtId="3" fontId="0" fillId="4" borderId="3" xfId="0" applyNumberFormat="1" applyFill="1" applyBorder="1"/>
    <xf numFmtId="43" fontId="0" fillId="4" borderId="3" xfId="6" applyFont="1" applyFill="1" applyBorder="1"/>
    <xf numFmtId="165" fontId="0" fillId="4" borderId="3" xfId="0" applyNumberFormat="1" applyFill="1" applyBorder="1"/>
    <xf numFmtId="3" fontId="0" fillId="4" borderId="15" xfId="0" applyNumberFormat="1" applyFill="1" applyBorder="1"/>
    <xf numFmtId="2" fontId="0" fillId="4" borderId="3" xfId="5" applyNumberFormat="1" applyFont="1" applyFill="1" applyBorder="1"/>
    <xf numFmtId="2" fontId="0" fillId="4" borderId="3" xfId="0" applyNumberFormat="1" applyFill="1" applyBorder="1"/>
    <xf numFmtId="0" fontId="33" fillId="6" borderId="0" xfId="0" applyFont="1" applyFill="1" applyAlignment="1">
      <alignment horizontal="center" wrapText="1"/>
    </xf>
    <xf numFmtId="0" fontId="34" fillId="5" borderId="0" xfId="0" applyFont="1" applyFill="1" applyAlignment="1">
      <alignment wrapText="1"/>
    </xf>
    <xf numFmtId="0" fontId="35" fillId="6" borderId="0" xfId="0" applyFont="1" applyFill="1" applyAlignment="1">
      <alignment horizontal="center" wrapText="1"/>
    </xf>
    <xf numFmtId="0" fontId="36" fillId="5" borderId="0" xfId="0" applyFont="1" applyFill="1"/>
  </cellXfs>
  <cellStyles count="7">
    <cellStyle name="Comma" xfId="6" builtinId="3"/>
    <cellStyle name="Comma 2" xfId="2" xr:uid="{962F54C0-62AA-4D04-A7E7-C4DFE7AB7283}"/>
    <cellStyle name="Comma 3" xfId="3" xr:uid="{2F872636-89F9-4E11-B5EB-4C1FA993653A}"/>
    <cellStyle name="Hyperlink" xfId="4" builtinId="8"/>
    <cellStyle name="Normal" xfId="0" builtinId="0"/>
    <cellStyle name="Normal 2" xfId="1" xr:uid="{2D34837D-68AA-4C7E-9DE2-84F1ECDA0BA6}"/>
    <cellStyle name="Percent" xfId="5" builtinId="5"/>
  </cellStyles>
  <dxfs count="18">
    <dxf>
      <font>
        <b val="0"/>
        <i val="0"/>
        <strike val="0"/>
        <condense val="0"/>
        <extend val="0"/>
        <outline val="0"/>
        <shadow val="0"/>
        <u/>
        <vertAlign val="baseline"/>
        <sz val="10"/>
        <color rgb="FF0000FF"/>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i val="0"/>
        <strike val="0"/>
        <condense val="0"/>
        <extend val="0"/>
        <outline val="0"/>
        <shadow val="0"/>
        <u val="none"/>
        <vertAlign val="baseline"/>
        <sz val="16"/>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0" tint="-0.249977111117893"/>
        </patternFill>
      </fill>
      <alignment horizontal="center" vertical="center" textRotation="0" wrapText="1" indent="0" justifyLastLine="0" shrinkToFit="0" readingOrder="0"/>
    </dxf>
    <dxf>
      <font>
        <b val="0"/>
        <i val="0"/>
        <strike val="0"/>
        <condense val="0"/>
        <extend val="0"/>
        <outline val="0"/>
        <shadow val="0"/>
        <u/>
        <vertAlign val="baseline"/>
        <sz val="10"/>
        <color rgb="FF0000FF"/>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scheme val="none"/>
      </font>
      <alignment horizontal="general" vertical="bottom" textRotation="0" wrapText="1" indent="0" justifyLastLine="0" shrinkToFit="0" readingOrder="0"/>
    </dxf>
  </dxfs>
  <tableStyles count="0" defaultTableStyle="TableStyleMedium2" defaultPivotStyle="PivotStyleLight16"/>
  <colors>
    <mruColors>
      <color rgb="FFFDB462"/>
      <color rgb="FFD7191C"/>
      <color rgb="FFABDDA4"/>
      <color rgb="FF2B83BA"/>
      <color rgb="FF8DD3C7"/>
      <color rgb="FFFFFFB3"/>
      <color rgb="FFFB8072"/>
      <color rgb="FFBEBADA"/>
      <color rgb="FFEDF8E9"/>
      <color rgb="FFBAE4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NEtZero!$B$1</c:f>
              <c:strCache>
                <c:ptCount val="1"/>
                <c:pt idx="0">
                  <c:v>Net-Zero targets</c:v>
                </c:pt>
              </c:strCache>
            </c:strRef>
          </c:tx>
          <c:spPr>
            <a:solidFill>
              <a:srgbClr val="225EA8"/>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NEtZero!$A$2:$A$6</c:f>
              <c:strCache>
                <c:ptCount val="5"/>
                <c:pt idx="0">
                  <c:v>European Union</c:v>
                </c:pt>
                <c:pt idx="1">
                  <c:v>United States</c:v>
                </c:pt>
                <c:pt idx="2">
                  <c:v>China</c:v>
                </c:pt>
                <c:pt idx="3">
                  <c:v>RoW</c:v>
                </c:pt>
                <c:pt idx="4">
                  <c:v>World</c:v>
                </c:pt>
              </c:strCache>
            </c:strRef>
          </c:cat>
          <c:val>
            <c:numRef>
              <c:f>NEtZero!$B$2:$B$6</c:f>
              <c:numCache>
                <c:formatCode>0%</c:formatCode>
                <c:ptCount val="5"/>
                <c:pt idx="0">
                  <c:v>0.71</c:v>
                </c:pt>
                <c:pt idx="1">
                  <c:v>0.46</c:v>
                </c:pt>
                <c:pt idx="2">
                  <c:v>0.2</c:v>
                </c:pt>
                <c:pt idx="3">
                  <c:v>0.68</c:v>
                </c:pt>
                <c:pt idx="4">
                  <c:v>0.68</c:v>
                </c:pt>
              </c:numCache>
            </c:numRef>
          </c:val>
          <c:extLst>
            <c:ext xmlns:c16="http://schemas.microsoft.com/office/drawing/2014/chart" uri="{C3380CC4-5D6E-409C-BE32-E72D297353CC}">
              <c16:uniqueId val="{00000000-FA8D-4EEB-8D87-C5BA9CF766D1}"/>
            </c:ext>
          </c:extLst>
        </c:ser>
        <c:ser>
          <c:idx val="1"/>
          <c:order val="1"/>
          <c:tx>
            <c:strRef>
              <c:f>NEtZero!$C$1</c:f>
              <c:strCache>
                <c:ptCount val="1"/>
                <c:pt idx="0">
                  <c:v>Other mitigation targets</c:v>
                </c:pt>
              </c:strCache>
            </c:strRef>
          </c:tx>
          <c:spPr>
            <a:solidFill>
              <a:srgbClr val="A1DAB4"/>
            </a:solidFill>
            <a:ln>
              <a:solidFill>
                <a:sysClr val="windowText" lastClr="000000"/>
              </a:solidFill>
            </a:ln>
            <a:effectLst/>
          </c:spPr>
          <c:invertIfNegative val="0"/>
          <c:dLbls>
            <c:dLbl>
              <c:idx val="2"/>
              <c:layout>
                <c:manualLayout>
                  <c:x val="-1.9841269841270569E-3"/>
                  <c:y val="-1.60789155854232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extLst>
                <c:ext xmlns:c15="http://schemas.microsoft.com/office/drawing/2012/chart" uri="{CE6537A1-D6FC-4f65-9D91-7224C49458BB}">
                  <c15:layout>
                    <c:manualLayout>
                      <c:w val="5.7549525059367578E-2"/>
                      <c:h val="7.4069995749245998E-2"/>
                    </c:manualLayout>
                  </c15:layout>
                </c:ext>
                <c:ext xmlns:c16="http://schemas.microsoft.com/office/drawing/2014/chart" uri="{C3380CC4-5D6E-409C-BE32-E72D297353CC}">
                  <c16:uniqueId val="{00000001-FA8D-4EEB-8D87-C5BA9CF766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NEtZero!$A$2:$A$6</c:f>
              <c:strCache>
                <c:ptCount val="5"/>
                <c:pt idx="0">
                  <c:v>European Union</c:v>
                </c:pt>
                <c:pt idx="1">
                  <c:v>United States</c:v>
                </c:pt>
                <c:pt idx="2">
                  <c:v>China</c:v>
                </c:pt>
                <c:pt idx="3">
                  <c:v>RoW</c:v>
                </c:pt>
                <c:pt idx="4">
                  <c:v>World</c:v>
                </c:pt>
              </c:strCache>
            </c:strRef>
          </c:cat>
          <c:val>
            <c:numRef>
              <c:f>NEtZero!$C$2:$C$6</c:f>
              <c:numCache>
                <c:formatCode>0%</c:formatCode>
                <c:ptCount val="5"/>
                <c:pt idx="0">
                  <c:v>0.22</c:v>
                </c:pt>
                <c:pt idx="1">
                  <c:v>0.28000000000000003</c:v>
                </c:pt>
                <c:pt idx="2">
                  <c:v>0.1</c:v>
                </c:pt>
                <c:pt idx="3">
                  <c:v>0.15</c:v>
                </c:pt>
                <c:pt idx="4">
                  <c:v>0.15</c:v>
                </c:pt>
              </c:numCache>
            </c:numRef>
          </c:val>
          <c:extLst>
            <c:ext xmlns:c16="http://schemas.microsoft.com/office/drawing/2014/chart" uri="{C3380CC4-5D6E-409C-BE32-E72D297353CC}">
              <c16:uniqueId val="{00000002-FA8D-4EEB-8D87-C5BA9CF766D1}"/>
            </c:ext>
          </c:extLst>
        </c:ser>
        <c:ser>
          <c:idx val="2"/>
          <c:order val="2"/>
          <c:tx>
            <c:strRef>
              <c:f>NEtZero!$D$1</c:f>
              <c:strCache>
                <c:ptCount val="1"/>
                <c:pt idx="0">
                  <c:v>No target</c:v>
                </c:pt>
              </c:strCache>
            </c:strRef>
          </c:tx>
          <c:spPr>
            <a:solidFill>
              <a:srgbClr val="E6E6E6"/>
            </a:solidFill>
            <a:ln w="3175">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NEtZero!$A$2:$A$6</c:f>
              <c:strCache>
                <c:ptCount val="5"/>
                <c:pt idx="0">
                  <c:v>European Union</c:v>
                </c:pt>
                <c:pt idx="1">
                  <c:v>United States</c:v>
                </c:pt>
                <c:pt idx="2">
                  <c:v>China</c:v>
                </c:pt>
                <c:pt idx="3">
                  <c:v>RoW</c:v>
                </c:pt>
                <c:pt idx="4">
                  <c:v>World</c:v>
                </c:pt>
              </c:strCache>
            </c:strRef>
          </c:cat>
          <c:val>
            <c:numRef>
              <c:f>NEtZero!$D$2:$D$6</c:f>
              <c:numCache>
                <c:formatCode>0%</c:formatCode>
                <c:ptCount val="5"/>
                <c:pt idx="0">
                  <c:v>7.0000000000000007E-2</c:v>
                </c:pt>
                <c:pt idx="1">
                  <c:v>0.27</c:v>
                </c:pt>
                <c:pt idx="2">
                  <c:v>0.7</c:v>
                </c:pt>
                <c:pt idx="3">
                  <c:v>0.17</c:v>
                </c:pt>
                <c:pt idx="4">
                  <c:v>0.17</c:v>
                </c:pt>
              </c:numCache>
            </c:numRef>
          </c:val>
          <c:extLst>
            <c:ext xmlns:c16="http://schemas.microsoft.com/office/drawing/2014/chart" uri="{C3380CC4-5D6E-409C-BE32-E72D297353CC}">
              <c16:uniqueId val="{00000003-FA8D-4EEB-8D87-C5BA9CF766D1}"/>
            </c:ext>
          </c:extLst>
        </c:ser>
        <c:dLbls>
          <c:dLblPos val="inEnd"/>
          <c:showLegendKey val="0"/>
          <c:showVal val="1"/>
          <c:showCatName val="0"/>
          <c:showSerName val="0"/>
          <c:showPercent val="0"/>
          <c:showBubbleSize val="0"/>
        </c:dLbls>
        <c:gapWidth val="150"/>
        <c:overlap val="100"/>
        <c:axId val="1484407871"/>
        <c:axId val="1242587520"/>
      </c:barChart>
      <c:catAx>
        <c:axId val="1484407871"/>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242587520"/>
        <c:crosses val="autoZero"/>
        <c:auto val="1"/>
        <c:lblAlgn val="ctr"/>
        <c:lblOffset val="100"/>
        <c:noMultiLvlLbl val="0"/>
      </c:catAx>
      <c:valAx>
        <c:axId val="1242587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484407871"/>
        <c:crosses val="autoZero"/>
        <c:crossBetween val="between"/>
      </c:valAx>
      <c:spPr>
        <a:noFill/>
        <a:ln w="9525">
          <a:solidFill>
            <a:sysClr val="windowText" lastClr="000000"/>
          </a:solid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rgbClr val="006D2C"/>
              </a:solidFill>
              <a:ln w="9525">
                <a:solidFill>
                  <a:schemeClr val="tx1"/>
                </a:solidFill>
              </a:ln>
              <a:effectLst/>
            </c:spPr>
            <c:extLst>
              <c:ext xmlns:c16="http://schemas.microsoft.com/office/drawing/2014/chart" uri="{C3380CC4-5D6E-409C-BE32-E72D297353CC}">
                <c16:uniqueId val="{00000001-520B-4E08-8D1C-E8675085A0FF}"/>
              </c:ext>
            </c:extLst>
          </c:dPt>
          <c:dPt>
            <c:idx val="1"/>
            <c:bubble3D val="0"/>
            <c:spPr>
              <a:solidFill>
                <a:srgbClr val="31A354"/>
              </a:solidFill>
              <a:ln w="9525">
                <a:solidFill>
                  <a:schemeClr val="tx1"/>
                </a:solidFill>
              </a:ln>
              <a:effectLst/>
            </c:spPr>
            <c:extLst>
              <c:ext xmlns:c16="http://schemas.microsoft.com/office/drawing/2014/chart" uri="{C3380CC4-5D6E-409C-BE32-E72D297353CC}">
                <c16:uniqueId val="{00000003-520B-4E08-8D1C-E8675085A0FF}"/>
              </c:ext>
            </c:extLst>
          </c:dPt>
          <c:dPt>
            <c:idx val="2"/>
            <c:bubble3D val="0"/>
            <c:spPr>
              <a:solidFill>
                <a:srgbClr val="74C476"/>
              </a:solidFill>
              <a:ln w="9525">
                <a:solidFill>
                  <a:schemeClr val="tx1"/>
                </a:solidFill>
              </a:ln>
              <a:effectLst/>
            </c:spPr>
            <c:extLst>
              <c:ext xmlns:c16="http://schemas.microsoft.com/office/drawing/2014/chart" uri="{C3380CC4-5D6E-409C-BE32-E72D297353CC}">
                <c16:uniqueId val="{00000005-520B-4E08-8D1C-E8675085A0FF}"/>
              </c:ext>
            </c:extLst>
          </c:dPt>
          <c:dPt>
            <c:idx val="3"/>
            <c:bubble3D val="0"/>
            <c:spPr>
              <a:solidFill>
                <a:srgbClr val="BAE4B3"/>
              </a:solidFill>
              <a:ln w="9525">
                <a:solidFill>
                  <a:schemeClr val="tx1"/>
                </a:solidFill>
              </a:ln>
              <a:effectLst/>
            </c:spPr>
            <c:extLst>
              <c:ext xmlns:c16="http://schemas.microsoft.com/office/drawing/2014/chart" uri="{C3380CC4-5D6E-409C-BE32-E72D297353CC}">
                <c16:uniqueId val="{00000007-520B-4E08-8D1C-E8675085A0FF}"/>
              </c:ext>
            </c:extLst>
          </c:dPt>
          <c:dPt>
            <c:idx val="4"/>
            <c:bubble3D val="0"/>
            <c:spPr>
              <a:solidFill>
                <a:srgbClr val="EDF8E9"/>
              </a:solidFill>
              <a:ln w="9525">
                <a:solidFill>
                  <a:schemeClr val="tx1"/>
                </a:solidFill>
              </a:ln>
              <a:effectLst/>
            </c:spPr>
            <c:extLst>
              <c:ext xmlns:c16="http://schemas.microsoft.com/office/drawing/2014/chart" uri="{C3380CC4-5D6E-409C-BE32-E72D297353CC}">
                <c16:uniqueId val="{00000009-520B-4E08-8D1C-E8675085A0FF}"/>
              </c:ext>
            </c:extLst>
          </c:dPt>
          <c:dPt>
            <c:idx val="5"/>
            <c:bubble3D val="0"/>
            <c:spPr>
              <a:solidFill>
                <a:srgbClr val="BD0026"/>
              </a:solidFill>
              <a:ln w="9525">
                <a:solidFill>
                  <a:schemeClr val="tx1"/>
                </a:solidFill>
              </a:ln>
              <a:effectLst/>
            </c:spPr>
            <c:extLst>
              <c:ext xmlns:c16="http://schemas.microsoft.com/office/drawing/2014/chart" uri="{C3380CC4-5D6E-409C-BE32-E72D297353CC}">
                <c16:uniqueId val="{0000000B-520B-4E08-8D1C-E8675085A0FF}"/>
              </c:ext>
            </c:extLst>
          </c:dPt>
          <c:cat>
            <c:strRef>
              <c:f>NEtZero!$A$9:$A$14</c:f>
              <c:strCache>
                <c:ptCount val="6"/>
                <c:pt idx="0">
                  <c:v>Other countries with similar net zero announcements</c:v>
                </c:pt>
                <c:pt idx="1">
                  <c:v>European Union (EU27) </c:v>
                </c:pt>
                <c:pt idx="2">
                  <c:v>China</c:v>
                </c:pt>
                <c:pt idx="3">
                  <c:v>United States</c:v>
                </c:pt>
                <c:pt idx="4">
                  <c:v>India</c:v>
                </c:pt>
                <c:pt idx="5">
                  <c:v>Countries with no net zero target</c:v>
                </c:pt>
              </c:strCache>
            </c:strRef>
          </c:cat>
          <c:val>
            <c:numRef>
              <c:f>NEtZero!$B$9:$B$14</c:f>
              <c:numCache>
                <c:formatCode>0%</c:formatCode>
                <c:ptCount val="6"/>
                <c:pt idx="0">
                  <c:v>0.33094000000000001</c:v>
                </c:pt>
                <c:pt idx="1">
                  <c:v>7.4950000000000003E-2</c:v>
                </c:pt>
                <c:pt idx="2">
                  <c:v>0.27950000000000003</c:v>
                </c:pt>
                <c:pt idx="3">
                  <c:v>0.13622999999999999</c:v>
                </c:pt>
                <c:pt idx="4">
                  <c:v>6.7290000000000003E-2</c:v>
                </c:pt>
                <c:pt idx="5">
                  <c:v>0.11108999999999999</c:v>
                </c:pt>
              </c:numCache>
            </c:numRef>
          </c:val>
          <c:extLst>
            <c:ext xmlns:c16="http://schemas.microsoft.com/office/drawing/2014/chart" uri="{C3380CC4-5D6E-409C-BE32-E72D297353CC}">
              <c16:uniqueId val="{0000000C-520B-4E08-8D1C-E8675085A0FF}"/>
            </c:ext>
          </c:extLst>
        </c:ser>
        <c:dLbls>
          <c:showLegendKey val="0"/>
          <c:showVal val="0"/>
          <c:showCatName val="0"/>
          <c:showSerName val="0"/>
          <c:showPercent val="0"/>
          <c:showBubbleSize val="0"/>
          <c:showLeaderLines val="1"/>
        </c:dLbls>
        <c:firstSliceAng val="0"/>
      </c:pieChart>
      <c:spPr>
        <a:noFill/>
        <a:ln w="952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993404"/>
            </a:solidFill>
            <a:ln w="9525">
              <a:solidFill>
                <a:schemeClr val="tx1"/>
              </a:solidFill>
            </a:ln>
          </c:spPr>
          <c:dPt>
            <c:idx val="0"/>
            <c:bubble3D val="0"/>
            <c:spPr>
              <a:solidFill>
                <a:srgbClr val="993404"/>
              </a:solidFill>
              <a:ln w="9525">
                <a:solidFill>
                  <a:schemeClr val="tx1"/>
                </a:solidFill>
              </a:ln>
              <a:effectLst/>
            </c:spPr>
            <c:extLst>
              <c:ext xmlns:c16="http://schemas.microsoft.com/office/drawing/2014/chart" uri="{C3380CC4-5D6E-409C-BE32-E72D297353CC}">
                <c16:uniqueId val="{00000001-E972-4F63-9D1C-9C62EBA687A5}"/>
              </c:ext>
            </c:extLst>
          </c:dPt>
          <c:dPt>
            <c:idx val="1"/>
            <c:bubble3D val="0"/>
            <c:spPr>
              <a:solidFill>
                <a:srgbClr val="253494"/>
              </a:solidFill>
              <a:ln w="9525">
                <a:solidFill>
                  <a:schemeClr val="tx1"/>
                </a:solidFill>
              </a:ln>
              <a:effectLst/>
            </c:spPr>
            <c:extLst>
              <c:ext xmlns:c16="http://schemas.microsoft.com/office/drawing/2014/chart" uri="{C3380CC4-5D6E-409C-BE32-E72D297353CC}">
                <c16:uniqueId val="{00000001-CB03-4AE4-82DC-EE8F066A9732}"/>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Biofuels!$A$67:$A$68</c:f>
              <c:strCache>
                <c:ptCount val="2"/>
                <c:pt idx="0">
                  <c:v>Advanced economies</c:v>
                </c:pt>
                <c:pt idx="1">
                  <c:v>Emerging economies</c:v>
                </c:pt>
              </c:strCache>
            </c:strRef>
          </c:cat>
          <c:val>
            <c:numRef>
              <c:f>Biofuels!$N$67:$N$68</c:f>
              <c:numCache>
                <c:formatCode>General</c:formatCode>
                <c:ptCount val="2"/>
                <c:pt idx="0">
                  <c:v>11.3</c:v>
                </c:pt>
                <c:pt idx="1">
                  <c:v>17.899999999999999</c:v>
                </c:pt>
              </c:numCache>
            </c:numRef>
          </c:val>
          <c:extLst>
            <c:ext xmlns:c16="http://schemas.microsoft.com/office/drawing/2014/chart" uri="{C3380CC4-5D6E-409C-BE32-E72D297353CC}">
              <c16:uniqueId val="{00000000-CB03-4AE4-82DC-EE8F066A973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1099445902592E-3"/>
          <c:y val="7.4074204229874804E-2"/>
          <c:w val="0.99395250072907548"/>
          <c:h val="0.84731481481481485"/>
        </c:manualLayout>
      </c:layout>
      <c:barChart>
        <c:barDir val="col"/>
        <c:grouping val="stacked"/>
        <c:varyColors val="0"/>
        <c:ser>
          <c:idx val="0"/>
          <c:order val="0"/>
          <c:tx>
            <c:strRef>
              <c:f>Biofuels!$A$60</c:f>
              <c:strCache>
                <c:ptCount val="1"/>
                <c:pt idx="0">
                  <c:v>Europe</c:v>
                </c:pt>
              </c:strCache>
            </c:strRef>
          </c:tx>
          <c:spPr>
            <a:solidFill>
              <a:srgbClr val="D95F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Biofuels!$A$67</c:f>
              <c:strCache>
                <c:ptCount val="1"/>
                <c:pt idx="0">
                  <c:v>Advanced economies</c:v>
                </c:pt>
              </c:strCache>
            </c:strRef>
          </c:cat>
          <c:val>
            <c:numRef>
              <c:f>Biofuels!$N$60</c:f>
              <c:numCache>
                <c:formatCode>General</c:formatCode>
                <c:ptCount val="1"/>
                <c:pt idx="0">
                  <c:v>9</c:v>
                </c:pt>
              </c:numCache>
            </c:numRef>
          </c:val>
          <c:extLst>
            <c:ext xmlns:c16="http://schemas.microsoft.com/office/drawing/2014/chart" uri="{C3380CC4-5D6E-409C-BE32-E72D297353CC}">
              <c16:uniqueId val="{00000000-A1C6-41F7-9B6B-D6E6F379A00B}"/>
            </c:ext>
          </c:extLst>
        </c:ser>
        <c:ser>
          <c:idx val="1"/>
          <c:order val="1"/>
          <c:tx>
            <c:strRef>
              <c:f>Biofuels!$A$61</c:f>
              <c:strCache>
                <c:ptCount val="1"/>
                <c:pt idx="0">
                  <c:v>United States</c:v>
                </c:pt>
              </c:strCache>
            </c:strRef>
          </c:tx>
          <c:spPr>
            <a:solidFill>
              <a:srgbClr val="FE992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Biofuels!$A$67</c:f>
              <c:strCache>
                <c:ptCount val="1"/>
                <c:pt idx="0">
                  <c:v>Advanced economies</c:v>
                </c:pt>
              </c:strCache>
            </c:strRef>
          </c:cat>
          <c:val>
            <c:numRef>
              <c:f>Biofuels!$N$61</c:f>
              <c:numCache>
                <c:formatCode>General</c:formatCode>
                <c:ptCount val="1"/>
                <c:pt idx="0">
                  <c:v>1.5</c:v>
                </c:pt>
              </c:numCache>
            </c:numRef>
          </c:val>
          <c:extLst>
            <c:ext xmlns:c16="http://schemas.microsoft.com/office/drawing/2014/chart" uri="{C3380CC4-5D6E-409C-BE32-E72D297353CC}">
              <c16:uniqueId val="{00000001-A1C6-41F7-9B6B-D6E6F379A00B}"/>
            </c:ext>
          </c:extLst>
        </c:ser>
        <c:ser>
          <c:idx val="2"/>
          <c:order val="2"/>
          <c:tx>
            <c:strRef>
              <c:f>Biofuels!$A$62</c:f>
              <c:strCache>
                <c:ptCount val="1"/>
                <c:pt idx="0">
                  <c:v>Other advanced</c:v>
                </c:pt>
              </c:strCache>
            </c:strRef>
          </c:tx>
          <c:spPr>
            <a:solidFill>
              <a:srgbClr val="FED9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Biofuels!$A$67</c:f>
              <c:strCache>
                <c:ptCount val="1"/>
                <c:pt idx="0">
                  <c:v>Advanced economies</c:v>
                </c:pt>
              </c:strCache>
            </c:strRef>
          </c:cat>
          <c:val>
            <c:numRef>
              <c:f>Biofuels!$N$62</c:f>
              <c:numCache>
                <c:formatCode>General</c:formatCode>
                <c:ptCount val="1"/>
                <c:pt idx="0">
                  <c:v>0.8</c:v>
                </c:pt>
              </c:numCache>
            </c:numRef>
          </c:val>
          <c:extLst>
            <c:ext xmlns:c16="http://schemas.microsoft.com/office/drawing/2014/chart" uri="{C3380CC4-5D6E-409C-BE32-E72D297353CC}">
              <c16:uniqueId val="{00000002-A1C6-41F7-9B6B-D6E6F379A00B}"/>
            </c:ext>
          </c:extLst>
        </c:ser>
        <c:dLbls>
          <c:dLblPos val="ctr"/>
          <c:showLegendKey val="0"/>
          <c:showVal val="1"/>
          <c:showCatName val="0"/>
          <c:showSerName val="0"/>
          <c:showPercent val="0"/>
          <c:showBubbleSize val="0"/>
        </c:dLbls>
        <c:gapWidth val="150"/>
        <c:overlap val="100"/>
        <c:axId val="330683967"/>
        <c:axId val="488198239"/>
      </c:barChart>
      <c:catAx>
        <c:axId val="33068396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488198239"/>
        <c:crosses val="autoZero"/>
        <c:auto val="1"/>
        <c:lblAlgn val="ctr"/>
        <c:lblOffset val="100"/>
        <c:noMultiLvlLbl val="0"/>
      </c:catAx>
      <c:valAx>
        <c:axId val="488198239"/>
        <c:scaling>
          <c:orientation val="minMax"/>
        </c:scaling>
        <c:delete val="1"/>
        <c:axPos val="l"/>
        <c:numFmt formatCode="General" sourceLinked="1"/>
        <c:majorTickMark val="out"/>
        <c:minorTickMark val="none"/>
        <c:tickLblPos val="nextTo"/>
        <c:crossAx val="330683967"/>
        <c:crosses val="autoZero"/>
        <c:crossBetween val="between"/>
      </c:valAx>
      <c:spPr>
        <a:noFill/>
        <a:ln w="9525">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35177774909287E-2"/>
          <c:y val="4.1666666666666664E-2"/>
          <c:w val="0.92239558682213907"/>
          <c:h val="0.84731481481481485"/>
        </c:manualLayout>
      </c:layout>
      <c:barChart>
        <c:barDir val="col"/>
        <c:grouping val="stacked"/>
        <c:varyColors val="0"/>
        <c:ser>
          <c:idx val="0"/>
          <c:order val="0"/>
          <c:tx>
            <c:strRef>
              <c:f>Biofuels!$A$65</c:f>
              <c:strCache>
                <c:ptCount val="1"/>
                <c:pt idx="0">
                  <c:v>India</c:v>
                </c:pt>
              </c:strCache>
            </c:strRef>
          </c:tx>
          <c:spPr>
            <a:solidFill>
              <a:srgbClr val="2C7FB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Biofuels!$A$68</c:f>
              <c:strCache>
                <c:ptCount val="1"/>
                <c:pt idx="0">
                  <c:v>Emerging economies</c:v>
                </c:pt>
              </c:strCache>
            </c:strRef>
          </c:cat>
          <c:val>
            <c:numRef>
              <c:f>Biofuels!$N$65</c:f>
              <c:numCache>
                <c:formatCode>General</c:formatCode>
                <c:ptCount val="1"/>
                <c:pt idx="0">
                  <c:v>4</c:v>
                </c:pt>
              </c:numCache>
            </c:numRef>
          </c:val>
          <c:extLst>
            <c:ext xmlns:c16="http://schemas.microsoft.com/office/drawing/2014/chart" uri="{C3380CC4-5D6E-409C-BE32-E72D297353CC}">
              <c16:uniqueId val="{00000000-A512-4CB1-BC4C-89173137533A}"/>
            </c:ext>
          </c:extLst>
        </c:ser>
        <c:ser>
          <c:idx val="1"/>
          <c:order val="1"/>
          <c:tx>
            <c:strRef>
              <c:f>Biofuels!$A$64</c:f>
              <c:strCache>
                <c:ptCount val="1"/>
                <c:pt idx="0">
                  <c:v>Indonesia</c:v>
                </c:pt>
              </c:strCache>
            </c:strRef>
          </c:tx>
          <c:spPr>
            <a:solidFill>
              <a:srgbClr val="41B6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Biofuels!$A$68</c:f>
              <c:strCache>
                <c:ptCount val="1"/>
                <c:pt idx="0">
                  <c:v>Emerging economies</c:v>
                </c:pt>
              </c:strCache>
            </c:strRef>
          </c:cat>
          <c:val>
            <c:numRef>
              <c:f>Biofuels!$N$64</c:f>
              <c:numCache>
                <c:formatCode>General</c:formatCode>
                <c:ptCount val="1"/>
                <c:pt idx="0">
                  <c:v>7.8</c:v>
                </c:pt>
              </c:numCache>
            </c:numRef>
          </c:val>
          <c:extLst>
            <c:ext xmlns:c16="http://schemas.microsoft.com/office/drawing/2014/chart" uri="{C3380CC4-5D6E-409C-BE32-E72D297353CC}">
              <c16:uniqueId val="{00000001-A512-4CB1-BC4C-89173137533A}"/>
            </c:ext>
          </c:extLst>
        </c:ser>
        <c:ser>
          <c:idx val="2"/>
          <c:order val="2"/>
          <c:tx>
            <c:strRef>
              <c:f>Biofuels!$A$63</c:f>
              <c:strCache>
                <c:ptCount val="1"/>
                <c:pt idx="0">
                  <c:v>Brazil</c:v>
                </c:pt>
              </c:strCache>
            </c:strRef>
          </c:tx>
          <c:spPr>
            <a:solidFill>
              <a:srgbClr val="A1DA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Biofuels!$A$68</c:f>
              <c:strCache>
                <c:ptCount val="1"/>
                <c:pt idx="0">
                  <c:v>Emerging economies</c:v>
                </c:pt>
              </c:strCache>
            </c:strRef>
          </c:cat>
          <c:val>
            <c:numRef>
              <c:f>Biofuels!$N$63</c:f>
              <c:numCache>
                <c:formatCode>General</c:formatCode>
                <c:ptCount val="1"/>
                <c:pt idx="0">
                  <c:v>3.3</c:v>
                </c:pt>
              </c:numCache>
            </c:numRef>
          </c:val>
          <c:extLst>
            <c:ext xmlns:c16="http://schemas.microsoft.com/office/drawing/2014/chart" uri="{C3380CC4-5D6E-409C-BE32-E72D297353CC}">
              <c16:uniqueId val="{00000002-A512-4CB1-BC4C-89173137533A}"/>
            </c:ext>
          </c:extLst>
        </c:ser>
        <c:ser>
          <c:idx val="3"/>
          <c:order val="3"/>
          <c:tx>
            <c:strRef>
              <c:f>Biofuels!$A$66</c:f>
              <c:strCache>
                <c:ptCount val="1"/>
                <c:pt idx="0">
                  <c:v>Other emerging</c:v>
                </c:pt>
              </c:strCache>
            </c:strRef>
          </c:tx>
          <c:spPr>
            <a:solidFill>
              <a:srgbClr val="FFFFCC"/>
            </a:solidFill>
            <a:ln>
              <a:noFill/>
            </a:ln>
            <a:effectLst/>
          </c:spPr>
          <c:invertIfNegative val="0"/>
          <c:dLbls>
            <c:dLbl>
              <c:idx val="0"/>
              <c:dLblPos val="ct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A512-4CB1-BC4C-8917313753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Biofuels!$A$68</c:f>
              <c:strCache>
                <c:ptCount val="1"/>
                <c:pt idx="0">
                  <c:v>Emerging economies</c:v>
                </c:pt>
              </c:strCache>
            </c:strRef>
          </c:cat>
          <c:val>
            <c:numRef>
              <c:f>Biofuels!$N$66</c:f>
              <c:numCache>
                <c:formatCode>General</c:formatCode>
                <c:ptCount val="1"/>
                <c:pt idx="0">
                  <c:v>2.8</c:v>
                </c:pt>
              </c:numCache>
            </c:numRef>
          </c:val>
          <c:extLst>
            <c:ext xmlns:c16="http://schemas.microsoft.com/office/drawing/2014/chart" uri="{C3380CC4-5D6E-409C-BE32-E72D297353CC}">
              <c16:uniqueId val="{00000003-A512-4CB1-BC4C-89173137533A}"/>
            </c:ext>
          </c:extLst>
        </c:ser>
        <c:dLbls>
          <c:dLblPos val="ctr"/>
          <c:showLegendKey val="0"/>
          <c:showVal val="1"/>
          <c:showCatName val="0"/>
          <c:showSerName val="0"/>
          <c:showPercent val="0"/>
          <c:showBubbleSize val="0"/>
        </c:dLbls>
        <c:gapWidth val="150"/>
        <c:overlap val="100"/>
        <c:axId val="330683967"/>
        <c:axId val="488198239"/>
      </c:barChart>
      <c:catAx>
        <c:axId val="33068396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488198239"/>
        <c:crosses val="autoZero"/>
        <c:auto val="1"/>
        <c:lblAlgn val="ctr"/>
        <c:lblOffset val="100"/>
        <c:noMultiLvlLbl val="0"/>
      </c:catAx>
      <c:valAx>
        <c:axId val="488198239"/>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ES"/>
                  <a:t>Billion liters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330683967"/>
        <c:crosses val="autoZero"/>
        <c:crossBetween val="between"/>
      </c:valAx>
      <c:spPr>
        <a:noFill/>
        <a:ln w="9525">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Biofuels!$A$2</c:f>
              <c:strCache>
                <c:ptCount val="1"/>
                <c:pt idx="0">
                  <c:v>United States</c:v>
                </c:pt>
              </c:strCache>
            </c:strRef>
          </c:tx>
          <c:spPr>
            <a:solidFill>
              <a:srgbClr val="8DD3C7"/>
            </a:solidFill>
            <a:ln w="9525">
              <a:solidFill>
                <a:schemeClr val="tx1"/>
              </a:solidFill>
            </a:ln>
            <a:effectLst/>
          </c:spPr>
          <c:invertIfNegative val="0"/>
          <c:cat>
            <c:numRef>
              <c:f>Biofuels!$D$1:$O$1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Biofuels!$D$2:$O$2</c:f>
              <c:numCache>
                <c:formatCode>#,##0</c:formatCode>
                <c:ptCount val="12"/>
                <c:pt idx="0">
                  <c:v>14722.428005284017</c:v>
                </c:pt>
                <c:pt idx="1">
                  <c:v>15157.418758256274</c:v>
                </c:pt>
                <c:pt idx="2">
                  <c:v>16150.361955085864</c:v>
                </c:pt>
                <c:pt idx="3">
                  <c:v>16589.368560105679</c:v>
                </c:pt>
                <c:pt idx="4">
                  <c:v>17509.60634081902</c:v>
                </c:pt>
                <c:pt idx="5">
                  <c:v>18081.44253632761</c:v>
                </c:pt>
                <c:pt idx="6">
                  <c:v>18607.458388375166</c:v>
                </c:pt>
                <c:pt idx="7">
                  <c:v>18362.026420079259</c:v>
                </c:pt>
                <c:pt idx="8">
                  <c:v>16691.32892998679</c:v>
                </c:pt>
                <c:pt idx="9">
                  <c:v>17854.013210039629</c:v>
                </c:pt>
                <c:pt idx="10">
                  <c:v>18928.087186261557</c:v>
                </c:pt>
                <c:pt idx="11">
                  <c:v>19086.27741083223</c:v>
                </c:pt>
              </c:numCache>
            </c:numRef>
          </c:val>
          <c:extLst>
            <c:ext xmlns:c16="http://schemas.microsoft.com/office/drawing/2014/chart" uri="{C3380CC4-5D6E-409C-BE32-E72D297353CC}">
              <c16:uniqueId val="{00000000-3663-4F86-886A-45C114815809}"/>
            </c:ext>
          </c:extLst>
        </c:ser>
        <c:ser>
          <c:idx val="2"/>
          <c:order val="1"/>
          <c:tx>
            <c:strRef>
              <c:f>Biofuels!$A$3</c:f>
              <c:strCache>
                <c:ptCount val="1"/>
                <c:pt idx="0">
                  <c:v>Brazil</c:v>
                </c:pt>
              </c:strCache>
            </c:strRef>
          </c:tx>
          <c:spPr>
            <a:solidFill>
              <a:srgbClr val="FFFFB3"/>
            </a:solidFill>
            <a:ln>
              <a:solidFill>
                <a:schemeClr val="tx1"/>
              </a:solidFill>
            </a:ln>
            <a:effectLst/>
          </c:spPr>
          <c:invertIfNegative val="0"/>
          <c:cat>
            <c:numRef>
              <c:f>Biofuels!$D$1:$O$1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Biofuels!$D$3:$O$3</c:f>
              <c:numCache>
                <c:formatCode>#,##0</c:formatCode>
                <c:ptCount val="12"/>
                <c:pt idx="0">
                  <c:v>6922.327608982826</c:v>
                </c:pt>
                <c:pt idx="1">
                  <c:v>7994.6816380449136</c:v>
                </c:pt>
                <c:pt idx="2">
                  <c:v>8359.2153236459708</c:v>
                </c:pt>
                <c:pt idx="3">
                  <c:v>8909.3500660501977</c:v>
                </c:pt>
                <c:pt idx="4">
                  <c:v>8370.4438573315729</c:v>
                </c:pt>
                <c:pt idx="5">
                  <c:v>8423.8837516512558</c:v>
                </c:pt>
                <c:pt idx="6">
                  <c:v>10192.655217965652</c:v>
                </c:pt>
                <c:pt idx="7">
                  <c:v>10846.277410832234</c:v>
                </c:pt>
                <c:pt idx="8">
                  <c:v>10312.676354029061</c:v>
                </c:pt>
                <c:pt idx="9">
                  <c:v>9661.9286657859975</c:v>
                </c:pt>
                <c:pt idx="10">
                  <c:v>10056</c:v>
                </c:pt>
                <c:pt idx="11">
                  <c:v>10770.113606340818</c:v>
                </c:pt>
              </c:numCache>
            </c:numRef>
          </c:val>
          <c:extLst>
            <c:ext xmlns:c16="http://schemas.microsoft.com/office/drawing/2014/chart" uri="{C3380CC4-5D6E-409C-BE32-E72D297353CC}">
              <c16:uniqueId val="{00000001-3663-4F86-886A-45C114815809}"/>
            </c:ext>
          </c:extLst>
        </c:ser>
        <c:ser>
          <c:idx val="3"/>
          <c:order val="2"/>
          <c:tx>
            <c:strRef>
              <c:f>Biofuels!$A$4</c:f>
              <c:strCache>
                <c:ptCount val="1"/>
                <c:pt idx="0">
                  <c:v>European Union</c:v>
                </c:pt>
              </c:strCache>
            </c:strRef>
          </c:tx>
          <c:spPr>
            <a:solidFill>
              <a:srgbClr val="BEBADA"/>
            </a:solidFill>
            <a:ln>
              <a:solidFill>
                <a:schemeClr val="tx1"/>
              </a:solidFill>
            </a:ln>
            <a:effectLst/>
          </c:spPr>
          <c:invertIfNegative val="0"/>
          <c:cat>
            <c:numRef>
              <c:f>Biofuels!$D$1:$O$1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Biofuels!$D$4:$O$4</c:f>
              <c:numCache>
                <c:formatCode>#,##0</c:formatCode>
                <c:ptCount val="12"/>
                <c:pt idx="0">
                  <c:v>4493.0568031704088</c:v>
                </c:pt>
                <c:pt idx="1">
                  <c:v>4714.2430647291949</c:v>
                </c:pt>
                <c:pt idx="2">
                  <c:v>5250.1532364597097</c:v>
                </c:pt>
                <c:pt idx="3">
                  <c:v>5159.9920739762219</c:v>
                </c:pt>
                <c:pt idx="4">
                  <c:v>4984.1955085865256</c:v>
                </c:pt>
                <c:pt idx="5">
                  <c:v>5441.505944517834</c:v>
                </c:pt>
                <c:pt idx="6">
                  <c:v>5584.2140026420075</c:v>
                </c:pt>
                <c:pt idx="7">
                  <c:v>5790.1690885072649</c:v>
                </c:pt>
                <c:pt idx="8">
                  <c:v>6104.9114927344781</c:v>
                </c:pt>
                <c:pt idx="9">
                  <c:v>6050.6050198150597</c:v>
                </c:pt>
                <c:pt idx="10">
                  <c:v>6777.3342140026416</c:v>
                </c:pt>
                <c:pt idx="11">
                  <c:v>6275.4610303830905</c:v>
                </c:pt>
              </c:numCache>
            </c:numRef>
          </c:val>
          <c:extLst>
            <c:ext xmlns:c16="http://schemas.microsoft.com/office/drawing/2014/chart" uri="{C3380CC4-5D6E-409C-BE32-E72D297353CC}">
              <c16:uniqueId val="{00000002-3663-4F86-886A-45C114815809}"/>
            </c:ext>
          </c:extLst>
        </c:ser>
        <c:ser>
          <c:idx val="5"/>
          <c:order val="3"/>
          <c:tx>
            <c:strRef>
              <c:f>Biofuels!$A$6</c:f>
              <c:strCache>
                <c:ptCount val="1"/>
                <c:pt idx="0">
                  <c:v>China</c:v>
                </c:pt>
              </c:strCache>
            </c:strRef>
          </c:tx>
          <c:spPr>
            <a:solidFill>
              <a:srgbClr val="FB8072"/>
            </a:solidFill>
            <a:ln>
              <a:solidFill>
                <a:schemeClr val="tx1"/>
              </a:solidFill>
            </a:ln>
            <a:effectLst/>
          </c:spPr>
          <c:invertIfNegative val="0"/>
          <c:cat>
            <c:numRef>
              <c:f>Biofuels!$D$1:$O$1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Biofuels!$D$6:$O$6</c:f>
              <c:numCache>
                <c:formatCode>#,##0</c:formatCode>
                <c:ptCount val="12"/>
                <c:pt idx="0">
                  <c:v>2411.3606340819024</c:v>
                </c:pt>
                <c:pt idx="1">
                  <c:v>2693.2628797886396</c:v>
                </c:pt>
                <c:pt idx="2">
                  <c:v>2888.5072655217964</c:v>
                </c:pt>
                <c:pt idx="3">
                  <c:v>2761.4266842800525</c:v>
                </c:pt>
                <c:pt idx="4">
                  <c:v>2697.225891677675</c:v>
                </c:pt>
                <c:pt idx="5">
                  <c:v>2732.6287978863934</c:v>
                </c:pt>
                <c:pt idx="6">
                  <c:v>2735.5350066050196</c:v>
                </c:pt>
                <c:pt idx="7">
                  <c:v>2837.2523117569353</c:v>
                </c:pt>
                <c:pt idx="8">
                  <c:v>2815.0594451783354</c:v>
                </c:pt>
                <c:pt idx="9">
                  <c:v>3192.8665785997359</c:v>
                </c:pt>
                <c:pt idx="10">
                  <c:v>3323.5165125495378</c:v>
                </c:pt>
                <c:pt idx="11">
                  <c:v>3301.0488771466312</c:v>
                </c:pt>
              </c:numCache>
            </c:numRef>
          </c:val>
          <c:extLst>
            <c:ext xmlns:c16="http://schemas.microsoft.com/office/drawing/2014/chart" uri="{C3380CC4-5D6E-409C-BE32-E72D297353CC}">
              <c16:uniqueId val="{00000003-3663-4F86-886A-45C114815809}"/>
            </c:ext>
          </c:extLst>
        </c:ser>
        <c:ser>
          <c:idx val="6"/>
          <c:order val="4"/>
          <c:tx>
            <c:strRef>
              <c:f>Biofuels!$A$7</c:f>
              <c:strCache>
                <c:ptCount val="1"/>
                <c:pt idx="0">
                  <c:v>Indonesia</c:v>
                </c:pt>
              </c:strCache>
            </c:strRef>
          </c:tx>
          <c:spPr>
            <a:solidFill>
              <a:srgbClr val="80B1D3"/>
            </a:solidFill>
            <a:ln>
              <a:solidFill>
                <a:schemeClr val="tx1"/>
              </a:solidFill>
            </a:ln>
            <a:effectLst/>
          </c:spPr>
          <c:invertIfNegative val="0"/>
          <c:cat>
            <c:numRef>
              <c:f>Biofuels!$D$1:$O$1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Biofuels!$D$7:$O$7</c:f>
              <c:numCache>
                <c:formatCode>#,##0</c:formatCode>
                <c:ptCount val="12"/>
                <c:pt idx="0">
                  <c:v>657.96565389696161</c:v>
                </c:pt>
                <c:pt idx="1">
                  <c:v>845.01981505944514</c:v>
                </c:pt>
                <c:pt idx="2">
                  <c:v>953.2100396301189</c:v>
                </c:pt>
                <c:pt idx="3">
                  <c:v>373.13077939233818</c:v>
                </c:pt>
                <c:pt idx="4">
                  <c:v>975.08586525759574</c:v>
                </c:pt>
                <c:pt idx="5">
                  <c:v>781.0832232496698</c:v>
                </c:pt>
                <c:pt idx="6">
                  <c:v>1509.1413474240421</c:v>
                </c:pt>
                <c:pt idx="7">
                  <c:v>2074.9801849405549</c:v>
                </c:pt>
                <c:pt idx="8">
                  <c:v>2283.2496697490092</c:v>
                </c:pt>
                <c:pt idx="9">
                  <c:v>2554.1875825627476</c:v>
                </c:pt>
                <c:pt idx="10">
                  <c:v>2768.8771466314402</c:v>
                </c:pt>
                <c:pt idx="11">
                  <c:v>2892.0581241743726</c:v>
                </c:pt>
              </c:numCache>
            </c:numRef>
          </c:val>
          <c:extLst>
            <c:ext xmlns:c16="http://schemas.microsoft.com/office/drawing/2014/chart" uri="{C3380CC4-5D6E-409C-BE32-E72D297353CC}">
              <c16:uniqueId val="{00000004-3663-4F86-886A-45C114815809}"/>
            </c:ext>
          </c:extLst>
        </c:ser>
        <c:ser>
          <c:idx val="4"/>
          <c:order val="5"/>
          <c:tx>
            <c:strRef>
              <c:f>Biofuels!$A$5</c:f>
              <c:strCache>
                <c:ptCount val="1"/>
                <c:pt idx="0">
                  <c:v>Canada</c:v>
                </c:pt>
              </c:strCache>
            </c:strRef>
          </c:tx>
          <c:spPr>
            <a:solidFill>
              <a:srgbClr val="FDB462"/>
            </a:solidFill>
            <a:ln>
              <a:solidFill>
                <a:schemeClr val="tx1"/>
              </a:solidFill>
            </a:ln>
            <a:effectLst/>
          </c:spPr>
          <c:invertIfNegative val="0"/>
          <c:cat>
            <c:numRef>
              <c:f>Biofuels!$D$1:$O$1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Biofuels!$D$5:$O$5</c:f>
              <c:numCache>
                <c:formatCode>#,##0</c:formatCode>
                <c:ptCount val="12"/>
                <c:pt idx="0">
                  <c:v>511.22853368560106</c:v>
                </c:pt>
                <c:pt idx="1">
                  <c:v>575.16512549537651</c:v>
                </c:pt>
                <c:pt idx="2">
                  <c:v>565.38969616908844</c:v>
                </c:pt>
                <c:pt idx="3">
                  <c:v>574.10832232496693</c:v>
                </c:pt>
                <c:pt idx="4">
                  <c:v>571.99471598414789</c:v>
                </c:pt>
                <c:pt idx="5">
                  <c:v>573.31571994715978</c:v>
                </c:pt>
                <c:pt idx="6">
                  <c:v>581.24174372523112</c:v>
                </c:pt>
                <c:pt idx="7">
                  <c:v>656.53896961690873</c:v>
                </c:pt>
                <c:pt idx="8">
                  <c:v>598.33553500660503</c:v>
                </c:pt>
                <c:pt idx="9">
                  <c:v>609.31043593130778</c:v>
                </c:pt>
                <c:pt idx="10">
                  <c:v>627.69088507265519</c:v>
                </c:pt>
                <c:pt idx="11">
                  <c:v>647.57727873183626</c:v>
                </c:pt>
              </c:numCache>
            </c:numRef>
          </c:val>
          <c:extLst>
            <c:ext xmlns:c16="http://schemas.microsoft.com/office/drawing/2014/chart" uri="{C3380CC4-5D6E-409C-BE32-E72D297353CC}">
              <c16:uniqueId val="{00000005-3663-4F86-886A-45C114815809}"/>
            </c:ext>
          </c:extLst>
        </c:ser>
        <c:ser>
          <c:idx val="0"/>
          <c:order val="6"/>
          <c:tx>
            <c:strRef>
              <c:f>Biofuels!$A$9</c:f>
              <c:strCache>
                <c:ptCount val="1"/>
                <c:pt idx="0">
                  <c:v>RoW</c:v>
                </c:pt>
              </c:strCache>
            </c:strRef>
          </c:tx>
          <c:spPr>
            <a:solidFill>
              <a:schemeClr val="bg1">
                <a:lumMod val="65000"/>
              </a:schemeClr>
            </a:solidFill>
            <a:ln>
              <a:solidFill>
                <a:sysClr val="windowText" lastClr="000000"/>
              </a:solidFill>
            </a:ln>
            <a:effectLst/>
          </c:spPr>
          <c:invertIfNegative val="0"/>
          <c:cat>
            <c:numRef>
              <c:f>Biofuels!$D$1:$O$1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Biofuels!$D$9:$O$9</c:f>
              <c:numCache>
                <c:formatCode>#,##0</c:formatCode>
                <c:ptCount val="12"/>
                <c:pt idx="0">
                  <c:v>4083.5825627476906</c:v>
                </c:pt>
                <c:pt idx="1">
                  <c:v>4415.8890356671036</c:v>
                </c:pt>
                <c:pt idx="2">
                  <c:v>4854.5046235138734</c:v>
                </c:pt>
                <c:pt idx="3">
                  <c:v>4828.5891677674999</c:v>
                </c:pt>
                <c:pt idx="4">
                  <c:v>5244.6710700132098</c:v>
                </c:pt>
                <c:pt idx="5">
                  <c:v>5394.8110964332909</c:v>
                </c:pt>
                <c:pt idx="6">
                  <c:v>5757.8335535006609</c:v>
                </c:pt>
                <c:pt idx="7">
                  <c:v>6102.9062087186285</c:v>
                </c:pt>
                <c:pt idx="8">
                  <c:v>5602.7926023778073</c:v>
                </c:pt>
                <c:pt idx="9">
                  <c:v>6228.3830911492751</c:v>
                </c:pt>
                <c:pt idx="10">
                  <c:v>6980.5759577278677</c:v>
                </c:pt>
                <c:pt idx="11">
                  <c:v>7407.099075297223</c:v>
                </c:pt>
              </c:numCache>
            </c:numRef>
          </c:val>
          <c:extLst>
            <c:ext xmlns:c16="http://schemas.microsoft.com/office/drawing/2014/chart" uri="{C3380CC4-5D6E-409C-BE32-E72D297353CC}">
              <c16:uniqueId val="{00000000-1C2F-416C-ADE6-FA7636FB001A}"/>
            </c:ext>
          </c:extLst>
        </c:ser>
        <c:dLbls>
          <c:showLegendKey val="0"/>
          <c:showVal val="0"/>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Million gallons</a:t>
                </a:r>
              </a:p>
            </c:rich>
          </c:tx>
          <c:layout>
            <c:manualLayout>
              <c:xMode val="edge"/>
              <c:yMode val="edge"/>
              <c:x val="7.9365079365079361E-3"/>
              <c:y val="0.23552958223972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between"/>
      </c:valAx>
      <c:spPr>
        <a:noFill/>
        <a:ln>
          <a:solidFill>
            <a:schemeClr val="tx1"/>
          </a:solidFill>
        </a:ln>
        <a:effectLst/>
      </c:spPr>
    </c:plotArea>
    <c:legend>
      <c:legendPos val="b"/>
      <c:layout>
        <c:manualLayout>
          <c:xMode val="edge"/>
          <c:yMode val="edge"/>
          <c:x val="0.15817272840894889"/>
          <c:y val="0.91991934601924763"/>
          <c:w val="0.84182734805806336"/>
          <c:h val="5.924732064741907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Biofuels!$A$12</c:f>
              <c:strCache>
                <c:ptCount val="1"/>
                <c:pt idx="0">
                  <c:v>United States</c:v>
                </c:pt>
              </c:strCache>
            </c:strRef>
          </c:tx>
          <c:spPr>
            <a:solidFill>
              <a:srgbClr val="8DD3C7"/>
            </a:solidFill>
            <a:ln>
              <a:solidFill>
                <a:schemeClr val="tx1"/>
              </a:solidFill>
            </a:ln>
            <a:effectLst/>
          </c:spPr>
          <c:invertIfNegative val="0"/>
          <c:cat>
            <c:numRef>
              <c:f>Biofuels!$D$11:$O$11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Biofuels!$D$12:$O$12</c:f>
              <c:numCache>
                <c:formatCode>#,##0</c:formatCode>
                <c:ptCount val="12"/>
                <c:pt idx="0">
                  <c:v>14481.535006605018</c:v>
                </c:pt>
                <c:pt idx="1">
                  <c:v>15458.227212681637</c:v>
                </c:pt>
                <c:pt idx="2">
                  <c:v>15788.5178335535</c:v>
                </c:pt>
                <c:pt idx="3">
                  <c:v>16279.072655217966</c:v>
                </c:pt>
                <c:pt idx="4">
                  <c:v>17339.41347424042</c:v>
                </c:pt>
                <c:pt idx="5">
                  <c:v>17342.723910171728</c:v>
                </c:pt>
                <c:pt idx="6">
                  <c:v>17325.556142668429</c:v>
                </c:pt>
                <c:pt idx="7">
                  <c:v>17534.568031704093</c:v>
                </c:pt>
                <c:pt idx="8">
                  <c:v>15887.836195508586</c:v>
                </c:pt>
                <c:pt idx="9">
                  <c:v>17425.104359313074</c:v>
                </c:pt>
                <c:pt idx="10">
                  <c:v>17919.276089828269</c:v>
                </c:pt>
                <c:pt idx="11">
                  <c:v>18155.157199471596</c:v>
                </c:pt>
              </c:numCache>
            </c:numRef>
          </c:val>
          <c:extLst>
            <c:ext xmlns:c16="http://schemas.microsoft.com/office/drawing/2014/chart" uri="{C3380CC4-5D6E-409C-BE32-E72D297353CC}">
              <c16:uniqueId val="{00000000-3965-4899-B4B8-03B667DF383A}"/>
            </c:ext>
          </c:extLst>
        </c:ser>
        <c:ser>
          <c:idx val="2"/>
          <c:order val="1"/>
          <c:tx>
            <c:strRef>
              <c:f>Biofuels!$A$13</c:f>
              <c:strCache>
                <c:ptCount val="1"/>
                <c:pt idx="0">
                  <c:v>Brazil</c:v>
                </c:pt>
              </c:strCache>
            </c:strRef>
          </c:tx>
          <c:spPr>
            <a:solidFill>
              <a:srgbClr val="FFFFB3"/>
            </a:solidFill>
            <a:ln>
              <a:solidFill>
                <a:schemeClr val="tx1"/>
              </a:solidFill>
            </a:ln>
            <a:effectLst/>
          </c:spPr>
          <c:invertIfNegative val="0"/>
          <c:cat>
            <c:numRef>
              <c:f>Biofuels!$D$11:$O$11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Biofuels!$D$13:$O$13</c:f>
              <c:numCache>
                <c:formatCode>#,##0</c:formatCode>
                <c:ptCount val="12"/>
                <c:pt idx="0">
                  <c:v>6091.0752972258924</c:v>
                </c:pt>
                <c:pt idx="1">
                  <c:v>7126.594451783355</c:v>
                </c:pt>
                <c:pt idx="2">
                  <c:v>7974.9484808454426</c:v>
                </c:pt>
                <c:pt idx="3">
                  <c:v>9326.3936591809761</c:v>
                </c:pt>
                <c:pt idx="4">
                  <c:v>8586.7899603698806</c:v>
                </c:pt>
                <c:pt idx="5">
                  <c:v>8555.8969616908853</c:v>
                </c:pt>
                <c:pt idx="6">
                  <c:v>9964.8877146631439</c:v>
                </c:pt>
                <c:pt idx="7">
                  <c:v>10894.068692206078</c:v>
                </c:pt>
                <c:pt idx="8">
                  <c:v>9713.8177014531029</c:v>
                </c:pt>
                <c:pt idx="9">
                  <c:v>9350.3276089828269</c:v>
                </c:pt>
                <c:pt idx="10">
                  <c:v>9591.3342140026416</c:v>
                </c:pt>
                <c:pt idx="11">
                  <c:v>10295.875825627476</c:v>
                </c:pt>
              </c:numCache>
            </c:numRef>
          </c:val>
          <c:extLst>
            <c:ext xmlns:c16="http://schemas.microsoft.com/office/drawing/2014/chart" uri="{C3380CC4-5D6E-409C-BE32-E72D297353CC}">
              <c16:uniqueId val="{00000001-3965-4899-B4B8-03B667DF383A}"/>
            </c:ext>
          </c:extLst>
        </c:ser>
        <c:ser>
          <c:idx val="3"/>
          <c:order val="2"/>
          <c:tx>
            <c:strRef>
              <c:f>Biofuels!$A$14</c:f>
              <c:strCache>
                <c:ptCount val="1"/>
                <c:pt idx="0">
                  <c:v>European Union</c:v>
                </c:pt>
              </c:strCache>
            </c:strRef>
          </c:tx>
          <c:spPr>
            <a:solidFill>
              <a:srgbClr val="BEBADA"/>
            </a:solidFill>
            <a:ln>
              <a:solidFill>
                <a:schemeClr val="tx1"/>
              </a:solidFill>
            </a:ln>
            <a:effectLst/>
          </c:spPr>
          <c:invertIfNegative val="0"/>
          <c:cat>
            <c:numRef>
              <c:f>Biofuels!$D$11:$O$11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Biofuels!$D$14:$O$14</c:f>
              <c:numCache>
                <c:formatCode>#,##0</c:formatCode>
                <c:ptCount val="12"/>
                <c:pt idx="0">
                  <c:v>5173.8652575957722</c:v>
                </c:pt>
                <c:pt idx="1">
                  <c:v>4932.3566710700134</c:v>
                </c:pt>
                <c:pt idx="2">
                  <c:v>5278.1162483487451</c:v>
                </c:pt>
                <c:pt idx="3">
                  <c:v>5151.2391017173049</c:v>
                </c:pt>
                <c:pt idx="4">
                  <c:v>5326.6023778071331</c:v>
                </c:pt>
                <c:pt idx="5">
                  <c:v>5818.0686922060768</c:v>
                </c:pt>
                <c:pt idx="6">
                  <c:v>6329.7727873183621</c:v>
                </c:pt>
                <c:pt idx="7">
                  <c:v>6704.1241743725232</c:v>
                </c:pt>
                <c:pt idx="8">
                  <c:v>6830.5284015852048</c:v>
                </c:pt>
                <c:pt idx="9">
                  <c:v>7052.7661822985465</c:v>
                </c:pt>
                <c:pt idx="10">
                  <c:v>7047.849405548217</c:v>
                </c:pt>
                <c:pt idx="11">
                  <c:v>7059.9180977542928</c:v>
                </c:pt>
              </c:numCache>
            </c:numRef>
          </c:val>
          <c:extLst>
            <c:ext xmlns:c16="http://schemas.microsoft.com/office/drawing/2014/chart" uri="{C3380CC4-5D6E-409C-BE32-E72D297353CC}">
              <c16:uniqueId val="{00000002-3965-4899-B4B8-03B667DF383A}"/>
            </c:ext>
          </c:extLst>
        </c:ser>
        <c:ser>
          <c:idx val="6"/>
          <c:order val="3"/>
          <c:tx>
            <c:strRef>
              <c:f>Biofuels!$A$16</c:f>
              <c:strCache>
                <c:ptCount val="1"/>
                <c:pt idx="0">
                  <c:v>China</c:v>
                </c:pt>
              </c:strCache>
            </c:strRef>
          </c:tx>
          <c:spPr>
            <a:solidFill>
              <a:srgbClr val="FB8072"/>
            </a:solidFill>
            <a:ln>
              <a:solidFill>
                <a:schemeClr val="tx1"/>
              </a:solidFill>
            </a:ln>
            <a:effectLst/>
          </c:spPr>
          <c:invertIfNegative val="0"/>
          <c:cat>
            <c:numRef>
              <c:f>Biofuels!$D$11:$O$11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Biofuels!$D$16:$O$16</c:f>
              <c:numCache>
                <c:formatCode>#,##0</c:formatCode>
                <c:ptCount val="12"/>
                <c:pt idx="0">
                  <c:v>2437.5957727873179</c:v>
                </c:pt>
                <c:pt idx="1">
                  <c:v>2896.6974900924702</c:v>
                </c:pt>
                <c:pt idx="2">
                  <c:v>3135.5350066050196</c:v>
                </c:pt>
                <c:pt idx="3">
                  <c:v>2877.9392338177013</c:v>
                </c:pt>
                <c:pt idx="4">
                  <c:v>2890.6208718626158</c:v>
                </c:pt>
                <c:pt idx="5">
                  <c:v>2738.9696169088506</c:v>
                </c:pt>
                <c:pt idx="6">
                  <c:v>3046.2351387054159</c:v>
                </c:pt>
                <c:pt idx="7">
                  <c:v>2969.6169088507268</c:v>
                </c:pt>
                <c:pt idx="8">
                  <c:v>2542.1400264200793</c:v>
                </c:pt>
                <c:pt idx="9">
                  <c:v>2975.9577278731836</c:v>
                </c:pt>
                <c:pt idx="10">
                  <c:v>2874.1902245706738</c:v>
                </c:pt>
                <c:pt idx="11">
                  <c:v>2918.1558784676354</c:v>
                </c:pt>
              </c:numCache>
            </c:numRef>
          </c:val>
          <c:extLst>
            <c:ext xmlns:c16="http://schemas.microsoft.com/office/drawing/2014/chart" uri="{C3380CC4-5D6E-409C-BE32-E72D297353CC}">
              <c16:uniqueId val="{00000003-3965-4899-B4B8-03B667DF383A}"/>
            </c:ext>
          </c:extLst>
        </c:ser>
        <c:ser>
          <c:idx val="4"/>
          <c:order val="4"/>
          <c:tx>
            <c:strRef>
              <c:f>Biofuels!$A$17</c:f>
              <c:strCache>
                <c:ptCount val="1"/>
                <c:pt idx="0">
                  <c:v>Indonesia</c:v>
                </c:pt>
              </c:strCache>
            </c:strRef>
          </c:tx>
          <c:spPr>
            <a:solidFill>
              <a:schemeClr val="accent5"/>
            </a:solidFill>
            <a:ln>
              <a:solidFill>
                <a:schemeClr val="tx1"/>
              </a:solidFill>
            </a:ln>
            <a:effectLst/>
          </c:spPr>
          <c:invertIfNegative val="0"/>
          <c:cat>
            <c:numRef>
              <c:f>Biofuels!$D$11:$O$11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Biofuels!$D$17:$O$17</c:f>
              <c:numCache>
                <c:formatCode>#,##0</c:formatCode>
                <c:ptCount val="12"/>
                <c:pt idx="0">
                  <c:v>217.96565389696167</c:v>
                </c:pt>
                <c:pt idx="1">
                  <c:v>308.05812417437249</c:v>
                </c:pt>
                <c:pt idx="2">
                  <c:v>517.04095112285336</c:v>
                </c:pt>
                <c:pt idx="3">
                  <c:v>268.69220607661822</c:v>
                </c:pt>
                <c:pt idx="4">
                  <c:v>831.70409511228536</c:v>
                </c:pt>
                <c:pt idx="5">
                  <c:v>715.45574636723916</c:v>
                </c:pt>
                <c:pt idx="6">
                  <c:v>1024.5706737120211</c:v>
                </c:pt>
                <c:pt idx="7">
                  <c:v>1720.211360634082</c:v>
                </c:pt>
                <c:pt idx="8">
                  <c:v>2268.9564068692202</c:v>
                </c:pt>
                <c:pt idx="9">
                  <c:v>2496.9616908850726</c:v>
                </c:pt>
                <c:pt idx="10">
                  <c:v>2707.0013210039629</c:v>
                </c:pt>
                <c:pt idx="11">
                  <c:v>2825.978863936592</c:v>
                </c:pt>
              </c:numCache>
            </c:numRef>
          </c:val>
          <c:extLst>
            <c:ext xmlns:c16="http://schemas.microsoft.com/office/drawing/2014/chart" uri="{C3380CC4-5D6E-409C-BE32-E72D297353CC}">
              <c16:uniqueId val="{00000004-3965-4899-B4B8-03B667DF383A}"/>
            </c:ext>
          </c:extLst>
        </c:ser>
        <c:ser>
          <c:idx val="5"/>
          <c:order val="5"/>
          <c:tx>
            <c:strRef>
              <c:f>Biofuels!$A$15</c:f>
              <c:strCache>
                <c:ptCount val="1"/>
                <c:pt idx="0">
                  <c:v>Canada</c:v>
                </c:pt>
              </c:strCache>
            </c:strRef>
          </c:tx>
          <c:spPr>
            <a:solidFill>
              <a:srgbClr val="FDB462"/>
            </a:solidFill>
            <a:ln>
              <a:solidFill>
                <a:schemeClr val="tx1"/>
              </a:solidFill>
            </a:ln>
            <a:effectLst/>
          </c:spPr>
          <c:invertIfNegative val="0"/>
          <c:cat>
            <c:numRef>
              <c:f>Biofuels!$D$11:$O$11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Biofuels!$D$15:$O$15</c:f>
              <c:numCache>
                <c:formatCode>#,##0</c:formatCode>
                <c:ptCount val="12"/>
                <c:pt idx="0">
                  <c:v>733.15719947159846</c:v>
                </c:pt>
                <c:pt idx="1">
                  <c:v>870.80581241743721</c:v>
                </c:pt>
                <c:pt idx="2">
                  <c:v>899.60369881109636</c:v>
                </c:pt>
                <c:pt idx="3">
                  <c:v>955.08586525759574</c:v>
                </c:pt>
                <c:pt idx="4">
                  <c:v>952.70805812417427</c:v>
                </c:pt>
                <c:pt idx="5">
                  <c:v>967.50330250990748</c:v>
                </c:pt>
                <c:pt idx="6">
                  <c:v>965.8388375165124</c:v>
                </c:pt>
                <c:pt idx="7">
                  <c:v>1021.4874504623513</c:v>
                </c:pt>
                <c:pt idx="8">
                  <c:v>931.66182298546892</c:v>
                </c:pt>
                <c:pt idx="9">
                  <c:v>966.22457067371192</c:v>
                </c:pt>
                <c:pt idx="10">
                  <c:v>1053.3210039630119</c:v>
                </c:pt>
                <c:pt idx="11">
                  <c:v>1131.0515191545574</c:v>
                </c:pt>
              </c:numCache>
            </c:numRef>
          </c:val>
          <c:extLst>
            <c:ext xmlns:c16="http://schemas.microsoft.com/office/drawing/2014/chart" uri="{C3380CC4-5D6E-409C-BE32-E72D297353CC}">
              <c16:uniqueId val="{00000005-3965-4899-B4B8-03B667DF383A}"/>
            </c:ext>
          </c:extLst>
        </c:ser>
        <c:ser>
          <c:idx val="0"/>
          <c:order val="6"/>
          <c:tx>
            <c:strRef>
              <c:f>Biofuels!$A$19</c:f>
              <c:strCache>
                <c:ptCount val="1"/>
                <c:pt idx="0">
                  <c:v>RoW</c:v>
                </c:pt>
              </c:strCache>
            </c:strRef>
          </c:tx>
          <c:spPr>
            <a:solidFill>
              <a:schemeClr val="bg1">
                <a:lumMod val="65000"/>
              </a:schemeClr>
            </a:solidFill>
            <a:ln>
              <a:solidFill>
                <a:sysClr val="windowText" lastClr="000000"/>
              </a:solidFill>
            </a:ln>
            <a:effectLst/>
          </c:spPr>
          <c:invertIfNegative val="0"/>
          <c:cat>
            <c:numRef>
              <c:f>Biofuels!$D$11:$O$11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Biofuels!$D$19:$O$19</c:f>
              <c:numCache>
                <c:formatCode>#,##0</c:formatCode>
                <c:ptCount val="12"/>
                <c:pt idx="0">
                  <c:v>3757.0885072655192</c:v>
                </c:pt>
                <c:pt idx="1">
                  <c:v>4103.413474240424</c:v>
                </c:pt>
                <c:pt idx="2">
                  <c:v>4596.6261558784627</c:v>
                </c:pt>
                <c:pt idx="3">
                  <c:v>4916.1717305151915</c:v>
                </c:pt>
                <c:pt idx="4">
                  <c:v>5208.8216644649965</c:v>
                </c:pt>
                <c:pt idx="5">
                  <c:v>5444.2351387054132</c:v>
                </c:pt>
                <c:pt idx="6">
                  <c:v>5832.3566710700088</c:v>
                </c:pt>
                <c:pt idx="7">
                  <c:v>6286.504623513867</c:v>
                </c:pt>
                <c:pt idx="8">
                  <c:v>6212.346103038306</c:v>
                </c:pt>
                <c:pt idx="9">
                  <c:v>6495.0118890356589</c:v>
                </c:pt>
                <c:pt idx="10">
                  <c:v>7255.9445178335445</c:v>
                </c:pt>
                <c:pt idx="11">
                  <c:v>7730.0739762219328</c:v>
                </c:pt>
              </c:numCache>
            </c:numRef>
          </c:val>
          <c:extLst>
            <c:ext xmlns:c16="http://schemas.microsoft.com/office/drawing/2014/chart" uri="{C3380CC4-5D6E-409C-BE32-E72D297353CC}">
              <c16:uniqueId val="{00000000-983B-45C7-BDF5-D188DABDDFBC}"/>
            </c:ext>
          </c:extLst>
        </c:ser>
        <c:dLbls>
          <c:showLegendKey val="0"/>
          <c:showVal val="0"/>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Million gallons</a:t>
                </a:r>
              </a:p>
            </c:rich>
          </c:tx>
          <c:layout>
            <c:manualLayout>
              <c:xMode val="edge"/>
              <c:yMode val="edge"/>
              <c:x val="9.9206349206349201E-3"/>
              <c:y val="0.294557360017497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Biofuels!$A$24</c:f>
              <c:strCache>
                <c:ptCount val="1"/>
                <c:pt idx="0">
                  <c:v>European Union</c:v>
                </c:pt>
              </c:strCache>
            </c:strRef>
          </c:tx>
          <c:spPr>
            <a:solidFill>
              <a:srgbClr val="BEBADA"/>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Biofuels!$D$24:$O$24</c:f>
              <c:numCache>
                <c:formatCode>#,##0</c:formatCode>
                <c:ptCount val="12"/>
                <c:pt idx="0">
                  <c:v>989.45046235138705</c:v>
                </c:pt>
                <c:pt idx="1">
                  <c:v>660.33553500660491</c:v>
                </c:pt>
                <c:pt idx="2">
                  <c:v>474.22721268163798</c:v>
                </c:pt>
                <c:pt idx="3">
                  <c:v>459.26287978863934</c:v>
                </c:pt>
                <c:pt idx="4">
                  <c:v>528.27741083223259</c:v>
                </c:pt>
                <c:pt idx="5">
                  <c:v>715.00924702774103</c:v>
                </c:pt>
                <c:pt idx="6">
                  <c:v>1333.8097754293262</c:v>
                </c:pt>
                <c:pt idx="7">
                  <c:v>1474.3038309114925</c:v>
                </c:pt>
                <c:pt idx="8">
                  <c:v>1393.8678996036988</c:v>
                </c:pt>
                <c:pt idx="9">
                  <c:v>1206.9696169088506</c:v>
                </c:pt>
                <c:pt idx="10">
                  <c:v>1393.6274768824305</c:v>
                </c:pt>
                <c:pt idx="11">
                  <c:v>1110.7899603698811</c:v>
                </c:pt>
              </c:numCache>
            </c:numRef>
          </c:val>
          <c:extLst>
            <c:ext xmlns:c16="http://schemas.microsoft.com/office/drawing/2014/chart" uri="{C3380CC4-5D6E-409C-BE32-E72D297353CC}">
              <c16:uniqueId val="{00000000-D9C3-42EF-9F31-85CDA9A2AEA9}"/>
            </c:ext>
          </c:extLst>
        </c:ser>
        <c:ser>
          <c:idx val="1"/>
          <c:order val="1"/>
          <c:tx>
            <c:strRef>
              <c:f>Biofuels!$A$22</c:f>
              <c:strCache>
                <c:ptCount val="1"/>
                <c:pt idx="0">
                  <c:v>United States</c:v>
                </c:pt>
              </c:strCache>
            </c:strRef>
          </c:tx>
          <c:spPr>
            <a:solidFill>
              <a:srgbClr val="8DD3C7"/>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Biofuels!$D$22:$O$22</c:f>
              <c:numCache>
                <c:formatCode>#,##0</c:formatCode>
                <c:ptCount val="12"/>
                <c:pt idx="0">
                  <c:v>701.09643328929974</c:v>
                </c:pt>
                <c:pt idx="1">
                  <c:v>1017.125495376486</c:v>
                </c:pt>
                <c:pt idx="2">
                  <c:v>548.19550858652576</c:v>
                </c:pt>
                <c:pt idx="3">
                  <c:v>866.16380449141343</c:v>
                </c:pt>
                <c:pt idx="4">
                  <c:v>1095.9418758256274</c:v>
                </c:pt>
                <c:pt idx="5">
                  <c:v>853.70409511228536</c:v>
                </c:pt>
                <c:pt idx="6">
                  <c:v>530.75561426684271</c:v>
                </c:pt>
                <c:pt idx="7">
                  <c:v>660.76354029062088</c:v>
                </c:pt>
                <c:pt idx="8">
                  <c:v>781.51122853368554</c:v>
                </c:pt>
                <c:pt idx="9">
                  <c:v>952.10039630118899</c:v>
                </c:pt>
                <c:pt idx="10">
                  <c:v>694.7450462351386</c:v>
                </c:pt>
                <c:pt idx="11">
                  <c:v>676.30383091149281</c:v>
                </c:pt>
              </c:numCache>
            </c:numRef>
          </c:val>
          <c:extLst>
            <c:ext xmlns:c16="http://schemas.microsoft.com/office/drawing/2014/chart" uri="{C3380CC4-5D6E-409C-BE32-E72D297353CC}">
              <c16:uniqueId val="{00000001-D9C3-42EF-9F31-85CDA9A2AEA9}"/>
            </c:ext>
          </c:extLst>
        </c:ser>
        <c:ser>
          <c:idx val="6"/>
          <c:order val="2"/>
          <c:tx>
            <c:strRef>
              <c:f>Biofuels!$A$25</c:f>
              <c:strCache>
                <c:ptCount val="1"/>
                <c:pt idx="0">
                  <c:v>Canada</c:v>
                </c:pt>
              </c:strCache>
            </c:strRef>
          </c:tx>
          <c:spPr>
            <a:solidFill>
              <a:srgbClr val="FDB462"/>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Biofuels!$D$25:$O$25</c:f>
              <c:numCache>
                <c:formatCode>#,##0</c:formatCode>
                <c:ptCount val="12"/>
                <c:pt idx="0">
                  <c:v>313.60634081902248</c:v>
                </c:pt>
                <c:pt idx="1">
                  <c:v>350.06605019815061</c:v>
                </c:pt>
                <c:pt idx="2">
                  <c:v>430.64729194187584</c:v>
                </c:pt>
                <c:pt idx="3">
                  <c:v>462.08718626155877</c:v>
                </c:pt>
                <c:pt idx="4">
                  <c:v>496.69749009247028</c:v>
                </c:pt>
                <c:pt idx="5">
                  <c:v>518.09775429326282</c:v>
                </c:pt>
                <c:pt idx="6">
                  <c:v>469.32628797886395</c:v>
                </c:pt>
                <c:pt idx="7">
                  <c:v>436.81109643328926</c:v>
                </c:pt>
                <c:pt idx="8">
                  <c:v>439.02245706737119</c:v>
                </c:pt>
                <c:pt idx="9">
                  <c:v>462.69220607661828</c:v>
                </c:pt>
                <c:pt idx="10">
                  <c:v>533.13870541611618</c:v>
                </c:pt>
                <c:pt idx="11">
                  <c:v>593.85204755614268</c:v>
                </c:pt>
              </c:numCache>
            </c:numRef>
          </c:val>
          <c:extLst>
            <c:ext xmlns:c16="http://schemas.microsoft.com/office/drawing/2014/chart" uri="{C3380CC4-5D6E-409C-BE32-E72D297353CC}">
              <c16:uniqueId val="{00000002-D9C3-42EF-9F31-85CDA9A2AEA9}"/>
            </c:ext>
          </c:extLst>
        </c:ser>
        <c:ser>
          <c:idx val="4"/>
          <c:order val="3"/>
          <c:tx>
            <c:strRef>
              <c:f>Biofuels!$A$26</c:f>
              <c:strCache>
                <c:ptCount val="1"/>
                <c:pt idx="0">
                  <c:v>China</c:v>
                </c:pt>
              </c:strCache>
            </c:strRef>
          </c:tx>
          <c:spPr>
            <a:solidFill>
              <a:srgbClr val="FB8072"/>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Biofuels!$D$26:$O$26</c:f>
              <c:numCache>
                <c:formatCode>#,##0</c:formatCode>
                <c:ptCount val="12"/>
                <c:pt idx="0">
                  <c:v>16.908850726552178</c:v>
                </c:pt>
                <c:pt idx="1">
                  <c:v>236.45970937912813</c:v>
                </c:pt>
                <c:pt idx="2">
                  <c:v>278.65257595772783</c:v>
                </c:pt>
                <c:pt idx="3">
                  <c:v>190.22457067371201</c:v>
                </c:pt>
                <c:pt idx="4">
                  <c:v>237.25231175693526</c:v>
                </c:pt>
                <c:pt idx="5">
                  <c:v>11.360634081902246</c:v>
                </c:pt>
                <c:pt idx="6">
                  <c:v>498.81109643328932</c:v>
                </c:pt>
                <c:pt idx="7">
                  <c:v>279.26023778071334</c:v>
                </c:pt>
                <c:pt idx="8">
                  <c:v>45.099075297225895</c:v>
                </c:pt>
                <c:pt idx="9">
                  <c:v>274.31968295904886</c:v>
                </c:pt>
                <c:pt idx="10">
                  <c:v>79.260237780713339</c:v>
                </c:pt>
                <c:pt idx="11">
                  <c:v>174.48084544253632</c:v>
                </c:pt>
              </c:numCache>
            </c:numRef>
          </c:val>
          <c:extLst>
            <c:ext xmlns:c16="http://schemas.microsoft.com/office/drawing/2014/chart" uri="{C3380CC4-5D6E-409C-BE32-E72D297353CC}">
              <c16:uniqueId val="{00000003-D9C3-42EF-9F31-85CDA9A2AEA9}"/>
            </c:ext>
          </c:extLst>
        </c:ser>
        <c:ser>
          <c:idx val="2"/>
          <c:order val="4"/>
          <c:tx>
            <c:strRef>
              <c:f>Biofuels!$A$23</c:f>
              <c:strCache>
                <c:ptCount val="1"/>
                <c:pt idx="0">
                  <c:v>Brazil</c:v>
                </c:pt>
              </c:strCache>
            </c:strRef>
          </c:tx>
          <c:spPr>
            <a:solidFill>
              <a:srgbClr val="FFFFB3"/>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Biofuels!$D$23:$O$23</c:f>
              <c:numCache>
                <c:formatCode>#,##0</c:formatCode>
                <c:ptCount val="12"/>
                <c:pt idx="0">
                  <c:v>144.14795244385732</c:v>
                </c:pt>
                <c:pt idx="1">
                  <c:v>34.797886393659184</c:v>
                </c:pt>
                <c:pt idx="2">
                  <c:v>119.41875825627477</c:v>
                </c:pt>
                <c:pt idx="3">
                  <c:v>135.49537648612946</c:v>
                </c:pt>
                <c:pt idx="4">
                  <c:v>220.5125495376486</c:v>
                </c:pt>
                <c:pt idx="5">
                  <c:v>482.33553500660503</c:v>
                </c:pt>
                <c:pt idx="6">
                  <c:v>469.04359313077936</c:v>
                </c:pt>
                <c:pt idx="7">
                  <c:v>385.09907529722585</c:v>
                </c:pt>
                <c:pt idx="8">
                  <c:v>266.79788639365916</c:v>
                </c:pt>
                <c:pt idx="9">
                  <c:v>114.20343461030383</c:v>
                </c:pt>
                <c:pt idx="10">
                  <c:v>67.812417437252307</c:v>
                </c:pt>
                <c:pt idx="11">
                  <c:v>61.896961690885071</c:v>
                </c:pt>
              </c:numCache>
            </c:numRef>
          </c:val>
          <c:extLst>
            <c:ext xmlns:c16="http://schemas.microsoft.com/office/drawing/2014/chart" uri="{C3380CC4-5D6E-409C-BE32-E72D297353CC}">
              <c16:uniqueId val="{00000004-D9C3-42EF-9F31-85CDA9A2AEA9}"/>
            </c:ext>
          </c:extLst>
        </c:ser>
        <c:ser>
          <c:idx val="5"/>
          <c:order val="5"/>
          <c:tx>
            <c:strRef>
              <c:f>Biofuels!$A$27</c:f>
              <c:strCache>
                <c:ptCount val="1"/>
                <c:pt idx="0">
                  <c:v>Indonesia</c:v>
                </c:pt>
              </c:strCache>
            </c:strRef>
          </c:tx>
          <c:spPr>
            <a:solidFill>
              <a:srgbClr val="80B1D3"/>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Biofuels!$D$27:$O$27</c:f>
              <c:numCache>
                <c:formatCode>#,##0</c:formatCode>
                <c:ptCount val="12"/>
                <c:pt idx="0">
                  <c:v>0.8190224570673712</c:v>
                </c:pt>
                <c:pt idx="1">
                  <c:v>0.13210039630118889</c:v>
                </c:pt>
                <c:pt idx="2">
                  <c:v>0.26420079260237778</c:v>
                </c:pt>
                <c:pt idx="3">
                  <c:v>0.10568031704095113</c:v>
                </c:pt>
                <c:pt idx="4">
                  <c:v>0.58124174372523119</c:v>
                </c:pt>
                <c:pt idx="5">
                  <c:v>1.2681638044914134</c:v>
                </c:pt>
                <c:pt idx="6">
                  <c:v>25.284015852047556</c:v>
                </c:pt>
                <c:pt idx="7">
                  <c:v>0.21136063408190225</c:v>
                </c:pt>
                <c:pt idx="8">
                  <c:v>7.5033025099075292</c:v>
                </c:pt>
                <c:pt idx="9">
                  <c:v>14.187582562747689</c:v>
                </c:pt>
                <c:pt idx="10">
                  <c:v>8.9299867899603687</c:v>
                </c:pt>
                <c:pt idx="11">
                  <c:v>8.9299867899603687</c:v>
                </c:pt>
              </c:numCache>
            </c:numRef>
          </c:val>
          <c:extLst>
            <c:ext xmlns:c16="http://schemas.microsoft.com/office/drawing/2014/chart" uri="{C3380CC4-5D6E-409C-BE32-E72D297353CC}">
              <c16:uniqueId val="{00000005-D9C3-42EF-9F31-85CDA9A2AEA9}"/>
            </c:ext>
          </c:extLst>
        </c:ser>
        <c:ser>
          <c:idx val="0"/>
          <c:order val="6"/>
          <c:tx>
            <c:strRef>
              <c:f>Biofuels!$A$29</c:f>
              <c:strCache>
                <c:ptCount val="1"/>
                <c:pt idx="0">
                  <c:v>RoW</c:v>
                </c:pt>
              </c:strCache>
            </c:strRef>
          </c:tx>
          <c:spPr>
            <a:solidFill>
              <a:schemeClr val="bg1">
                <a:lumMod val="65000"/>
              </a:schemeClr>
            </a:solidFill>
            <a:ln>
              <a:solidFill>
                <a:sysClr val="windowText" lastClr="000000"/>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Biofuels!$D$29:$O$29</c:f>
              <c:numCache>
                <c:formatCode>#,##0</c:formatCode>
                <c:ptCount val="12"/>
                <c:pt idx="0">
                  <c:v>956.30647291941909</c:v>
                </c:pt>
                <c:pt idx="1">
                  <c:v>1034.6050198150594</c:v>
                </c:pt>
                <c:pt idx="2">
                  <c:v>1125.4583883751652</c:v>
                </c:pt>
                <c:pt idx="3">
                  <c:v>1179.1254953764865</c:v>
                </c:pt>
                <c:pt idx="4">
                  <c:v>1294.7212681638048</c:v>
                </c:pt>
                <c:pt idx="5">
                  <c:v>1423.8546895640691</c:v>
                </c:pt>
                <c:pt idx="6">
                  <c:v>1416.8665785997357</c:v>
                </c:pt>
                <c:pt idx="7">
                  <c:v>1550.8877146631439</c:v>
                </c:pt>
                <c:pt idx="8">
                  <c:v>1730.1558784676354</c:v>
                </c:pt>
                <c:pt idx="9">
                  <c:v>1551.5429326287979</c:v>
                </c:pt>
                <c:pt idx="10">
                  <c:v>1617.4214002642009</c:v>
                </c:pt>
                <c:pt idx="11">
                  <c:v>1619.0700132100396</c:v>
                </c:pt>
              </c:numCache>
            </c:numRef>
          </c:val>
          <c:extLst>
            <c:ext xmlns:c16="http://schemas.microsoft.com/office/drawing/2014/chart" uri="{C3380CC4-5D6E-409C-BE32-E72D297353CC}">
              <c16:uniqueId val="{00000000-101B-4F86-883A-F249D2ED12AC}"/>
            </c:ext>
          </c:extLst>
        </c:ser>
        <c:dLbls>
          <c:showLegendKey val="0"/>
          <c:showVal val="0"/>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Million gallons</a:t>
                </a:r>
              </a:p>
            </c:rich>
          </c:tx>
          <c:layout>
            <c:manualLayout>
              <c:xMode val="edge"/>
              <c:yMode val="edge"/>
              <c:x val="7.9365079365079361E-3"/>
              <c:y val="0.23552958223972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Biofuels!$A$32</c:f>
              <c:strCache>
                <c:ptCount val="1"/>
                <c:pt idx="0">
                  <c:v>United States</c:v>
                </c:pt>
              </c:strCache>
            </c:strRef>
          </c:tx>
          <c:spPr>
            <a:solidFill>
              <a:srgbClr val="8DD3C7"/>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Biofuels!$D$32:$O$32</c:f>
              <c:numCache>
                <c:formatCode>#,##0</c:formatCode>
                <c:ptCount val="12"/>
                <c:pt idx="0">
                  <c:v>855.65389696169086</c:v>
                </c:pt>
                <c:pt idx="1">
                  <c:v>806.09511228533677</c:v>
                </c:pt>
                <c:pt idx="2">
                  <c:v>922.70805812417427</c:v>
                </c:pt>
                <c:pt idx="3">
                  <c:v>1020.7899603698811</c:v>
                </c:pt>
                <c:pt idx="4">
                  <c:v>1281.1756935270807</c:v>
                </c:pt>
                <c:pt idx="5">
                  <c:v>1536.7133421400263</c:v>
                </c:pt>
                <c:pt idx="6">
                  <c:v>1842.4702774108321</c:v>
                </c:pt>
                <c:pt idx="7">
                  <c:v>1636.1822985468957</c:v>
                </c:pt>
                <c:pt idx="8">
                  <c:v>1508.7397622192866</c:v>
                </c:pt>
                <c:pt idx="9">
                  <c:v>1456.2642007926024</c:v>
                </c:pt>
                <c:pt idx="10">
                  <c:v>1726.2298546895638</c:v>
                </c:pt>
                <c:pt idx="11">
                  <c:v>1617.4583883751652</c:v>
                </c:pt>
              </c:numCache>
            </c:numRef>
          </c:val>
          <c:extLst>
            <c:ext xmlns:c16="http://schemas.microsoft.com/office/drawing/2014/chart" uri="{C3380CC4-5D6E-409C-BE32-E72D297353CC}">
              <c16:uniqueId val="{00000000-BB81-4B22-BEC9-D4908707D65B}"/>
            </c:ext>
          </c:extLst>
        </c:ser>
        <c:ser>
          <c:idx val="2"/>
          <c:order val="1"/>
          <c:tx>
            <c:strRef>
              <c:f>Biofuels!$A$36</c:f>
              <c:strCache>
                <c:ptCount val="1"/>
                <c:pt idx="0">
                  <c:v>China</c:v>
                </c:pt>
              </c:strCache>
            </c:strRef>
          </c:tx>
          <c:spPr>
            <a:solidFill>
              <a:srgbClr val="FB8072"/>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Biofuels!$D$36:$O$36</c:f>
              <c:numCache>
                <c:formatCode>#,##0</c:formatCode>
                <c:ptCount val="12"/>
                <c:pt idx="0">
                  <c:v>11.889035667107001</c:v>
                </c:pt>
                <c:pt idx="1">
                  <c:v>10.568031704095112</c:v>
                </c:pt>
                <c:pt idx="2">
                  <c:v>20.079260237780716</c:v>
                </c:pt>
                <c:pt idx="3">
                  <c:v>13.738441215323647</c:v>
                </c:pt>
                <c:pt idx="4">
                  <c:v>28.982826948480845</c:v>
                </c:pt>
                <c:pt idx="5">
                  <c:v>86.393659180977536</c:v>
                </c:pt>
                <c:pt idx="6">
                  <c:v>115.27080581241744</c:v>
                </c:pt>
                <c:pt idx="7">
                  <c:v>204.22721268163804</c:v>
                </c:pt>
                <c:pt idx="8">
                  <c:v>370.43593130779391</c:v>
                </c:pt>
                <c:pt idx="9">
                  <c:v>395.8256274768824</c:v>
                </c:pt>
                <c:pt idx="10">
                  <c:v>565.38441215323644</c:v>
                </c:pt>
                <c:pt idx="11">
                  <c:v>557.68295904887714</c:v>
                </c:pt>
              </c:numCache>
            </c:numRef>
          </c:val>
          <c:extLst>
            <c:ext xmlns:c16="http://schemas.microsoft.com/office/drawing/2014/chart" uri="{C3380CC4-5D6E-409C-BE32-E72D297353CC}">
              <c16:uniqueId val="{00000001-BB81-4B22-BEC9-D4908707D65B}"/>
            </c:ext>
          </c:extLst>
        </c:ser>
        <c:ser>
          <c:idx val="1"/>
          <c:order val="2"/>
          <c:tx>
            <c:strRef>
              <c:f>Biofuels!$A$33</c:f>
              <c:strCache>
                <c:ptCount val="1"/>
                <c:pt idx="0">
                  <c:v>Brazil</c:v>
                </c:pt>
              </c:strCache>
            </c:strRef>
          </c:tx>
          <c:spPr>
            <a:solidFill>
              <a:srgbClr val="FFFFB3"/>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Biofuels!$D$33:$O$33</c:f>
              <c:numCache>
                <c:formatCode>#,##0</c:formatCode>
                <c:ptCount val="12"/>
                <c:pt idx="0">
                  <c:v>807.2100396301189</c:v>
                </c:pt>
                <c:pt idx="1">
                  <c:v>780.86393659180976</c:v>
                </c:pt>
                <c:pt idx="2">
                  <c:v>379.89431968295906</c:v>
                </c:pt>
                <c:pt idx="3">
                  <c:v>496.4914134742404</c:v>
                </c:pt>
                <c:pt idx="4">
                  <c:v>472.65521796565389</c:v>
                </c:pt>
                <c:pt idx="5">
                  <c:v>367.2787318361955</c:v>
                </c:pt>
                <c:pt idx="6">
                  <c:v>449.09643328929985</c:v>
                </c:pt>
                <c:pt idx="7">
                  <c:v>516.15852047556143</c:v>
                </c:pt>
                <c:pt idx="8">
                  <c:v>715.19682959048873</c:v>
                </c:pt>
                <c:pt idx="9">
                  <c:v>518.45970937912818</c:v>
                </c:pt>
                <c:pt idx="10">
                  <c:v>501.67239101717297</c:v>
                </c:pt>
                <c:pt idx="11">
                  <c:v>537.00132100396297</c:v>
                </c:pt>
              </c:numCache>
            </c:numRef>
          </c:val>
          <c:extLst>
            <c:ext xmlns:c16="http://schemas.microsoft.com/office/drawing/2014/chart" uri="{C3380CC4-5D6E-409C-BE32-E72D297353CC}">
              <c16:uniqueId val="{00000002-BB81-4B22-BEC9-D4908707D65B}"/>
            </c:ext>
          </c:extLst>
        </c:ser>
        <c:ser>
          <c:idx val="6"/>
          <c:order val="3"/>
          <c:tx>
            <c:strRef>
              <c:f>Biofuels!$A$34</c:f>
              <c:strCache>
                <c:ptCount val="1"/>
                <c:pt idx="0">
                  <c:v>European Union</c:v>
                </c:pt>
              </c:strCache>
            </c:strRef>
          </c:tx>
          <c:spPr>
            <a:solidFill>
              <a:srgbClr val="BEBADA"/>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Biofuels!$D$34:$O$34</c:f>
              <c:numCache>
                <c:formatCode>#,##0</c:formatCode>
                <c:ptCount val="12"/>
                <c:pt idx="0">
                  <c:v>217.11228533685599</c:v>
                </c:pt>
                <c:pt idx="1">
                  <c:v>391.07265521796563</c:v>
                </c:pt>
                <c:pt idx="2">
                  <c:v>384.94583883751648</c:v>
                </c:pt>
                <c:pt idx="3">
                  <c:v>387.07265521796558</c:v>
                </c:pt>
                <c:pt idx="4">
                  <c:v>417.02509907529719</c:v>
                </c:pt>
                <c:pt idx="5">
                  <c:v>444.44914134742402</c:v>
                </c:pt>
                <c:pt idx="6">
                  <c:v>577.84940554821662</c:v>
                </c:pt>
                <c:pt idx="7">
                  <c:v>757.74372523117563</c:v>
                </c:pt>
                <c:pt idx="8">
                  <c:v>645.65389696169086</c:v>
                </c:pt>
                <c:pt idx="9">
                  <c:v>416.42800528401585</c:v>
                </c:pt>
                <c:pt idx="10">
                  <c:v>297.3896961690885</c:v>
                </c:pt>
                <c:pt idx="11">
                  <c:v>331.43196829590488</c:v>
                </c:pt>
              </c:numCache>
            </c:numRef>
          </c:val>
          <c:extLst>
            <c:ext xmlns:c16="http://schemas.microsoft.com/office/drawing/2014/chart" uri="{C3380CC4-5D6E-409C-BE32-E72D297353CC}">
              <c16:uniqueId val="{00000003-BB81-4B22-BEC9-D4908707D65B}"/>
            </c:ext>
          </c:extLst>
        </c:ser>
        <c:ser>
          <c:idx val="4"/>
          <c:order val="4"/>
          <c:tx>
            <c:strRef>
              <c:f>Biofuels!$A$35</c:f>
              <c:strCache>
                <c:ptCount val="1"/>
                <c:pt idx="0">
                  <c:v>Canada</c:v>
                </c:pt>
              </c:strCache>
            </c:strRef>
          </c:tx>
          <c:spPr>
            <a:solidFill>
              <a:srgbClr val="FDB462"/>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Biofuels!$D$35:$O$35</c:f>
              <c:numCache>
                <c:formatCode>#,##0</c:formatCode>
                <c:ptCount val="12"/>
                <c:pt idx="0">
                  <c:v>41.21532364597094</c:v>
                </c:pt>
                <c:pt idx="1">
                  <c:v>56.538969616908844</c:v>
                </c:pt>
                <c:pt idx="2">
                  <c:v>103.03830911492733</c:v>
                </c:pt>
                <c:pt idx="3">
                  <c:v>88.507265521796569</c:v>
                </c:pt>
                <c:pt idx="4">
                  <c:v>125.75957727873184</c:v>
                </c:pt>
                <c:pt idx="5">
                  <c:v>134.21400264200793</c:v>
                </c:pt>
                <c:pt idx="6">
                  <c:v>102.77410832232496</c:v>
                </c:pt>
                <c:pt idx="7">
                  <c:v>96.433289299867894</c:v>
                </c:pt>
                <c:pt idx="8">
                  <c:v>101.9101717305152</c:v>
                </c:pt>
                <c:pt idx="9">
                  <c:v>105.778071334214</c:v>
                </c:pt>
                <c:pt idx="10">
                  <c:v>107.5112285336856</c:v>
                </c:pt>
                <c:pt idx="11">
                  <c:v>111.14927344782033</c:v>
                </c:pt>
              </c:numCache>
            </c:numRef>
          </c:val>
          <c:extLst>
            <c:ext xmlns:c16="http://schemas.microsoft.com/office/drawing/2014/chart" uri="{C3380CC4-5D6E-409C-BE32-E72D297353CC}">
              <c16:uniqueId val="{00000004-BB81-4B22-BEC9-D4908707D65B}"/>
            </c:ext>
          </c:extLst>
        </c:ser>
        <c:ser>
          <c:idx val="5"/>
          <c:order val="5"/>
          <c:tx>
            <c:strRef>
              <c:f>Biofuels!$A$37</c:f>
              <c:strCache>
                <c:ptCount val="1"/>
                <c:pt idx="0">
                  <c:v>Indonesia</c:v>
                </c:pt>
              </c:strCache>
            </c:strRef>
          </c:tx>
          <c:spPr>
            <a:solidFill>
              <a:srgbClr val="80B1D3"/>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Biofuels!$D$37:$O$37</c:f>
              <c:numCache>
                <c:formatCode>#,##0</c:formatCode>
                <c:ptCount val="12"/>
                <c:pt idx="0">
                  <c:v>441.32100396301189</c:v>
                </c:pt>
                <c:pt idx="1">
                  <c:v>537.19947159841479</c:v>
                </c:pt>
                <c:pt idx="2">
                  <c:v>438.1241743725231</c:v>
                </c:pt>
                <c:pt idx="3">
                  <c:v>104.67635402906208</c:v>
                </c:pt>
                <c:pt idx="4">
                  <c:v>144.46499339498018</c:v>
                </c:pt>
                <c:pt idx="5">
                  <c:v>66.287978863936587</c:v>
                </c:pt>
                <c:pt idx="6">
                  <c:v>509.37912813738438</c:v>
                </c:pt>
                <c:pt idx="7">
                  <c:v>353.87054161162484</c:v>
                </c:pt>
                <c:pt idx="8">
                  <c:v>22.747688243064729</c:v>
                </c:pt>
                <c:pt idx="9">
                  <c:v>72.523117569352706</c:v>
                </c:pt>
                <c:pt idx="10">
                  <c:v>70.700132100396303</c:v>
                </c:pt>
                <c:pt idx="11">
                  <c:v>75.009247027741083</c:v>
                </c:pt>
              </c:numCache>
            </c:numRef>
          </c:val>
          <c:extLst>
            <c:ext xmlns:c16="http://schemas.microsoft.com/office/drawing/2014/chart" uri="{C3380CC4-5D6E-409C-BE32-E72D297353CC}">
              <c16:uniqueId val="{00000005-BB81-4B22-BEC9-D4908707D65B}"/>
            </c:ext>
          </c:extLst>
        </c:ser>
        <c:ser>
          <c:idx val="0"/>
          <c:order val="6"/>
          <c:tx>
            <c:strRef>
              <c:f>Biofuels!$A$39</c:f>
              <c:strCache>
                <c:ptCount val="1"/>
                <c:pt idx="0">
                  <c:v>RoW</c:v>
                </c:pt>
              </c:strCache>
            </c:strRef>
          </c:tx>
          <c:spPr>
            <a:solidFill>
              <a:schemeClr val="bg1">
                <a:lumMod val="65000"/>
              </a:schemeClr>
            </a:solidFill>
            <a:ln>
              <a:solidFill>
                <a:sysClr val="windowText" lastClr="000000"/>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Biofuels!$D$39:$O$39</c:f>
              <c:numCache>
                <c:formatCode>#,##0</c:formatCode>
                <c:ptCount val="12"/>
                <c:pt idx="0">
                  <c:v>1239.4081902245703</c:v>
                </c:pt>
                <c:pt idx="1">
                  <c:v>1307.5323645970934</c:v>
                </c:pt>
                <c:pt idx="2">
                  <c:v>1343.2443857331573</c:v>
                </c:pt>
                <c:pt idx="3">
                  <c:v>1035.0171730515187</c:v>
                </c:pt>
                <c:pt idx="4">
                  <c:v>1283.7833553500657</c:v>
                </c:pt>
                <c:pt idx="5">
                  <c:v>1310.4993394980193</c:v>
                </c:pt>
                <c:pt idx="6">
                  <c:v>1273.9630118890359</c:v>
                </c:pt>
                <c:pt idx="7">
                  <c:v>1288.7054161162482</c:v>
                </c:pt>
                <c:pt idx="8">
                  <c:v>1063.6433289299869</c:v>
                </c:pt>
                <c:pt idx="9">
                  <c:v>1239.4319682959051</c:v>
                </c:pt>
                <c:pt idx="10">
                  <c:v>1287.1360634081905</c:v>
                </c:pt>
                <c:pt idx="11">
                  <c:v>1296.2562747688241</c:v>
                </c:pt>
              </c:numCache>
            </c:numRef>
          </c:val>
          <c:extLst>
            <c:ext xmlns:c16="http://schemas.microsoft.com/office/drawing/2014/chart" uri="{C3380CC4-5D6E-409C-BE32-E72D297353CC}">
              <c16:uniqueId val="{00000000-EF66-4D54-850E-ECEDF2AE7035}"/>
            </c:ext>
          </c:extLst>
        </c:ser>
        <c:dLbls>
          <c:showLegendKey val="0"/>
          <c:showVal val="0"/>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Million gallons</a:t>
                </a:r>
              </a:p>
            </c:rich>
          </c:tx>
          <c:layout>
            <c:manualLayout>
              <c:xMode val="edge"/>
              <c:yMode val="edge"/>
              <c:x val="7.9365079365079361E-3"/>
              <c:y val="0.23552958223972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15080741864181"/>
          <c:y val="3.8211745037670164E-2"/>
          <c:w val="0.8834175611563998"/>
          <c:h val="0.79930163044072888"/>
        </c:manualLayout>
      </c:layout>
      <c:barChart>
        <c:barDir val="col"/>
        <c:grouping val="stacked"/>
        <c:varyColors val="0"/>
        <c:ser>
          <c:idx val="3"/>
          <c:order val="0"/>
          <c:tx>
            <c:strRef>
              <c:f>Biofuels!$A$43</c:f>
              <c:strCache>
                <c:ptCount val="1"/>
                <c:pt idx="0">
                  <c:v>Brazil</c:v>
                </c:pt>
              </c:strCache>
            </c:strRef>
          </c:tx>
          <c:spPr>
            <a:solidFill>
              <a:srgbClr val="FFFFCC"/>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Biofuels!$D$41:$O$41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Biofuels!$D$43:$O$43</c:f>
              <c:numCache>
                <c:formatCode>General</c:formatCode>
                <c:ptCount val="12"/>
                <c:pt idx="0">
                  <c:v>804</c:v>
                </c:pt>
                <c:pt idx="1">
                  <c:v>820</c:v>
                </c:pt>
                <c:pt idx="2">
                  <c:v>845</c:v>
                </c:pt>
                <c:pt idx="3">
                  <c:v>821</c:v>
                </c:pt>
                <c:pt idx="4">
                  <c:v>783</c:v>
                </c:pt>
                <c:pt idx="5">
                  <c:v>795</c:v>
                </c:pt>
                <c:pt idx="6">
                  <c:v>832</c:v>
                </c:pt>
                <c:pt idx="7">
                  <c:v>839</c:v>
                </c:pt>
                <c:pt idx="8">
                  <c:v>871</c:v>
                </c:pt>
                <c:pt idx="9">
                  <c:v>863</c:v>
                </c:pt>
                <c:pt idx="10" formatCode="0">
                  <c:v>856.15</c:v>
                </c:pt>
                <c:pt idx="11" formatCode="0">
                  <c:v>994</c:v>
                </c:pt>
              </c:numCache>
            </c:numRef>
          </c:val>
          <c:extLst>
            <c:ext xmlns:c16="http://schemas.microsoft.com/office/drawing/2014/chart" uri="{C3380CC4-5D6E-409C-BE32-E72D297353CC}">
              <c16:uniqueId val="{00000000-7A68-40AA-B6F3-6A2092E87C18}"/>
            </c:ext>
          </c:extLst>
        </c:ser>
        <c:ser>
          <c:idx val="2"/>
          <c:order val="1"/>
          <c:tx>
            <c:strRef>
              <c:f>Biofuels!$A$46</c:f>
              <c:strCache>
                <c:ptCount val="1"/>
                <c:pt idx="0">
                  <c:v>Indonesia</c:v>
                </c:pt>
              </c:strCache>
            </c:strRef>
          </c:tx>
          <c:spPr>
            <a:solidFill>
              <a:srgbClr val="80B1D3"/>
            </a:solidFill>
            <a:ln>
              <a:solidFill>
                <a:schemeClr val="tx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Biofuels!$D$41:$O$41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Biofuels!$D$46:$O$46</c:f>
              <c:numCache>
                <c:formatCode>General</c:formatCode>
                <c:ptCount val="12"/>
                <c:pt idx="2">
                  <c:v>223</c:v>
                </c:pt>
                <c:pt idx="3">
                  <c:v>94.8</c:v>
                </c:pt>
                <c:pt idx="4">
                  <c:v>154.30000000000001</c:v>
                </c:pt>
                <c:pt idx="5">
                  <c:v>180</c:v>
                </c:pt>
                <c:pt idx="6">
                  <c:v>237</c:v>
                </c:pt>
                <c:pt idx="7">
                  <c:v>494.4</c:v>
                </c:pt>
                <c:pt idx="8">
                  <c:v>475</c:v>
                </c:pt>
                <c:pt idx="9">
                  <c:v>555.9</c:v>
                </c:pt>
                <c:pt idx="10" formatCode="0">
                  <c:v>619.03</c:v>
                </c:pt>
                <c:pt idx="11" formatCode="0">
                  <c:v>798.6</c:v>
                </c:pt>
              </c:numCache>
            </c:numRef>
          </c:val>
          <c:extLst>
            <c:ext xmlns:c16="http://schemas.microsoft.com/office/drawing/2014/chart" uri="{C3380CC4-5D6E-409C-BE32-E72D297353CC}">
              <c16:uniqueId val="{00000001-7A68-40AA-B6F3-6A2092E87C18}"/>
            </c:ext>
          </c:extLst>
        </c:ser>
        <c:ser>
          <c:idx val="1"/>
          <c:order val="2"/>
          <c:tx>
            <c:strRef>
              <c:f>Biofuels!$A$44</c:f>
              <c:strCache>
                <c:ptCount val="1"/>
                <c:pt idx="0">
                  <c:v>United States</c:v>
                </c:pt>
              </c:strCache>
            </c:strRef>
          </c:tx>
          <c:spPr>
            <a:solidFill>
              <a:srgbClr val="8DD3C7"/>
            </a:solidFill>
            <a:ln>
              <a:solidFill>
                <a:schemeClr val="tx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Biofuels!$D$41:$O$41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Biofuels!$D$44:$O$44</c:f>
              <c:numCache>
                <c:formatCode>General</c:formatCode>
                <c:ptCount val="12"/>
                <c:pt idx="0">
                  <c:v>217</c:v>
                </c:pt>
                <c:pt idx="1">
                  <c:v>236</c:v>
                </c:pt>
                <c:pt idx="2">
                  <c:v>282</c:v>
                </c:pt>
                <c:pt idx="3">
                  <c:v>277</c:v>
                </c:pt>
                <c:pt idx="4">
                  <c:v>283.7</c:v>
                </c:pt>
                <c:pt idx="5">
                  <c:v>299</c:v>
                </c:pt>
                <c:pt idx="6">
                  <c:v>311</c:v>
                </c:pt>
                <c:pt idx="7">
                  <c:v>297</c:v>
                </c:pt>
                <c:pt idx="8">
                  <c:v>271</c:v>
                </c:pt>
                <c:pt idx="9">
                  <c:v>322.60000000000002</c:v>
                </c:pt>
                <c:pt idx="10" formatCode="0">
                  <c:v>359.709</c:v>
                </c:pt>
                <c:pt idx="11" formatCode="0">
                  <c:v>342</c:v>
                </c:pt>
              </c:numCache>
            </c:numRef>
          </c:val>
          <c:extLst>
            <c:ext xmlns:c16="http://schemas.microsoft.com/office/drawing/2014/chart" uri="{C3380CC4-5D6E-409C-BE32-E72D297353CC}">
              <c16:uniqueId val="{00000002-7A68-40AA-B6F3-6A2092E87C18}"/>
            </c:ext>
          </c:extLst>
        </c:ser>
        <c:ser>
          <c:idx val="6"/>
          <c:order val="3"/>
          <c:tx>
            <c:strRef>
              <c:f>Biofuels!$A$45</c:f>
              <c:strCache>
                <c:ptCount val="1"/>
                <c:pt idx="0">
                  <c:v>European Union</c:v>
                </c:pt>
              </c:strCache>
            </c:strRef>
          </c:tx>
          <c:spPr>
            <a:solidFill>
              <a:srgbClr val="BEBADA"/>
            </a:solidFill>
            <a:ln>
              <a:solidFill>
                <a:schemeClr val="tx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Biofuels!$D$41:$O$41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Biofuels!$D$45:$O$45</c:f>
              <c:numCache>
                <c:formatCode>General</c:formatCode>
                <c:ptCount val="12"/>
                <c:pt idx="0">
                  <c:v>109</c:v>
                </c:pt>
                <c:pt idx="1">
                  <c:v>111</c:v>
                </c:pt>
                <c:pt idx="2">
                  <c:v>98</c:v>
                </c:pt>
                <c:pt idx="3">
                  <c:v>105</c:v>
                </c:pt>
                <c:pt idx="4">
                  <c:v>93</c:v>
                </c:pt>
                <c:pt idx="5">
                  <c:v>200</c:v>
                </c:pt>
                <c:pt idx="6">
                  <c:v>208</c:v>
                </c:pt>
                <c:pt idx="7">
                  <c:v>239</c:v>
                </c:pt>
                <c:pt idx="8">
                  <c:v>229</c:v>
                </c:pt>
                <c:pt idx="9">
                  <c:v>141.6</c:v>
                </c:pt>
                <c:pt idx="10" formatCode="0">
                  <c:v>148.30000000000001</c:v>
                </c:pt>
                <c:pt idx="11" formatCode="0">
                  <c:v>150</c:v>
                </c:pt>
              </c:numCache>
            </c:numRef>
          </c:val>
          <c:extLst>
            <c:ext xmlns:c16="http://schemas.microsoft.com/office/drawing/2014/chart" uri="{C3380CC4-5D6E-409C-BE32-E72D297353CC}">
              <c16:uniqueId val="{00000003-7A68-40AA-B6F3-6A2092E87C18}"/>
            </c:ext>
          </c:extLst>
        </c:ser>
        <c:ser>
          <c:idx val="5"/>
          <c:order val="4"/>
          <c:tx>
            <c:strRef>
              <c:f>Biofuels!$A$42</c:f>
              <c:strCache>
                <c:ptCount val="1"/>
                <c:pt idx="0">
                  <c:v>China</c:v>
                </c:pt>
              </c:strCache>
            </c:strRef>
          </c:tx>
          <c:spPr>
            <a:solidFill>
              <a:srgbClr val="FB8072"/>
            </a:solidFill>
            <a:ln>
              <a:solidFill>
                <a:schemeClr val="tx1"/>
              </a:solidFill>
            </a:ln>
            <a:effectLst/>
          </c:spPr>
          <c:invertIfNegative val="0"/>
          <c:dLbls>
            <c:dLbl>
              <c:idx val="0"/>
              <c:layout>
                <c:manualLayout>
                  <c:x val="2.8864690362178376E-2"/>
                  <c:y val="9.5734507968393391E-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22-4230-9F26-39E2B8A50921}"/>
                </c:ext>
              </c:extLst>
            </c:dLbl>
            <c:dLbl>
              <c:idx val="1"/>
              <c:layout>
                <c:manualLayout>
                  <c:x val="2.8864690362178376E-2"/>
                  <c:y val="1.0941086624895559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22-4230-9F26-39E2B8A50921}"/>
                </c:ext>
              </c:extLst>
            </c:dLbl>
            <c:dLbl>
              <c:idx val="2"/>
              <c:layout>
                <c:manualLayout>
                  <c:x val="2.6940377671366485E-2"/>
                  <c:y val="1.2582249618703131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922-4230-9F26-39E2B8A50921}"/>
                </c:ext>
              </c:extLst>
            </c:dLbl>
            <c:dLbl>
              <c:idx val="3"/>
              <c:layout>
                <c:manualLayout>
                  <c:x val="2.8922722784271365E-2"/>
                  <c:y val="1.4223412612447018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22-4230-9F26-39E2B8A50921}"/>
                </c:ext>
              </c:extLst>
            </c:dLbl>
            <c:dLbl>
              <c:idx val="4"/>
              <c:layout>
                <c:manualLayout>
                  <c:x val="2.6940377671366415E-2"/>
                  <c:y val="-3.459571590812176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22-4230-9F26-39E2B8A50921}"/>
                </c:ext>
              </c:extLst>
            </c:dLbl>
            <c:dLbl>
              <c:idx val="5"/>
              <c:layout>
                <c:manualLayout>
                  <c:x val="2.8864690362178376E-2"/>
                  <c:y val="-3.461212753805920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22-4230-9F26-39E2B8A50921}"/>
                </c:ext>
              </c:extLst>
            </c:dLbl>
            <c:dLbl>
              <c:idx val="6"/>
              <c:layout>
                <c:manualLayout>
                  <c:x val="2.8922722784271295E-2"/>
                  <c:y val="1.0941086624959244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22-4230-9F26-39E2B8A50921}"/>
                </c:ext>
              </c:extLst>
            </c:dLbl>
            <c:dLbl>
              <c:idx val="7"/>
              <c:layout>
                <c:manualLayout>
                  <c:x val="2.8864690362178376E-2"/>
                  <c:y val="1.2582249618703131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22-4230-9F26-39E2B8A50921}"/>
                </c:ext>
              </c:extLst>
            </c:dLbl>
            <c:dLbl>
              <c:idx val="8"/>
              <c:layout>
                <c:manualLayout>
                  <c:x val="2.8864690362178376E-2"/>
                  <c:y val="-3.456562791990249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22-4230-9F26-39E2B8A50921}"/>
                </c:ext>
              </c:extLst>
            </c:dLbl>
            <c:dLbl>
              <c:idx val="9"/>
              <c:layout>
                <c:manualLayout>
                  <c:x val="2.8864690362178376E-2"/>
                  <c:y val="-6.933366594236736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22-4230-9F26-39E2B8A50921}"/>
                </c:ext>
              </c:extLst>
            </c:dLbl>
            <c:dLbl>
              <c:idx val="10"/>
              <c:layout>
                <c:manualLayout>
                  <c:x val="2.8864690362178376E-2"/>
                  <c:y val="-3.459571590812145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22-4230-9F26-39E2B8A50921}"/>
                </c:ext>
              </c:extLst>
            </c:dLbl>
            <c:dLbl>
              <c:idx val="11"/>
              <c:layout>
                <c:manualLayout>
                  <c:x val="2.9859949781991017E-2"/>
                  <c:y val="3.473795003424560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84-4CB1-8924-A7AFA5B930D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Biofuels!$D$41:$O$41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Biofuels!$D$42:$O$42</c:f>
              <c:numCache>
                <c:formatCode>General</c:formatCode>
                <c:ptCount val="12"/>
                <c:pt idx="0">
                  <c:v>24</c:v>
                </c:pt>
                <c:pt idx="1">
                  <c:v>24</c:v>
                </c:pt>
                <c:pt idx="2">
                  <c:v>71</c:v>
                </c:pt>
                <c:pt idx="3">
                  <c:v>71</c:v>
                </c:pt>
                <c:pt idx="4">
                  <c:v>51</c:v>
                </c:pt>
                <c:pt idx="5">
                  <c:v>51</c:v>
                </c:pt>
                <c:pt idx="6">
                  <c:v>51</c:v>
                </c:pt>
                <c:pt idx="7">
                  <c:v>51</c:v>
                </c:pt>
                <c:pt idx="8">
                  <c:v>51</c:v>
                </c:pt>
                <c:pt idx="9">
                  <c:v>51</c:v>
                </c:pt>
                <c:pt idx="10" formatCode="0">
                  <c:v>55</c:v>
                </c:pt>
                <c:pt idx="11" formatCode="0">
                  <c:v>60</c:v>
                </c:pt>
              </c:numCache>
            </c:numRef>
          </c:val>
          <c:extLst>
            <c:ext xmlns:c16="http://schemas.microsoft.com/office/drawing/2014/chart" uri="{C3380CC4-5D6E-409C-BE32-E72D297353CC}">
              <c16:uniqueId val="{00000004-7A68-40AA-B6F3-6A2092E87C18}"/>
            </c:ext>
          </c:extLst>
        </c:ser>
        <c:ser>
          <c:idx val="0"/>
          <c:order val="5"/>
          <c:tx>
            <c:strRef>
              <c:f>Biofuels!$A$49</c:f>
              <c:strCache>
                <c:ptCount val="1"/>
                <c:pt idx="0">
                  <c:v>RoW</c:v>
                </c:pt>
              </c:strCache>
            </c:strRef>
          </c:tx>
          <c:spPr>
            <a:solidFill>
              <a:schemeClr val="bg1">
                <a:lumMod val="65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Biofuels!$D$41:$O$41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Biofuels!$D$49:$O$49</c:f>
              <c:numCache>
                <c:formatCode>0</c:formatCode>
                <c:ptCount val="12"/>
                <c:pt idx="0">
                  <c:v>225</c:v>
                </c:pt>
                <c:pt idx="1">
                  <c:v>262</c:v>
                </c:pt>
                <c:pt idx="2">
                  <c:v>269</c:v>
                </c:pt>
                <c:pt idx="3">
                  <c:v>309.20000000000005</c:v>
                </c:pt>
                <c:pt idx="4">
                  <c:v>359</c:v>
                </c:pt>
                <c:pt idx="5">
                  <c:v>405</c:v>
                </c:pt>
                <c:pt idx="6">
                  <c:v>361</c:v>
                </c:pt>
                <c:pt idx="7">
                  <c:v>554.59999999999991</c:v>
                </c:pt>
                <c:pt idx="8">
                  <c:v>514</c:v>
                </c:pt>
                <c:pt idx="9">
                  <c:v>486.90000000000009</c:v>
                </c:pt>
                <c:pt idx="10">
                  <c:v>437.31500000000005</c:v>
                </c:pt>
                <c:pt idx="11">
                  <c:v>458.40000000000009</c:v>
                </c:pt>
              </c:numCache>
            </c:numRef>
          </c:val>
          <c:extLst>
            <c:ext xmlns:c16="http://schemas.microsoft.com/office/drawing/2014/chart" uri="{C3380CC4-5D6E-409C-BE32-E72D297353CC}">
              <c16:uniqueId val="{00000001-2684-4CB1-8924-A7AFA5B930D8}"/>
            </c:ext>
          </c:extLst>
        </c:ser>
        <c:dLbls>
          <c:dLblPos val="ctr"/>
          <c:showLegendKey val="0"/>
          <c:showVal val="1"/>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Thousand jobs</a:t>
                </a:r>
              </a:p>
            </c:rich>
          </c:tx>
          <c:layout>
            <c:manualLayout>
              <c:xMode val="edge"/>
              <c:yMode val="edge"/>
              <c:x val="7.9364782666261676E-3"/>
              <c:y val="0.304974026684164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44806899137608E-2"/>
          <c:y val="3.8194444444444448E-2"/>
          <c:w val="0.88058367704036999"/>
          <c:h val="0.82022583114610681"/>
        </c:manualLayout>
      </c:layout>
      <c:lineChart>
        <c:grouping val="standard"/>
        <c:varyColors val="0"/>
        <c:ser>
          <c:idx val="3"/>
          <c:order val="0"/>
          <c:tx>
            <c:strRef>
              <c:f>Biofuels!$A$52</c:f>
              <c:strCache>
                <c:ptCount val="1"/>
                <c:pt idx="0">
                  <c:v>Ethanol</c:v>
                </c:pt>
              </c:strCache>
            </c:strRef>
          </c:tx>
          <c:spPr>
            <a:ln w="28575" cap="rnd">
              <a:solidFill>
                <a:srgbClr val="2B83BA"/>
              </a:solidFill>
              <a:prstDash val="dash"/>
              <a:round/>
            </a:ln>
            <a:effectLst/>
          </c:spPr>
          <c:marker>
            <c:symbol val="none"/>
          </c:marker>
          <c:cat>
            <c:numRef>
              <c:f>Biofuels!$D$51:$O$51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Biofuels!$D$52:$O$52</c:f>
              <c:numCache>
                <c:formatCode>0.00</c:formatCode>
                <c:ptCount val="12"/>
                <c:pt idx="0">
                  <c:v>2.4790666686855531</c:v>
                </c:pt>
                <c:pt idx="1">
                  <c:v>2.5642384507063576</c:v>
                </c:pt>
                <c:pt idx="2">
                  <c:v>2.3795103190345683</c:v>
                </c:pt>
                <c:pt idx="3">
                  <c:v>1.7023000166558151</c:v>
                </c:pt>
                <c:pt idx="4">
                  <c:v>1.6962433566010024</c:v>
                </c:pt>
                <c:pt idx="5">
                  <c:v>1.6527111124570353</c:v>
                </c:pt>
                <c:pt idx="6">
                  <c:v>1.491831079751071</c:v>
                </c:pt>
                <c:pt idx="7">
                  <c:v>1.5153006374634708</c:v>
                </c:pt>
                <c:pt idx="8">
                  <c:v>1.4350498917372014</c:v>
                </c:pt>
                <c:pt idx="9">
                  <c:v>2.4571112759868567</c:v>
                </c:pt>
                <c:pt idx="10">
                  <c:v>2.6781793679875232</c:v>
                </c:pt>
                <c:pt idx="11">
                  <c:v>2.1504928607119602</c:v>
                </c:pt>
              </c:numCache>
            </c:numRef>
          </c:val>
          <c:smooth val="0"/>
          <c:extLst>
            <c:ext xmlns:c16="http://schemas.microsoft.com/office/drawing/2014/chart" uri="{C3380CC4-5D6E-409C-BE32-E72D297353CC}">
              <c16:uniqueId val="{00000000-8042-48BA-9B07-FEBD5A95683C}"/>
            </c:ext>
          </c:extLst>
        </c:ser>
        <c:ser>
          <c:idx val="1"/>
          <c:order val="1"/>
          <c:tx>
            <c:strRef>
              <c:f>Biofuels!$A$53</c:f>
              <c:strCache>
                <c:ptCount val="1"/>
                <c:pt idx="0">
                  <c:v>Biodiesel and Renewable Diesel</c:v>
                </c:pt>
              </c:strCache>
            </c:strRef>
          </c:tx>
          <c:spPr>
            <a:ln w="28575" cap="rnd">
              <a:solidFill>
                <a:srgbClr val="ABDDA4"/>
              </a:solidFill>
              <a:round/>
            </a:ln>
            <a:effectLst/>
          </c:spPr>
          <c:marker>
            <c:symbol val="none"/>
          </c:marker>
          <c:cat>
            <c:numRef>
              <c:f>Biofuels!$D$51:$O$51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Biofuels!$D$53:$O$53</c:f>
              <c:numCache>
                <c:formatCode>0.00</c:formatCode>
                <c:ptCount val="12"/>
                <c:pt idx="0">
                  <c:v>4.4705722029586781</c:v>
                </c:pt>
                <c:pt idx="1">
                  <c:v>4.2676740911224504</c:v>
                </c:pt>
                <c:pt idx="2">
                  <c:v>3.6483806005178443</c:v>
                </c:pt>
                <c:pt idx="3">
                  <c:v>2.8969762124676346</c:v>
                </c:pt>
                <c:pt idx="4">
                  <c:v>3.0941962055024752</c:v>
                </c:pt>
                <c:pt idx="5">
                  <c:v>3.3724240267704375</c:v>
                </c:pt>
                <c:pt idx="6">
                  <c:v>3.2444770831125171</c:v>
                </c:pt>
                <c:pt idx="7">
                  <c:v>3.123343882016262</c:v>
                </c:pt>
                <c:pt idx="8">
                  <c:v>3.2164650303590085</c:v>
                </c:pt>
                <c:pt idx="9">
                  <c:v>5.6614629862362396</c:v>
                </c:pt>
                <c:pt idx="10">
                  <c:v>7.1078691155762153</c:v>
                </c:pt>
                <c:pt idx="11">
                  <c:v>5.6970458640582651</c:v>
                </c:pt>
              </c:numCache>
            </c:numRef>
          </c:val>
          <c:smooth val="0"/>
          <c:extLst>
            <c:ext xmlns:c16="http://schemas.microsoft.com/office/drawing/2014/chart" uri="{C3380CC4-5D6E-409C-BE32-E72D297353CC}">
              <c16:uniqueId val="{00000001-8042-48BA-9B07-FEBD5A95683C}"/>
            </c:ext>
          </c:extLst>
        </c:ser>
        <c:dLbls>
          <c:showLegendKey val="0"/>
          <c:showVal val="0"/>
          <c:showCatName val="0"/>
          <c:showSerName val="0"/>
          <c:showPercent val="0"/>
          <c:showBubbleSize val="0"/>
        </c:dLbls>
        <c:smooth val="0"/>
        <c:axId val="146964031"/>
        <c:axId val="1495758239"/>
      </c:line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US Dollars per gallon</a:t>
                </a:r>
              </a:p>
            </c:rich>
          </c:tx>
          <c:layout>
            <c:manualLayout>
              <c:xMode val="edge"/>
              <c:yMode val="edge"/>
              <c:x val="9.9763781691585476E-3"/>
              <c:y val="0.273827639076145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midCat"/>
      </c:valAx>
      <c:spPr>
        <a:noFill/>
        <a:ln>
          <a:solidFill>
            <a:schemeClr val="tx1"/>
          </a:solidFill>
        </a:ln>
        <a:effectLst/>
      </c:spPr>
    </c:plotArea>
    <c:legend>
      <c:legendPos val="b"/>
      <c:layout>
        <c:manualLayout>
          <c:xMode val="edge"/>
          <c:yMode val="edge"/>
          <c:x val="9.0995548452027064E-2"/>
          <c:y val="5.1863790463692036E-2"/>
          <c:w val="0.39888138982627169"/>
          <c:h val="0.10091398731408574"/>
        </c:manualLayout>
      </c:layout>
      <c:overlay val="1"/>
      <c:spPr>
        <a:noFill/>
        <a:ln w="9525">
          <a:solidFill>
            <a:schemeClr val="tx1"/>
          </a:solid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Biofuels!$A$55</c:f>
              <c:strCache>
                <c:ptCount val="1"/>
                <c:pt idx="0">
                  <c:v>Ethanol</c:v>
                </c:pt>
              </c:strCache>
            </c:strRef>
          </c:tx>
          <c:spPr>
            <a:solidFill>
              <a:srgbClr val="2B83BA"/>
            </a:solidFill>
            <a:ln>
              <a:solidFill>
                <a:srgbClr val="00000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Biofuels!$H$54:$O$54</c:f>
              <c:numCache>
                <c:formatCode>General</c:formatCode>
                <c:ptCount val="8"/>
                <c:pt idx="0">
                  <c:v>2016</c:v>
                </c:pt>
                <c:pt idx="1">
                  <c:v>2017</c:v>
                </c:pt>
                <c:pt idx="2">
                  <c:v>2018</c:v>
                </c:pt>
                <c:pt idx="3">
                  <c:v>2019</c:v>
                </c:pt>
                <c:pt idx="4">
                  <c:v>2020</c:v>
                </c:pt>
                <c:pt idx="5">
                  <c:v>2021</c:v>
                </c:pt>
                <c:pt idx="6">
                  <c:v>2022</c:v>
                </c:pt>
                <c:pt idx="7">
                  <c:v>2023</c:v>
                </c:pt>
              </c:numCache>
            </c:numRef>
          </c:cat>
          <c:val>
            <c:numRef>
              <c:f>Biofuels!$H$55:$O$55</c:f>
              <c:numCache>
                <c:formatCode>General</c:formatCode>
                <c:ptCount val="8"/>
                <c:pt idx="0">
                  <c:v>97.8</c:v>
                </c:pt>
                <c:pt idx="1">
                  <c:v>99.8</c:v>
                </c:pt>
                <c:pt idx="2">
                  <c:v>104.6</c:v>
                </c:pt>
                <c:pt idx="3">
                  <c:v>109.6</c:v>
                </c:pt>
                <c:pt idx="4">
                  <c:v>98</c:v>
                </c:pt>
                <c:pt idx="5">
                  <c:v>103.6</c:v>
                </c:pt>
                <c:pt idx="6">
                  <c:v>105.7</c:v>
                </c:pt>
                <c:pt idx="7">
                  <c:v>108.2</c:v>
                </c:pt>
              </c:numCache>
            </c:numRef>
          </c:val>
          <c:extLst>
            <c:ext xmlns:c16="http://schemas.microsoft.com/office/drawing/2014/chart" uri="{C3380CC4-5D6E-409C-BE32-E72D297353CC}">
              <c16:uniqueId val="{00000000-ACC7-4558-A68F-4F258986FF86}"/>
            </c:ext>
          </c:extLst>
        </c:ser>
        <c:ser>
          <c:idx val="0"/>
          <c:order val="1"/>
          <c:tx>
            <c:strRef>
              <c:f>Biofuels!$A$56</c:f>
              <c:strCache>
                <c:ptCount val="1"/>
                <c:pt idx="0">
                  <c:v>Biodiesel</c:v>
                </c:pt>
              </c:strCache>
            </c:strRef>
          </c:tx>
          <c:spPr>
            <a:solidFill>
              <a:srgbClr val="ABDDA4"/>
            </a:solidFill>
            <a:ln>
              <a:solidFill>
                <a:schemeClr val="tx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Biofuels!$H$54:$O$54</c:f>
              <c:numCache>
                <c:formatCode>General</c:formatCode>
                <c:ptCount val="8"/>
                <c:pt idx="0">
                  <c:v>2016</c:v>
                </c:pt>
                <c:pt idx="1">
                  <c:v>2017</c:v>
                </c:pt>
                <c:pt idx="2">
                  <c:v>2018</c:v>
                </c:pt>
                <c:pt idx="3">
                  <c:v>2019</c:v>
                </c:pt>
                <c:pt idx="4">
                  <c:v>2020</c:v>
                </c:pt>
                <c:pt idx="5">
                  <c:v>2021</c:v>
                </c:pt>
                <c:pt idx="6">
                  <c:v>2022</c:v>
                </c:pt>
                <c:pt idx="7">
                  <c:v>2023</c:v>
                </c:pt>
              </c:numCache>
            </c:numRef>
          </c:cat>
          <c:val>
            <c:numRef>
              <c:f>Biofuels!$H$56:$O$56</c:f>
              <c:numCache>
                <c:formatCode>General</c:formatCode>
                <c:ptCount val="8"/>
                <c:pt idx="0">
                  <c:v>33.299999999999997</c:v>
                </c:pt>
                <c:pt idx="1">
                  <c:v>34</c:v>
                </c:pt>
                <c:pt idx="2">
                  <c:v>38.299999999999997</c:v>
                </c:pt>
                <c:pt idx="3">
                  <c:v>42.9</c:v>
                </c:pt>
                <c:pt idx="4">
                  <c:v>45.1</c:v>
                </c:pt>
                <c:pt idx="5">
                  <c:v>44.2</c:v>
                </c:pt>
                <c:pt idx="6">
                  <c:v>45.1</c:v>
                </c:pt>
                <c:pt idx="7">
                  <c:v>48</c:v>
                </c:pt>
              </c:numCache>
            </c:numRef>
          </c:val>
          <c:extLst>
            <c:ext xmlns:c16="http://schemas.microsoft.com/office/drawing/2014/chart" uri="{C3380CC4-5D6E-409C-BE32-E72D297353CC}">
              <c16:uniqueId val="{00000001-ACC7-4558-A68F-4F258986FF86}"/>
            </c:ext>
          </c:extLst>
        </c:ser>
        <c:ser>
          <c:idx val="7"/>
          <c:order val="2"/>
          <c:tx>
            <c:strRef>
              <c:f>Biofuels!$A$57</c:f>
              <c:strCache>
                <c:ptCount val="1"/>
                <c:pt idx="0">
                  <c:v>Renewable diesel</c:v>
                </c:pt>
              </c:strCache>
            </c:strRef>
          </c:tx>
          <c:spPr>
            <a:solidFill>
              <a:srgbClr val="FDAE61"/>
            </a:solidFill>
            <a:ln>
              <a:solidFill>
                <a:schemeClr val="tx1"/>
              </a:solidFill>
            </a:ln>
            <a:effectLst/>
          </c:spPr>
          <c:invertIfNegative val="0"/>
          <c:dLbls>
            <c:dLbl>
              <c:idx val="0"/>
              <c:layout>
                <c:manualLayout>
                  <c:x val="4.26892745081573E-2"/>
                  <c:y val="-6.365667204009996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32-4EA8-940C-EF89AA5E2C4E}"/>
                </c:ext>
              </c:extLst>
            </c:dLbl>
            <c:dLbl>
              <c:idx val="1"/>
              <c:layout>
                <c:manualLayout>
                  <c:x val="4.4630077793979553E-2"/>
                  <c:y val="-3.182833602004998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F32-4EA8-940C-EF89AA5E2C4E}"/>
                </c:ext>
              </c:extLst>
            </c:dLbl>
            <c:dLbl>
              <c:idx val="2"/>
              <c:layout>
                <c:manualLayout>
                  <c:x val="4.7538873513926584E-2"/>
                  <c:y val="-2.7340332458842403E-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extLst>
                <c:ext xmlns:c15="http://schemas.microsoft.com/office/drawing/2012/chart" uri="{CE6537A1-D6FC-4f65-9D91-7224C49458BB}">
                  <c15:layout>
                    <c:manualLayout>
                      <c:w val="2.607292392648906E-2"/>
                      <c:h val="4.2343886701662281E-2"/>
                    </c:manualLayout>
                  </c15:layout>
                </c:ext>
                <c:ext xmlns:c16="http://schemas.microsoft.com/office/drawing/2014/chart" uri="{C3380CC4-5D6E-409C-BE32-E72D297353CC}">
                  <c16:uniqueId val="{00000003-FF32-4EA8-940C-EF89AA5E2C4E}"/>
                </c:ext>
              </c:extLst>
            </c:dLbl>
            <c:dLbl>
              <c:idx val="3"/>
              <c:layout>
                <c:manualLayout>
                  <c:x val="4.2694007802300919E-2"/>
                  <c:y val="-3.182833602004998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F32-4EA8-940C-EF89AA5E2C4E}"/>
                </c:ext>
              </c:extLst>
            </c:dLbl>
            <c:dLbl>
              <c:idx val="4"/>
              <c:layout>
                <c:manualLayout>
                  <c:x val="4.2701180795647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32-4EA8-940C-EF89AA5E2C4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ysClr val="windowText" lastClr="000000"/>
                      </a:solidFill>
                      <a:round/>
                    </a:ln>
                    <a:effectLst/>
                  </c:spPr>
                </c15:leaderLines>
              </c:ext>
            </c:extLst>
          </c:dLbls>
          <c:cat>
            <c:numRef>
              <c:f>Biofuels!$H$54:$O$54</c:f>
              <c:numCache>
                <c:formatCode>General</c:formatCode>
                <c:ptCount val="8"/>
                <c:pt idx="0">
                  <c:v>2016</c:v>
                </c:pt>
                <c:pt idx="1">
                  <c:v>2017</c:v>
                </c:pt>
                <c:pt idx="2">
                  <c:v>2018</c:v>
                </c:pt>
                <c:pt idx="3">
                  <c:v>2019</c:v>
                </c:pt>
                <c:pt idx="4">
                  <c:v>2020</c:v>
                </c:pt>
                <c:pt idx="5">
                  <c:v>2021</c:v>
                </c:pt>
                <c:pt idx="6">
                  <c:v>2022</c:v>
                </c:pt>
                <c:pt idx="7">
                  <c:v>2023</c:v>
                </c:pt>
              </c:numCache>
            </c:numRef>
          </c:cat>
          <c:val>
            <c:numRef>
              <c:f>Biofuels!$H$57:$O$57</c:f>
              <c:numCache>
                <c:formatCode>General</c:formatCode>
                <c:ptCount val="8"/>
                <c:pt idx="0">
                  <c:v>4</c:v>
                </c:pt>
                <c:pt idx="1">
                  <c:v>4.9000000000000004</c:v>
                </c:pt>
                <c:pt idx="2">
                  <c:v>4.8</c:v>
                </c:pt>
                <c:pt idx="3">
                  <c:v>6</c:v>
                </c:pt>
                <c:pt idx="4">
                  <c:v>7.1</c:v>
                </c:pt>
                <c:pt idx="5">
                  <c:v>10.199999999999999</c:v>
                </c:pt>
                <c:pt idx="6">
                  <c:v>13.3</c:v>
                </c:pt>
                <c:pt idx="7">
                  <c:v>18.600000000000001</c:v>
                </c:pt>
              </c:numCache>
            </c:numRef>
          </c:val>
          <c:extLst>
            <c:ext xmlns:c16="http://schemas.microsoft.com/office/drawing/2014/chart" uri="{C3380CC4-5D6E-409C-BE32-E72D297353CC}">
              <c16:uniqueId val="{00000002-ACC7-4558-A68F-4F258986FF86}"/>
            </c:ext>
          </c:extLst>
        </c:ser>
        <c:ser>
          <c:idx val="8"/>
          <c:order val="3"/>
          <c:tx>
            <c:strRef>
              <c:f>Biofuels!$A$58</c:f>
              <c:strCache>
                <c:ptCount val="1"/>
                <c:pt idx="0">
                  <c:v>Biojet fuel</c:v>
                </c:pt>
              </c:strCache>
            </c:strRef>
          </c:tx>
          <c:spPr>
            <a:solidFill>
              <a:srgbClr val="D7191C"/>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Biofuels!$H$54:$O$54</c:f>
              <c:numCache>
                <c:formatCode>General</c:formatCode>
                <c:ptCount val="8"/>
                <c:pt idx="0">
                  <c:v>2016</c:v>
                </c:pt>
                <c:pt idx="1">
                  <c:v>2017</c:v>
                </c:pt>
                <c:pt idx="2">
                  <c:v>2018</c:v>
                </c:pt>
                <c:pt idx="3">
                  <c:v>2019</c:v>
                </c:pt>
                <c:pt idx="4">
                  <c:v>2020</c:v>
                </c:pt>
                <c:pt idx="5">
                  <c:v>2021</c:v>
                </c:pt>
                <c:pt idx="6">
                  <c:v>2022</c:v>
                </c:pt>
                <c:pt idx="7">
                  <c:v>2023</c:v>
                </c:pt>
              </c:numCache>
            </c:numRef>
          </c:cat>
          <c:val>
            <c:numRef>
              <c:f>Biofuels!$H$58:$O$58</c:f>
              <c:numCache>
                <c:formatCode>General</c:formatCode>
                <c:ptCount val="8"/>
                <c:pt idx="0">
                  <c:v>0</c:v>
                </c:pt>
                <c:pt idx="1">
                  <c:v>0</c:v>
                </c:pt>
                <c:pt idx="2">
                  <c:v>0</c:v>
                </c:pt>
                <c:pt idx="3">
                  <c:v>0</c:v>
                </c:pt>
                <c:pt idx="4">
                  <c:v>0</c:v>
                </c:pt>
                <c:pt idx="5">
                  <c:v>0</c:v>
                </c:pt>
                <c:pt idx="6">
                  <c:v>0.2</c:v>
                </c:pt>
                <c:pt idx="7">
                  <c:v>0.6</c:v>
                </c:pt>
              </c:numCache>
            </c:numRef>
          </c:val>
          <c:extLst>
            <c:ext xmlns:c16="http://schemas.microsoft.com/office/drawing/2014/chart" uri="{C3380CC4-5D6E-409C-BE32-E72D297353CC}">
              <c16:uniqueId val="{00000003-ACC7-4558-A68F-4F258986FF86}"/>
            </c:ext>
          </c:extLst>
        </c:ser>
        <c:dLbls>
          <c:dLblPos val="ctr"/>
          <c:showLegendKey val="0"/>
          <c:showVal val="1"/>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Billion litres </a:t>
                </a:r>
              </a:p>
            </c:rich>
          </c:tx>
          <c:layout>
            <c:manualLayout>
              <c:xMode val="edge"/>
              <c:yMode val="edge"/>
              <c:x val="1.1904761904761904E-2"/>
              <c:y val="0.346640693350831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25925925925923E-2"/>
          <c:y val="4.1666666666666664E-2"/>
          <c:w val="0.89814814814814814"/>
          <c:h val="0.89814814814814814"/>
        </c:manualLayout>
      </c:layout>
      <c:doughnutChart>
        <c:varyColors val="1"/>
        <c:ser>
          <c:idx val="0"/>
          <c:order val="0"/>
          <c:spPr>
            <a:solidFill>
              <a:srgbClr val="8DD3C7"/>
            </a:solidFill>
            <a:ln w="3175">
              <a:solidFill>
                <a:schemeClr val="tx1"/>
              </a:solidFill>
            </a:ln>
          </c:spPr>
          <c:dPt>
            <c:idx val="0"/>
            <c:bubble3D val="0"/>
            <c:spPr>
              <a:solidFill>
                <a:srgbClr val="8DD3C7"/>
              </a:solidFill>
              <a:ln w="3175">
                <a:solidFill>
                  <a:schemeClr val="tx1"/>
                </a:solidFill>
              </a:ln>
              <a:effectLst/>
            </c:spPr>
            <c:extLst>
              <c:ext xmlns:c16="http://schemas.microsoft.com/office/drawing/2014/chart" uri="{C3380CC4-5D6E-409C-BE32-E72D297353CC}">
                <c16:uniqueId val="{00000001-11A2-4EE5-B495-8C3B583C1D7A}"/>
              </c:ext>
            </c:extLst>
          </c:dPt>
          <c:dPt>
            <c:idx val="1"/>
            <c:bubble3D val="0"/>
            <c:spPr>
              <a:solidFill>
                <a:schemeClr val="bg2"/>
              </a:solidFill>
              <a:ln w="3175">
                <a:solidFill>
                  <a:schemeClr val="tx1"/>
                </a:solidFill>
              </a:ln>
              <a:effectLst/>
            </c:spPr>
            <c:extLst>
              <c:ext xmlns:c16="http://schemas.microsoft.com/office/drawing/2014/chart" uri="{C3380CC4-5D6E-409C-BE32-E72D297353CC}">
                <c16:uniqueId val="{00000001-2A36-4584-BA5F-167C29DD79B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E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Biofuels!$B$174:$B$175</c:f>
              <c:numCache>
                <c:formatCode>#,##0</c:formatCode>
                <c:ptCount val="2"/>
                <c:pt idx="0">
                  <c:v>19086.27741083223</c:v>
                </c:pt>
                <c:pt idx="1">
                  <c:v>31663.614266842796</c:v>
                </c:pt>
              </c:numCache>
            </c:numRef>
          </c:val>
          <c:extLst>
            <c:ext xmlns:c16="http://schemas.microsoft.com/office/drawing/2014/chart" uri="{C3380CC4-5D6E-409C-BE32-E72D297353CC}">
              <c16:uniqueId val="{00000000-2A36-4584-BA5F-167C29DD79BC}"/>
            </c:ext>
          </c:extLst>
        </c:ser>
        <c:dLbls>
          <c:showLegendKey val="0"/>
          <c:showVal val="0"/>
          <c:showCatName val="0"/>
          <c:showSerName val="0"/>
          <c:showPercent val="0"/>
          <c:showBubbleSize val="0"/>
          <c:showLeaderLines val="0"/>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25925925925923E-2"/>
          <c:y val="4.1666666666666664E-2"/>
          <c:w val="0.89814814814814814"/>
          <c:h val="0.89814814814814814"/>
        </c:manualLayout>
      </c:layout>
      <c:doughnutChart>
        <c:varyColors val="1"/>
        <c:ser>
          <c:idx val="0"/>
          <c:order val="0"/>
          <c:spPr>
            <a:solidFill>
              <a:srgbClr val="8DD3C7"/>
            </a:solidFill>
            <a:ln w="3175">
              <a:solidFill>
                <a:schemeClr val="tx1"/>
              </a:solidFill>
            </a:ln>
          </c:spPr>
          <c:dPt>
            <c:idx val="0"/>
            <c:bubble3D val="0"/>
            <c:spPr>
              <a:solidFill>
                <a:srgbClr val="8DD3C7"/>
              </a:solidFill>
              <a:ln w="3175">
                <a:solidFill>
                  <a:schemeClr val="tx1"/>
                </a:solidFill>
              </a:ln>
              <a:effectLst/>
            </c:spPr>
            <c:extLst>
              <c:ext xmlns:c16="http://schemas.microsoft.com/office/drawing/2014/chart" uri="{C3380CC4-5D6E-409C-BE32-E72D297353CC}">
                <c16:uniqueId val="{00000001-6B9C-44CF-9696-E91A5FB6CC38}"/>
              </c:ext>
            </c:extLst>
          </c:dPt>
          <c:dPt>
            <c:idx val="1"/>
            <c:bubble3D val="0"/>
            <c:spPr>
              <a:solidFill>
                <a:schemeClr val="bg2"/>
              </a:solidFill>
              <a:ln w="3175">
                <a:solidFill>
                  <a:schemeClr val="tx1"/>
                </a:solidFill>
              </a:ln>
              <a:effectLst/>
            </c:spPr>
            <c:extLst>
              <c:ext xmlns:c16="http://schemas.microsoft.com/office/drawing/2014/chart" uri="{C3380CC4-5D6E-409C-BE32-E72D297353CC}">
                <c16:uniqueId val="{00000003-6B9C-44CF-9696-E91A5FB6CC3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E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Biofuels!$B$178:$B$179</c:f>
              <c:numCache>
                <c:formatCode>#,##0</c:formatCode>
                <c:ptCount val="2"/>
                <c:pt idx="0">
                  <c:v>1617.4583883751652</c:v>
                </c:pt>
                <c:pt idx="1">
                  <c:v>3000.0739762219287</c:v>
                </c:pt>
              </c:numCache>
            </c:numRef>
          </c:val>
          <c:extLst>
            <c:ext xmlns:c16="http://schemas.microsoft.com/office/drawing/2014/chart" uri="{C3380CC4-5D6E-409C-BE32-E72D297353CC}">
              <c16:uniqueId val="{00000004-6B9C-44CF-9696-E91A5FB6CC38}"/>
            </c:ext>
          </c:extLst>
        </c:ser>
        <c:dLbls>
          <c:showLegendKey val="0"/>
          <c:showVal val="0"/>
          <c:showCatName val="0"/>
          <c:showSerName val="0"/>
          <c:showPercent val="0"/>
          <c:showBubbleSize val="0"/>
          <c:showLeaderLines val="0"/>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25925925925923E-2"/>
          <c:y val="4.1666666666666664E-2"/>
          <c:w val="0.89814814814814814"/>
          <c:h val="0.89814814814814814"/>
        </c:manualLayout>
      </c:layout>
      <c:doughnutChart>
        <c:varyColors val="1"/>
        <c:ser>
          <c:idx val="0"/>
          <c:order val="0"/>
          <c:spPr>
            <a:solidFill>
              <a:srgbClr val="8DD3C7"/>
            </a:solidFill>
            <a:ln w="3175">
              <a:solidFill>
                <a:schemeClr val="tx1"/>
              </a:solidFill>
            </a:ln>
          </c:spPr>
          <c:dPt>
            <c:idx val="0"/>
            <c:bubble3D val="0"/>
            <c:spPr>
              <a:solidFill>
                <a:srgbClr val="8DD3C7"/>
              </a:solidFill>
              <a:ln w="3175">
                <a:solidFill>
                  <a:schemeClr val="tx1"/>
                </a:solidFill>
              </a:ln>
              <a:effectLst/>
            </c:spPr>
            <c:extLst>
              <c:ext xmlns:c16="http://schemas.microsoft.com/office/drawing/2014/chart" uri="{C3380CC4-5D6E-409C-BE32-E72D297353CC}">
                <c16:uniqueId val="{00000001-17D6-40D7-8E54-32DAE29C64C7}"/>
              </c:ext>
            </c:extLst>
          </c:dPt>
          <c:dPt>
            <c:idx val="1"/>
            <c:bubble3D val="0"/>
            <c:spPr>
              <a:solidFill>
                <a:schemeClr val="bg2"/>
              </a:solidFill>
              <a:ln w="3175">
                <a:solidFill>
                  <a:schemeClr val="tx1"/>
                </a:solidFill>
              </a:ln>
              <a:effectLst/>
            </c:spPr>
            <c:extLst>
              <c:ext xmlns:c16="http://schemas.microsoft.com/office/drawing/2014/chart" uri="{C3380CC4-5D6E-409C-BE32-E72D297353CC}">
                <c16:uniqueId val="{00000003-17D6-40D7-8E54-32DAE29C64C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E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Biofuels!$B$176:$B$177</c:f>
              <c:numCache>
                <c:formatCode>#,##0</c:formatCode>
                <c:ptCount val="2"/>
                <c:pt idx="0">
                  <c:v>18155.157199471596</c:v>
                </c:pt>
                <c:pt idx="1">
                  <c:v>32612.211360634083</c:v>
                </c:pt>
              </c:numCache>
            </c:numRef>
          </c:val>
          <c:extLst>
            <c:ext xmlns:c16="http://schemas.microsoft.com/office/drawing/2014/chart" uri="{C3380CC4-5D6E-409C-BE32-E72D297353CC}">
              <c16:uniqueId val="{00000004-17D6-40D7-8E54-32DAE29C64C7}"/>
            </c:ext>
          </c:extLst>
        </c:ser>
        <c:dLbls>
          <c:showLegendKey val="0"/>
          <c:showVal val="0"/>
          <c:showCatName val="0"/>
          <c:showSerName val="0"/>
          <c:showPercent val="0"/>
          <c:showBubbleSize val="0"/>
          <c:showLeaderLines val="0"/>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Biofuels!$A$24</c:f>
              <c:strCache>
                <c:ptCount val="1"/>
                <c:pt idx="0">
                  <c:v>European Union</c:v>
                </c:pt>
              </c:strCache>
            </c:strRef>
          </c:tx>
          <c:spPr>
            <a:solidFill>
              <a:srgbClr val="BEBADA"/>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Biofuels!$D$24:$O$24</c:f>
              <c:numCache>
                <c:formatCode>#,##0</c:formatCode>
                <c:ptCount val="12"/>
                <c:pt idx="0">
                  <c:v>989.45046235138705</c:v>
                </c:pt>
                <c:pt idx="1">
                  <c:v>660.33553500660491</c:v>
                </c:pt>
                <c:pt idx="2">
                  <c:v>474.22721268163798</c:v>
                </c:pt>
                <c:pt idx="3">
                  <c:v>459.26287978863934</c:v>
                </c:pt>
                <c:pt idx="4">
                  <c:v>528.27741083223259</c:v>
                </c:pt>
                <c:pt idx="5">
                  <c:v>715.00924702774103</c:v>
                </c:pt>
                <c:pt idx="6">
                  <c:v>1333.8097754293262</c:v>
                </c:pt>
                <c:pt idx="7">
                  <c:v>1474.3038309114925</c:v>
                </c:pt>
                <c:pt idx="8">
                  <c:v>1393.8678996036988</c:v>
                </c:pt>
                <c:pt idx="9">
                  <c:v>1206.9696169088506</c:v>
                </c:pt>
                <c:pt idx="10">
                  <c:v>1393.6274768824305</c:v>
                </c:pt>
                <c:pt idx="11">
                  <c:v>1110.7899603698811</c:v>
                </c:pt>
              </c:numCache>
            </c:numRef>
          </c:val>
          <c:extLst>
            <c:ext xmlns:c16="http://schemas.microsoft.com/office/drawing/2014/chart" uri="{C3380CC4-5D6E-409C-BE32-E72D297353CC}">
              <c16:uniqueId val="{00000000-D78F-4C10-A2E7-4C431AD0519A}"/>
            </c:ext>
          </c:extLst>
        </c:ser>
        <c:ser>
          <c:idx val="1"/>
          <c:order val="1"/>
          <c:tx>
            <c:strRef>
              <c:f>Biofuels!$A$22</c:f>
              <c:strCache>
                <c:ptCount val="1"/>
                <c:pt idx="0">
                  <c:v>United States</c:v>
                </c:pt>
              </c:strCache>
            </c:strRef>
          </c:tx>
          <c:spPr>
            <a:solidFill>
              <a:srgbClr val="8DD3C7"/>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Biofuels!$D$22:$O$22</c:f>
              <c:numCache>
                <c:formatCode>#,##0</c:formatCode>
                <c:ptCount val="12"/>
                <c:pt idx="0">
                  <c:v>701.09643328929974</c:v>
                </c:pt>
                <c:pt idx="1">
                  <c:v>1017.125495376486</c:v>
                </c:pt>
                <c:pt idx="2">
                  <c:v>548.19550858652576</c:v>
                </c:pt>
                <c:pt idx="3">
                  <c:v>866.16380449141343</c:v>
                </c:pt>
                <c:pt idx="4">
                  <c:v>1095.9418758256274</c:v>
                </c:pt>
                <c:pt idx="5">
                  <c:v>853.70409511228536</c:v>
                </c:pt>
                <c:pt idx="6">
                  <c:v>530.75561426684271</c:v>
                </c:pt>
                <c:pt idx="7">
                  <c:v>660.76354029062088</c:v>
                </c:pt>
                <c:pt idx="8">
                  <c:v>781.51122853368554</c:v>
                </c:pt>
                <c:pt idx="9">
                  <c:v>952.10039630118899</c:v>
                </c:pt>
                <c:pt idx="10">
                  <c:v>694.7450462351386</c:v>
                </c:pt>
                <c:pt idx="11">
                  <c:v>676.30383091149281</c:v>
                </c:pt>
              </c:numCache>
            </c:numRef>
          </c:val>
          <c:extLst>
            <c:ext xmlns:c16="http://schemas.microsoft.com/office/drawing/2014/chart" uri="{C3380CC4-5D6E-409C-BE32-E72D297353CC}">
              <c16:uniqueId val="{00000001-D78F-4C10-A2E7-4C431AD0519A}"/>
            </c:ext>
          </c:extLst>
        </c:ser>
        <c:ser>
          <c:idx val="6"/>
          <c:order val="2"/>
          <c:tx>
            <c:strRef>
              <c:f>Biofuels!$A$25</c:f>
              <c:strCache>
                <c:ptCount val="1"/>
                <c:pt idx="0">
                  <c:v>Canada</c:v>
                </c:pt>
              </c:strCache>
            </c:strRef>
          </c:tx>
          <c:spPr>
            <a:solidFill>
              <a:srgbClr val="FDB462"/>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Biofuels!$D$25:$O$25</c:f>
              <c:numCache>
                <c:formatCode>#,##0</c:formatCode>
                <c:ptCount val="12"/>
                <c:pt idx="0">
                  <c:v>313.60634081902248</c:v>
                </c:pt>
                <c:pt idx="1">
                  <c:v>350.06605019815061</c:v>
                </c:pt>
                <c:pt idx="2">
                  <c:v>430.64729194187584</c:v>
                </c:pt>
                <c:pt idx="3">
                  <c:v>462.08718626155877</c:v>
                </c:pt>
                <c:pt idx="4">
                  <c:v>496.69749009247028</c:v>
                </c:pt>
                <c:pt idx="5">
                  <c:v>518.09775429326282</c:v>
                </c:pt>
                <c:pt idx="6">
                  <c:v>469.32628797886395</c:v>
                </c:pt>
                <c:pt idx="7">
                  <c:v>436.81109643328926</c:v>
                </c:pt>
                <c:pt idx="8">
                  <c:v>439.02245706737119</c:v>
                </c:pt>
                <c:pt idx="9">
                  <c:v>462.69220607661828</c:v>
                </c:pt>
                <c:pt idx="10">
                  <c:v>533.13870541611618</c:v>
                </c:pt>
                <c:pt idx="11">
                  <c:v>593.85204755614268</c:v>
                </c:pt>
              </c:numCache>
            </c:numRef>
          </c:val>
          <c:extLst>
            <c:ext xmlns:c16="http://schemas.microsoft.com/office/drawing/2014/chart" uri="{C3380CC4-5D6E-409C-BE32-E72D297353CC}">
              <c16:uniqueId val="{00000002-D78F-4C10-A2E7-4C431AD0519A}"/>
            </c:ext>
          </c:extLst>
        </c:ser>
        <c:ser>
          <c:idx val="4"/>
          <c:order val="3"/>
          <c:tx>
            <c:strRef>
              <c:f>Biofuels!$A$26</c:f>
              <c:strCache>
                <c:ptCount val="1"/>
                <c:pt idx="0">
                  <c:v>China</c:v>
                </c:pt>
              </c:strCache>
            </c:strRef>
          </c:tx>
          <c:spPr>
            <a:solidFill>
              <a:srgbClr val="FB8072"/>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Biofuels!$D$26:$O$26</c:f>
              <c:numCache>
                <c:formatCode>#,##0</c:formatCode>
                <c:ptCount val="12"/>
                <c:pt idx="0">
                  <c:v>16.908850726552178</c:v>
                </c:pt>
                <c:pt idx="1">
                  <c:v>236.45970937912813</c:v>
                </c:pt>
                <c:pt idx="2">
                  <c:v>278.65257595772783</c:v>
                </c:pt>
                <c:pt idx="3">
                  <c:v>190.22457067371201</c:v>
                </c:pt>
                <c:pt idx="4">
                  <c:v>237.25231175693526</c:v>
                </c:pt>
                <c:pt idx="5">
                  <c:v>11.360634081902246</c:v>
                </c:pt>
                <c:pt idx="6">
                  <c:v>498.81109643328932</c:v>
                </c:pt>
                <c:pt idx="7">
                  <c:v>279.26023778071334</c:v>
                </c:pt>
                <c:pt idx="8">
                  <c:v>45.099075297225895</c:v>
                </c:pt>
                <c:pt idx="9">
                  <c:v>274.31968295904886</c:v>
                </c:pt>
                <c:pt idx="10">
                  <c:v>79.260237780713339</c:v>
                </c:pt>
                <c:pt idx="11">
                  <c:v>174.48084544253632</c:v>
                </c:pt>
              </c:numCache>
            </c:numRef>
          </c:val>
          <c:extLst>
            <c:ext xmlns:c16="http://schemas.microsoft.com/office/drawing/2014/chart" uri="{C3380CC4-5D6E-409C-BE32-E72D297353CC}">
              <c16:uniqueId val="{00000003-D78F-4C10-A2E7-4C431AD0519A}"/>
            </c:ext>
          </c:extLst>
        </c:ser>
        <c:ser>
          <c:idx val="2"/>
          <c:order val="4"/>
          <c:tx>
            <c:strRef>
              <c:f>Biofuels!$A$23</c:f>
              <c:strCache>
                <c:ptCount val="1"/>
                <c:pt idx="0">
                  <c:v>Brazil</c:v>
                </c:pt>
              </c:strCache>
            </c:strRef>
          </c:tx>
          <c:spPr>
            <a:solidFill>
              <a:srgbClr val="FFFFB3"/>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Biofuels!$D$23:$O$23</c:f>
              <c:numCache>
                <c:formatCode>#,##0</c:formatCode>
                <c:ptCount val="12"/>
                <c:pt idx="0">
                  <c:v>144.14795244385732</c:v>
                </c:pt>
                <c:pt idx="1">
                  <c:v>34.797886393659184</c:v>
                </c:pt>
                <c:pt idx="2">
                  <c:v>119.41875825627477</c:v>
                </c:pt>
                <c:pt idx="3">
                  <c:v>135.49537648612946</c:v>
                </c:pt>
                <c:pt idx="4">
                  <c:v>220.5125495376486</c:v>
                </c:pt>
                <c:pt idx="5">
                  <c:v>482.33553500660503</c:v>
                </c:pt>
                <c:pt idx="6">
                  <c:v>469.04359313077936</c:v>
                </c:pt>
                <c:pt idx="7">
                  <c:v>385.09907529722585</c:v>
                </c:pt>
                <c:pt idx="8">
                  <c:v>266.79788639365916</c:v>
                </c:pt>
                <c:pt idx="9">
                  <c:v>114.20343461030383</c:v>
                </c:pt>
                <c:pt idx="10">
                  <c:v>67.812417437252307</c:v>
                </c:pt>
                <c:pt idx="11">
                  <c:v>61.896961690885071</c:v>
                </c:pt>
              </c:numCache>
            </c:numRef>
          </c:val>
          <c:extLst>
            <c:ext xmlns:c16="http://schemas.microsoft.com/office/drawing/2014/chart" uri="{C3380CC4-5D6E-409C-BE32-E72D297353CC}">
              <c16:uniqueId val="{00000004-D78F-4C10-A2E7-4C431AD0519A}"/>
            </c:ext>
          </c:extLst>
        </c:ser>
        <c:ser>
          <c:idx val="5"/>
          <c:order val="5"/>
          <c:tx>
            <c:strRef>
              <c:f>Biofuels!$A$27</c:f>
              <c:strCache>
                <c:ptCount val="1"/>
                <c:pt idx="0">
                  <c:v>Indonesia</c:v>
                </c:pt>
              </c:strCache>
            </c:strRef>
          </c:tx>
          <c:spPr>
            <a:solidFill>
              <a:srgbClr val="80B1D3"/>
            </a:solidFill>
            <a:ln>
              <a:solidFill>
                <a:schemeClr val="tx1"/>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Biofuels!$D$27:$O$27</c:f>
              <c:numCache>
                <c:formatCode>#,##0</c:formatCode>
                <c:ptCount val="12"/>
                <c:pt idx="0">
                  <c:v>0.8190224570673712</c:v>
                </c:pt>
                <c:pt idx="1">
                  <c:v>0.13210039630118889</c:v>
                </c:pt>
                <c:pt idx="2">
                  <c:v>0.26420079260237778</c:v>
                </c:pt>
                <c:pt idx="3">
                  <c:v>0.10568031704095113</c:v>
                </c:pt>
                <c:pt idx="4">
                  <c:v>0.58124174372523119</c:v>
                </c:pt>
                <c:pt idx="5">
                  <c:v>1.2681638044914134</c:v>
                </c:pt>
                <c:pt idx="6">
                  <c:v>25.284015852047556</c:v>
                </c:pt>
                <c:pt idx="7">
                  <c:v>0.21136063408190225</c:v>
                </c:pt>
                <c:pt idx="8">
                  <c:v>7.5033025099075292</c:v>
                </c:pt>
                <c:pt idx="9">
                  <c:v>14.187582562747689</c:v>
                </c:pt>
                <c:pt idx="10">
                  <c:v>8.9299867899603687</c:v>
                </c:pt>
                <c:pt idx="11">
                  <c:v>8.9299867899603687</c:v>
                </c:pt>
              </c:numCache>
            </c:numRef>
          </c:val>
          <c:extLst>
            <c:ext xmlns:c16="http://schemas.microsoft.com/office/drawing/2014/chart" uri="{C3380CC4-5D6E-409C-BE32-E72D297353CC}">
              <c16:uniqueId val="{00000005-D78F-4C10-A2E7-4C431AD0519A}"/>
            </c:ext>
          </c:extLst>
        </c:ser>
        <c:ser>
          <c:idx val="0"/>
          <c:order val="6"/>
          <c:tx>
            <c:strRef>
              <c:f>Biofuels!$A$29</c:f>
              <c:strCache>
                <c:ptCount val="1"/>
                <c:pt idx="0">
                  <c:v>RoW</c:v>
                </c:pt>
              </c:strCache>
            </c:strRef>
          </c:tx>
          <c:spPr>
            <a:solidFill>
              <a:schemeClr val="bg1">
                <a:lumMod val="65000"/>
              </a:schemeClr>
            </a:solidFill>
            <a:ln>
              <a:solidFill>
                <a:sysClr val="windowText" lastClr="000000"/>
              </a:solidFill>
            </a:ln>
            <a:effectLst/>
          </c:spPr>
          <c:invertIfNegative val="0"/>
          <c:cat>
            <c:numRef>
              <c:f>Biofuels!$D$21:$O$21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Biofuels!$D$29:$O$29</c:f>
              <c:numCache>
                <c:formatCode>#,##0</c:formatCode>
                <c:ptCount val="12"/>
                <c:pt idx="0">
                  <c:v>956.30647291941909</c:v>
                </c:pt>
                <c:pt idx="1">
                  <c:v>1034.6050198150594</c:v>
                </c:pt>
                <c:pt idx="2">
                  <c:v>1125.4583883751652</c:v>
                </c:pt>
                <c:pt idx="3">
                  <c:v>1179.1254953764865</c:v>
                </c:pt>
                <c:pt idx="4">
                  <c:v>1294.7212681638048</c:v>
                </c:pt>
                <c:pt idx="5">
                  <c:v>1423.8546895640691</c:v>
                </c:pt>
                <c:pt idx="6">
                  <c:v>1416.8665785997357</c:v>
                </c:pt>
                <c:pt idx="7">
                  <c:v>1550.8877146631439</c:v>
                </c:pt>
                <c:pt idx="8">
                  <c:v>1730.1558784676354</c:v>
                </c:pt>
                <c:pt idx="9">
                  <c:v>1551.5429326287979</c:v>
                </c:pt>
                <c:pt idx="10">
                  <c:v>1617.4214002642009</c:v>
                </c:pt>
                <c:pt idx="11">
                  <c:v>1619.0700132100396</c:v>
                </c:pt>
              </c:numCache>
            </c:numRef>
          </c:val>
          <c:extLst>
            <c:ext xmlns:c16="http://schemas.microsoft.com/office/drawing/2014/chart" uri="{C3380CC4-5D6E-409C-BE32-E72D297353CC}">
              <c16:uniqueId val="{00000006-D78F-4C10-A2E7-4C431AD0519A}"/>
            </c:ext>
          </c:extLst>
        </c:ser>
        <c:dLbls>
          <c:showLegendKey val="0"/>
          <c:showVal val="0"/>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1"/>
        <c:axPos val="l"/>
        <c:numFmt formatCode="#,##0" sourceLinked="1"/>
        <c:majorTickMark val="out"/>
        <c:minorTickMark val="none"/>
        <c:tickLblPos val="nextTo"/>
        <c:crossAx val="146964031"/>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Biofuels!$A$32</c:f>
              <c:strCache>
                <c:ptCount val="1"/>
                <c:pt idx="0">
                  <c:v>United States</c:v>
                </c:pt>
              </c:strCache>
            </c:strRef>
          </c:tx>
          <c:spPr>
            <a:solidFill>
              <a:srgbClr val="8DD3C7"/>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Biofuels!$D$32:$O$32</c:f>
              <c:numCache>
                <c:formatCode>#,##0</c:formatCode>
                <c:ptCount val="12"/>
                <c:pt idx="0">
                  <c:v>855.65389696169086</c:v>
                </c:pt>
                <c:pt idx="1">
                  <c:v>806.09511228533677</c:v>
                </c:pt>
                <c:pt idx="2">
                  <c:v>922.70805812417427</c:v>
                </c:pt>
                <c:pt idx="3">
                  <c:v>1020.7899603698811</c:v>
                </c:pt>
                <c:pt idx="4">
                  <c:v>1281.1756935270807</c:v>
                </c:pt>
                <c:pt idx="5">
                  <c:v>1536.7133421400263</c:v>
                </c:pt>
                <c:pt idx="6">
                  <c:v>1842.4702774108321</c:v>
                </c:pt>
                <c:pt idx="7">
                  <c:v>1636.1822985468957</c:v>
                </c:pt>
                <c:pt idx="8">
                  <c:v>1508.7397622192866</c:v>
                </c:pt>
                <c:pt idx="9">
                  <c:v>1456.2642007926024</c:v>
                </c:pt>
                <c:pt idx="10">
                  <c:v>1726.2298546895638</c:v>
                </c:pt>
                <c:pt idx="11">
                  <c:v>1617.4583883751652</c:v>
                </c:pt>
              </c:numCache>
            </c:numRef>
          </c:val>
          <c:extLst>
            <c:ext xmlns:c16="http://schemas.microsoft.com/office/drawing/2014/chart" uri="{C3380CC4-5D6E-409C-BE32-E72D297353CC}">
              <c16:uniqueId val="{00000000-6B2D-4805-A60D-8253C3872840}"/>
            </c:ext>
          </c:extLst>
        </c:ser>
        <c:ser>
          <c:idx val="2"/>
          <c:order val="1"/>
          <c:tx>
            <c:strRef>
              <c:f>Biofuels!$A$36</c:f>
              <c:strCache>
                <c:ptCount val="1"/>
                <c:pt idx="0">
                  <c:v>China</c:v>
                </c:pt>
              </c:strCache>
            </c:strRef>
          </c:tx>
          <c:spPr>
            <a:solidFill>
              <a:srgbClr val="FB8072"/>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Biofuels!$D$36:$O$36</c:f>
              <c:numCache>
                <c:formatCode>#,##0</c:formatCode>
                <c:ptCount val="12"/>
                <c:pt idx="0">
                  <c:v>11.889035667107001</c:v>
                </c:pt>
                <c:pt idx="1">
                  <c:v>10.568031704095112</c:v>
                </c:pt>
                <c:pt idx="2">
                  <c:v>20.079260237780716</c:v>
                </c:pt>
                <c:pt idx="3">
                  <c:v>13.738441215323647</c:v>
                </c:pt>
                <c:pt idx="4">
                  <c:v>28.982826948480845</c:v>
                </c:pt>
                <c:pt idx="5">
                  <c:v>86.393659180977536</c:v>
                </c:pt>
                <c:pt idx="6">
                  <c:v>115.27080581241744</c:v>
                </c:pt>
                <c:pt idx="7">
                  <c:v>204.22721268163804</c:v>
                </c:pt>
                <c:pt idx="8">
                  <c:v>370.43593130779391</c:v>
                </c:pt>
                <c:pt idx="9">
                  <c:v>395.8256274768824</c:v>
                </c:pt>
                <c:pt idx="10">
                  <c:v>565.38441215323644</c:v>
                </c:pt>
                <c:pt idx="11">
                  <c:v>557.68295904887714</c:v>
                </c:pt>
              </c:numCache>
            </c:numRef>
          </c:val>
          <c:extLst>
            <c:ext xmlns:c16="http://schemas.microsoft.com/office/drawing/2014/chart" uri="{C3380CC4-5D6E-409C-BE32-E72D297353CC}">
              <c16:uniqueId val="{00000001-6B2D-4805-A60D-8253C3872840}"/>
            </c:ext>
          </c:extLst>
        </c:ser>
        <c:ser>
          <c:idx val="1"/>
          <c:order val="2"/>
          <c:tx>
            <c:strRef>
              <c:f>Biofuels!$A$33</c:f>
              <c:strCache>
                <c:ptCount val="1"/>
                <c:pt idx="0">
                  <c:v>Brazil</c:v>
                </c:pt>
              </c:strCache>
            </c:strRef>
          </c:tx>
          <c:spPr>
            <a:solidFill>
              <a:srgbClr val="FFFFB3"/>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Biofuels!$D$33:$O$33</c:f>
              <c:numCache>
                <c:formatCode>#,##0</c:formatCode>
                <c:ptCount val="12"/>
                <c:pt idx="0">
                  <c:v>807.2100396301189</c:v>
                </c:pt>
                <c:pt idx="1">
                  <c:v>780.86393659180976</c:v>
                </c:pt>
                <c:pt idx="2">
                  <c:v>379.89431968295906</c:v>
                </c:pt>
                <c:pt idx="3">
                  <c:v>496.4914134742404</c:v>
                </c:pt>
                <c:pt idx="4">
                  <c:v>472.65521796565389</c:v>
                </c:pt>
                <c:pt idx="5">
                  <c:v>367.2787318361955</c:v>
                </c:pt>
                <c:pt idx="6">
                  <c:v>449.09643328929985</c:v>
                </c:pt>
                <c:pt idx="7">
                  <c:v>516.15852047556143</c:v>
                </c:pt>
                <c:pt idx="8">
                  <c:v>715.19682959048873</c:v>
                </c:pt>
                <c:pt idx="9">
                  <c:v>518.45970937912818</c:v>
                </c:pt>
                <c:pt idx="10">
                  <c:v>501.67239101717297</c:v>
                </c:pt>
                <c:pt idx="11">
                  <c:v>537.00132100396297</c:v>
                </c:pt>
              </c:numCache>
            </c:numRef>
          </c:val>
          <c:extLst>
            <c:ext xmlns:c16="http://schemas.microsoft.com/office/drawing/2014/chart" uri="{C3380CC4-5D6E-409C-BE32-E72D297353CC}">
              <c16:uniqueId val="{00000002-6B2D-4805-A60D-8253C3872840}"/>
            </c:ext>
          </c:extLst>
        </c:ser>
        <c:ser>
          <c:idx val="6"/>
          <c:order val="3"/>
          <c:tx>
            <c:strRef>
              <c:f>Biofuels!$A$34</c:f>
              <c:strCache>
                <c:ptCount val="1"/>
                <c:pt idx="0">
                  <c:v>European Union</c:v>
                </c:pt>
              </c:strCache>
            </c:strRef>
          </c:tx>
          <c:spPr>
            <a:solidFill>
              <a:srgbClr val="BEBADA"/>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Biofuels!$D$34:$O$34</c:f>
              <c:numCache>
                <c:formatCode>#,##0</c:formatCode>
                <c:ptCount val="12"/>
                <c:pt idx="0">
                  <c:v>217.11228533685599</c:v>
                </c:pt>
                <c:pt idx="1">
                  <c:v>391.07265521796563</c:v>
                </c:pt>
                <c:pt idx="2">
                  <c:v>384.94583883751648</c:v>
                </c:pt>
                <c:pt idx="3">
                  <c:v>387.07265521796558</c:v>
                </c:pt>
                <c:pt idx="4">
                  <c:v>417.02509907529719</c:v>
                </c:pt>
                <c:pt idx="5">
                  <c:v>444.44914134742402</c:v>
                </c:pt>
                <c:pt idx="6">
                  <c:v>577.84940554821662</c:v>
                </c:pt>
                <c:pt idx="7">
                  <c:v>757.74372523117563</c:v>
                </c:pt>
                <c:pt idx="8">
                  <c:v>645.65389696169086</c:v>
                </c:pt>
                <c:pt idx="9">
                  <c:v>416.42800528401585</c:v>
                </c:pt>
                <c:pt idx="10">
                  <c:v>297.3896961690885</c:v>
                </c:pt>
                <c:pt idx="11">
                  <c:v>331.43196829590488</c:v>
                </c:pt>
              </c:numCache>
            </c:numRef>
          </c:val>
          <c:extLst>
            <c:ext xmlns:c16="http://schemas.microsoft.com/office/drawing/2014/chart" uri="{C3380CC4-5D6E-409C-BE32-E72D297353CC}">
              <c16:uniqueId val="{00000003-6B2D-4805-A60D-8253C3872840}"/>
            </c:ext>
          </c:extLst>
        </c:ser>
        <c:ser>
          <c:idx val="4"/>
          <c:order val="4"/>
          <c:tx>
            <c:strRef>
              <c:f>Biofuels!$A$35</c:f>
              <c:strCache>
                <c:ptCount val="1"/>
                <c:pt idx="0">
                  <c:v>Canada</c:v>
                </c:pt>
              </c:strCache>
            </c:strRef>
          </c:tx>
          <c:spPr>
            <a:solidFill>
              <a:srgbClr val="FDB462"/>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Biofuels!$D$35:$O$35</c:f>
              <c:numCache>
                <c:formatCode>#,##0</c:formatCode>
                <c:ptCount val="12"/>
                <c:pt idx="0">
                  <c:v>41.21532364597094</c:v>
                </c:pt>
                <c:pt idx="1">
                  <c:v>56.538969616908844</c:v>
                </c:pt>
                <c:pt idx="2">
                  <c:v>103.03830911492733</c:v>
                </c:pt>
                <c:pt idx="3">
                  <c:v>88.507265521796569</c:v>
                </c:pt>
                <c:pt idx="4">
                  <c:v>125.75957727873184</c:v>
                </c:pt>
                <c:pt idx="5">
                  <c:v>134.21400264200793</c:v>
                </c:pt>
                <c:pt idx="6">
                  <c:v>102.77410832232496</c:v>
                </c:pt>
                <c:pt idx="7">
                  <c:v>96.433289299867894</c:v>
                </c:pt>
                <c:pt idx="8">
                  <c:v>101.9101717305152</c:v>
                </c:pt>
                <c:pt idx="9">
                  <c:v>105.778071334214</c:v>
                </c:pt>
                <c:pt idx="10">
                  <c:v>107.5112285336856</c:v>
                </c:pt>
                <c:pt idx="11">
                  <c:v>111.14927344782033</c:v>
                </c:pt>
              </c:numCache>
            </c:numRef>
          </c:val>
          <c:extLst>
            <c:ext xmlns:c16="http://schemas.microsoft.com/office/drawing/2014/chart" uri="{C3380CC4-5D6E-409C-BE32-E72D297353CC}">
              <c16:uniqueId val="{00000004-6B2D-4805-A60D-8253C3872840}"/>
            </c:ext>
          </c:extLst>
        </c:ser>
        <c:ser>
          <c:idx val="5"/>
          <c:order val="5"/>
          <c:tx>
            <c:strRef>
              <c:f>Biofuels!$A$37</c:f>
              <c:strCache>
                <c:ptCount val="1"/>
                <c:pt idx="0">
                  <c:v>Indonesia</c:v>
                </c:pt>
              </c:strCache>
            </c:strRef>
          </c:tx>
          <c:spPr>
            <a:solidFill>
              <a:srgbClr val="80B1D3"/>
            </a:solidFill>
            <a:ln>
              <a:solidFill>
                <a:schemeClr val="tx1"/>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Biofuels!$D$37:$O$37</c:f>
              <c:numCache>
                <c:formatCode>#,##0</c:formatCode>
                <c:ptCount val="12"/>
                <c:pt idx="0">
                  <c:v>441.32100396301189</c:v>
                </c:pt>
                <c:pt idx="1">
                  <c:v>537.19947159841479</c:v>
                </c:pt>
                <c:pt idx="2">
                  <c:v>438.1241743725231</c:v>
                </c:pt>
                <c:pt idx="3">
                  <c:v>104.67635402906208</c:v>
                </c:pt>
                <c:pt idx="4">
                  <c:v>144.46499339498018</c:v>
                </c:pt>
                <c:pt idx="5">
                  <c:v>66.287978863936587</c:v>
                </c:pt>
                <c:pt idx="6">
                  <c:v>509.37912813738438</c:v>
                </c:pt>
                <c:pt idx="7">
                  <c:v>353.87054161162484</c:v>
                </c:pt>
                <c:pt idx="8">
                  <c:v>22.747688243064729</c:v>
                </c:pt>
                <c:pt idx="9">
                  <c:v>72.523117569352706</c:v>
                </c:pt>
                <c:pt idx="10">
                  <c:v>70.700132100396303</c:v>
                </c:pt>
                <c:pt idx="11">
                  <c:v>75.009247027741083</c:v>
                </c:pt>
              </c:numCache>
            </c:numRef>
          </c:val>
          <c:extLst>
            <c:ext xmlns:c16="http://schemas.microsoft.com/office/drawing/2014/chart" uri="{C3380CC4-5D6E-409C-BE32-E72D297353CC}">
              <c16:uniqueId val="{00000005-6B2D-4805-A60D-8253C3872840}"/>
            </c:ext>
          </c:extLst>
        </c:ser>
        <c:ser>
          <c:idx val="0"/>
          <c:order val="6"/>
          <c:tx>
            <c:strRef>
              <c:f>Biofuels!$A$39</c:f>
              <c:strCache>
                <c:ptCount val="1"/>
                <c:pt idx="0">
                  <c:v>RoW</c:v>
                </c:pt>
              </c:strCache>
            </c:strRef>
          </c:tx>
          <c:spPr>
            <a:solidFill>
              <a:schemeClr val="bg1">
                <a:lumMod val="65000"/>
              </a:schemeClr>
            </a:solidFill>
            <a:ln>
              <a:solidFill>
                <a:sysClr val="windowText" lastClr="000000"/>
              </a:solidFill>
            </a:ln>
            <a:effectLst/>
          </c:spPr>
          <c:invertIfNegative val="0"/>
          <c:cat>
            <c:numRef>
              <c:f>Biofuels!$D$31:$O$31</c:f>
              <c:numCache>
                <c:formatCode>General</c:formatCod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numCache>
            </c:numRef>
          </c:cat>
          <c:val>
            <c:numRef>
              <c:f>Biofuels!$D$39:$O$39</c:f>
              <c:numCache>
                <c:formatCode>#,##0</c:formatCode>
                <c:ptCount val="12"/>
                <c:pt idx="0">
                  <c:v>1239.4081902245703</c:v>
                </c:pt>
                <c:pt idx="1">
                  <c:v>1307.5323645970934</c:v>
                </c:pt>
                <c:pt idx="2">
                  <c:v>1343.2443857331573</c:v>
                </c:pt>
                <c:pt idx="3">
                  <c:v>1035.0171730515187</c:v>
                </c:pt>
                <c:pt idx="4">
                  <c:v>1283.7833553500657</c:v>
                </c:pt>
                <c:pt idx="5">
                  <c:v>1310.4993394980193</c:v>
                </c:pt>
                <c:pt idx="6">
                  <c:v>1273.9630118890359</c:v>
                </c:pt>
                <c:pt idx="7">
                  <c:v>1288.7054161162482</c:v>
                </c:pt>
                <c:pt idx="8">
                  <c:v>1063.6433289299869</c:v>
                </c:pt>
                <c:pt idx="9">
                  <c:v>1239.4319682959051</c:v>
                </c:pt>
                <c:pt idx="10">
                  <c:v>1287.1360634081905</c:v>
                </c:pt>
                <c:pt idx="11">
                  <c:v>1296.2562747688241</c:v>
                </c:pt>
              </c:numCache>
            </c:numRef>
          </c:val>
          <c:extLst>
            <c:ext xmlns:c16="http://schemas.microsoft.com/office/drawing/2014/chart" uri="{C3380CC4-5D6E-409C-BE32-E72D297353CC}">
              <c16:uniqueId val="{00000006-6B2D-4805-A60D-8253C3872840}"/>
            </c:ext>
          </c:extLst>
        </c:ser>
        <c:dLbls>
          <c:showLegendKey val="0"/>
          <c:showVal val="0"/>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1"/>
        <c:axPos val="l"/>
        <c:numFmt formatCode="#,##0" sourceLinked="1"/>
        <c:majorTickMark val="out"/>
        <c:minorTickMark val="none"/>
        <c:tickLblPos val="nextTo"/>
        <c:crossAx val="146964031"/>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9"/>
          <c:order val="0"/>
          <c:tx>
            <c:strRef>
              <c:f>Bioplastics!$A$30</c:f>
              <c:strCache>
                <c:ptCount val="1"/>
                <c:pt idx="0">
                  <c:v>China </c:v>
                </c:pt>
              </c:strCache>
            </c:strRef>
          </c:tx>
          <c:spPr>
            <a:solidFill>
              <a:srgbClr val="FB8072"/>
            </a:solidFill>
            <a:ln>
              <a:solidFill>
                <a:sysClr val="windowText" lastClr="00000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Bioplastics!$B$26:$H$26</c:f>
              <c:numCache>
                <c:formatCode>General</c:formatCode>
                <c:ptCount val="7"/>
                <c:pt idx="0">
                  <c:v>2017</c:v>
                </c:pt>
                <c:pt idx="1">
                  <c:v>2018</c:v>
                </c:pt>
                <c:pt idx="2">
                  <c:v>2019</c:v>
                </c:pt>
                <c:pt idx="3">
                  <c:v>2020</c:v>
                </c:pt>
                <c:pt idx="4">
                  <c:v>2021</c:v>
                </c:pt>
                <c:pt idx="5">
                  <c:v>2022</c:v>
                </c:pt>
                <c:pt idx="6">
                  <c:v>2023</c:v>
                </c:pt>
              </c:numCache>
            </c:numRef>
          </c:cat>
          <c:val>
            <c:numRef>
              <c:f>Bioplastics!$B$30:$H$30</c:f>
              <c:numCache>
                <c:formatCode>General</c:formatCode>
                <c:ptCount val="7"/>
                <c:pt idx="0">
                  <c:v>582.6</c:v>
                </c:pt>
                <c:pt idx="1">
                  <c:v>647.29999999999995</c:v>
                </c:pt>
                <c:pt idx="2">
                  <c:v>712.5</c:v>
                </c:pt>
                <c:pt idx="3">
                  <c:v>714.8</c:v>
                </c:pt>
                <c:pt idx="4">
                  <c:v>835.4</c:v>
                </c:pt>
                <c:pt idx="5">
                  <c:v>931.2</c:v>
                </c:pt>
                <c:pt idx="6">
                  <c:v>1060.7</c:v>
                </c:pt>
              </c:numCache>
            </c:numRef>
          </c:val>
          <c:extLst>
            <c:ext xmlns:c16="http://schemas.microsoft.com/office/drawing/2014/chart" uri="{C3380CC4-5D6E-409C-BE32-E72D297353CC}">
              <c16:uniqueId val="{00000009-5187-4D56-9D42-860F99CCF57B}"/>
            </c:ext>
          </c:extLst>
        </c:ser>
        <c:ser>
          <c:idx val="7"/>
          <c:order val="1"/>
          <c:tx>
            <c:strRef>
              <c:f>Bioplastics!$A$28</c:f>
              <c:strCache>
                <c:ptCount val="1"/>
                <c:pt idx="0">
                  <c:v>European Union</c:v>
                </c:pt>
              </c:strCache>
            </c:strRef>
          </c:tx>
          <c:spPr>
            <a:solidFill>
              <a:srgbClr val="BEBADA"/>
            </a:solidFill>
            <a:ln>
              <a:solidFill>
                <a:sysClr val="windowText" lastClr="00000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Bioplastics!$B$26:$H$26</c:f>
              <c:numCache>
                <c:formatCode>General</c:formatCode>
                <c:ptCount val="7"/>
                <c:pt idx="0">
                  <c:v>2017</c:v>
                </c:pt>
                <c:pt idx="1">
                  <c:v>2018</c:v>
                </c:pt>
                <c:pt idx="2">
                  <c:v>2019</c:v>
                </c:pt>
                <c:pt idx="3">
                  <c:v>2020</c:v>
                </c:pt>
                <c:pt idx="4">
                  <c:v>2021</c:v>
                </c:pt>
                <c:pt idx="5">
                  <c:v>2022</c:v>
                </c:pt>
                <c:pt idx="6">
                  <c:v>2023</c:v>
                </c:pt>
              </c:numCache>
            </c:numRef>
          </c:cat>
          <c:val>
            <c:numRef>
              <c:f>Bioplastics!$B$28:$H$28</c:f>
              <c:numCache>
                <c:formatCode>General</c:formatCode>
                <c:ptCount val="7"/>
                <c:pt idx="0">
                  <c:v>284.5</c:v>
                </c:pt>
                <c:pt idx="1">
                  <c:v>333.8</c:v>
                </c:pt>
                <c:pt idx="2">
                  <c:v>387.8</c:v>
                </c:pt>
                <c:pt idx="3">
                  <c:v>387.6</c:v>
                </c:pt>
                <c:pt idx="4">
                  <c:v>463.7</c:v>
                </c:pt>
                <c:pt idx="5">
                  <c:v>540.9</c:v>
                </c:pt>
                <c:pt idx="6">
                  <c:v>622.20000000000005</c:v>
                </c:pt>
              </c:numCache>
            </c:numRef>
          </c:val>
          <c:extLst>
            <c:ext xmlns:c16="http://schemas.microsoft.com/office/drawing/2014/chart" uri="{C3380CC4-5D6E-409C-BE32-E72D297353CC}">
              <c16:uniqueId val="{00000007-5187-4D56-9D42-860F99CCF57B}"/>
            </c:ext>
          </c:extLst>
        </c:ser>
        <c:ser>
          <c:idx val="0"/>
          <c:order val="2"/>
          <c:tx>
            <c:strRef>
              <c:f>Bioplastics!$A$27</c:f>
              <c:strCache>
                <c:ptCount val="1"/>
                <c:pt idx="0">
                  <c:v>United States</c:v>
                </c:pt>
              </c:strCache>
            </c:strRef>
          </c:tx>
          <c:spPr>
            <a:solidFill>
              <a:srgbClr val="8DD3C7"/>
            </a:solidFill>
            <a:ln w="9525">
              <a:solidFill>
                <a:sysClr val="windowText" lastClr="00000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Bioplastics!$B$26:$H$26</c:f>
              <c:numCache>
                <c:formatCode>General</c:formatCode>
                <c:ptCount val="7"/>
                <c:pt idx="0">
                  <c:v>2017</c:v>
                </c:pt>
                <c:pt idx="1">
                  <c:v>2018</c:v>
                </c:pt>
                <c:pt idx="2">
                  <c:v>2019</c:v>
                </c:pt>
                <c:pt idx="3">
                  <c:v>2020</c:v>
                </c:pt>
                <c:pt idx="4">
                  <c:v>2021</c:v>
                </c:pt>
                <c:pt idx="5">
                  <c:v>2022</c:v>
                </c:pt>
                <c:pt idx="6">
                  <c:v>2023</c:v>
                </c:pt>
              </c:numCache>
            </c:numRef>
          </c:cat>
          <c:val>
            <c:numRef>
              <c:f>Bioplastics!$B$27:$H$27</c:f>
              <c:numCache>
                <c:formatCode>General</c:formatCode>
                <c:ptCount val="7"/>
                <c:pt idx="0">
                  <c:v>162.80000000000001</c:v>
                </c:pt>
                <c:pt idx="1">
                  <c:v>184.1</c:v>
                </c:pt>
                <c:pt idx="2">
                  <c:v>207</c:v>
                </c:pt>
                <c:pt idx="3">
                  <c:v>207.6</c:v>
                </c:pt>
                <c:pt idx="4">
                  <c:v>241.8</c:v>
                </c:pt>
                <c:pt idx="5">
                  <c:v>278.89999999999998</c:v>
                </c:pt>
                <c:pt idx="6">
                  <c:v>321</c:v>
                </c:pt>
              </c:numCache>
            </c:numRef>
          </c:val>
          <c:extLst>
            <c:ext xmlns:c16="http://schemas.microsoft.com/office/drawing/2014/chart" uri="{C3380CC4-5D6E-409C-BE32-E72D297353CC}">
              <c16:uniqueId val="{00000006-5187-4D56-9D42-860F99CCF57B}"/>
            </c:ext>
          </c:extLst>
        </c:ser>
        <c:ser>
          <c:idx val="11"/>
          <c:order val="3"/>
          <c:tx>
            <c:strRef>
              <c:f>Bioplastics!$A$32</c:f>
              <c:strCache>
                <c:ptCount val="1"/>
                <c:pt idx="0">
                  <c:v>Brazil</c:v>
                </c:pt>
              </c:strCache>
            </c:strRef>
          </c:tx>
          <c:spPr>
            <a:solidFill>
              <a:srgbClr val="FFFFB3"/>
            </a:solidFill>
            <a:ln>
              <a:solidFill>
                <a:sysClr val="windowText" lastClr="000000"/>
              </a:solidFill>
            </a:ln>
            <a:effectLst/>
          </c:spPr>
          <c:invertIfNegative val="0"/>
          <c:dLbls>
            <c:dLbl>
              <c:idx val="0"/>
              <c:layout>
                <c:manualLayout>
                  <c:x val="4.7558039766197935E-2"/>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A3-4B9E-BD4C-6417F5960E66}"/>
                </c:ext>
              </c:extLst>
            </c:dLbl>
            <c:dLbl>
              <c:idx val="1"/>
              <c:layout>
                <c:manualLayout>
                  <c:x val="4.9539624756456187E-2"/>
                  <c:y val="6.944444444444317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A3-4B9E-BD4C-6417F5960E6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Bioplastics!$B$26:$H$26</c:f>
              <c:numCache>
                <c:formatCode>General</c:formatCode>
                <c:ptCount val="7"/>
                <c:pt idx="0">
                  <c:v>2017</c:v>
                </c:pt>
                <c:pt idx="1">
                  <c:v>2018</c:v>
                </c:pt>
                <c:pt idx="2">
                  <c:v>2019</c:v>
                </c:pt>
                <c:pt idx="3">
                  <c:v>2020</c:v>
                </c:pt>
                <c:pt idx="4">
                  <c:v>2021</c:v>
                </c:pt>
                <c:pt idx="5">
                  <c:v>2022</c:v>
                </c:pt>
                <c:pt idx="6">
                  <c:v>2023</c:v>
                </c:pt>
              </c:numCache>
            </c:numRef>
          </c:cat>
          <c:val>
            <c:numRef>
              <c:f>Bioplastics!$B$32:$H$32</c:f>
              <c:numCache>
                <c:formatCode>General</c:formatCode>
                <c:ptCount val="7"/>
                <c:pt idx="0">
                  <c:v>107.3</c:v>
                </c:pt>
                <c:pt idx="1">
                  <c:v>118.4</c:v>
                </c:pt>
                <c:pt idx="2">
                  <c:v>128.80000000000001</c:v>
                </c:pt>
                <c:pt idx="3">
                  <c:v>128.6</c:v>
                </c:pt>
                <c:pt idx="4">
                  <c:v>157.4</c:v>
                </c:pt>
                <c:pt idx="5">
                  <c:v>180.2</c:v>
                </c:pt>
                <c:pt idx="6">
                  <c:v>198.5</c:v>
                </c:pt>
              </c:numCache>
            </c:numRef>
          </c:val>
          <c:extLst>
            <c:ext xmlns:c16="http://schemas.microsoft.com/office/drawing/2014/chart" uri="{C3380CC4-5D6E-409C-BE32-E72D297353CC}">
              <c16:uniqueId val="{0000000B-5187-4D56-9D42-860F99CCF57B}"/>
            </c:ext>
          </c:extLst>
        </c:ser>
        <c:ser>
          <c:idx val="8"/>
          <c:order val="4"/>
          <c:tx>
            <c:strRef>
              <c:f>Bioplastics!$A$29</c:f>
              <c:strCache>
                <c:ptCount val="1"/>
                <c:pt idx="0">
                  <c:v>Canada </c:v>
                </c:pt>
              </c:strCache>
            </c:strRef>
          </c:tx>
          <c:spPr>
            <a:solidFill>
              <a:srgbClr val="FDB462"/>
            </a:solidFill>
            <a:ln>
              <a:solidFill>
                <a:sysClr val="windowText" lastClr="000000"/>
              </a:solidFill>
            </a:ln>
            <a:effectLst/>
          </c:spPr>
          <c:invertIfNegative val="0"/>
          <c:dLbls>
            <c:dLbl>
              <c:idx val="0"/>
              <c:layout>
                <c:manualLayout>
                  <c:x val="4.9539624756456187E-2"/>
                  <c:y val="-6.9444444444445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A3-4B9E-BD4C-6417F5960E66}"/>
                </c:ext>
              </c:extLst>
            </c:dLbl>
            <c:dLbl>
              <c:idx val="1"/>
              <c:layout>
                <c:manualLayout>
                  <c:x val="4.557645477593969E-2"/>
                  <c:y val="-1.0416666666666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A3-4B9E-BD4C-6417F5960E66}"/>
                </c:ext>
              </c:extLst>
            </c:dLbl>
            <c:dLbl>
              <c:idx val="2"/>
              <c:layout>
                <c:manualLayout>
                  <c:x val="4.3594869785681438E-2"/>
                  <c:y val="-6.365667204009996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A3-4B9E-BD4C-6417F5960E66}"/>
                </c:ext>
              </c:extLst>
            </c:dLbl>
            <c:dLbl>
              <c:idx val="3"/>
              <c:layout>
                <c:manualLayout>
                  <c:x val="4.7558039766197865E-2"/>
                  <c:y val="-6.365667204009996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A3-4B9E-BD4C-6417F5960E66}"/>
                </c:ext>
              </c:extLst>
            </c:dLbl>
            <c:dLbl>
              <c:idx val="4"/>
              <c:layout>
                <c:manualLayout>
                  <c:x val="4.359486978568143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A3-4B9E-BD4C-6417F5960E66}"/>
                </c:ext>
              </c:extLst>
            </c:dLbl>
            <c:dLbl>
              <c:idx val="5"/>
              <c:layout>
                <c:manualLayout>
                  <c:x val="4.5576454775939544E-2"/>
                  <c:y val="-3.472222222222285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A3-4B9E-BD4C-6417F5960E6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Bioplastics!$B$26:$H$26</c:f>
              <c:numCache>
                <c:formatCode>General</c:formatCode>
                <c:ptCount val="7"/>
                <c:pt idx="0">
                  <c:v>2017</c:v>
                </c:pt>
                <c:pt idx="1">
                  <c:v>2018</c:v>
                </c:pt>
                <c:pt idx="2">
                  <c:v>2019</c:v>
                </c:pt>
                <c:pt idx="3">
                  <c:v>2020</c:v>
                </c:pt>
                <c:pt idx="4">
                  <c:v>2021</c:v>
                </c:pt>
                <c:pt idx="5">
                  <c:v>2022</c:v>
                </c:pt>
                <c:pt idx="6">
                  <c:v>2023</c:v>
                </c:pt>
              </c:numCache>
            </c:numRef>
          </c:cat>
          <c:val>
            <c:numRef>
              <c:f>Bioplastics!$B$29:$H$29</c:f>
              <c:numCache>
                <c:formatCode>General</c:formatCode>
                <c:ptCount val="7"/>
                <c:pt idx="0">
                  <c:v>68.400000000000006</c:v>
                </c:pt>
                <c:pt idx="1">
                  <c:v>75.5</c:v>
                </c:pt>
                <c:pt idx="2">
                  <c:v>82.9</c:v>
                </c:pt>
                <c:pt idx="3">
                  <c:v>82.8</c:v>
                </c:pt>
                <c:pt idx="4">
                  <c:v>96.1</c:v>
                </c:pt>
                <c:pt idx="5">
                  <c:v>110.2</c:v>
                </c:pt>
                <c:pt idx="6">
                  <c:v>126.5</c:v>
                </c:pt>
              </c:numCache>
            </c:numRef>
          </c:val>
          <c:extLst>
            <c:ext xmlns:c16="http://schemas.microsoft.com/office/drawing/2014/chart" uri="{C3380CC4-5D6E-409C-BE32-E72D297353CC}">
              <c16:uniqueId val="{00000008-5187-4D56-9D42-860F99CCF57B}"/>
            </c:ext>
          </c:extLst>
        </c:ser>
        <c:dLbls>
          <c:dLblPos val="ctr"/>
          <c:showLegendKey val="0"/>
          <c:showVal val="1"/>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Thousand Tons</a:t>
                </a:r>
              </a:p>
            </c:rich>
          </c:tx>
          <c:layout>
            <c:manualLayout>
              <c:xMode val="edge"/>
              <c:yMode val="edge"/>
              <c:x val="7.9364487097207496E-3"/>
              <c:y val="0.318862915573053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between"/>
      </c:valAx>
      <c:spPr>
        <a:noFill/>
        <a:ln>
          <a:solidFill>
            <a:schemeClr val="tx1"/>
          </a:solidFill>
        </a:ln>
        <a:effectLst/>
      </c:spPr>
    </c:plotArea>
    <c:legend>
      <c:legendPos val="b"/>
      <c:layout>
        <c:manualLayout>
          <c:xMode val="edge"/>
          <c:yMode val="edge"/>
          <c:x val="0.15817272840894889"/>
          <c:y val="0.91991934601924763"/>
          <c:w val="0.65499071571277467"/>
          <c:h val="5.924732064741907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78855397013265"/>
          <c:y val="6.9663987314085726E-2"/>
          <c:w val="0.84628841064857241"/>
          <c:h val="0.79939249781277344"/>
        </c:manualLayout>
      </c:layout>
      <c:barChart>
        <c:barDir val="col"/>
        <c:grouping val="stacked"/>
        <c:varyColors val="0"/>
        <c:ser>
          <c:idx val="7"/>
          <c:order val="0"/>
          <c:tx>
            <c:strRef>
              <c:f>Bioplastics!$A$35</c:f>
              <c:strCache>
                <c:ptCount val="1"/>
                <c:pt idx="0">
                  <c:v>European Union</c:v>
                </c:pt>
              </c:strCache>
            </c:strRef>
          </c:tx>
          <c:spPr>
            <a:solidFill>
              <a:srgbClr val="BEBADA"/>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Bioplastics!$B$33:$H$33</c:f>
              <c:numCache>
                <c:formatCode>General</c:formatCode>
                <c:ptCount val="7"/>
                <c:pt idx="0">
                  <c:v>2017</c:v>
                </c:pt>
                <c:pt idx="1">
                  <c:v>2018</c:v>
                </c:pt>
                <c:pt idx="2">
                  <c:v>2019</c:v>
                </c:pt>
                <c:pt idx="3">
                  <c:v>2020</c:v>
                </c:pt>
                <c:pt idx="4">
                  <c:v>2021</c:v>
                </c:pt>
                <c:pt idx="5">
                  <c:v>2022</c:v>
                </c:pt>
                <c:pt idx="6">
                  <c:v>2023</c:v>
                </c:pt>
              </c:numCache>
            </c:numRef>
          </c:cat>
          <c:val>
            <c:numRef>
              <c:f>Bioplastics!$B$35:$H$35</c:f>
              <c:numCache>
                <c:formatCode>#,##0</c:formatCode>
                <c:ptCount val="7"/>
                <c:pt idx="0">
                  <c:v>1405.5</c:v>
                </c:pt>
                <c:pt idx="1">
                  <c:v>1645.8</c:v>
                </c:pt>
                <c:pt idx="2">
                  <c:v>1907.7</c:v>
                </c:pt>
                <c:pt idx="3">
                  <c:v>1912.8</c:v>
                </c:pt>
                <c:pt idx="4">
                  <c:v>2282.5</c:v>
                </c:pt>
                <c:pt idx="5">
                  <c:v>2654.8</c:v>
                </c:pt>
                <c:pt idx="6">
                  <c:v>3033.6</c:v>
                </c:pt>
              </c:numCache>
            </c:numRef>
          </c:val>
          <c:extLst>
            <c:ext xmlns:c16="http://schemas.microsoft.com/office/drawing/2014/chart" uri="{C3380CC4-5D6E-409C-BE32-E72D297353CC}">
              <c16:uniqueId val="{00000001-4C68-4524-9747-5AB7FFE78CCB}"/>
            </c:ext>
          </c:extLst>
        </c:ser>
        <c:ser>
          <c:idx val="9"/>
          <c:order val="1"/>
          <c:tx>
            <c:strRef>
              <c:f>Bioplastics!$A$37</c:f>
              <c:strCache>
                <c:ptCount val="1"/>
                <c:pt idx="0">
                  <c:v>China </c:v>
                </c:pt>
              </c:strCache>
            </c:strRef>
          </c:tx>
          <c:spPr>
            <a:solidFill>
              <a:srgbClr val="FB807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Bioplastics!$B$33:$H$33</c:f>
              <c:numCache>
                <c:formatCode>General</c:formatCode>
                <c:ptCount val="7"/>
                <c:pt idx="0">
                  <c:v>2017</c:v>
                </c:pt>
                <c:pt idx="1">
                  <c:v>2018</c:v>
                </c:pt>
                <c:pt idx="2">
                  <c:v>2019</c:v>
                </c:pt>
                <c:pt idx="3">
                  <c:v>2020</c:v>
                </c:pt>
                <c:pt idx="4">
                  <c:v>2021</c:v>
                </c:pt>
                <c:pt idx="5">
                  <c:v>2022</c:v>
                </c:pt>
                <c:pt idx="6">
                  <c:v>2023</c:v>
                </c:pt>
              </c:numCache>
            </c:numRef>
          </c:cat>
          <c:val>
            <c:numRef>
              <c:f>Bioplastics!$B$37:$H$37</c:f>
              <c:numCache>
                <c:formatCode>#,##0</c:formatCode>
                <c:ptCount val="7"/>
                <c:pt idx="0">
                  <c:v>1539.2</c:v>
                </c:pt>
                <c:pt idx="1">
                  <c:v>1704.7</c:v>
                </c:pt>
                <c:pt idx="2">
                  <c:v>1869.4</c:v>
                </c:pt>
                <c:pt idx="3">
                  <c:v>1875.5</c:v>
                </c:pt>
                <c:pt idx="4">
                  <c:v>2183.3000000000002</c:v>
                </c:pt>
                <c:pt idx="5">
                  <c:v>2422.4</c:v>
                </c:pt>
                <c:pt idx="6">
                  <c:v>2755.2</c:v>
                </c:pt>
              </c:numCache>
            </c:numRef>
          </c:val>
          <c:extLst>
            <c:ext xmlns:c16="http://schemas.microsoft.com/office/drawing/2014/chart" uri="{C3380CC4-5D6E-409C-BE32-E72D297353CC}">
              <c16:uniqueId val="{00000000-4C68-4524-9747-5AB7FFE78CCB}"/>
            </c:ext>
          </c:extLst>
        </c:ser>
        <c:ser>
          <c:idx val="0"/>
          <c:order val="2"/>
          <c:tx>
            <c:strRef>
              <c:f>Bioplastics!$A$34</c:f>
              <c:strCache>
                <c:ptCount val="1"/>
                <c:pt idx="0">
                  <c:v>United States</c:v>
                </c:pt>
              </c:strCache>
            </c:strRef>
          </c:tx>
          <c:spPr>
            <a:solidFill>
              <a:srgbClr val="8DD3C7"/>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Bioplastics!$B$33:$H$33</c:f>
              <c:numCache>
                <c:formatCode>General</c:formatCode>
                <c:ptCount val="7"/>
                <c:pt idx="0">
                  <c:v>2017</c:v>
                </c:pt>
                <c:pt idx="1">
                  <c:v>2018</c:v>
                </c:pt>
                <c:pt idx="2">
                  <c:v>2019</c:v>
                </c:pt>
                <c:pt idx="3">
                  <c:v>2020</c:v>
                </c:pt>
                <c:pt idx="4">
                  <c:v>2021</c:v>
                </c:pt>
                <c:pt idx="5">
                  <c:v>2022</c:v>
                </c:pt>
                <c:pt idx="6">
                  <c:v>2023</c:v>
                </c:pt>
              </c:numCache>
            </c:numRef>
          </c:cat>
          <c:val>
            <c:numRef>
              <c:f>Bioplastics!$B$34:$H$34</c:f>
              <c:numCache>
                <c:formatCode>#,##0</c:formatCode>
                <c:ptCount val="7"/>
                <c:pt idx="0">
                  <c:v>764.2</c:v>
                </c:pt>
                <c:pt idx="1">
                  <c:v>862.9</c:v>
                </c:pt>
                <c:pt idx="2">
                  <c:v>965.9</c:v>
                </c:pt>
                <c:pt idx="3">
                  <c:v>967.5</c:v>
                </c:pt>
                <c:pt idx="4">
                  <c:v>1073.3</c:v>
                </c:pt>
                <c:pt idx="5">
                  <c:v>1229.4000000000001</c:v>
                </c:pt>
                <c:pt idx="6">
                  <c:v>1409.1</c:v>
                </c:pt>
              </c:numCache>
            </c:numRef>
          </c:val>
          <c:extLst>
            <c:ext xmlns:c16="http://schemas.microsoft.com/office/drawing/2014/chart" uri="{C3380CC4-5D6E-409C-BE32-E72D297353CC}">
              <c16:uniqueId val="{00000002-4C68-4524-9747-5AB7FFE78CCB}"/>
            </c:ext>
          </c:extLst>
        </c:ser>
        <c:ser>
          <c:idx val="11"/>
          <c:order val="3"/>
          <c:tx>
            <c:strRef>
              <c:f>Bioplastics!$A$39</c:f>
              <c:strCache>
                <c:ptCount val="1"/>
                <c:pt idx="0">
                  <c:v>Brazil</c:v>
                </c:pt>
              </c:strCache>
            </c:strRef>
          </c:tx>
          <c:spPr>
            <a:solidFill>
              <a:srgbClr val="FFFFB3"/>
            </a:solidFill>
            <a:ln>
              <a:solidFill>
                <a:sysClr val="windowText" lastClr="000000"/>
              </a:solidFill>
            </a:ln>
            <a:effectLst/>
          </c:spPr>
          <c:invertIfNegative val="0"/>
          <c:dLbls>
            <c:dLbl>
              <c:idx val="0"/>
              <c:layout>
                <c:manualLayout>
                  <c:x val="4.3576681702753375E-2"/>
                  <c:y val="6.90539580559721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65-44F0-9BB1-1439EDA4882E}"/>
                </c:ext>
              </c:extLst>
            </c:dLbl>
            <c:dLbl>
              <c:idx val="1"/>
              <c:layout>
                <c:manualLayout>
                  <c:x val="4.3576681702753375E-2"/>
                  <c:y val="3.452697902798543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65-44F0-9BB1-1439EDA4882E}"/>
                </c:ext>
              </c:extLst>
            </c:dLbl>
            <c:dLbl>
              <c:idx val="2"/>
              <c:layout>
                <c:manualLayout>
                  <c:x val="4.3576681702753375E-2"/>
                  <c:y val="1.381079161119467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C65-44F0-9BB1-1439EDA4882E}"/>
                </c:ext>
              </c:extLst>
            </c:dLbl>
            <c:dLbl>
              <c:idx val="3"/>
              <c:layout>
                <c:manualLayout>
                  <c:x val="3.763440692510512E-2"/>
                  <c:y val="1.03580937083958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C65-44F0-9BB1-1439EDA4882E}"/>
                </c:ext>
              </c:extLst>
            </c:dLbl>
            <c:dLbl>
              <c:idx val="4"/>
              <c:layout>
                <c:manualLayout>
                  <c:x val="5.1499714739617626E-2"/>
                  <c:y val="1.381079161119467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C65-44F0-9BB1-1439EDA4882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Bioplastics!$B$33:$H$33</c:f>
              <c:numCache>
                <c:formatCode>General</c:formatCode>
                <c:ptCount val="7"/>
                <c:pt idx="0">
                  <c:v>2017</c:v>
                </c:pt>
                <c:pt idx="1">
                  <c:v>2018</c:v>
                </c:pt>
                <c:pt idx="2">
                  <c:v>2019</c:v>
                </c:pt>
                <c:pt idx="3">
                  <c:v>2020</c:v>
                </c:pt>
                <c:pt idx="4">
                  <c:v>2021</c:v>
                </c:pt>
                <c:pt idx="5">
                  <c:v>2022</c:v>
                </c:pt>
                <c:pt idx="6">
                  <c:v>2023</c:v>
                </c:pt>
              </c:numCache>
            </c:numRef>
          </c:cat>
          <c:val>
            <c:numRef>
              <c:f>Bioplastics!$B$39:$H$39</c:f>
              <c:numCache>
                <c:formatCode>#,##0</c:formatCode>
                <c:ptCount val="7"/>
                <c:pt idx="0">
                  <c:v>321.39999999999998</c:v>
                </c:pt>
                <c:pt idx="1">
                  <c:v>353.2</c:v>
                </c:pt>
                <c:pt idx="2">
                  <c:v>382.7</c:v>
                </c:pt>
                <c:pt idx="3">
                  <c:v>381.9</c:v>
                </c:pt>
                <c:pt idx="4">
                  <c:v>465.7</c:v>
                </c:pt>
                <c:pt idx="5">
                  <c:v>530.5</c:v>
                </c:pt>
                <c:pt idx="6">
                  <c:v>580.29999999999995</c:v>
                </c:pt>
              </c:numCache>
            </c:numRef>
          </c:val>
          <c:extLst>
            <c:ext xmlns:c16="http://schemas.microsoft.com/office/drawing/2014/chart" uri="{C3380CC4-5D6E-409C-BE32-E72D297353CC}">
              <c16:uniqueId val="{00000003-4C68-4524-9747-5AB7FFE78CCB}"/>
            </c:ext>
          </c:extLst>
        </c:ser>
        <c:ser>
          <c:idx val="8"/>
          <c:order val="4"/>
          <c:tx>
            <c:strRef>
              <c:f>Bioplastics!$A$36</c:f>
              <c:strCache>
                <c:ptCount val="1"/>
                <c:pt idx="0">
                  <c:v>Canada </c:v>
                </c:pt>
              </c:strCache>
            </c:strRef>
          </c:tx>
          <c:spPr>
            <a:solidFill>
              <a:srgbClr val="FDB462"/>
            </a:solidFill>
            <a:ln>
              <a:solidFill>
                <a:sysClr val="windowText" lastClr="000000"/>
              </a:solidFill>
            </a:ln>
            <a:effectLst/>
          </c:spPr>
          <c:invertIfNegative val="0"/>
          <c:dLbls>
            <c:dLbl>
              <c:idx val="0"/>
              <c:layout>
                <c:manualLayout>
                  <c:x val="4.555743996196944E-2"/>
                  <c:y val="-1.381079161119467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65-44F0-9BB1-1439EDA4882E}"/>
                </c:ext>
              </c:extLst>
            </c:dLbl>
            <c:dLbl>
              <c:idx val="1"/>
              <c:layout>
                <c:manualLayout>
                  <c:x val="4.555743996196944E-2"/>
                  <c:y val="-1.035809370839600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65-44F0-9BB1-1439EDA4882E}"/>
                </c:ext>
              </c:extLst>
            </c:dLbl>
            <c:dLbl>
              <c:idx val="2"/>
              <c:layout>
                <c:manualLayout>
                  <c:x val="4.555743996196937E-2"/>
                  <c:y val="-6.924970155912355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65-44F0-9BB1-1439EDA4882E}"/>
                </c:ext>
              </c:extLst>
            </c:dLbl>
            <c:dLbl>
              <c:idx val="3"/>
              <c:layout>
                <c:manualLayout>
                  <c:x val="4.3576681702753306E-2"/>
                  <c:y val="-6.90539580559740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65-44F0-9BB1-1439EDA4882E}"/>
                </c:ext>
              </c:extLst>
            </c:dLbl>
            <c:dLbl>
              <c:idx val="4"/>
              <c:layout>
                <c:manualLayout>
                  <c:x val="4.1595923443537318E-2"/>
                  <c:y val="-3.45269790279873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65-44F0-9BB1-1439EDA4882E}"/>
                </c:ext>
              </c:extLst>
            </c:dLbl>
            <c:dLbl>
              <c:idx val="5"/>
              <c:layout>
                <c:manualLayout>
                  <c:x val="4.3576681702753375E-2"/>
                  <c:y val="-3.452697902798669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65-44F0-9BB1-1439EDA4882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Bioplastics!$B$33:$H$33</c:f>
              <c:numCache>
                <c:formatCode>General</c:formatCode>
                <c:ptCount val="7"/>
                <c:pt idx="0">
                  <c:v>2017</c:v>
                </c:pt>
                <c:pt idx="1">
                  <c:v>2018</c:v>
                </c:pt>
                <c:pt idx="2">
                  <c:v>2019</c:v>
                </c:pt>
                <c:pt idx="3">
                  <c:v>2020</c:v>
                </c:pt>
                <c:pt idx="4">
                  <c:v>2021</c:v>
                </c:pt>
                <c:pt idx="5">
                  <c:v>2022</c:v>
                </c:pt>
                <c:pt idx="6">
                  <c:v>2023</c:v>
                </c:pt>
              </c:numCache>
            </c:numRef>
          </c:cat>
          <c:val>
            <c:numRef>
              <c:f>Bioplastics!$B$36:$H$36</c:f>
              <c:numCache>
                <c:formatCode>#,##0</c:formatCode>
                <c:ptCount val="7"/>
                <c:pt idx="0">
                  <c:v>309</c:v>
                </c:pt>
                <c:pt idx="1">
                  <c:v>339</c:v>
                </c:pt>
                <c:pt idx="2">
                  <c:v>371.2</c:v>
                </c:pt>
                <c:pt idx="3">
                  <c:v>370.6</c:v>
                </c:pt>
                <c:pt idx="4">
                  <c:v>408.6</c:v>
                </c:pt>
                <c:pt idx="5">
                  <c:v>462.5</c:v>
                </c:pt>
                <c:pt idx="6">
                  <c:v>525</c:v>
                </c:pt>
              </c:numCache>
            </c:numRef>
          </c:val>
          <c:extLst>
            <c:ext xmlns:c16="http://schemas.microsoft.com/office/drawing/2014/chart" uri="{C3380CC4-5D6E-409C-BE32-E72D297353CC}">
              <c16:uniqueId val="{00000004-4C68-4524-9747-5AB7FFE78CCB}"/>
            </c:ext>
          </c:extLst>
        </c:ser>
        <c:dLbls>
          <c:dLblPos val="ctr"/>
          <c:showLegendKey val="0"/>
          <c:showVal val="1"/>
          <c:showCatName val="0"/>
          <c:showSerName val="0"/>
          <c:showPercent val="0"/>
          <c:showBubbleSize val="0"/>
        </c:dLbls>
        <c:gapWidth val="150"/>
        <c:overlap val="100"/>
        <c:axId val="146964031"/>
        <c:axId val="1495758239"/>
      </c:barChart>
      <c:catAx>
        <c:axId val="14696403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95758239"/>
        <c:crosses val="autoZero"/>
        <c:auto val="1"/>
        <c:lblAlgn val="ctr"/>
        <c:lblOffset val="100"/>
        <c:noMultiLvlLbl val="0"/>
      </c:catAx>
      <c:valAx>
        <c:axId val="1495758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ES"/>
                  <a:t>Million dollars</a:t>
                </a:r>
              </a:p>
            </c:rich>
          </c:tx>
          <c:layout>
            <c:manualLayout>
              <c:xMode val="edge"/>
              <c:yMode val="edge"/>
              <c:x val="7.9364487097207496E-3"/>
              <c:y val="0.336224026684164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46964031"/>
        <c:crosses val="autoZero"/>
        <c:crossBetween val="between"/>
      </c:valAx>
      <c:spPr>
        <a:noFill/>
        <a:ln>
          <a:solidFill>
            <a:schemeClr val="tx1"/>
          </a:solidFill>
        </a:ln>
        <a:effectLst/>
      </c:spPr>
    </c:plotArea>
    <c:legend>
      <c:legendPos val="b"/>
      <c:layout>
        <c:manualLayout>
          <c:xMode val="edge"/>
          <c:yMode val="edge"/>
          <c:x val="0.15817272840894889"/>
          <c:y val="0.91991934601924763"/>
          <c:w val="0.64986390128505545"/>
          <c:h val="5.924732064741907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OilC!$B$1</c:f>
              <c:strCache>
                <c:ptCount val="1"/>
                <c:pt idx="0">
                  <c:v>Biodiesel</c:v>
                </c:pt>
              </c:strCache>
            </c:strRef>
          </c:tx>
          <c:spPr>
            <a:solidFill>
              <a:srgbClr val="ABDDA4"/>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OilC!$A$2:$A$7</c:f>
              <c:strCache>
                <c:ptCount val="6"/>
                <c:pt idx="0">
                  <c:v>BP</c:v>
                </c:pt>
                <c:pt idx="1">
                  <c:v>Chevron</c:v>
                </c:pt>
                <c:pt idx="2">
                  <c:v>Eni</c:v>
                </c:pt>
                <c:pt idx="3">
                  <c:v>Shell</c:v>
                </c:pt>
                <c:pt idx="4">
                  <c:v>TotalEnergies</c:v>
                </c:pt>
                <c:pt idx="5">
                  <c:v>ExxonMobil</c:v>
                </c:pt>
              </c:strCache>
            </c:strRef>
          </c:cat>
          <c:val>
            <c:numRef>
              <c:f>OilC!$B$2:$B$7</c:f>
              <c:numCache>
                <c:formatCode>General</c:formatCode>
                <c:ptCount val="6"/>
                <c:pt idx="1">
                  <c:v>16</c:v>
                </c:pt>
              </c:numCache>
            </c:numRef>
          </c:val>
          <c:extLst>
            <c:ext xmlns:c16="http://schemas.microsoft.com/office/drawing/2014/chart" uri="{C3380CC4-5D6E-409C-BE32-E72D297353CC}">
              <c16:uniqueId val="{00000000-E564-4CC5-A389-BCFEE53C22BB}"/>
            </c:ext>
          </c:extLst>
        </c:ser>
        <c:ser>
          <c:idx val="1"/>
          <c:order val="1"/>
          <c:tx>
            <c:strRef>
              <c:f>OilC!$C$1</c:f>
              <c:strCache>
                <c:ptCount val="1"/>
                <c:pt idx="0">
                  <c:v>Ethanol</c:v>
                </c:pt>
              </c:strCache>
            </c:strRef>
          </c:tx>
          <c:spPr>
            <a:solidFill>
              <a:srgbClr val="2B83BA"/>
            </a:solidFill>
            <a:ln w="9525">
              <a:solidFill>
                <a:sysClr val="windowText" lastClr="000000"/>
              </a:solid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extLst>
                <c:ext xmlns:c16="http://schemas.microsoft.com/office/drawing/2014/chart" uri="{C3380CC4-5D6E-409C-BE32-E72D297353CC}">
                  <c16:uniqueId val="{00000005-E564-4CC5-A389-BCFEE53C22BB}"/>
                </c:ext>
              </c:extLst>
            </c:dLbl>
            <c:dLbl>
              <c:idx val="2"/>
              <c:layout>
                <c:manualLayout>
                  <c:x val="-7.304942255376085E-17"/>
                  <c:y val="-4.51388888888888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64-4CC5-A389-BCFEE53C22B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OilC!$A$2:$A$7</c:f>
              <c:strCache>
                <c:ptCount val="6"/>
                <c:pt idx="0">
                  <c:v>BP</c:v>
                </c:pt>
                <c:pt idx="1">
                  <c:v>Chevron</c:v>
                </c:pt>
                <c:pt idx="2">
                  <c:v>Eni</c:v>
                </c:pt>
                <c:pt idx="3">
                  <c:v>Shell</c:v>
                </c:pt>
                <c:pt idx="4">
                  <c:v>TotalEnergies</c:v>
                </c:pt>
                <c:pt idx="5">
                  <c:v>ExxonMobil</c:v>
                </c:pt>
              </c:strCache>
            </c:strRef>
          </c:cat>
          <c:val>
            <c:numRef>
              <c:f>OilC!$C$2:$C$7</c:f>
              <c:numCache>
                <c:formatCode>General</c:formatCode>
                <c:ptCount val="6"/>
                <c:pt idx="0">
                  <c:v>55</c:v>
                </c:pt>
                <c:pt idx="2">
                  <c:v>2</c:v>
                </c:pt>
              </c:numCache>
            </c:numRef>
          </c:val>
          <c:extLst>
            <c:ext xmlns:c16="http://schemas.microsoft.com/office/drawing/2014/chart" uri="{C3380CC4-5D6E-409C-BE32-E72D297353CC}">
              <c16:uniqueId val="{00000001-E564-4CC5-A389-BCFEE53C22BB}"/>
            </c:ext>
          </c:extLst>
        </c:ser>
        <c:ser>
          <c:idx val="2"/>
          <c:order val="2"/>
          <c:tx>
            <c:strRef>
              <c:f>OilC!$D$1</c:f>
              <c:strCache>
                <c:ptCount val="1"/>
                <c:pt idx="0">
                  <c:v>Renewable Diesel/SAF</c:v>
                </c:pt>
              </c:strCache>
            </c:strRef>
          </c:tx>
          <c:spPr>
            <a:solidFill>
              <a:srgbClr val="FDB46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OilC!$A$2:$A$7</c:f>
              <c:strCache>
                <c:ptCount val="6"/>
                <c:pt idx="0">
                  <c:v>BP</c:v>
                </c:pt>
                <c:pt idx="1">
                  <c:v>Chevron</c:v>
                </c:pt>
                <c:pt idx="2">
                  <c:v>Eni</c:v>
                </c:pt>
                <c:pt idx="3">
                  <c:v>Shell</c:v>
                </c:pt>
                <c:pt idx="4">
                  <c:v>TotalEnergies</c:v>
                </c:pt>
                <c:pt idx="5">
                  <c:v>ExxonMobil</c:v>
                </c:pt>
              </c:strCache>
            </c:strRef>
          </c:cat>
          <c:val>
            <c:numRef>
              <c:f>OilC!$D$2:$D$7</c:f>
              <c:numCache>
                <c:formatCode>General</c:formatCode>
                <c:ptCount val="6"/>
                <c:pt idx="0">
                  <c:v>49</c:v>
                </c:pt>
                <c:pt idx="1">
                  <c:v>31</c:v>
                </c:pt>
                <c:pt idx="2">
                  <c:v>37</c:v>
                </c:pt>
                <c:pt idx="3">
                  <c:v>31</c:v>
                </c:pt>
                <c:pt idx="4">
                  <c:v>20</c:v>
                </c:pt>
                <c:pt idx="5">
                  <c:v>19</c:v>
                </c:pt>
              </c:numCache>
            </c:numRef>
          </c:val>
          <c:extLst>
            <c:ext xmlns:c16="http://schemas.microsoft.com/office/drawing/2014/chart" uri="{C3380CC4-5D6E-409C-BE32-E72D297353CC}">
              <c16:uniqueId val="{00000002-E564-4CC5-A389-BCFEE53C22BB}"/>
            </c:ext>
          </c:extLst>
        </c:ser>
        <c:dLbls>
          <c:dLblPos val="ctr"/>
          <c:showLegendKey val="0"/>
          <c:showVal val="1"/>
          <c:showCatName val="0"/>
          <c:showSerName val="0"/>
          <c:showPercent val="0"/>
          <c:showBubbleSize val="0"/>
        </c:dLbls>
        <c:gapWidth val="150"/>
        <c:overlap val="100"/>
        <c:axId val="1624724208"/>
        <c:axId val="1624702608"/>
      </c:barChart>
      <c:lineChart>
        <c:grouping val="standard"/>
        <c:varyColors val="0"/>
        <c:ser>
          <c:idx val="3"/>
          <c:order val="3"/>
          <c:tx>
            <c:v>  </c:v>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OilC!$A$2:$A$7</c:f>
              <c:strCache>
                <c:ptCount val="6"/>
                <c:pt idx="0">
                  <c:v>BP</c:v>
                </c:pt>
                <c:pt idx="1">
                  <c:v>Chevron</c:v>
                </c:pt>
                <c:pt idx="2">
                  <c:v>Eni</c:v>
                </c:pt>
                <c:pt idx="3">
                  <c:v>Shell</c:v>
                </c:pt>
                <c:pt idx="4">
                  <c:v>TotalEnergies</c:v>
                </c:pt>
                <c:pt idx="5">
                  <c:v>ExxonMobil</c:v>
                </c:pt>
              </c:strCache>
            </c:strRef>
          </c:cat>
          <c:val>
            <c:numRef>
              <c:f>OilC!$E$2:$E$7</c:f>
              <c:numCache>
                <c:formatCode>General</c:formatCode>
                <c:ptCount val="6"/>
                <c:pt idx="0">
                  <c:v>104</c:v>
                </c:pt>
                <c:pt idx="1">
                  <c:v>47</c:v>
                </c:pt>
                <c:pt idx="2">
                  <c:v>39</c:v>
                </c:pt>
                <c:pt idx="3">
                  <c:v>31</c:v>
                </c:pt>
                <c:pt idx="4">
                  <c:v>20</c:v>
                </c:pt>
                <c:pt idx="5">
                  <c:v>19</c:v>
                </c:pt>
              </c:numCache>
            </c:numRef>
          </c:val>
          <c:smooth val="0"/>
          <c:extLst>
            <c:ext xmlns:c16="http://schemas.microsoft.com/office/drawing/2014/chart" uri="{C3380CC4-5D6E-409C-BE32-E72D297353CC}">
              <c16:uniqueId val="{00000004-E564-4CC5-A389-BCFEE53C22BB}"/>
            </c:ext>
          </c:extLst>
        </c:ser>
        <c:dLbls>
          <c:showLegendKey val="0"/>
          <c:showVal val="0"/>
          <c:showCatName val="0"/>
          <c:showSerName val="0"/>
          <c:showPercent val="0"/>
          <c:showBubbleSize val="0"/>
        </c:dLbls>
        <c:marker val="1"/>
        <c:smooth val="0"/>
        <c:axId val="1934083600"/>
        <c:axId val="1934099440"/>
      </c:lineChart>
      <c:catAx>
        <c:axId val="1624724208"/>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624702608"/>
        <c:crosses val="autoZero"/>
        <c:auto val="1"/>
        <c:lblAlgn val="ctr"/>
        <c:lblOffset val="100"/>
        <c:noMultiLvlLbl val="0"/>
      </c:catAx>
      <c:valAx>
        <c:axId val="162470260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ES"/>
                  <a:t>Thousand Barrels per 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General"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624724208"/>
        <c:crosses val="autoZero"/>
        <c:crossBetween val="between"/>
      </c:valAx>
      <c:valAx>
        <c:axId val="1934099440"/>
        <c:scaling>
          <c:orientation val="minMax"/>
        </c:scaling>
        <c:delete val="1"/>
        <c:axPos val="r"/>
        <c:numFmt formatCode="General" sourceLinked="1"/>
        <c:majorTickMark val="out"/>
        <c:minorTickMark val="none"/>
        <c:tickLblPos val="nextTo"/>
        <c:crossAx val="1934083600"/>
        <c:crosses val="max"/>
        <c:crossBetween val="between"/>
      </c:valAx>
      <c:catAx>
        <c:axId val="1934083600"/>
        <c:scaling>
          <c:orientation val="minMax"/>
        </c:scaling>
        <c:delete val="1"/>
        <c:axPos val="b"/>
        <c:numFmt formatCode="General" sourceLinked="1"/>
        <c:majorTickMark val="out"/>
        <c:minorTickMark val="none"/>
        <c:tickLblPos val="nextTo"/>
        <c:crossAx val="1934099440"/>
        <c:crosses val="autoZero"/>
        <c:auto val="1"/>
        <c:lblAlgn val="ctr"/>
        <c:lblOffset val="100"/>
        <c:noMultiLvlLbl val="0"/>
      </c:catAx>
      <c:spPr>
        <a:noFill/>
        <a:ln>
          <a:solidFill>
            <a:sysClr val="windowText" lastClr="000000"/>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sunburst" uniqueId="{7A65189D-8977-4A34-8584-B376ADC64628}">
          <cx:spPr>
            <a:ln w="3175">
              <a:solidFill>
                <a:sysClr val="windowText" lastClr="000000"/>
              </a:solidFill>
            </a:ln>
          </cx:spPr>
          <cx:dataLabels pos="ctr">
            <cx:txPr>
              <a:bodyPr spcFirstLastPara="1" vertOverflow="ellipsis" horzOverflow="overflow" wrap="square" lIns="0" tIns="0" rIns="0" bIns="0" anchor="ctr" anchorCtr="1"/>
              <a:lstStyle/>
              <a:p>
                <a:pPr algn="ctr" rtl="0">
                  <a:defRPr>
                    <a:latin typeface="Arial" panose="020B0604020202020204" pitchFamily="34" charset="0"/>
                    <a:ea typeface="Arial" panose="020B0604020202020204" pitchFamily="34" charset="0"/>
                    <a:cs typeface="Arial" panose="020B0604020202020204" pitchFamily="34" charset="0"/>
                  </a:defRPr>
                </a:pPr>
                <a:endParaRPr lang="en-US" sz="900" b="0" i="0" u="none" strike="noStrike" baseline="0">
                  <a:solidFill>
                    <a:sysClr val="window" lastClr="FFFFFF"/>
                  </a:solidFill>
                  <a:latin typeface="Arial" panose="020B0604020202020204" pitchFamily="34" charset="0"/>
                  <a:cs typeface="Arial" panose="020B0604020202020204" pitchFamily="34" charset="0"/>
                </a:endParaRPr>
              </a:p>
            </cx:txP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3.xml"/><Relationship Id="rId2" Type="http://schemas.openxmlformats.org/officeDocument/2006/relationships/chart" Target="../charts/chart4.xml"/><Relationship Id="rId16" Type="http://schemas.openxmlformats.org/officeDocument/2006/relationships/chart" Target="../charts/chart17.xml"/><Relationship Id="rId1" Type="http://schemas.openxmlformats.org/officeDocument/2006/relationships/chart" Target="../charts/chart3.xml"/><Relationship Id="rId6" Type="http://schemas.openxmlformats.org/officeDocument/2006/relationships/chart" Target="../charts/chart8.xml"/><Relationship Id="rId11" Type="http://schemas.microsoft.com/office/2014/relationships/chartEx" Target="../charts/chartEx1.xml"/><Relationship Id="rId5" Type="http://schemas.openxmlformats.org/officeDocument/2006/relationships/chart" Target="../charts/chart7.xml"/><Relationship Id="rId15" Type="http://schemas.openxmlformats.org/officeDocument/2006/relationships/chart" Target="../charts/chart16.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180975</xdr:colOff>
      <xdr:row>15</xdr:row>
      <xdr:rowOff>133350</xdr:rowOff>
    </xdr:from>
    <xdr:to>
      <xdr:col>6</xdr:col>
      <xdr:colOff>590550</xdr:colOff>
      <xdr:row>35</xdr:row>
      <xdr:rowOff>28575</xdr:rowOff>
    </xdr:to>
    <xdr:graphicFrame macro="">
      <xdr:nvGraphicFramePr>
        <xdr:cNvPr id="2" name="Chart 1">
          <a:extLst>
            <a:ext uri="{FF2B5EF4-FFF2-40B4-BE49-F238E27FC236}">
              <a16:creationId xmlns:a16="http://schemas.microsoft.com/office/drawing/2014/main" id="{1AD011D1-4B1A-4F1C-9CE0-EC97A6311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16</xdr:row>
      <xdr:rowOff>0</xdr:rowOff>
    </xdr:from>
    <xdr:to>
      <xdr:col>15</xdr:col>
      <xdr:colOff>314325</xdr:colOff>
      <xdr:row>30</xdr:row>
      <xdr:rowOff>66675</xdr:rowOff>
    </xdr:to>
    <xdr:graphicFrame macro="">
      <xdr:nvGraphicFramePr>
        <xdr:cNvPr id="3" name="Chart 2">
          <a:extLst>
            <a:ext uri="{FF2B5EF4-FFF2-40B4-BE49-F238E27FC236}">
              <a16:creationId xmlns:a16="http://schemas.microsoft.com/office/drawing/2014/main" id="{6CE5E3BF-0BA4-4D3F-84B3-97D9CB725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608240</xdr:colOff>
      <xdr:row>135</xdr:row>
      <xdr:rowOff>127227</xdr:rowOff>
    </xdr:from>
    <xdr:to>
      <xdr:col>18</xdr:col>
      <xdr:colOff>357869</xdr:colOff>
      <xdr:row>150</xdr:row>
      <xdr:rowOff>12927</xdr:rowOff>
    </xdr:to>
    <xdr:graphicFrame macro="">
      <xdr:nvGraphicFramePr>
        <xdr:cNvPr id="10" name="Chart 9">
          <a:extLst>
            <a:ext uri="{FF2B5EF4-FFF2-40B4-BE49-F238E27FC236}">
              <a16:creationId xmlns:a16="http://schemas.microsoft.com/office/drawing/2014/main" id="{C187F894-A511-A282-27D7-55CA7EEAB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23809</xdr:colOff>
      <xdr:row>133</xdr:row>
      <xdr:rowOff>17689</xdr:rowOff>
    </xdr:from>
    <xdr:to>
      <xdr:col>30</xdr:col>
      <xdr:colOff>115249</xdr:colOff>
      <xdr:row>147</xdr:row>
      <xdr:rowOff>112940</xdr:rowOff>
    </xdr:to>
    <xdr:graphicFrame macro="">
      <xdr:nvGraphicFramePr>
        <xdr:cNvPr id="11" name="Chart 10">
          <a:extLst>
            <a:ext uri="{FF2B5EF4-FFF2-40B4-BE49-F238E27FC236}">
              <a16:creationId xmlns:a16="http://schemas.microsoft.com/office/drawing/2014/main" id="{E80E59F3-4F99-6B61-A7F7-4FB810FFC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13608</xdr:colOff>
      <xdr:row>148</xdr:row>
      <xdr:rowOff>172811</xdr:rowOff>
    </xdr:from>
    <xdr:to>
      <xdr:col>30</xdr:col>
      <xdr:colOff>105048</xdr:colOff>
      <xdr:row>163</xdr:row>
      <xdr:rowOff>58511</xdr:rowOff>
    </xdr:to>
    <xdr:graphicFrame macro="">
      <xdr:nvGraphicFramePr>
        <xdr:cNvPr id="13" name="Chart 12">
          <a:extLst>
            <a:ext uri="{FF2B5EF4-FFF2-40B4-BE49-F238E27FC236}">
              <a16:creationId xmlns:a16="http://schemas.microsoft.com/office/drawing/2014/main" id="{12CD3127-9CCA-4904-AF00-0ACC5D6AB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70</xdr:row>
      <xdr:rowOff>42862</xdr:rowOff>
    </xdr:from>
    <xdr:to>
      <xdr:col>11</xdr:col>
      <xdr:colOff>349624</xdr:colOff>
      <xdr:row>89</xdr:row>
      <xdr:rowOff>80962</xdr:rowOff>
    </xdr:to>
    <xdr:graphicFrame macro="">
      <xdr:nvGraphicFramePr>
        <xdr:cNvPr id="6" name="Chart 5">
          <a:extLst>
            <a:ext uri="{FF2B5EF4-FFF2-40B4-BE49-F238E27FC236}">
              <a16:creationId xmlns:a16="http://schemas.microsoft.com/office/drawing/2014/main" id="{5602DD89-483B-4519-84C7-C829B203B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37139</xdr:colOff>
      <xdr:row>70</xdr:row>
      <xdr:rowOff>145677</xdr:rowOff>
    </xdr:from>
    <xdr:to>
      <xdr:col>21</xdr:col>
      <xdr:colOff>409174</xdr:colOff>
      <xdr:row>89</xdr:row>
      <xdr:rowOff>183777</xdr:rowOff>
    </xdr:to>
    <xdr:graphicFrame macro="">
      <xdr:nvGraphicFramePr>
        <xdr:cNvPr id="9" name="Chart 8">
          <a:extLst>
            <a:ext uri="{FF2B5EF4-FFF2-40B4-BE49-F238E27FC236}">
              <a16:creationId xmlns:a16="http://schemas.microsoft.com/office/drawing/2014/main" id="{89F370F2-69CB-4DCF-9395-5F110BE74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91</xdr:row>
      <xdr:rowOff>0</xdr:rowOff>
    </xdr:from>
    <xdr:to>
      <xdr:col>11</xdr:col>
      <xdr:colOff>304800</xdr:colOff>
      <xdr:row>110</xdr:row>
      <xdr:rowOff>38100</xdr:rowOff>
    </xdr:to>
    <xdr:graphicFrame macro="">
      <xdr:nvGraphicFramePr>
        <xdr:cNvPr id="12" name="Chart 11">
          <a:extLst>
            <a:ext uri="{FF2B5EF4-FFF2-40B4-BE49-F238E27FC236}">
              <a16:creationId xmlns:a16="http://schemas.microsoft.com/office/drawing/2014/main" id="{AFF948C7-2DE1-47B7-8918-E3540B7D9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609599</xdr:colOff>
      <xdr:row>91</xdr:row>
      <xdr:rowOff>0</xdr:rowOff>
    </xdr:from>
    <xdr:to>
      <xdr:col>22</xdr:col>
      <xdr:colOff>304799</xdr:colOff>
      <xdr:row>110</xdr:row>
      <xdr:rowOff>38100</xdr:rowOff>
    </xdr:to>
    <xdr:graphicFrame macro="">
      <xdr:nvGraphicFramePr>
        <xdr:cNvPr id="14" name="Chart 13">
          <a:extLst>
            <a:ext uri="{FF2B5EF4-FFF2-40B4-BE49-F238E27FC236}">
              <a16:creationId xmlns:a16="http://schemas.microsoft.com/office/drawing/2014/main" id="{9544D4C7-14AC-4E61-BDD2-F3DDB471B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2919288</xdr:colOff>
      <xdr:row>110</xdr:row>
      <xdr:rowOff>180810</xdr:rowOff>
    </xdr:from>
    <xdr:to>
      <xdr:col>11</xdr:col>
      <xdr:colOff>248347</xdr:colOff>
      <xdr:row>130</xdr:row>
      <xdr:rowOff>26754</xdr:rowOff>
    </xdr:to>
    <xdr:graphicFrame macro="">
      <xdr:nvGraphicFramePr>
        <xdr:cNvPr id="15" name="Chart 14">
          <a:extLst>
            <a:ext uri="{FF2B5EF4-FFF2-40B4-BE49-F238E27FC236}">
              <a16:creationId xmlns:a16="http://schemas.microsoft.com/office/drawing/2014/main" id="{3ACCFD04-E1E0-4F08-B52D-170E90314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0</xdr:colOff>
      <xdr:row>111</xdr:row>
      <xdr:rowOff>190499</xdr:rowOff>
    </xdr:from>
    <xdr:to>
      <xdr:col>21</xdr:col>
      <xdr:colOff>304800</xdr:colOff>
      <xdr:row>131</xdr:row>
      <xdr:rowOff>38099</xdr:rowOff>
    </xdr:to>
    <xdr:graphicFrame macro="">
      <xdr:nvGraphicFramePr>
        <xdr:cNvPr id="16" name="Chart 15">
          <a:extLst>
            <a:ext uri="{FF2B5EF4-FFF2-40B4-BE49-F238E27FC236}">
              <a16:creationId xmlns:a16="http://schemas.microsoft.com/office/drawing/2014/main" id="{78F45586-C130-4458-9217-6DEC4545E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133</xdr:row>
      <xdr:rowOff>0</xdr:rowOff>
    </xdr:from>
    <xdr:to>
      <xdr:col>11</xdr:col>
      <xdr:colOff>349624</xdr:colOff>
      <xdr:row>152</xdr:row>
      <xdr:rowOff>38100</xdr:rowOff>
    </xdr:to>
    <xdr:graphicFrame macro="">
      <xdr:nvGraphicFramePr>
        <xdr:cNvPr id="17" name="Chart 16">
          <a:extLst>
            <a:ext uri="{FF2B5EF4-FFF2-40B4-BE49-F238E27FC236}">
              <a16:creationId xmlns:a16="http://schemas.microsoft.com/office/drawing/2014/main" id="{6BC948FA-4055-41B2-BEA3-9A7638AB1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330573</xdr:colOff>
      <xdr:row>160</xdr:row>
      <xdr:rowOff>133043</xdr:rowOff>
    </xdr:from>
    <xdr:to>
      <xdr:col>26</xdr:col>
      <xdr:colOff>81191</xdr:colOff>
      <xdr:row>179</xdr:row>
      <xdr:rowOff>171143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9231271-9256-B793-18EC-EA83F47B8F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3046448" y="31070243"/>
              <a:ext cx="5818043" cy="3657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39221</xdr:colOff>
      <xdr:row>172</xdr:row>
      <xdr:rowOff>158001</xdr:rowOff>
    </xdr:from>
    <xdr:to>
      <xdr:col>7</xdr:col>
      <xdr:colOff>361950</xdr:colOff>
      <xdr:row>187</xdr:row>
      <xdr:rowOff>43701</xdr:rowOff>
    </xdr:to>
    <xdr:graphicFrame macro="">
      <xdr:nvGraphicFramePr>
        <xdr:cNvPr id="2" name="Chart 1">
          <a:extLst>
            <a:ext uri="{FF2B5EF4-FFF2-40B4-BE49-F238E27FC236}">
              <a16:creationId xmlns:a16="http://schemas.microsoft.com/office/drawing/2014/main" id="{6E76AFE3-4619-9BF9-1471-42B1253FC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403412</xdr:colOff>
      <xdr:row>172</xdr:row>
      <xdr:rowOff>145676</xdr:rowOff>
    </xdr:from>
    <xdr:to>
      <xdr:col>17</xdr:col>
      <xdr:colOff>121024</xdr:colOff>
      <xdr:row>187</xdr:row>
      <xdr:rowOff>31376</xdr:rowOff>
    </xdr:to>
    <xdr:graphicFrame macro="">
      <xdr:nvGraphicFramePr>
        <xdr:cNvPr id="3" name="Chart 2">
          <a:extLst>
            <a:ext uri="{FF2B5EF4-FFF2-40B4-BE49-F238E27FC236}">
              <a16:creationId xmlns:a16="http://schemas.microsoft.com/office/drawing/2014/main" id="{BE3A90DB-20C1-452E-A30B-1A5B902BF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448236</xdr:colOff>
      <xdr:row>172</xdr:row>
      <xdr:rowOff>156882</xdr:rowOff>
    </xdr:from>
    <xdr:to>
      <xdr:col>12</xdr:col>
      <xdr:colOff>165848</xdr:colOff>
      <xdr:row>187</xdr:row>
      <xdr:rowOff>42582</xdr:rowOff>
    </xdr:to>
    <xdr:graphicFrame macro="">
      <xdr:nvGraphicFramePr>
        <xdr:cNvPr id="5" name="Chart 4">
          <a:extLst>
            <a:ext uri="{FF2B5EF4-FFF2-40B4-BE49-F238E27FC236}">
              <a16:creationId xmlns:a16="http://schemas.microsoft.com/office/drawing/2014/main" id="{413DADDB-776C-4CC9-8B77-634FEA5A8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549089</xdr:colOff>
      <xdr:row>92</xdr:row>
      <xdr:rowOff>0</xdr:rowOff>
    </xdr:from>
    <xdr:to>
      <xdr:col>35</xdr:col>
      <xdr:colOff>484095</xdr:colOff>
      <xdr:row>111</xdr:row>
      <xdr:rowOff>38100</xdr:rowOff>
    </xdr:to>
    <xdr:graphicFrame macro="">
      <xdr:nvGraphicFramePr>
        <xdr:cNvPr id="18" name="Chart 17">
          <a:extLst>
            <a:ext uri="{FF2B5EF4-FFF2-40B4-BE49-F238E27FC236}">
              <a16:creationId xmlns:a16="http://schemas.microsoft.com/office/drawing/2014/main" id="{78CCF5AE-7620-41A9-B790-1F0BD272B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36</xdr:col>
      <xdr:colOff>0</xdr:colOff>
      <xdr:row>92</xdr:row>
      <xdr:rowOff>0</xdr:rowOff>
    </xdr:from>
    <xdr:to>
      <xdr:col>42</xdr:col>
      <xdr:colOff>484094</xdr:colOff>
      <xdr:row>111</xdr:row>
      <xdr:rowOff>38100</xdr:rowOff>
    </xdr:to>
    <xdr:graphicFrame macro="">
      <xdr:nvGraphicFramePr>
        <xdr:cNvPr id="19" name="Chart 18">
          <a:extLst>
            <a:ext uri="{FF2B5EF4-FFF2-40B4-BE49-F238E27FC236}">
              <a16:creationId xmlns:a16="http://schemas.microsoft.com/office/drawing/2014/main" id="{9BFE0EC9-A9D2-4676-966F-633314A79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276785</xdr:colOff>
      <xdr:row>48</xdr:row>
      <xdr:rowOff>20731</xdr:rowOff>
    </xdr:from>
    <xdr:to>
      <xdr:col>7</xdr:col>
      <xdr:colOff>24093</xdr:colOff>
      <xdr:row>67</xdr:row>
      <xdr:rowOff>58831</xdr:rowOff>
    </xdr:to>
    <xdr:graphicFrame macro="">
      <xdr:nvGraphicFramePr>
        <xdr:cNvPr id="4" name="Chart 3">
          <a:extLst>
            <a:ext uri="{FF2B5EF4-FFF2-40B4-BE49-F238E27FC236}">
              <a16:creationId xmlns:a16="http://schemas.microsoft.com/office/drawing/2014/main" id="{BA318803-E8F0-416D-939A-1970A2156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92448</xdr:colOff>
      <xdr:row>47</xdr:row>
      <xdr:rowOff>80683</xdr:rowOff>
    </xdr:from>
    <xdr:to>
      <xdr:col>14</xdr:col>
      <xdr:colOff>373716</xdr:colOff>
      <xdr:row>66</xdr:row>
      <xdr:rowOff>118783</xdr:rowOff>
    </xdr:to>
    <xdr:graphicFrame macro="">
      <xdr:nvGraphicFramePr>
        <xdr:cNvPr id="6" name="Chart 5">
          <a:extLst>
            <a:ext uri="{FF2B5EF4-FFF2-40B4-BE49-F238E27FC236}">
              <a16:creationId xmlns:a16="http://schemas.microsoft.com/office/drawing/2014/main" id="{2E6BF1BD-1C59-4758-9B91-BACC5F346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438150</xdr:colOff>
      <xdr:row>6</xdr:row>
      <xdr:rowOff>33337</xdr:rowOff>
    </xdr:from>
    <xdr:to>
      <xdr:col>24</xdr:col>
      <xdr:colOff>133350</xdr:colOff>
      <xdr:row>25</xdr:row>
      <xdr:rowOff>71437</xdr:rowOff>
    </xdr:to>
    <xdr:graphicFrame macro="">
      <xdr:nvGraphicFramePr>
        <xdr:cNvPr id="2" name="Chart 1">
          <a:extLst>
            <a:ext uri="{FF2B5EF4-FFF2-40B4-BE49-F238E27FC236}">
              <a16:creationId xmlns:a16="http://schemas.microsoft.com/office/drawing/2014/main" id="{D980F494-1F71-E48A-3596-8C2C126BF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01585D-068F-4C91-9170-6F2EA5435944}" name="Table1" displayName="Table1" ref="A2:H9" totalsRowShown="0" headerRowDxfId="17" dataDxfId="16">
  <autoFilter ref="A2:H9" xr:uid="{6301585D-068F-4C91-9170-6F2EA5435944}"/>
  <tableColumns count="8">
    <tableColumn id="1" xr3:uid="{B4E455DE-F40B-48A9-BC45-448B91D98128}" name="Country/Compact" dataDxfId="15"/>
    <tableColumn id="2" xr3:uid="{A570D549-F53F-4707-823E-1CA35162504F}" name="Title" dataDxfId="14"/>
    <tableColumn id="3" xr3:uid="{8E0583D7-77C7-4AAA-9050-29E7988A5B29}" name="Specific Actions/Effects_x000a_(Quotes added in order of links/title of policies)" dataDxfId="13"/>
    <tableColumn id="4" xr3:uid="{5CAE7F81-EDCD-4CF7-95B7-AC54737DB712}" name="Explanation" dataDxfId="12"/>
    <tableColumn id="5" xr3:uid="{714C6CE5-D1A5-49D6-B454-68660B97992F}" name="Dates in Place" dataDxfId="11"/>
    <tableColumn id="6" xr3:uid="{DBE82450-842C-41DF-9C09-DE55615466C4}" name="Scale (state or federal, compact or national)" dataDxfId="10"/>
    <tableColumn id="7" xr3:uid="{FD378C97-E44D-4199-9DCE-43A788185538}" name="Link" dataDxfId="9"/>
    <tableColumn id="8" xr3:uid="{A0D014F6-AB81-4FDB-93F3-570A212D019B}" name="Extra Information"/>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894C39-0AB8-4AE4-803E-D9A4FEC273C6}" name="Table2" displayName="Table2" ref="A2:G9" totalsRowShown="0" headerRowDxfId="8" dataDxfId="7">
  <autoFilter ref="A2:G9" xr:uid="{5B894C39-0AB8-4AE4-803E-D9A4FEC273C6}"/>
  <tableColumns count="7">
    <tableColumn id="1" xr3:uid="{3C643E1A-9A68-4D1D-9459-8F1933116575}" name="Country/Compact" dataDxfId="6"/>
    <tableColumn id="2" xr3:uid="{BBBAED40-513B-42F1-ADA7-ADDBCF29C701}" name="Title" dataDxfId="5"/>
    <tableColumn id="3" xr3:uid="{FAD9C34A-1AD2-4EC0-AA59-91E7F84775A7}" name="Specific Actions/Effects_x000a_(Quotes added in order of links/title of policies)" dataDxfId="4"/>
    <tableColumn id="4" xr3:uid="{CAB4D05D-05EB-4F2D-A089-F3D7A9FBEBE1}" name="Explanation" dataDxfId="3"/>
    <tableColumn id="5" xr3:uid="{9ABE97C3-7CAA-4DF7-8BC2-367936BDAB50}" name="Dates in Place" dataDxfId="2"/>
    <tableColumn id="6" xr3:uid="{B2240B0D-09F2-4B72-9CB4-C6205E2AA421}" name="Scale (state or federal, compact or national)" dataDxfId="1"/>
    <tableColumn id="7" xr3:uid="{C4A8D3B4-5AB2-44A0-BC6F-B84BB3C21D95}" name="Link"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ecd-ilibrary.org/agriculture-and-food/data/oecd-agriculture-statistics/oecd-fao-agricultural-outlook-edition-2023_3f870a2b-en" TargetMode="External"/><Relationship Id="rId1" Type="http://schemas.openxmlformats.org/officeDocument/2006/relationships/hyperlink" Target="https://www.oecd-ilibrary.org/agriculture-and-food/data/oecd-agriculture-statistics/oecd-fao-agricultural-outlook-edition-2023_3f870a2b-e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ecd-ilibrary.org/agriculture-and-food/data/oecd-agriculture-statistics/oecd-fao-agricultural-outlook-edition-2023_3f870a2b-e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iea.org/reports/renewables-2023/transport-biofuels" TargetMode="External"/><Relationship Id="rId3" Type="http://schemas.openxmlformats.org/officeDocument/2006/relationships/hyperlink" Target="https://www.oecd-ilibrary.org/agriculture-and-food/data/oecd-agriculture-statistics/oecd-fao-agricultural-outlook-edition-2023_3f870a2b-en" TargetMode="External"/><Relationship Id="rId7" Type="http://schemas.openxmlformats.org/officeDocument/2006/relationships/hyperlink" Target="https://www.oecd-ilibrary.org/agriculture-and-food/data/oecd-agriculture-statistics/oecd-fao-agricultural-outlook-edition-2023_3f870a2b-en" TargetMode="External"/><Relationship Id="rId2" Type="http://schemas.openxmlformats.org/officeDocument/2006/relationships/hyperlink" Target="https://www.irena.org/Data/View-data-by-topic/Benefits/Renewable-Energy-Employment-by-Country" TargetMode="External"/><Relationship Id="rId1" Type="http://schemas.openxmlformats.org/officeDocument/2006/relationships/hyperlink" Target="https://www.oecd-ilibrary.org/agriculture-and-food/data/oecd-agriculture-statistics/oecd-fao-agricultural-outlook-edition-2023_3f870a2b-en" TargetMode="External"/><Relationship Id="rId6" Type="http://schemas.openxmlformats.org/officeDocument/2006/relationships/hyperlink" Target="https://www.oecd-ilibrary.org/agriculture-and-food/data/oecd-agriculture-statistics/oecd-fao-agricultural-outlook-edition-2023_3f870a2b-en" TargetMode="External"/><Relationship Id="rId5" Type="http://schemas.openxmlformats.org/officeDocument/2006/relationships/hyperlink" Target="https://www.iea.org/reports/renewables-2023/transport-biofuels" TargetMode="External"/><Relationship Id="rId10" Type="http://schemas.openxmlformats.org/officeDocument/2006/relationships/drawing" Target="../drawings/drawing2.xml"/><Relationship Id="rId4" Type="http://schemas.openxmlformats.org/officeDocument/2006/relationships/hyperlink" Target="https://www.irena.org/Data/View-data-by-topic/Benefits/Renewable-Energy-Employment-by-Country" TargetMode="External"/><Relationship Id="rId9"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https://btafrica.co.za/bioplastics_worldwide/" TargetMode="External"/><Relationship Id="rId13" Type="http://schemas.openxmlformats.org/officeDocument/2006/relationships/hyperlink" Target="https://btafrica.co.za/bioplastics_worldwide/" TargetMode="External"/><Relationship Id="rId18" Type="http://schemas.openxmlformats.org/officeDocument/2006/relationships/hyperlink" Target="https://btafrica.co.za/bioplastics_worldwide/" TargetMode="External"/><Relationship Id="rId26" Type="http://schemas.openxmlformats.org/officeDocument/2006/relationships/hyperlink" Target="https://advantage-marketline-com.libezproxy2.syr.edu/Analysis/ViewasPDF/united-states-bioplastics-183364" TargetMode="External"/><Relationship Id="rId3" Type="http://schemas.openxmlformats.org/officeDocument/2006/relationships/hyperlink" Target="https://btafrica.co.za/bioplastics_worldwide/" TargetMode="External"/><Relationship Id="rId21" Type="http://schemas.openxmlformats.org/officeDocument/2006/relationships/hyperlink" Target="https://btafrica.co.za/bioplastics_worldwide/" TargetMode="External"/><Relationship Id="rId7" Type="http://schemas.openxmlformats.org/officeDocument/2006/relationships/hyperlink" Target="https://btafrica.co.za/bioplastics_worldwide/" TargetMode="External"/><Relationship Id="rId12" Type="http://schemas.openxmlformats.org/officeDocument/2006/relationships/hyperlink" Target="https://btafrica.co.za/bioplastics_worldwide/" TargetMode="External"/><Relationship Id="rId17" Type="http://schemas.openxmlformats.org/officeDocument/2006/relationships/hyperlink" Target="https://btafrica.co.za/bioplastics_worldwide/" TargetMode="External"/><Relationship Id="rId25" Type="http://schemas.openxmlformats.org/officeDocument/2006/relationships/hyperlink" Target="https://advantage-marketline-com.libezproxy2.syr.edu/Analysis/ViewasPDF/united-states-bioplastics-183364" TargetMode="External"/><Relationship Id="rId2" Type="http://schemas.openxmlformats.org/officeDocument/2006/relationships/hyperlink" Target="https://btafrica.co.za/bioplastics_worldwide/" TargetMode="External"/><Relationship Id="rId16" Type="http://schemas.openxmlformats.org/officeDocument/2006/relationships/hyperlink" Target="https://btafrica.co.za/bioplastics_worldwide/" TargetMode="External"/><Relationship Id="rId20" Type="http://schemas.openxmlformats.org/officeDocument/2006/relationships/hyperlink" Target="https://btafrica.co.za/bioplastics_worldwide/" TargetMode="External"/><Relationship Id="rId29" Type="http://schemas.openxmlformats.org/officeDocument/2006/relationships/drawing" Target="../drawings/drawing3.xml"/><Relationship Id="rId1" Type="http://schemas.openxmlformats.org/officeDocument/2006/relationships/hyperlink" Target="https://btafrica.co.za/bioplastics_worldwide/" TargetMode="External"/><Relationship Id="rId6" Type="http://schemas.openxmlformats.org/officeDocument/2006/relationships/hyperlink" Target="https://btafrica.co.za/bioplastics_worldwide/" TargetMode="External"/><Relationship Id="rId11" Type="http://schemas.openxmlformats.org/officeDocument/2006/relationships/hyperlink" Target="https://btafrica.co.za/bioplastics_worldwide/" TargetMode="External"/><Relationship Id="rId24" Type="http://schemas.openxmlformats.org/officeDocument/2006/relationships/hyperlink" Target="https://www.european-bioplastics.org/market/" TargetMode="External"/><Relationship Id="rId5" Type="http://schemas.openxmlformats.org/officeDocument/2006/relationships/hyperlink" Target="https://btafrica.co.za/bioplastics_worldwide/" TargetMode="External"/><Relationship Id="rId15" Type="http://schemas.openxmlformats.org/officeDocument/2006/relationships/hyperlink" Target="https://btafrica.co.za/bioplastics_worldwide/" TargetMode="External"/><Relationship Id="rId23" Type="http://schemas.openxmlformats.org/officeDocument/2006/relationships/hyperlink" Target="https://www.european-bioplastics.org/bioplastics-market-development-update-2023-2/" TargetMode="External"/><Relationship Id="rId28" Type="http://schemas.openxmlformats.org/officeDocument/2006/relationships/printerSettings" Target="../printerSettings/printerSettings5.bin"/><Relationship Id="rId10" Type="http://schemas.openxmlformats.org/officeDocument/2006/relationships/hyperlink" Target="https://btafrica.co.za/bioplastics_worldwide/" TargetMode="External"/><Relationship Id="rId19" Type="http://schemas.openxmlformats.org/officeDocument/2006/relationships/hyperlink" Target="https://btafrica.co.za/bioplastics_worldwide/" TargetMode="External"/><Relationship Id="rId4" Type="http://schemas.openxmlformats.org/officeDocument/2006/relationships/hyperlink" Target="https://btafrica.co.za/bioplastics_worldwide/" TargetMode="External"/><Relationship Id="rId9" Type="http://schemas.openxmlformats.org/officeDocument/2006/relationships/hyperlink" Target="https://btafrica.co.za/bioplastics_worldwide/" TargetMode="External"/><Relationship Id="rId14" Type="http://schemas.openxmlformats.org/officeDocument/2006/relationships/hyperlink" Target="https://btafrica.co.za/bioplastics_worldwide/" TargetMode="External"/><Relationship Id="rId22" Type="http://schemas.openxmlformats.org/officeDocument/2006/relationships/hyperlink" Target="https://plasticseurope.org/wp-content/uploads/2023/10/Plasticsthefastfacts2023-1.pdf" TargetMode="External"/><Relationship Id="rId27" Type="http://schemas.openxmlformats.org/officeDocument/2006/relationships/hyperlink" Target="https://advantage-marketline-com.libezproxy2.syr.edu/Analysis/ViewasPDF/canada-bioplastics-18337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cia.org.uk/Portals/0/Documents/CIA%20Manifesto%202024_4.pdf?ver=2024-02-14-171451-233" TargetMode="External"/><Relationship Id="rId13" Type="http://schemas.openxmlformats.org/officeDocument/2006/relationships/hyperlink" Target="https://plastics-rubber.basf.com/global/en/performance_polymers/products/ecovio.html" TargetMode="External"/><Relationship Id="rId3" Type="http://schemas.openxmlformats.org/officeDocument/2006/relationships/hyperlink" Target="https://www-sciencedirect-com.libezproxy2.syr.edu/science/article/pii/B9780128184936000038" TargetMode="External"/><Relationship Id="rId7" Type="http://schemas.openxmlformats.org/officeDocument/2006/relationships/hyperlink" Target="https://assets.publishing.service.gov.uk/media/5ab3a67840f0b65bb584297e/25-year-environment-plan.pdf" TargetMode="External"/><Relationship Id="rId12" Type="http://schemas.openxmlformats.org/officeDocument/2006/relationships/hyperlink" Target="https://www8.cao.go.jp/cstp/english/sti_basic_plan.pdf" TargetMode="External"/><Relationship Id="rId17" Type="http://schemas.openxmlformats.org/officeDocument/2006/relationships/table" Target="../tables/table1.xml"/><Relationship Id="rId2" Type="http://schemas.openxmlformats.org/officeDocument/2006/relationships/hyperlink" Target="https://www.biopreferred.gov/BioPreferred/faces/pages/AboutBioPreferred.xhtml" TargetMode="External"/><Relationship Id="rId16" Type="http://schemas.openxmlformats.org/officeDocument/2006/relationships/hyperlink" Target="https://www.genomatica.com/products/" TargetMode="External"/><Relationship Id="rId1" Type="http://schemas.openxmlformats.org/officeDocument/2006/relationships/hyperlink" Target="https://publications.jrc.ec.europa.eu/repository/bitstream/JRC103038/lb-na-28376-en-n.pdf" TargetMode="External"/><Relationship Id="rId6" Type="http://schemas.openxmlformats.org/officeDocument/2006/relationships/hyperlink" Target="https://www-ncbi-nlm-nih-gov.libezproxy2.syr.edu/pmc/articles/PMC9995158/" TargetMode="External"/><Relationship Id="rId11" Type="http://schemas.openxmlformats.org/officeDocument/2006/relationships/hyperlink" Target="https://braziliannr.com/brazilian-environmental-legislation/law-no-13576-provides-for-the-brazilian-biofuel-policy-renovabio/" TargetMode="External"/><Relationship Id="rId5" Type="http://schemas.openxmlformats.org/officeDocument/2006/relationships/hyperlink" Target="https://www.canada.ca/en/services/environment/weather/climatechange/pan-canadian-framework.html" TargetMode="External"/><Relationship Id="rId15" Type="http://schemas.openxmlformats.org/officeDocument/2006/relationships/hyperlink" Target="https://www.cargill.com/bioindustrial/bioindustrial-product-categories" TargetMode="External"/><Relationship Id="rId10" Type="http://schemas.openxmlformats.org/officeDocument/2006/relationships/hyperlink" Target="https://onlinelibrary-wiley-com.libezproxy2.syr.edu/doi/full/10.1002/bbb.1978" TargetMode="External"/><Relationship Id="rId4" Type="http://schemas.openxmlformats.org/officeDocument/2006/relationships/hyperlink" Target="https://eur-lex.europa.eu/legal-content/EN/TXT/?uri=COM%3A2020%3A667%3AFIN" TargetMode="External"/><Relationship Id="rId9" Type="http://schemas.openxmlformats.org/officeDocument/2006/relationships/hyperlink" Target="https://www.semas.pa.gov.br/wp-content/uploads/2022/12/STATE-OF-PAR%C3%81-BIOECONOMY-PLAN-vs.INGLES.pdf" TargetMode="External"/><Relationship Id="rId14" Type="http://schemas.openxmlformats.org/officeDocument/2006/relationships/hyperlink" Target="https://www.braskem.com/imgreen/my-environmental-impact"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lastics-rubber.basf.com/global/en/performance_polymers/products/ecovio.html" TargetMode="External"/><Relationship Id="rId13" Type="http://schemas.openxmlformats.org/officeDocument/2006/relationships/table" Target="../tables/table2.xml"/><Relationship Id="rId3" Type="http://schemas.openxmlformats.org/officeDocument/2006/relationships/hyperlink" Target="https://www.canada.ca/en/natural-resources-canada/news/2021/04/canada-supports-innovation-for-compostable-bioplastic.html" TargetMode="External"/><Relationship Id="rId7" Type="http://schemas.openxmlformats.org/officeDocument/2006/relationships/hyperlink" Target="https://www.env.go.jp/content/900534219.pdf" TargetMode="External"/><Relationship Id="rId12" Type="http://schemas.openxmlformats.org/officeDocument/2006/relationships/hyperlink" Target="https://plantic.com.au/" TargetMode="External"/><Relationship Id="rId2" Type="http://schemas.openxmlformats.org/officeDocument/2006/relationships/hyperlink" Target="https://environment.ec.europa.eu/topics/plastics/biobased-biodegradable-and-compostable-plastics_en" TargetMode="External"/><Relationship Id="rId1" Type="http://schemas.openxmlformats.org/officeDocument/2006/relationships/hyperlink" Target="https://www.biopreferred.gov/BioPreferred/faces/pages/AboutBioPreferred.xhtml" TargetMode="External"/><Relationship Id="rId6" Type="http://schemas.openxmlformats.org/officeDocument/2006/relationships/hyperlink" Target="https://www.loc.gov/item/global-legal-monitor/2018-07-05/brazil-state-of-rio-de-janeiro-bans-plastic-bags/" TargetMode="External"/><Relationship Id="rId11" Type="http://schemas.openxmlformats.org/officeDocument/2006/relationships/hyperlink" Target="https://www.futamuragroup.com/en/divisions/cellulose-films/products/natureflex/" TargetMode="External"/><Relationship Id="rId5" Type="http://schemas.openxmlformats.org/officeDocument/2006/relationships/hyperlink" Target="https://assets.publishing.service.gov.uk/media/606eb6518fa8f573570f6a81/standards-biobased-biodegradable-compostable-plastics.pdf" TargetMode="External"/><Relationship Id="rId10" Type="http://schemas.openxmlformats.org/officeDocument/2006/relationships/hyperlink" Target="https://www.eastman.com/en/products/product-finder" TargetMode="External"/><Relationship Id="rId4" Type="http://schemas.openxmlformats.org/officeDocument/2006/relationships/hyperlink" Target="https://chinadialogue.net/en/pollution/china-cools-on-biodegradable-plastic/" TargetMode="External"/><Relationship Id="rId9" Type="http://schemas.openxmlformats.org/officeDocument/2006/relationships/hyperlink" Target="https://www.european-bioplastics.org/member-portrait-naturework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02AE-E667-4AA7-B0C5-47D86AD0A73E}">
  <dimension ref="A1:H14"/>
  <sheetViews>
    <sheetView workbookViewId="0">
      <selection activeCell="B7" sqref="B7"/>
    </sheetView>
  </sheetViews>
  <sheetFormatPr defaultRowHeight="15" x14ac:dyDescent="0.25"/>
  <cols>
    <col min="1" max="1" width="32.140625" customWidth="1"/>
    <col min="6" max="6" width="21.140625" bestFit="1" customWidth="1"/>
    <col min="8" max="8" width="15" customWidth="1"/>
  </cols>
  <sheetData>
    <row r="1" spans="1:8" x14ac:dyDescent="0.25">
      <c r="A1" s="53" t="s">
        <v>83</v>
      </c>
      <c r="B1" s="53" t="s">
        <v>77</v>
      </c>
      <c r="C1" s="53" t="s">
        <v>78</v>
      </c>
      <c r="D1" s="53" t="s">
        <v>79</v>
      </c>
      <c r="E1" s="53" t="s">
        <v>80</v>
      </c>
      <c r="F1" s="53" t="s">
        <v>22</v>
      </c>
      <c r="G1" s="53" t="s">
        <v>26</v>
      </c>
      <c r="H1" s="53" t="s">
        <v>23</v>
      </c>
    </row>
    <row r="2" spans="1:8" ht="15.75" x14ac:dyDescent="0.25">
      <c r="A2" s="2" t="s">
        <v>57</v>
      </c>
      <c r="B2" s="54">
        <v>0.71</v>
      </c>
      <c r="C2" s="54">
        <v>0.22</v>
      </c>
      <c r="D2" s="54">
        <v>7.0000000000000007E-2</v>
      </c>
      <c r="E2" s="2">
        <v>466</v>
      </c>
      <c r="F2" s="58" t="s">
        <v>523</v>
      </c>
      <c r="G2" s="2" t="s">
        <v>524</v>
      </c>
      <c r="H2" s="59">
        <v>45383</v>
      </c>
    </row>
    <row r="3" spans="1:8" ht="15.75" x14ac:dyDescent="0.25">
      <c r="A3" s="2" t="s">
        <v>55</v>
      </c>
      <c r="B3" s="54">
        <v>0.46</v>
      </c>
      <c r="C3" s="54">
        <v>0.28000000000000003</v>
      </c>
      <c r="D3" s="54">
        <v>0.27</v>
      </c>
      <c r="E3" s="2">
        <v>626</v>
      </c>
      <c r="F3" s="58" t="s">
        <v>523</v>
      </c>
      <c r="G3" s="2" t="s">
        <v>524</v>
      </c>
      <c r="H3" s="59">
        <v>45383</v>
      </c>
    </row>
    <row r="4" spans="1:8" ht="15.75" x14ac:dyDescent="0.25">
      <c r="A4" s="2" t="s">
        <v>0</v>
      </c>
      <c r="B4" s="54">
        <v>0.2</v>
      </c>
      <c r="C4" s="54">
        <v>0.1</v>
      </c>
      <c r="D4" s="54">
        <v>0.7</v>
      </c>
      <c r="E4" s="2">
        <v>282</v>
      </c>
      <c r="F4" s="58" t="s">
        <v>523</v>
      </c>
      <c r="G4" s="2" t="s">
        <v>524</v>
      </c>
      <c r="H4" s="59">
        <v>45383</v>
      </c>
    </row>
    <row r="5" spans="1:8" ht="15.75" x14ac:dyDescent="0.25">
      <c r="A5" s="2" t="s">
        <v>81</v>
      </c>
      <c r="B5" s="54">
        <v>0.68</v>
      </c>
      <c r="C5" s="54">
        <v>0.15</v>
      </c>
      <c r="D5" s="54">
        <v>0.17</v>
      </c>
      <c r="E5" s="2">
        <v>702</v>
      </c>
      <c r="F5" s="58" t="s">
        <v>523</v>
      </c>
      <c r="G5" s="2" t="s">
        <v>524</v>
      </c>
      <c r="H5" s="59">
        <v>45383</v>
      </c>
    </row>
    <row r="6" spans="1:8" ht="15.75" x14ac:dyDescent="0.25">
      <c r="A6" s="2" t="s">
        <v>82</v>
      </c>
      <c r="B6" s="54">
        <v>0.68</v>
      </c>
      <c r="C6" s="54">
        <v>0.15</v>
      </c>
      <c r="D6" s="54">
        <v>0.17</v>
      </c>
      <c r="E6" s="2">
        <v>2076</v>
      </c>
      <c r="F6" s="58" t="s">
        <v>523</v>
      </c>
      <c r="G6" s="2" t="s">
        <v>524</v>
      </c>
      <c r="H6" s="59">
        <v>45383</v>
      </c>
    </row>
    <row r="8" spans="1:8" x14ac:dyDescent="0.25">
      <c r="A8" s="55" t="s">
        <v>525</v>
      </c>
      <c r="B8" s="55" t="s">
        <v>84</v>
      </c>
      <c r="C8" s="60"/>
      <c r="D8" s="60"/>
      <c r="E8" s="60"/>
      <c r="F8" s="53" t="s">
        <v>22</v>
      </c>
      <c r="G8" s="53" t="s">
        <v>26</v>
      </c>
      <c r="H8" s="53" t="s">
        <v>23</v>
      </c>
    </row>
    <row r="9" spans="1:8" x14ac:dyDescent="0.25">
      <c r="A9" s="56" t="s">
        <v>85</v>
      </c>
      <c r="B9" s="57">
        <v>0.33094000000000001</v>
      </c>
      <c r="C9" s="60"/>
      <c r="D9" s="60"/>
      <c r="E9" s="60"/>
      <c r="F9" s="2" t="s">
        <v>527</v>
      </c>
      <c r="G9" s="2" t="s">
        <v>526</v>
      </c>
      <c r="H9" s="59">
        <v>45383</v>
      </c>
    </row>
    <row r="10" spans="1:8" x14ac:dyDescent="0.25">
      <c r="A10" s="56" t="s">
        <v>86</v>
      </c>
      <c r="B10" s="57">
        <v>7.4950000000000003E-2</v>
      </c>
      <c r="C10" s="60"/>
      <c r="D10" s="60"/>
      <c r="E10" s="60"/>
      <c r="F10" s="2" t="s">
        <v>527</v>
      </c>
      <c r="G10" s="2" t="s">
        <v>526</v>
      </c>
      <c r="H10" s="59">
        <v>45383</v>
      </c>
    </row>
    <row r="11" spans="1:8" x14ac:dyDescent="0.25">
      <c r="A11" s="56" t="s">
        <v>0</v>
      </c>
      <c r="B11" s="57">
        <v>0.27950000000000003</v>
      </c>
      <c r="C11" s="60"/>
      <c r="D11" s="60"/>
      <c r="E11" s="60"/>
      <c r="F11" s="2" t="s">
        <v>527</v>
      </c>
      <c r="G11" s="2" t="s">
        <v>526</v>
      </c>
      <c r="H11" s="59">
        <v>45383</v>
      </c>
    </row>
    <row r="12" spans="1:8" x14ac:dyDescent="0.25">
      <c r="A12" s="56" t="s">
        <v>55</v>
      </c>
      <c r="B12" s="57">
        <v>0.13622999999999999</v>
      </c>
      <c r="C12" s="60"/>
      <c r="D12" s="60"/>
      <c r="E12" s="60"/>
      <c r="F12" s="2" t="s">
        <v>527</v>
      </c>
      <c r="G12" s="2" t="s">
        <v>526</v>
      </c>
      <c r="H12" s="59">
        <v>45383</v>
      </c>
    </row>
    <row r="13" spans="1:8" x14ac:dyDescent="0.25">
      <c r="A13" s="56" t="s">
        <v>46</v>
      </c>
      <c r="B13" s="57">
        <v>6.7290000000000003E-2</v>
      </c>
      <c r="C13" s="60"/>
      <c r="D13" s="60"/>
      <c r="E13" s="60"/>
      <c r="F13" s="2" t="s">
        <v>527</v>
      </c>
      <c r="G13" s="2" t="s">
        <v>526</v>
      </c>
      <c r="H13" s="59">
        <v>45383</v>
      </c>
    </row>
    <row r="14" spans="1:8" x14ac:dyDescent="0.25">
      <c r="A14" s="56" t="s">
        <v>87</v>
      </c>
      <c r="B14" s="57">
        <v>0.11108999999999999</v>
      </c>
      <c r="C14" s="60"/>
      <c r="D14" s="60"/>
      <c r="E14" s="60"/>
      <c r="F14" s="2" t="s">
        <v>527</v>
      </c>
      <c r="G14" s="2" t="s">
        <v>526</v>
      </c>
      <c r="H14" s="59">
        <v>45383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FA333-9BCF-433D-9F72-F01E81562770}">
  <dimension ref="A1:AP56"/>
  <sheetViews>
    <sheetView topLeftCell="A10" workbookViewId="0">
      <selection activeCell="D1" sqref="D1:D51"/>
    </sheetView>
  </sheetViews>
  <sheetFormatPr defaultRowHeight="15" x14ac:dyDescent="0.25"/>
  <cols>
    <col min="1" max="1" width="18.28515625" bestFit="1" customWidth="1"/>
    <col min="4" max="4" width="23.85546875" bestFit="1" customWidth="1"/>
    <col min="5" max="5" width="26.140625" bestFit="1" customWidth="1"/>
    <col min="10" max="10" width="10.5703125" customWidth="1"/>
  </cols>
  <sheetData>
    <row r="1" spans="1:42" x14ac:dyDescent="0.25">
      <c r="A1" t="s">
        <v>88</v>
      </c>
      <c r="B1" t="s">
        <v>89</v>
      </c>
      <c r="C1" t="s">
        <v>90</v>
      </c>
      <c r="D1" t="s">
        <v>91</v>
      </c>
      <c r="E1" t="s">
        <v>92</v>
      </c>
      <c r="F1" t="s">
        <v>93</v>
      </c>
      <c r="H1" t="s">
        <v>94</v>
      </c>
      <c r="I1" t="s">
        <v>95</v>
      </c>
      <c r="J1" t="s">
        <v>96</v>
      </c>
      <c r="K1" t="s">
        <v>97</v>
      </c>
      <c r="L1" t="s">
        <v>98</v>
      </c>
      <c r="M1" t="s">
        <v>99</v>
      </c>
      <c r="N1" t="s">
        <v>100</v>
      </c>
      <c r="O1" t="s">
        <v>101</v>
      </c>
      <c r="P1" t="s">
        <v>102</v>
      </c>
      <c r="Q1" t="s">
        <v>103</v>
      </c>
      <c r="R1" t="s">
        <v>104</v>
      </c>
      <c r="S1" t="s">
        <v>105</v>
      </c>
      <c r="T1" t="s">
        <v>106</v>
      </c>
      <c r="U1" t="s">
        <v>107</v>
      </c>
      <c r="V1" t="s">
        <v>108</v>
      </c>
      <c r="W1" t="s">
        <v>109</v>
      </c>
      <c r="X1" t="s">
        <v>110</v>
      </c>
      <c r="Y1" t="s">
        <v>111</v>
      </c>
      <c r="Z1" t="s">
        <v>112</v>
      </c>
      <c r="AA1" t="s">
        <v>113</v>
      </c>
      <c r="AB1" t="s">
        <v>114</v>
      </c>
      <c r="AC1" t="s">
        <v>115</v>
      </c>
      <c r="AD1" t="s">
        <v>116</v>
      </c>
      <c r="AE1" t="s">
        <v>117</v>
      </c>
      <c r="AF1" t="s">
        <v>118</v>
      </c>
      <c r="AG1" t="s">
        <v>119</v>
      </c>
      <c r="AH1" t="s">
        <v>120</v>
      </c>
      <c r="AI1" t="s">
        <v>121</v>
      </c>
      <c r="AJ1" t="s">
        <v>122</v>
      </c>
      <c r="AK1" t="s">
        <v>123</v>
      </c>
      <c r="AL1" t="s">
        <v>124</v>
      </c>
      <c r="AM1" t="s">
        <v>125</v>
      </c>
      <c r="AN1" t="s">
        <v>126</v>
      </c>
      <c r="AO1" t="s">
        <v>127</v>
      </c>
      <c r="AP1" t="s">
        <v>128</v>
      </c>
    </row>
    <row r="2" spans="1:42" x14ac:dyDescent="0.25">
      <c r="A2" t="s">
        <v>129</v>
      </c>
      <c r="B2" t="s">
        <v>130</v>
      </c>
      <c r="C2" t="s">
        <v>131</v>
      </c>
      <c r="D2" t="s">
        <v>132</v>
      </c>
      <c r="E2" t="s">
        <v>133</v>
      </c>
      <c r="F2">
        <v>2050</v>
      </c>
      <c r="H2">
        <v>2020</v>
      </c>
      <c r="I2" t="s">
        <v>134</v>
      </c>
      <c r="J2">
        <v>26</v>
      </c>
      <c r="K2">
        <v>2005</v>
      </c>
      <c r="L2">
        <v>2025</v>
      </c>
      <c r="M2" t="s">
        <v>135</v>
      </c>
      <c r="N2" t="s">
        <v>136</v>
      </c>
      <c r="O2" t="s">
        <v>137</v>
      </c>
      <c r="P2" t="s">
        <v>138</v>
      </c>
      <c r="Q2" t="s">
        <v>139</v>
      </c>
      <c r="R2" t="s">
        <v>140</v>
      </c>
      <c r="S2" t="s">
        <v>141</v>
      </c>
      <c r="T2" t="s">
        <v>141</v>
      </c>
      <c r="U2" t="s">
        <v>142</v>
      </c>
      <c r="V2" t="s">
        <v>140</v>
      </c>
      <c r="W2" t="s">
        <v>143</v>
      </c>
      <c r="X2" t="s">
        <v>144</v>
      </c>
      <c r="Y2" t="s">
        <v>140</v>
      </c>
      <c r="Z2" t="s">
        <v>145</v>
      </c>
      <c r="AA2" t="s">
        <v>146</v>
      </c>
      <c r="AB2" t="s">
        <v>145</v>
      </c>
      <c r="AC2" t="s">
        <v>141</v>
      </c>
      <c r="AD2" t="s">
        <v>147</v>
      </c>
      <c r="AE2" t="s">
        <v>148</v>
      </c>
      <c r="AF2">
        <v>4649000</v>
      </c>
    </row>
    <row r="3" spans="1:42" x14ac:dyDescent="0.25">
      <c r="A3" t="s">
        <v>149</v>
      </c>
      <c r="B3" t="s">
        <v>150</v>
      </c>
      <c r="C3" t="s">
        <v>151</v>
      </c>
      <c r="D3" t="s">
        <v>152</v>
      </c>
      <c r="E3" t="s">
        <v>133</v>
      </c>
      <c r="F3">
        <v>2050</v>
      </c>
      <c r="H3">
        <v>2021</v>
      </c>
      <c r="I3" t="s">
        <v>134</v>
      </c>
      <c r="J3">
        <v>28</v>
      </c>
      <c r="K3">
        <v>2005</v>
      </c>
      <c r="L3">
        <v>2025</v>
      </c>
      <c r="M3" t="s">
        <v>153</v>
      </c>
      <c r="N3" t="s">
        <v>154</v>
      </c>
      <c r="O3" t="s">
        <v>155</v>
      </c>
      <c r="P3" t="s">
        <v>156</v>
      </c>
      <c r="Q3" t="s">
        <v>139</v>
      </c>
      <c r="R3" t="s">
        <v>140</v>
      </c>
      <c r="S3" t="s">
        <v>145</v>
      </c>
      <c r="T3" t="s">
        <v>141</v>
      </c>
      <c r="U3" t="s">
        <v>157</v>
      </c>
      <c r="V3" t="s">
        <v>140</v>
      </c>
      <c r="W3" t="s">
        <v>158</v>
      </c>
      <c r="X3" t="s">
        <v>144</v>
      </c>
      <c r="Y3" t="s">
        <v>140</v>
      </c>
      <c r="Z3" t="s">
        <v>145</v>
      </c>
      <c r="AA3" t="s">
        <v>159</v>
      </c>
      <c r="AB3" t="s">
        <v>145</v>
      </c>
      <c r="AC3" t="s">
        <v>141</v>
      </c>
      <c r="AD3" t="s">
        <v>160</v>
      </c>
      <c r="AE3" t="s">
        <v>161</v>
      </c>
      <c r="AF3">
        <v>3080000</v>
      </c>
      <c r="AG3">
        <v>36200000</v>
      </c>
      <c r="AH3">
        <v>2017</v>
      </c>
    </row>
    <row r="4" spans="1:42" x14ac:dyDescent="0.25">
      <c r="A4" t="s">
        <v>162</v>
      </c>
      <c r="B4" t="s">
        <v>163</v>
      </c>
      <c r="C4" t="s">
        <v>164</v>
      </c>
      <c r="D4" t="s">
        <v>132</v>
      </c>
      <c r="E4" t="s">
        <v>133</v>
      </c>
      <c r="F4">
        <v>2050</v>
      </c>
      <c r="H4">
        <v>2023</v>
      </c>
      <c r="I4" t="s">
        <v>134</v>
      </c>
      <c r="J4">
        <v>26</v>
      </c>
      <c r="K4">
        <v>2005</v>
      </c>
      <c r="L4">
        <v>2025</v>
      </c>
      <c r="M4" t="s">
        <v>165</v>
      </c>
      <c r="N4" t="s">
        <v>166</v>
      </c>
      <c r="O4" t="s">
        <v>167</v>
      </c>
      <c r="P4" t="s">
        <v>168</v>
      </c>
      <c r="Q4" t="s">
        <v>139</v>
      </c>
      <c r="R4" t="s">
        <v>145</v>
      </c>
      <c r="S4" t="s">
        <v>145</v>
      </c>
      <c r="T4" t="s">
        <v>141</v>
      </c>
      <c r="U4" t="s">
        <v>169</v>
      </c>
      <c r="V4" t="s">
        <v>140</v>
      </c>
      <c r="W4" t="s">
        <v>170</v>
      </c>
      <c r="X4" t="s">
        <v>171</v>
      </c>
      <c r="Y4" t="s">
        <v>141</v>
      </c>
      <c r="Z4" t="s">
        <v>145</v>
      </c>
      <c r="AA4" t="s">
        <v>172</v>
      </c>
      <c r="AB4" t="s">
        <v>145</v>
      </c>
      <c r="AC4" t="s">
        <v>141</v>
      </c>
      <c r="AD4" t="s">
        <v>173</v>
      </c>
      <c r="AE4" t="s">
        <v>174</v>
      </c>
      <c r="AF4">
        <v>5759000</v>
      </c>
      <c r="AG4">
        <v>89300000</v>
      </c>
      <c r="AH4">
        <v>2018</v>
      </c>
      <c r="AI4">
        <v>392986000000</v>
      </c>
    </row>
    <row r="5" spans="1:42" x14ac:dyDescent="0.25">
      <c r="A5" t="s">
        <v>175</v>
      </c>
      <c r="B5" t="s">
        <v>176</v>
      </c>
      <c r="C5" t="s">
        <v>177</v>
      </c>
      <c r="D5" t="s">
        <v>132</v>
      </c>
      <c r="E5" t="s">
        <v>133</v>
      </c>
      <c r="F5">
        <v>2045</v>
      </c>
      <c r="H5">
        <v>2020</v>
      </c>
      <c r="I5" t="s">
        <v>134</v>
      </c>
      <c r="J5">
        <v>48</v>
      </c>
      <c r="K5">
        <v>1990</v>
      </c>
      <c r="L5">
        <v>2030</v>
      </c>
      <c r="M5" t="s">
        <v>178</v>
      </c>
      <c r="N5" t="s">
        <v>179</v>
      </c>
      <c r="O5" t="s">
        <v>180</v>
      </c>
      <c r="P5" t="s">
        <v>181</v>
      </c>
      <c r="Q5" t="s">
        <v>145</v>
      </c>
      <c r="R5" t="s">
        <v>145</v>
      </c>
      <c r="S5" t="s">
        <v>145</v>
      </c>
      <c r="T5" t="s">
        <v>141</v>
      </c>
      <c r="U5" t="s">
        <v>182</v>
      </c>
      <c r="V5" t="s">
        <v>140</v>
      </c>
      <c r="W5" t="s">
        <v>183</v>
      </c>
      <c r="X5" t="s">
        <v>144</v>
      </c>
      <c r="Y5" t="s">
        <v>140</v>
      </c>
      <c r="Z5" t="s">
        <v>145</v>
      </c>
      <c r="AA5" t="s">
        <v>184</v>
      </c>
      <c r="AB5" t="s">
        <v>145</v>
      </c>
      <c r="AC5" t="s">
        <v>141</v>
      </c>
      <c r="AD5" t="s">
        <v>145</v>
      </c>
      <c r="AE5" t="s">
        <v>185</v>
      </c>
      <c r="AF5">
        <v>39510000</v>
      </c>
      <c r="AG5">
        <v>425280804</v>
      </c>
      <c r="AH5">
        <v>2018</v>
      </c>
      <c r="AI5">
        <v>3132800000000</v>
      </c>
    </row>
    <row r="6" spans="1:42" x14ac:dyDescent="0.25">
      <c r="A6" t="s">
        <v>186</v>
      </c>
      <c r="B6" t="s">
        <v>187</v>
      </c>
      <c r="C6" t="s">
        <v>188</v>
      </c>
      <c r="D6" t="s">
        <v>132</v>
      </c>
      <c r="E6" t="s">
        <v>189</v>
      </c>
      <c r="F6">
        <v>2045</v>
      </c>
      <c r="H6">
        <v>2024</v>
      </c>
      <c r="I6" t="s">
        <v>134</v>
      </c>
      <c r="J6">
        <v>50</v>
      </c>
      <c r="K6">
        <v>2005</v>
      </c>
      <c r="L6">
        <v>2030</v>
      </c>
      <c r="M6" t="s">
        <v>190</v>
      </c>
      <c r="N6" t="s">
        <v>191</v>
      </c>
      <c r="O6" t="s">
        <v>192</v>
      </c>
      <c r="P6" t="s">
        <v>193</v>
      </c>
      <c r="Q6" t="s">
        <v>139</v>
      </c>
      <c r="R6" t="s">
        <v>140</v>
      </c>
      <c r="S6" t="s">
        <v>145</v>
      </c>
      <c r="T6" t="s">
        <v>141</v>
      </c>
      <c r="U6" t="s">
        <v>194</v>
      </c>
      <c r="V6" t="s">
        <v>140</v>
      </c>
      <c r="W6" t="s">
        <v>158</v>
      </c>
      <c r="X6" t="s">
        <v>144</v>
      </c>
      <c r="Y6" t="s">
        <v>140</v>
      </c>
      <c r="Z6" t="s">
        <v>145</v>
      </c>
      <c r="AA6" t="s">
        <v>195</v>
      </c>
      <c r="AB6" t="s">
        <v>145</v>
      </c>
      <c r="AC6" t="s">
        <v>141</v>
      </c>
      <c r="AD6" t="s">
        <v>160</v>
      </c>
      <c r="AE6" t="s">
        <v>196</v>
      </c>
      <c r="AF6">
        <v>1416000</v>
      </c>
      <c r="AG6">
        <v>19580000</v>
      </c>
      <c r="AH6">
        <v>2016</v>
      </c>
      <c r="AI6">
        <v>97281700000</v>
      </c>
    </row>
    <row r="7" spans="1:42" x14ac:dyDescent="0.25">
      <c r="A7" t="s">
        <v>197</v>
      </c>
      <c r="B7" t="s">
        <v>198</v>
      </c>
      <c r="C7" t="s">
        <v>199</v>
      </c>
      <c r="D7" t="s">
        <v>132</v>
      </c>
      <c r="E7" t="s">
        <v>200</v>
      </c>
      <c r="F7">
        <v>2045</v>
      </c>
      <c r="H7">
        <v>2020</v>
      </c>
      <c r="I7" t="s">
        <v>134</v>
      </c>
      <c r="J7">
        <v>45</v>
      </c>
      <c r="K7">
        <v>1990</v>
      </c>
      <c r="L7">
        <v>2030</v>
      </c>
      <c r="M7" t="s">
        <v>201</v>
      </c>
      <c r="N7" t="s">
        <v>202</v>
      </c>
      <c r="O7" t="s">
        <v>203</v>
      </c>
      <c r="P7" t="s">
        <v>204</v>
      </c>
      <c r="Q7" t="s">
        <v>145</v>
      </c>
      <c r="R7" t="s">
        <v>145</v>
      </c>
      <c r="S7" t="s">
        <v>145</v>
      </c>
      <c r="T7" t="s">
        <v>141</v>
      </c>
      <c r="V7" t="s">
        <v>140</v>
      </c>
      <c r="W7" t="s">
        <v>205</v>
      </c>
      <c r="X7" t="s">
        <v>206</v>
      </c>
      <c r="Y7" t="s">
        <v>140</v>
      </c>
      <c r="Z7" t="s">
        <v>140</v>
      </c>
      <c r="AA7" t="s">
        <v>207</v>
      </c>
      <c r="AB7" t="s">
        <v>145</v>
      </c>
      <c r="AC7" t="s">
        <v>141</v>
      </c>
      <c r="AD7" t="s">
        <v>145</v>
      </c>
      <c r="AE7" t="s">
        <v>208</v>
      </c>
      <c r="AF7">
        <v>1344000</v>
      </c>
      <c r="AG7">
        <v>15000000</v>
      </c>
      <c r="AH7">
        <v>2018</v>
      </c>
      <c r="AI7">
        <v>67717000000</v>
      </c>
    </row>
    <row r="8" spans="1:42" x14ac:dyDescent="0.25">
      <c r="A8" t="s">
        <v>209</v>
      </c>
      <c r="B8" t="s">
        <v>210</v>
      </c>
      <c r="C8" t="s">
        <v>211</v>
      </c>
      <c r="D8" t="s">
        <v>132</v>
      </c>
      <c r="E8" t="s">
        <v>133</v>
      </c>
      <c r="F8">
        <v>2050</v>
      </c>
      <c r="H8">
        <v>2020</v>
      </c>
      <c r="I8" t="s">
        <v>134</v>
      </c>
      <c r="J8">
        <v>33</v>
      </c>
      <c r="K8">
        <v>1990</v>
      </c>
      <c r="L8">
        <v>2025</v>
      </c>
      <c r="M8" t="s">
        <v>212</v>
      </c>
      <c r="N8" t="s">
        <v>213</v>
      </c>
      <c r="O8" t="s">
        <v>214</v>
      </c>
      <c r="P8" t="s">
        <v>215</v>
      </c>
      <c r="Q8" t="s">
        <v>139</v>
      </c>
      <c r="R8" t="s">
        <v>145</v>
      </c>
      <c r="S8" t="s">
        <v>145</v>
      </c>
      <c r="T8" t="s">
        <v>141</v>
      </c>
      <c r="U8" t="s">
        <v>216</v>
      </c>
      <c r="V8" t="s">
        <v>140</v>
      </c>
      <c r="W8" t="s">
        <v>183</v>
      </c>
      <c r="X8" t="s">
        <v>144</v>
      </c>
      <c r="Y8" t="s">
        <v>140</v>
      </c>
      <c r="Z8" t="s">
        <v>145</v>
      </c>
      <c r="AA8" t="s">
        <v>217</v>
      </c>
      <c r="AB8" t="s">
        <v>145</v>
      </c>
      <c r="AC8" t="s">
        <v>141</v>
      </c>
      <c r="AD8" t="s">
        <v>173</v>
      </c>
      <c r="AE8" t="s">
        <v>218</v>
      </c>
      <c r="AF8">
        <v>6893000</v>
      </c>
      <c r="AG8">
        <v>63000000</v>
      </c>
      <c r="AH8">
        <v>2018</v>
      </c>
      <c r="AI8">
        <v>596593000000</v>
      </c>
    </row>
    <row r="9" spans="1:42" x14ac:dyDescent="0.25">
      <c r="A9" t="s">
        <v>219</v>
      </c>
      <c r="B9" t="s">
        <v>220</v>
      </c>
      <c r="C9" t="s">
        <v>221</v>
      </c>
      <c r="D9" t="s">
        <v>132</v>
      </c>
      <c r="E9" t="s">
        <v>200</v>
      </c>
      <c r="F9">
        <v>2050</v>
      </c>
      <c r="H9">
        <v>2020</v>
      </c>
      <c r="I9" t="s">
        <v>134</v>
      </c>
      <c r="J9">
        <v>28</v>
      </c>
      <c r="K9">
        <v>2005</v>
      </c>
      <c r="L9">
        <v>2025</v>
      </c>
      <c r="M9" t="s">
        <v>222</v>
      </c>
      <c r="N9" t="s">
        <v>223</v>
      </c>
      <c r="O9" t="s">
        <v>224</v>
      </c>
      <c r="P9" t="s">
        <v>225</v>
      </c>
      <c r="Q9" t="s">
        <v>145</v>
      </c>
      <c r="R9" t="s">
        <v>140</v>
      </c>
      <c r="S9" t="s">
        <v>145</v>
      </c>
      <c r="T9" t="s">
        <v>141</v>
      </c>
      <c r="U9" t="s">
        <v>226</v>
      </c>
      <c r="V9" t="s">
        <v>140</v>
      </c>
      <c r="W9" t="s">
        <v>227</v>
      </c>
      <c r="X9" t="s">
        <v>144</v>
      </c>
      <c r="Y9" t="s">
        <v>140</v>
      </c>
      <c r="Z9" t="s">
        <v>145</v>
      </c>
      <c r="AA9" t="s">
        <v>228</v>
      </c>
      <c r="AB9" t="s">
        <v>145</v>
      </c>
      <c r="AC9" t="s">
        <v>141</v>
      </c>
      <c r="AD9" t="s">
        <v>145</v>
      </c>
      <c r="AF9">
        <v>9987000</v>
      </c>
      <c r="AG9">
        <v>162100000</v>
      </c>
      <c r="AH9">
        <v>2018</v>
      </c>
      <c r="AI9">
        <v>536888000000</v>
      </c>
    </row>
    <row r="10" spans="1:42" x14ac:dyDescent="0.25">
      <c r="A10" t="s">
        <v>229</v>
      </c>
      <c r="B10" t="s">
        <v>230</v>
      </c>
      <c r="C10" t="s">
        <v>231</v>
      </c>
      <c r="D10" t="s">
        <v>152</v>
      </c>
      <c r="E10" t="s">
        <v>232</v>
      </c>
      <c r="F10">
        <v>2050</v>
      </c>
      <c r="H10">
        <v>2020</v>
      </c>
      <c r="I10" t="s">
        <v>233</v>
      </c>
      <c r="L10">
        <v>2035</v>
      </c>
      <c r="M10" t="s">
        <v>234</v>
      </c>
      <c r="N10" t="s">
        <v>235</v>
      </c>
      <c r="O10" t="s">
        <v>236</v>
      </c>
      <c r="P10" t="s">
        <v>237</v>
      </c>
      <c r="Q10" t="s">
        <v>139</v>
      </c>
      <c r="R10" t="s">
        <v>141</v>
      </c>
      <c r="S10" t="s">
        <v>145</v>
      </c>
      <c r="T10" t="s">
        <v>141</v>
      </c>
      <c r="U10" t="s">
        <v>238</v>
      </c>
      <c r="V10" t="s">
        <v>140</v>
      </c>
      <c r="W10" t="s">
        <v>239</v>
      </c>
      <c r="X10" t="s">
        <v>206</v>
      </c>
      <c r="Y10" t="s">
        <v>140</v>
      </c>
      <c r="Z10" t="s">
        <v>145</v>
      </c>
      <c r="AA10" t="s">
        <v>240</v>
      </c>
      <c r="AB10" t="s">
        <v>145</v>
      </c>
      <c r="AC10" t="s">
        <v>141</v>
      </c>
      <c r="AD10" t="s">
        <v>147</v>
      </c>
      <c r="AE10" t="s">
        <v>241</v>
      </c>
      <c r="AF10">
        <v>1069000</v>
      </c>
      <c r="AG10">
        <v>30700000</v>
      </c>
      <c r="AH10">
        <v>2018</v>
      </c>
      <c r="AI10">
        <v>52935000000</v>
      </c>
      <c r="AJ10" t="s">
        <v>242</v>
      </c>
    </row>
    <row r="11" spans="1:42" x14ac:dyDescent="0.25">
      <c r="A11" t="s">
        <v>243</v>
      </c>
      <c r="B11" t="s">
        <v>244</v>
      </c>
      <c r="C11" t="s">
        <v>245</v>
      </c>
      <c r="D11" t="s">
        <v>132</v>
      </c>
      <c r="E11" t="s">
        <v>133</v>
      </c>
      <c r="F11">
        <v>2050</v>
      </c>
      <c r="H11">
        <v>2019</v>
      </c>
      <c r="I11" t="s">
        <v>134</v>
      </c>
      <c r="J11">
        <v>40</v>
      </c>
      <c r="K11">
        <v>1990</v>
      </c>
      <c r="L11">
        <v>2030</v>
      </c>
      <c r="M11" t="s">
        <v>246</v>
      </c>
      <c r="N11" t="s">
        <v>247</v>
      </c>
      <c r="O11" t="s">
        <v>248</v>
      </c>
      <c r="P11" t="s">
        <v>249</v>
      </c>
      <c r="Q11" t="s">
        <v>139</v>
      </c>
      <c r="R11" t="s">
        <v>140</v>
      </c>
      <c r="S11" t="s">
        <v>141</v>
      </c>
      <c r="T11" t="s">
        <v>141</v>
      </c>
      <c r="U11" t="s">
        <v>250</v>
      </c>
      <c r="V11" t="s">
        <v>140</v>
      </c>
      <c r="W11" t="s">
        <v>158</v>
      </c>
      <c r="X11" t="s">
        <v>206</v>
      </c>
      <c r="Y11" t="s">
        <v>140</v>
      </c>
      <c r="Z11" t="s">
        <v>145</v>
      </c>
      <c r="AA11" t="s">
        <v>251</v>
      </c>
      <c r="AB11" t="s">
        <v>140</v>
      </c>
      <c r="AC11" t="s">
        <v>141</v>
      </c>
      <c r="AD11" t="s">
        <v>145</v>
      </c>
      <c r="AE11" t="s">
        <v>252</v>
      </c>
      <c r="AF11">
        <v>19677151</v>
      </c>
      <c r="AG11">
        <v>205610000</v>
      </c>
      <c r="AH11">
        <v>2016</v>
      </c>
      <c r="AI11">
        <v>1772260000000</v>
      </c>
      <c r="AK11" t="s">
        <v>253</v>
      </c>
      <c r="AL11">
        <v>15</v>
      </c>
      <c r="AM11" t="s">
        <v>254</v>
      </c>
    </row>
    <row r="12" spans="1:42" x14ac:dyDescent="0.25">
      <c r="A12" t="s">
        <v>255</v>
      </c>
      <c r="B12" t="s">
        <v>256</v>
      </c>
      <c r="C12" t="s">
        <v>257</v>
      </c>
      <c r="D12" t="s">
        <v>132</v>
      </c>
      <c r="E12" t="s">
        <v>133</v>
      </c>
      <c r="F12">
        <v>2050</v>
      </c>
      <c r="H12">
        <v>2020</v>
      </c>
      <c r="I12" t="s">
        <v>134</v>
      </c>
      <c r="J12">
        <v>45</v>
      </c>
      <c r="K12">
        <v>1990</v>
      </c>
      <c r="L12">
        <v>2030</v>
      </c>
      <c r="M12" t="s">
        <v>258</v>
      </c>
      <c r="N12" t="s">
        <v>259</v>
      </c>
      <c r="O12" t="s">
        <v>260</v>
      </c>
      <c r="P12" t="s">
        <v>261</v>
      </c>
      <c r="Q12" t="s">
        <v>139</v>
      </c>
      <c r="R12" t="s">
        <v>140</v>
      </c>
      <c r="S12" t="s">
        <v>145</v>
      </c>
      <c r="T12" t="s">
        <v>141</v>
      </c>
      <c r="U12" t="s">
        <v>262</v>
      </c>
      <c r="V12" t="s">
        <v>140</v>
      </c>
      <c r="W12" t="s">
        <v>263</v>
      </c>
      <c r="X12" t="s">
        <v>206</v>
      </c>
      <c r="Y12" t="s">
        <v>140</v>
      </c>
      <c r="Z12" t="s">
        <v>145</v>
      </c>
      <c r="AA12" t="s">
        <v>264</v>
      </c>
      <c r="AB12" t="s">
        <v>140</v>
      </c>
      <c r="AC12" t="s">
        <v>141</v>
      </c>
      <c r="AD12" t="s">
        <v>160</v>
      </c>
      <c r="AE12" t="s">
        <v>265</v>
      </c>
      <c r="AF12">
        <v>7740745</v>
      </c>
      <c r="AG12">
        <v>78800000</v>
      </c>
      <c r="AH12">
        <v>2018</v>
      </c>
      <c r="AI12">
        <v>612996000000</v>
      </c>
      <c r="AK12" t="s">
        <v>266</v>
      </c>
      <c r="AL12">
        <v>5</v>
      </c>
    </row>
    <row r="13" spans="1:42" x14ac:dyDescent="0.25">
      <c r="A13" t="s">
        <v>267</v>
      </c>
      <c r="B13" t="s">
        <v>268</v>
      </c>
      <c r="C13" t="s">
        <v>269</v>
      </c>
      <c r="E13" t="s">
        <v>79</v>
      </c>
      <c r="I13" t="s">
        <v>79</v>
      </c>
      <c r="O13" t="s">
        <v>270</v>
      </c>
      <c r="Q13" t="s">
        <v>145</v>
      </c>
      <c r="AF13">
        <v>4908620</v>
      </c>
      <c r="AI13">
        <v>228143000000</v>
      </c>
    </row>
    <row r="14" spans="1:42" x14ac:dyDescent="0.25">
      <c r="A14" t="s">
        <v>271</v>
      </c>
      <c r="B14" t="s">
        <v>272</v>
      </c>
      <c r="C14" t="s">
        <v>273</v>
      </c>
      <c r="E14" t="s">
        <v>79</v>
      </c>
      <c r="I14" t="s">
        <v>79</v>
      </c>
      <c r="O14" t="s">
        <v>274</v>
      </c>
      <c r="Q14" t="s">
        <v>145</v>
      </c>
      <c r="AF14">
        <v>731545</v>
      </c>
      <c r="AI14">
        <v>54386000000</v>
      </c>
    </row>
    <row r="15" spans="1:42" x14ac:dyDescent="0.25">
      <c r="A15" t="s">
        <v>275</v>
      </c>
      <c r="B15" t="s">
        <v>276</v>
      </c>
      <c r="C15" t="s">
        <v>277</v>
      </c>
      <c r="E15" t="s">
        <v>79</v>
      </c>
      <c r="I15" t="s">
        <v>79</v>
      </c>
      <c r="O15" t="s">
        <v>278</v>
      </c>
      <c r="Q15" t="s">
        <v>145</v>
      </c>
      <c r="AF15">
        <v>7279000</v>
      </c>
      <c r="AG15">
        <v>87000000</v>
      </c>
      <c r="AH15">
        <v>2016</v>
      </c>
      <c r="AI15">
        <v>370119000000</v>
      </c>
    </row>
    <row r="16" spans="1:42" x14ac:dyDescent="0.25">
      <c r="A16" t="s">
        <v>279</v>
      </c>
      <c r="B16" t="s">
        <v>280</v>
      </c>
      <c r="C16" t="s">
        <v>281</v>
      </c>
      <c r="E16" t="s">
        <v>79</v>
      </c>
      <c r="I16" t="s">
        <v>79</v>
      </c>
      <c r="O16" t="s">
        <v>282</v>
      </c>
      <c r="Q16" t="s">
        <v>145</v>
      </c>
      <c r="AF16">
        <v>3018000</v>
      </c>
      <c r="AI16">
        <v>130954000000</v>
      </c>
    </row>
    <row r="17" spans="1:41" x14ac:dyDescent="0.25">
      <c r="A17" t="s">
        <v>283</v>
      </c>
      <c r="B17" t="s">
        <v>284</v>
      </c>
      <c r="C17" t="s">
        <v>285</v>
      </c>
      <c r="D17" t="s">
        <v>132</v>
      </c>
      <c r="E17" t="s">
        <v>134</v>
      </c>
      <c r="F17">
        <v>2050</v>
      </c>
      <c r="H17">
        <v>2008</v>
      </c>
      <c r="I17" t="s">
        <v>134</v>
      </c>
      <c r="J17">
        <v>45</v>
      </c>
      <c r="K17">
        <v>2001</v>
      </c>
      <c r="L17">
        <v>2030</v>
      </c>
      <c r="M17" t="s">
        <v>286</v>
      </c>
      <c r="N17" t="s">
        <v>287</v>
      </c>
      <c r="O17" t="s">
        <v>288</v>
      </c>
      <c r="P17" t="s">
        <v>289</v>
      </c>
      <c r="Q17" t="s">
        <v>145</v>
      </c>
      <c r="R17" t="s">
        <v>145</v>
      </c>
      <c r="S17" t="s">
        <v>141</v>
      </c>
      <c r="T17" t="s">
        <v>141</v>
      </c>
      <c r="U17" t="s">
        <v>290</v>
      </c>
      <c r="V17" t="s">
        <v>140</v>
      </c>
      <c r="W17" t="s">
        <v>291</v>
      </c>
      <c r="X17" t="s">
        <v>206</v>
      </c>
      <c r="Y17" t="s">
        <v>140</v>
      </c>
      <c r="Z17" t="s">
        <v>145</v>
      </c>
      <c r="AA17" t="s">
        <v>292</v>
      </c>
      <c r="AB17" t="s">
        <v>145</v>
      </c>
      <c r="AC17" t="s">
        <v>141</v>
      </c>
      <c r="AD17" t="s">
        <v>160</v>
      </c>
      <c r="AE17" t="s">
        <v>293</v>
      </c>
      <c r="AF17">
        <v>3565000</v>
      </c>
      <c r="AG17">
        <v>40603040.700000003</v>
      </c>
      <c r="AH17">
        <v>2017</v>
      </c>
      <c r="AI17">
        <v>287822000000</v>
      </c>
      <c r="AN17">
        <v>80</v>
      </c>
      <c r="AO17">
        <v>2001</v>
      </c>
    </row>
    <row r="18" spans="1:41" x14ac:dyDescent="0.25">
      <c r="A18" t="s">
        <v>294</v>
      </c>
      <c r="B18" t="s">
        <v>295</v>
      </c>
      <c r="C18" t="s">
        <v>296</v>
      </c>
      <c r="D18" t="s">
        <v>152</v>
      </c>
      <c r="E18" t="s">
        <v>134</v>
      </c>
      <c r="F18">
        <v>2025</v>
      </c>
      <c r="H18">
        <v>2021</v>
      </c>
      <c r="I18" t="s">
        <v>79</v>
      </c>
      <c r="M18" t="s">
        <v>297</v>
      </c>
      <c r="P18" t="s">
        <v>298</v>
      </c>
      <c r="Q18" t="s">
        <v>139</v>
      </c>
      <c r="R18" t="s">
        <v>145</v>
      </c>
      <c r="S18" t="s">
        <v>145</v>
      </c>
      <c r="T18" t="s">
        <v>141</v>
      </c>
      <c r="U18" t="s">
        <v>299</v>
      </c>
      <c r="V18" t="s">
        <v>140</v>
      </c>
      <c r="W18" t="s">
        <v>300</v>
      </c>
      <c r="X18" t="s">
        <v>171</v>
      </c>
      <c r="Y18" t="s">
        <v>140</v>
      </c>
      <c r="Z18" t="s">
        <v>145</v>
      </c>
      <c r="AA18" t="s">
        <v>301</v>
      </c>
      <c r="AB18" t="s">
        <v>145</v>
      </c>
      <c r="AC18" t="s">
        <v>141</v>
      </c>
      <c r="AD18" t="s">
        <v>160</v>
      </c>
      <c r="AE18" t="s">
        <v>302</v>
      </c>
      <c r="AF18">
        <v>973764</v>
      </c>
      <c r="AG18">
        <v>12600000</v>
      </c>
      <c r="AH18">
        <v>2018</v>
      </c>
      <c r="AI18">
        <v>77082000000</v>
      </c>
      <c r="AN18">
        <v>28</v>
      </c>
      <c r="AO18">
        <v>2005</v>
      </c>
    </row>
    <row r="19" spans="1:41" x14ac:dyDescent="0.25">
      <c r="A19" t="s">
        <v>303</v>
      </c>
      <c r="B19" t="s">
        <v>304</v>
      </c>
      <c r="C19" t="s">
        <v>305</v>
      </c>
      <c r="D19" t="s">
        <v>132</v>
      </c>
      <c r="E19" t="s">
        <v>134</v>
      </c>
      <c r="F19">
        <v>2050</v>
      </c>
      <c r="H19">
        <v>2007</v>
      </c>
      <c r="I19" t="s">
        <v>233</v>
      </c>
      <c r="L19">
        <v>2025</v>
      </c>
      <c r="M19" t="s">
        <v>306</v>
      </c>
      <c r="N19" t="s">
        <v>307</v>
      </c>
      <c r="O19" t="s">
        <v>308</v>
      </c>
      <c r="P19" t="s">
        <v>309</v>
      </c>
      <c r="Q19" t="s">
        <v>139</v>
      </c>
      <c r="R19" t="s">
        <v>145</v>
      </c>
      <c r="S19" t="s">
        <v>145</v>
      </c>
      <c r="T19" t="s">
        <v>141</v>
      </c>
      <c r="U19" t="s">
        <v>310</v>
      </c>
      <c r="V19" t="s">
        <v>140</v>
      </c>
      <c r="W19" t="s">
        <v>311</v>
      </c>
      <c r="X19" t="s">
        <v>171</v>
      </c>
      <c r="Y19" t="s">
        <v>141</v>
      </c>
      <c r="Z19" t="s">
        <v>145</v>
      </c>
      <c r="AA19" t="s">
        <v>312</v>
      </c>
      <c r="AB19" t="s">
        <v>145</v>
      </c>
      <c r="AC19" t="s">
        <v>141</v>
      </c>
      <c r="AD19" t="s">
        <v>145</v>
      </c>
      <c r="AE19" t="s">
        <v>313</v>
      </c>
      <c r="AF19">
        <v>21480000</v>
      </c>
      <c r="AG19">
        <v>230100000</v>
      </c>
      <c r="AH19">
        <v>2016</v>
      </c>
      <c r="AI19">
        <v>1106500000000</v>
      </c>
      <c r="AJ19" t="s">
        <v>314</v>
      </c>
      <c r="AN19">
        <v>80</v>
      </c>
      <c r="AO19">
        <v>1990</v>
      </c>
    </row>
    <row r="20" spans="1:41" x14ac:dyDescent="0.25">
      <c r="A20" t="s">
        <v>315</v>
      </c>
      <c r="B20" t="s">
        <v>316</v>
      </c>
      <c r="C20" t="s">
        <v>317</v>
      </c>
      <c r="E20" t="s">
        <v>79</v>
      </c>
      <c r="I20" t="s">
        <v>79</v>
      </c>
      <c r="O20" t="s">
        <v>318</v>
      </c>
      <c r="Q20" t="s">
        <v>145</v>
      </c>
      <c r="AF20">
        <v>1787000</v>
      </c>
      <c r="AI20">
        <v>83666000000</v>
      </c>
    </row>
    <row r="21" spans="1:41" x14ac:dyDescent="0.25">
      <c r="A21" t="s">
        <v>319</v>
      </c>
      <c r="B21" t="s">
        <v>320</v>
      </c>
      <c r="C21" t="s">
        <v>321</v>
      </c>
      <c r="D21" t="s">
        <v>132</v>
      </c>
      <c r="E21" t="s">
        <v>133</v>
      </c>
      <c r="F21">
        <v>2050</v>
      </c>
      <c r="H21">
        <v>2019</v>
      </c>
      <c r="I21" t="s">
        <v>134</v>
      </c>
      <c r="J21">
        <v>26</v>
      </c>
      <c r="K21">
        <v>2005</v>
      </c>
      <c r="L21">
        <v>2030</v>
      </c>
      <c r="M21" t="s">
        <v>322</v>
      </c>
      <c r="N21" t="s">
        <v>323</v>
      </c>
      <c r="O21" t="s">
        <v>324</v>
      </c>
      <c r="P21" t="s">
        <v>325</v>
      </c>
      <c r="Q21" t="s">
        <v>139</v>
      </c>
      <c r="R21" t="s">
        <v>145</v>
      </c>
      <c r="S21" t="s">
        <v>145</v>
      </c>
      <c r="T21" t="s">
        <v>141</v>
      </c>
      <c r="U21" t="s">
        <v>326</v>
      </c>
      <c r="V21" t="s">
        <v>140</v>
      </c>
      <c r="W21" t="s">
        <v>327</v>
      </c>
      <c r="X21" t="s">
        <v>171</v>
      </c>
      <c r="Y21" t="s">
        <v>140</v>
      </c>
      <c r="Z21" t="s">
        <v>145</v>
      </c>
      <c r="AA21" t="s">
        <v>328</v>
      </c>
      <c r="AB21" t="s">
        <v>145</v>
      </c>
      <c r="AC21" t="s">
        <v>141</v>
      </c>
      <c r="AD21" t="s">
        <v>160</v>
      </c>
      <c r="AE21" t="s">
        <v>329</v>
      </c>
      <c r="AF21">
        <v>12670000</v>
      </c>
      <c r="AG21">
        <v>210200000</v>
      </c>
      <c r="AH21">
        <v>2018</v>
      </c>
      <c r="AI21">
        <v>885583000000</v>
      </c>
    </row>
    <row r="22" spans="1:41" x14ac:dyDescent="0.25">
      <c r="A22" t="s">
        <v>330</v>
      </c>
      <c r="B22" t="s">
        <v>331</v>
      </c>
      <c r="C22" t="s">
        <v>332</v>
      </c>
      <c r="E22" t="s">
        <v>79</v>
      </c>
      <c r="I22" t="s">
        <v>79</v>
      </c>
      <c r="Q22" t="s">
        <v>145</v>
      </c>
      <c r="AF22">
        <v>6732000</v>
      </c>
      <c r="AI22">
        <v>379684000000</v>
      </c>
    </row>
    <row r="23" spans="1:41" x14ac:dyDescent="0.25">
      <c r="A23" t="s">
        <v>333</v>
      </c>
      <c r="B23" t="s">
        <v>334</v>
      </c>
      <c r="C23" t="s">
        <v>335</v>
      </c>
      <c r="E23" t="s">
        <v>79</v>
      </c>
      <c r="I23" t="s">
        <v>79</v>
      </c>
      <c r="Q23" t="s">
        <v>145</v>
      </c>
      <c r="AF23">
        <v>3155000</v>
      </c>
      <c r="AI23">
        <v>194658000000</v>
      </c>
    </row>
    <row r="24" spans="1:41" x14ac:dyDescent="0.25">
      <c r="A24" t="s">
        <v>336</v>
      </c>
      <c r="B24" t="s">
        <v>337</v>
      </c>
      <c r="C24" t="s">
        <v>338</v>
      </c>
      <c r="E24" t="s">
        <v>79</v>
      </c>
      <c r="I24" t="s">
        <v>79</v>
      </c>
      <c r="R24" t="s">
        <v>145</v>
      </c>
      <c r="S24" t="s">
        <v>145</v>
      </c>
      <c r="T24" t="s">
        <v>141</v>
      </c>
      <c r="V24" t="s">
        <v>141</v>
      </c>
      <c r="X24" t="s">
        <v>171</v>
      </c>
      <c r="Y24" t="s">
        <v>141</v>
      </c>
      <c r="Z24" t="s">
        <v>145</v>
      </c>
      <c r="AB24" t="s">
        <v>145</v>
      </c>
      <c r="AC24" t="s">
        <v>141</v>
      </c>
      <c r="AD24" t="s">
        <v>145</v>
      </c>
      <c r="AF24">
        <v>2913000</v>
      </c>
      <c r="AI24">
        <v>176493000000</v>
      </c>
    </row>
    <row r="25" spans="1:41" x14ac:dyDescent="0.25">
      <c r="A25" t="s">
        <v>339</v>
      </c>
      <c r="B25" t="s">
        <v>340</v>
      </c>
      <c r="C25" t="s">
        <v>341</v>
      </c>
      <c r="E25" t="s">
        <v>79</v>
      </c>
      <c r="I25" t="s">
        <v>79</v>
      </c>
      <c r="Q25" t="s">
        <v>145</v>
      </c>
      <c r="AF25">
        <v>4468000</v>
      </c>
      <c r="AI25">
        <v>215399000000</v>
      </c>
    </row>
    <row r="26" spans="1:41" x14ac:dyDescent="0.25">
      <c r="A26" t="s">
        <v>342</v>
      </c>
      <c r="B26" t="s">
        <v>343</v>
      </c>
      <c r="C26" t="s">
        <v>344</v>
      </c>
      <c r="D26" t="s">
        <v>132</v>
      </c>
      <c r="E26" t="s">
        <v>133</v>
      </c>
      <c r="F26">
        <v>2045</v>
      </c>
      <c r="H26">
        <v>2023</v>
      </c>
      <c r="I26" t="s">
        <v>134</v>
      </c>
      <c r="J26">
        <v>60</v>
      </c>
      <c r="K26">
        <v>2006</v>
      </c>
      <c r="L26">
        <v>2031</v>
      </c>
      <c r="M26" t="s">
        <v>345</v>
      </c>
      <c r="N26" t="s">
        <v>346</v>
      </c>
      <c r="O26" t="s">
        <v>347</v>
      </c>
      <c r="P26" t="s">
        <v>348</v>
      </c>
      <c r="Q26" t="s">
        <v>139</v>
      </c>
      <c r="R26" t="s">
        <v>140</v>
      </c>
      <c r="S26" t="s">
        <v>145</v>
      </c>
      <c r="T26" t="s">
        <v>140</v>
      </c>
      <c r="U26" t="s">
        <v>349</v>
      </c>
      <c r="V26" t="s">
        <v>140</v>
      </c>
      <c r="W26" t="s">
        <v>158</v>
      </c>
      <c r="X26" t="s">
        <v>144</v>
      </c>
      <c r="Y26" t="s">
        <v>140</v>
      </c>
      <c r="Z26" t="s">
        <v>145</v>
      </c>
      <c r="AA26" t="s">
        <v>350</v>
      </c>
      <c r="AB26" t="s">
        <v>141</v>
      </c>
      <c r="AC26" t="s">
        <v>141</v>
      </c>
      <c r="AD26" t="s">
        <v>160</v>
      </c>
      <c r="AE26" t="s">
        <v>351</v>
      </c>
      <c r="AF26">
        <v>6046000</v>
      </c>
      <c r="AG26">
        <v>59400000</v>
      </c>
      <c r="AH26">
        <v>2018</v>
      </c>
      <c r="AI26">
        <v>426747000000</v>
      </c>
    </row>
    <row r="27" spans="1:41" x14ac:dyDescent="0.25">
      <c r="A27" t="s">
        <v>352</v>
      </c>
      <c r="B27" t="s">
        <v>353</v>
      </c>
      <c r="C27" t="s">
        <v>354</v>
      </c>
      <c r="D27" t="s">
        <v>132</v>
      </c>
      <c r="E27" t="s">
        <v>134</v>
      </c>
      <c r="F27">
        <v>2050</v>
      </c>
      <c r="H27">
        <v>2007</v>
      </c>
      <c r="I27" t="s">
        <v>134</v>
      </c>
      <c r="J27">
        <v>30</v>
      </c>
      <c r="K27">
        <v>2005</v>
      </c>
      <c r="L27">
        <v>2025</v>
      </c>
      <c r="M27" t="s">
        <v>355</v>
      </c>
      <c r="O27" t="s">
        <v>356</v>
      </c>
      <c r="P27" t="s">
        <v>357</v>
      </c>
      <c r="Q27" t="s">
        <v>139</v>
      </c>
      <c r="R27" t="s">
        <v>140</v>
      </c>
      <c r="S27" t="s">
        <v>141</v>
      </c>
      <c r="T27" t="s">
        <v>141</v>
      </c>
      <c r="U27" t="s">
        <v>358</v>
      </c>
      <c r="V27" t="s">
        <v>140</v>
      </c>
      <c r="W27" t="s">
        <v>143</v>
      </c>
      <c r="X27" t="s">
        <v>144</v>
      </c>
      <c r="Y27" t="s">
        <v>141</v>
      </c>
      <c r="Z27" t="s">
        <v>141</v>
      </c>
      <c r="AA27" t="s">
        <v>359</v>
      </c>
      <c r="AB27" t="s">
        <v>141</v>
      </c>
      <c r="AC27" t="s">
        <v>141</v>
      </c>
      <c r="AD27" t="s">
        <v>160</v>
      </c>
      <c r="AF27">
        <v>5640000</v>
      </c>
      <c r="AG27">
        <v>92600000</v>
      </c>
      <c r="AH27">
        <v>2018</v>
      </c>
      <c r="AI27">
        <v>383777000000</v>
      </c>
      <c r="AN27">
        <v>80</v>
      </c>
      <c r="AO27">
        <v>2005</v>
      </c>
    </row>
    <row r="28" spans="1:41" x14ac:dyDescent="0.25">
      <c r="A28" t="s">
        <v>360</v>
      </c>
      <c r="B28" t="s">
        <v>361</v>
      </c>
      <c r="C28" t="s">
        <v>362</v>
      </c>
      <c r="E28" t="s">
        <v>79</v>
      </c>
      <c r="I28" t="s">
        <v>79</v>
      </c>
      <c r="P28" t="s">
        <v>363</v>
      </c>
      <c r="Q28" t="s">
        <v>145</v>
      </c>
      <c r="AF28">
        <v>2976000</v>
      </c>
      <c r="AI28">
        <v>115971000000</v>
      </c>
    </row>
    <row r="29" spans="1:41" x14ac:dyDescent="0.25">
      <c r="A29" t="s">
        <v>364</v>
      </c>
      <c r="B29" t="s">
        <v>365</v>
      </c>
      <c r="C29" t="s">
        <v>366</v>
      </c>
      <c r="E29" t="s">
        <v>79</v>
      </c>
      <c r="I29" t="s">
        <v>79</v>
      </c>
      <c r="Q29" t="s">
        <v>145</v>
      </c>
      <c r="AF29">
        <v>6137000</v>
      </c>
      <c r="AI29">
        <v>328401000000</v>
      </c>
    </row>
    <row r="30" spans="1:41" x14ac:dyDescent="0.25">
      <c r="A30" t="s">
        <v>367</v>
      </c>
      <c r="B30" t="s">
        <v>368</v>
      </c>
      <c r="C30" t="s">
        <v>369</v>
      </c>
      <c r="E30" t="s">
        <v>79</v>
      </c>
      <c r="I30" t="s">
        <v>79</v>
      </c>
      <c r="Q30" t="s">
        <v>145</v>
      </c>
      <c r="AF30">
        <v>1934000</v>
      </c>
      <c r="AI30">
        <v>130012000000</v>
      </c>
    </row>
    <row r="31" spans="1:41" x14ac:dyDescent="0.25">
      <c r="A31" t="s">
        <v>370</v>
      </c>
      <c r="B31" t="s">
        <v>371</v>
      </c>
      <c r="C31" t="s">
        <v>372</v>
      </c>
      <c r="D31" t="s">
        <v>152</v>
      </c>
      <c r="E31" t="s">
        <v>134</v>
      </c>
      <c r="F31">
        <v>2050</v>
      </c>
      <c r="I31" t="s">
        <v>134</v>
      </c>
      <c r="J31">
        <v>20</v>
      </c>
      <c r="K31">
        <v>1990</v>
      </c>
      <c r="L31">
        <v>2025</v>
      </c>
      <c r="M31" t="s">
        <v>373</v>
      </c>
      <c r="N31" t="s">
        <v>374</v>
      </c>
      <c r="P31" t="s">
        <v>375</v>
      </c>
      <c r="Q31" t="s">
        <v>145</v>
      </c>
      <c r="V31" t="s">
        <v>141</v>
      </c>
      <c r="Z31" t="s">
        <v>141</v>
      </c>
      <c r="AB31" t="s">
        <v>140</v>
      </c>
      <c r="AD31" t="s">
        <v>145</v>
      </c>
      <c r="AE31" t="s">
        <v>376</v>
      </c>
      <c r="AF31">
        <v>1360000</v>
      </c>
      <c r="AG31">
        <v>13800000</v>
      </c>
      <c r="AH31">
        <v>2016</v>
      </c>
      <c r="AI31">
        <v>87634000000</v>
      </c>
      <c r="AK31" t="s">
        <v>266</v>
      </c>
      <c r="AN31">
        <v>80</v>
      </c>
      <c r="AO31">
        <v>1990</v>
      </c>
    </row>
    <row r="32" spans="1:41" x14ac:dyDescent="0.25">
      <c r="A32" t="s">
        <v>377</v>
      </c>
      <c r="B32" t="s">
        <v>378</v>
      </c>
      <c r="C32" t="s">
        <v>379</v>
      </c>
      <c r="D32" t="s">
        <v>132</v>
      </c>
      <c r="E32" t="s">
        <v>134</v>
      </c>
      <c r="F32">
        <v>2050</v>
      </c>
      <c r="H32">
        <v>2021</v>
      </c>
      <c r="I32" t="s">
        <v>134</v>
      </c>
      <c r="J32">
        <v>50</v>
      </c>
      <c r="K32">
        <v>2006</v>
      </c>
      <c r="L32">
        <v>2030</v>
      </c>
      <c r="M32" t="s">
        <v>380</v>
      </c>
      <c r="N32" t="s">
        <v>381</v>
      </c>
      <c r="O32" t="s">
        <v>382</v>
      </c>
      <c r="P32" t="s">
        <v>383</v>
      </c>
      <c r="Q32" t="s">
        <v>139</v>
      </c>
      <c r="R32" t="s">
        <v>140</v>
      </c>
      <c r="S32" t="s">
        <v>141</v>
      </c>
      <c r="T32" t="s">
        <v>141</v>
      </c>
      <c r="U32" t="s">
        <v>384</v>
      </c>
      <c r="V32" t="s">
        <v>140</v>
      </c>
      <c r="W32" t="s">
        <v>158</v>
      </c>
      <c r="X32" t="s">
        <v>206</v>
      </c>
      <c r="Y32" t="s">
        <v>141</v>
      </c>
      <c r="Z32" t="s">
        <v>145</v>
      </c>
      <c r="AB32" t="s">
        <v>145</v>
      </c>
      <c r="AC32" t="s">
        <v>141</v>
      </c>
      <c r="AD32" t="s">
        <v>160</v>
      </c>
      <c r="AE32" t="s">
        <v>385</v>
      </c>
      <c r="AF32">
        <v>8882190</v>
      </c>
      <c r="AG32">
        <v>108100000</v>
      </c>
      <c r="AH32">
        <v>2018</v>
      </c>
      <c r="AI32">
        <v>634784000000</v>
      </c>
      <c r="AN32">
        <v>80</v>
      </c>
      <c r="AO32">
        <v>2006</v>
      </c>
    </row>
    <row r="33" spans="1:42" x14ac:dyDescent="0.25">
      <c r="A33" t="s">
        <v>386</v>
      </c>
      <c r="B33" t="s">
        <v>387</v>
      </c>
      <c r="C33" t="s">
        <v>388</v>
      </c>
      <c r="D33" t="s">
        <v>132</v>
      </c>
      <c r="E33" t="s">
        <v>134</v>
      </c>
      <c r="F33">
        <v>2030</v>
      </c>
      <c r="H33">
        <v>2019</v>
      </c>
      <c r="I33" t="s">
        <v>79</v>
      </c>
      <c r="M33" t="s">
        <v>389</v>
      </c>
      <c r="O33" t="s">
        <v>390</v>
      </c>
      <c r="P33" t="s">
        <v>391</v>
      </c>
      <c r="Q33" t="s">
        <v>139</v>
      </c>
      <c r="R33" t="s">
        <v>140</v>
      </c>
      <c r="S33" t="s">
        <v>141</v>
      </c>
      <c r="T33" t="s">
        <v>141</v>
      </c>
      <c r="V33" t="s">
        <v>140</v>
      </c>
      <c r="X33" t="s">
        <v>206</v>
      </c>
      <c r="Y33" t="s">
        <v>140</v>
      </c>
      <c r="Z33" t="s">
        <v>145</v>
      </c>
      <c r="AA33" t="s">
        <v>392</v>
      </c>
      <c r="AB33" t="s">
        <v>145</v>
      </c>
      <c r="AC33" t="s">
        <v>141</v>
      </c>
      <c r="AD33" t="s">
        <v>147</v>
      </c>
      <c r="AE33" t="s">
        <v>393</v>
      </c>
      <c r="AF33">
        <v>2096829</v>
      </c>
      <c r="AG33">
        <v>45400000</v>
      </c>
      <c r="AH33">
        <v>2018</v>
      </c>
      <c r="AI33">
        <v>105143000000</v>
      </c>
      <c r="AN33">
        <v>45</v>
      </c>
      <c r="AO33">
        <v>2005</v>
      </c>
    </row>
    <row r="34" spans="1:42" x14ac:dyDescent="0.25">
      <c r="A34" t="s">
        <v>394</v>
      </c>
      <c r="B34" t="s">
        <v>395</v>
      </c>
      <c r="C34" t="s">
        <v>396</v>
      </c>
      <c r="D34" t="s">
        <v>397</v>
      </c>
      <c r="E34" t="s">
        <v>133</v>
      </c>
      <c r="F34">
        <v>2050</v>
      </c>
      <c r="H34">
        <v>2022</v>
      </c>
      <c r="I34" t="s">
        <v>134</v>
      </c>
      <c r="J34">
        <v>50</v>
      </c>
      <c r="K34">
        <v>2005</v>
      </c>
      <c r="L34">
        <v>2030</v>
      </c>
      <c r="M34" t="s">
        <v>398</v>
      </c>
      <c r="N34" t="s">
        <v>399</v>
      </c>
      <c r="O34" t="s">
        <v>400</v>
      </c>
      <c r="P34" t="s">
        <v>401</v>
      </c>
      <c r="Q34" t="s">
        <v>145</v>
      </c>
      <c r="R34" t="s">
        <v>140</v>
      </c>
      <c r="S34" t="s">
        <v>141</v>
      </c>
      <c r="T34" t="s">
        <v>141</v>
      </c>
      <c r="V34" t="s">
        <v>141</v>
      </c>
      <c r="X34" t="s">
        <v>206</v>
      </c>
      <c r="Y34" t="s">
        <v>141</v>
      </c>
      <c r="Z34" t="s">
        <v>141</v>
      </c>
      <c r="AB34" t="s">
        <v>145</v>
      </c>
      <c r="AC34" t="s">
        <v>141</v>
      </c>
      <c r="AD34" t="s">
        <v>145</v>
      </c>
      <c r="AF34">
        <v>104888084</v>
      </c>
      <c r="AG34">
        <v>119300000</v>
      </c>
      <c r="AH34">
        <v>2018</v>
      </c>
      <c r="AI34">
        <v>591601000000</v>
      </c>
    </row>
    <row r="35" spans="1:42" x14ac:dyDescent="0.25">
      <c r="A35" t="s">
        <v>402</v>
      </c>
      <c r="B35" t="s">
        <v>403</v>
      </c>
      <c r="C35" t="s">
        <v>404</v>
      </c>
      <c r="D35" t="s">
        <v>405</v>
      </c>
      <c r="E35" t="s">
        <v>200</v>
      </c>
      <c r="F35">
        <v>2030</v>
      </c>
      <c r="H35">
        <v>2021</v>
      </c>
      <c r="I35" t="s">
        <v>79</v>
      </c>
      <c r="M35" t="s">
        <v>406</v>
      </c>
      <c r="P35" t="s">
        <v>407</v>
      </c>
      <c r="Q35" t="s">
        <v>145</v>
      </c>
      <c r="R35" t="s">
        <v>145</v>
      </c>
      <c r="S35" t="s">
        <v>145</v>
      </c>
      <c r="T35" t="s">
        <v>141</v>
      </c>
      <c r="V35" t="s">
        <v>141</v>
      </c>
      <c r="X35" t="s">
        <v>171</v>
      </c>
      <c r="Z35" t="s">
        <v>141</v>
      </c>
      <c r="AB35" t="s">
        <v>145</v>
      </c>
      <c r="AC35" t="s">
        <v>141</v>
      </c>
      <c r="AD35" t="s">
        <v>408</v>
      </c>
      <c r="AE35" t="s">
        <v>409</v>
      </c>
      <c r="AF35">
        <v>762062</v>
      </c>
      <c r="AI35">
        <v>57181000000</v>
      </c>
    </row>
    <row r="36" spans="1:42" x14ac:dyDescent="0.25">
      <c r="A36" t="s">
        <v>410</v>
      </c>
      <c r="B36" t="s">
        <v>411</v>
      </c>
      <c r="C36" t="s">
        <v>412</v>
      </c>
      <c r="E36" t="s">
        <v>79</v>
      </c>
      <c r="I36" t="s">
        <v>79</v>
      </c>
      <c r="Q36" t="s">
        <v>145</v>
      </c>
      <c r="AF36">
        <v>11689100</v>
      </c>
      <c r="AI36">
        <v>695362000000</v>
      </c>
    </row>
    <row r="37" spans="1:42" x14ac:dyDescent="0.25">
      <c r="A37" t="s">
        <v>413</v>
      </c>
      <c r="B37" t="s">
        <v>414</v>
      </c>
      <c r="C37" t="s">
        <v>415</v>
      </c>
      <c r="E37" t="s">
        <v>233</v>
      </c>
      <c r="H37">
        <v>2021</v>
      </c>
      <c r="I37" t="s">
        <v>79</v>
      </c>
      <c r="O37" t="s">
        <v>416</v>
      </c>
      <c r="P37" t="s">
        <v>417</v>
      </c>
      <c r="Q37" t="s">
        <v>145</v>
      </c>
      <c r="R37" t="s">
        <v>145</v>
      </c>
      <c r="S37" t="s">
        <v>141</v>
      </c>
      <c r="T37" t="s">
        <v>141</v>
      </c>
      <c r="U37" t="s">
        <v>418</v>
      </c>
      <c r="V37" t="s">
        <v>140</v>
      </c>
      <c r="X37" t="s">
        <v>206</v>
      </c>
      <c r="Y37" t="s">
        <v>141</v>
      </c>
      <c r="Z37" t="s">
        <v>145</v>
      </c>
      <c r="AA37" t="s">
        <v>419</v>
      </c>
      <c r="AB37" t="s">
        <v>145</v>
      </c>
      <c r="AC37" t="s">
        <v>141</v>
      </c>
      <c r="AD37" t="s">
        <v>141</v>
      </c>
      <c r="AE37" t="s">
        <v>420</v>
      </c>
      <c r="AF37">
        <v>3956971</v>
      </c>
      <c r="AI37">
        <v>202036000000</v>
      </c>
      <c r="AP37" t="s">
        <v>421</v>
      </c>
    </row>
    <row r="38" spans="1:42" x14ac:dyDescent="0.25">
      <c r="A38" t="s">
        <v>422</v>
      </c>
      <c r="B38" t="s">
        <v>423</v>
      </c>
      <c r="C38" t="s">
        <v>424</v>
      </c>
      <c r="D38" t="s">
        <v>132</v>
      </c>
      <c r="E38" t="s">
        <v>134</v>
      </c>
      <c r="F38">
        <v>2050</v>
      </c>
      <c r="H38">
        <v>2020</v>
      </c>
      <c r="I38" t="s">
        <v>134</v>
      </c>
      <c r="J38">
        <v>45</v>
      </c>
      <c r="K38">
        <v>1990</v>
      </c>
      <c r="L38">
        <v>2035</v>
      </c>
      <c r="M38" t="s">
        <v>425</v>
      </c>
      <c r="N38" t="s">
        <v>425</v>
      </c>
      <c r="O38" t="s">
        <v>426</v>
      </c>
      <c r="P38" t="s">
        <v>427</v>
      </c>
      <c r="Q38" t="s">
        <v>139</v>
      </c>
      <c r="R38" t="s">
        <v>145</v>
      </c>
      <c r="S38" t="s">
        <v>145</v>
      </c>
      <c r="T38" t="s">
        <v>141</v>
      </c>
      <c r="V38" t="s">
        <v>140</v>
      </c>
      <c r="W38" t="s">
        <v>428</v>
      </c>
      <c r="X38" t="s">
        <v>206</v>
      </c>
      <c r="Y38" t="s">
        <v>141</v>
      </c>
      <c r="Z38" t="s">
        <v>145</v>
      </c>
      <c r="AA38" t="s">
        <v>429</v>
      </c>
      <c r="AB38" t="s">
        <v>145</v>
      </c>
      <c r="AC38" t="s">
        <v>141</v>
      </c>
      <c r="AD38" t="s">
        <v>145</v>
      </c>
      <c r="AE38" t="s">
        <v>430</v>
      </c>
      <c r="AF38">
        <v>4217737</v>
      </c>
      <c r="AG38">
        <v>64561358</v>
      </c>
      <c r="AH38">
        <v>2017</v>
      </c>
      <c r="AI38">
        <v>253623000000</v>
      </c>
      <c r="AN38">
        <v>80</v>
      </c>
      <c r="AO38">
        <v>1990</v>
      </c>
    </row>
    <row r="39" spans="1:42" x14ac:dyDescent="0.25">
      <c r="A39" t="s">
        <v>431</v>
      </c>
      <c r="B39" t="s">
        <v>432</v>
      </c>
      <c r="C39" t="s">
        <v>433</v>
      </c>
      <c r="D39" t="s">
        <v>152</v>
      </c>
      <c r="E39" t="s">
        <v>134</v>
      </c>
      <c r="F39">
        <v>2050</v>
      </c>
      <c r="I39" t="s">
        <v>134</v>
      </c>
      <c r="J39">
        <v>26</v>
      </c>
      <c r="K39">
        <v>2005</v>
      </c>
      <c r="L39">
        <v>2025</v>
      </c>
      <c r="M39" t="s">
        <v>434</v>
      </c>
      <c r="N39" t="s">
        <v>435</v>
      </c>
      <c r="P39" t="s">
        <v>436</v>
      </c>
      <c r="Q39" t="s">
        <v>139</v>
      </c>
      <c r="R39" t="s">
        <v>140</v>
      </c>
      <c r="S39" t="s">
        <v>145</v>
      </c>
      <c r="T39" t="s">
        <v>141</v>
      </c>
      <c r="U39" t="s">
        <v>437</v>
      </c>
      <c r="V39" t="s">
        <v>140</v>
      </c>
      <c r="W39" t="s">
        <v>158</v>
      </c>
      <c r="X39" t="s">
        <v>206</v>
      </c>
      <c r="Y39" t="s">
        <v>140</v>
      </c>
      <c r="Z39" t="s">
        <v>141</v>
      </c>
      <c r="AA39" t="s">
        <v>438</v>
      </c>
      <c r="AB39" t="s">
        <v>140</v>
      </c>
      <c r="AC39" t="s">
        <v>141</v>
      </c>
      <c r="AD39" t="s">
        <v>147</v>
      </c>
      <c r="AE39" t="s">
        <v>439</v>
      </c>
      <c r="AF39">
        <v>12801989</v>
      </c>
      <c r="AG39">
        <v>221300000</v>
      </c>
      <c r="AH39">
        <v>2018</v>
      </c>
      <c r="AI39">
        <v>808738000000</v>
      </c>
      <c r="AK39" t="s">
        <v>440</v>
      </c>
      <c r="AM39" t="s">
        <v>441</v>
      </c>
      <c r="AN39">
        <v>80</v>
      </c>
      <c r="AO39">
        <v>2005</v>
      </c>
    </row>
    <row r="40" spans="1:42" x14ac:dyDescent="0.25">
      <c r="A40" t="s">
        <v>442</v>
      </c>
      <c r="B40" t="s">
        <v>443</v>
      </c>
      <c r="C40" t="s">
        <v>444</v>
      </c>
      <c r="D40" t="s">
        <v>132</v>
      </c>
      <c r="E40" t="s">
        <v>133</v>
      </c>
      <c r="F40">
        <v>2050</v>
      </c>
      <c r="H40">
        <v>2021</v>
      </c>
      <c r="I40" t="s">
        <v>134</v>
      </c>
      <c r="J40">
        <v>45</v>
      </c>
      <c r="K40">
        <v>1990</v>
      </c>
      <c r="L40">
        <v>2030</v>
      </c>
      <c r="M40" t="s">
        <v>445</v>
      </c>
      <c r="N40" t="s">
        <v>445</v>
      </c>
      <c r="O40" t="s">
        <v>446</v>
      </c>
      <c r="P40" t="s">
        <v>447</v>
      </c>
      <c r="Q40" t="s">
        <v>139</v>
      </c>
      <c r="R40" t="s">
        <v>140</v>
      </c>
      <c r="S40" t="s">
        <v>145</v>
      </c>
      <c r="T40" t="s">
        <v>141</v>
      </c>
      <c r="U40" t="s">
        <v>448</v>
      </c>
      <c r="V40" t="s">
        <v>140</v>
      </c>
      <c r="W40" t="s">
        <v>428</v>
      </c>
      <c r="X40" t="s">
        <v>206</v>
      </c>
      <c r="Y40" t="s">
        <v>140</v>
      </c>
      <c r="Z40" t="s">
        <v>140</v>
      </c>
      <c r="AA40" t="s">
        <v>449</v>
      </c>
      <c r="AB40" t="s">
        <v>145</v>
      </c>
      <c r="AC40" t="s">
        <v>141</v>
      </c>
      <c r="AD40" t="s">
        <v>160</v>
      </c>
      <c r="AE40" t="s">
        <v>450</v>
      </c>
      <c r="AF40">
        <v>1059361</v>
      </c>
      <c r="AG40">
        <v>11200000</v>
      </c>
      <c r="AH40">
        <v>2018</v>
      </c>
      <c r="AI40">
        <v>61884000000</v>
      </c>
    </row>
    <row r="41" spans="1:42" x14ac:dyDescent="0.25">
      <c r="A41" t="s">
        <v>451</v>
      </c>
      <c r="B41" t="s">
        <v>452</v>
      </c>
      <c r="C41" t="s">
        <v>453</v>
      </c>
      <c r="E41" t="s">
        <v>233</v>
      </c>
      <c r="I41" t="s">
        <v>79</v>
      </c>
      <c r="O41" t="s">
        <v>454</v>
      </c>
      <c r="P41" t="s">
        <v>455</v>
      </c>
      <c r="Q41" t="s">
        <v>145</v>
      </c>
      <c r="U41" t="s">
        <v>456</v>
      </c>
      <c r="V41" t="s">
        <v>141</v>
      </c>
      <c r="AE41" t="s">
        <v>457</v>
      </c>
      <c r="AF41">
        <v>5148714</v>
      </c>
      <c r="AI41">
        <v>247544000000</v>
      </c>
      <c r="AP41" t="s">
        <v>458</v>
      </c>
    </row>
    <row r="42" spans="1:42" x14ac:dyDescent="0.25">
      <c r="A42" t="s">
        <v>459</v>
      </c>
      <c r="B42" t="s">
        <v>460</v>
      </c>
      <c r="C42" t="s">
        <v>461</v>
      </c>
      <c r="E42" t="s">
        <v>79</v>
      </c>
      <c r="I42" t="s">
        <v>79</v>
      </c>
      <c r="O42" t="s">
        <v>462</v>
      </c>
      <c r="Q42" t="s">
        <v>145</v>
      </c>
      <c r="AF42">
        <v>884659</v>
      </c>
      <c r="AI42">
        <v>54941000000</v>
      </c>
    </row>
    <row r="43" spans="1:42" x14ac:dyDescent="0.25">
      <c r="A43" t="s">
        <v>463</v>
      </c>
      <c r="B43" t="s">
        <v>464</v>
      </c>
      <c r="C43" t="s">
        <v>465</v>
      </c>
      <c r="E43" t="s">
        <v>79</v>
      </c>
      <c r="I43" t="s">
        <v>79</v>
      </c>
      <c r="Q43" t="s">
        <v>145</v>
      </c>
      <c r="AF43">
        <v>6829174</v>
      </c>
      <c r="AI43">
        <v>376582000000</v>
      </c>
    </row>
    <row r="44" spans="1:42" x14ac:dyDescent="0.25">
      <c r="A44" t="s">
        <v>466</v>
      </c>
      <c r="B44" t="s">
        <v>467</v>
      </c>
      <c r="C44" t="s">
        <v>468</v>
      </c>
      <c r="E44" t="s">
        <v>79</v>
      </c>
      <c r="I44" t="s">
        <v>79</v>
      </c>
      <c r="Q44" t="s">
        <v>145</v>
      </c>
      <c r="AF44">
        <v>28995881</v>
      </c>
      <c r="AI44">
        <v>1843800000000</v>
      </c>
    </row>
    <row r="45" spans="1:42" x14ac:dyDescent="0.25">
      <c r="A45" t="s">
        <v>469</v>
      </c>
      <c r="B45" t="s">
        <v>470</v>
      </c>
      <c r="C45" t="s">
        <v>471</v>
      </c>
      <c r="D45" t="s">
        <v>405</v>
      </c>
      <c r="E45" t="s">
        <v>134</v>
      </c>
      <c r="F45">
        <v>2050</v>
      </c>
      <c r="H45">
        <v>2020</v>
      </c>
      <c r="I45" t="s">
        <v>134</v>
      </c>
      <c r="J45">
        <v>25</v>
      </c>
      <c r="K45">
        <v>2005</v>
      </c>
      <c r="L45">
        <v>2025</v>
      </c>
      <c r="M45" t="s">
        <v>472</v>
      </c>
      <c r="N45" t="s">
        <v>473</v>
      </c>
      <c r="O45" t="s">
        <v>474</v>
      </c>
      <c r="P45" t="s">
        <v>475</v>
      </c>
      <c r="Q45" t="s">
        <v>476</v>
      </c>
      <c r="R45" t="s">
        <v>145</v>
      </c>
      <c r="S45" t="s">
        <v>145</v>
      </c>
      <c r="T45" t="s">
        <v>141</v>
      </c>
      <c r="U45" t="s">
        <v>477</v>
      </c>
      <c r="V45" t="s">
        <v>141</v>
      </c>
      <c r="X45" t="s">
        <v>171</v>
      </c>
      <c r="Y45" t="s">
        <v>140</v>
      </c>
      <c r="Z45" t="s">
        <v>141</v>
      </c>
      <c r="AA45" t="s">
        <v>478</v>
      </c>
      <c r="AB45" t="s">
        <v>145</v>
      </c>
      <c r="AC45" t="s">
        <v>141</v>
      </c>
      <c r="AD45" t="s">
        <v>145</v>
      </c>
      <c r="AE45" t="s">
        <v>479</v>
      </c>
      <c r="AF45">
        <v>3205958</v>
      </c>
      <c r="AI45">
        <v>192519000000</v>
      </c>
      <c r="AN45">
        <v>80</v>
      </c>
      <c r="AO45">
        <v>2005</v>
      </c>
    </row>
    <row r="46" spans="1:42" x14ac:dyDescent="0.25">
      <c r="A46" t="s">
        <v>480</v>
      </c>
      <c r="B46" t="s">
        <v>481</v>
      </c>
      <c r="C46" t="s">
        <v>482</v>
      </c>
      <c r="D46" t="s">
        <v>132</v>
      </c>
      <c r="E46" t="s">
        <v>134</v>
      </c>
      <c r="F46">
        <v>2050</v>
      </c>
      <c r="H46">
        <v>2020</v>
      </c>
      <c r="I46" t="s">
        <v>134</v>
      </c>
      <c r="J46">
        <v>26</v>
      </c>
      <c r="K46">
        <v>2005</v>
      </c>
      <c r="L46">
        <v>2025</v>
      </c>
      <c r="M46" t="s">
        <v>483</v>
      </c>
      <c r="N46" t="s">
        <v>484</v>
      </c>
      <c r="O46" t="s">
        <v>484</v>
      </c>
      <c r="P46" t="s">
        <v>485</v>
      </c>
      <c r="Q46" t="s">
        <v>139</v>
      </c>
      <c r="R46" t="s">
        <v>140</v>
      </c>
      <c r="S46" t="s">
        <v>140</v>
      </c>
      <c r="T46" t="s">
        <v>141</v>
      </c>
      <c r="U46" t="s">
        <v>486</v>
      </c>
      <c r="V46" t="s">
        <v>140</v>
      </c>
      <c r="W46" t="s">
        <v>487</v>
      </c>
      <c r="X46" t="s">
        <v>206</v>
      </c>
      <c r="Y46" t="s">
        <v>140</v>
      </c>
      <c r="Z46" t="s">
        <v>141</v>
      </c>
      <c r="AA46" t="s">
        <v>488</v>
      </c>
      <c r="AB46" t="s">
        <v>145</v>
      </c>
      <c r="AC46" t="s">
        <v>141</v>
      </c>
      <c r="AD46" t="s">
        <v>145</v>
      </c>
      <c r="AE46" t="s">
        <v>489</v>
      </c>
      <c r="AF46">
        <v>623989</v>
      </c>
      <c r="AG46">
        <v>5900000</v>
      </c>
      <c r="AH46">
        <v>2018</v>
      </c>
      <c r="AI46">
        <v>34013000000</v>
      </c>
      <c r="AN46">
        <v>80</v>
      </c>
      <c r="AO46">
        <v>1990</v>
      </c>
    </row>
    <row r="47" spans="1:42" x14ac:dyDescent="0.25">
      <c r="A47" t="s">
        <v>490</v>
      </c>
      <c r="B47" t="s">
        <v>491</v>
      </c>
      <c r="C47" t="s">
        <v>492</v>
      </c>
      <c r="D47" t="s">
        <v>405</v>
      </c>
      <c r="E47" t="s">
        <v>133</v>
      </c>
      <c r="F47">
        <v>2045</v>
      </c>
      <c r="I47" t="s">
        <v>233</v>
      </c>
      <c r="L47">
        <v>2030</v>
      </c>
      <c r="M47" t="s">
        <v>493</v>
      </c>
      <c r="N47" t="s">
        <v>494</v>
      </c>
      <c r="P47" t="s">
        <v>495</v>
      </c>
      <c r="Q47" t="s">
        <v>476</v>
      </c>
      <c r="R47" t="s">
        <v>145</v>
      </c>
      <c r="S47" t="s">
        <v>145</v>
      </c>
      <c r="T47" t="s">
        <v>141</v>
      </c>
      <c r="U47" t="s">
        <v>496</v>
      </c>
      <c r="V47" t="s">
        <v>140</v>
      </c>
      <c r="W47" t="s">
        <v>497</v>
      </c>
      <c r="X47" t="s">
        <v>206</v>
      </c>
      <c r="Y47" t="s">
        <v>140</v>
      </c>
      <c r="Z47" t="s">
        <v>145</v>
      </c>
      <c r="AA47" t="s">
        <v>498</v>
      </c>
      <c r="AC47" t="s">
        <v>141</v>
      </c>
      <c r="AD47" t="s">
        <v>145</v>
      </c>
      <c r="AF47">
        <v>8535519</v>
      </c>
      <c r="AI47">
        <v>556905000000</v>
      </c>
      <c r="AJ47" t="s">
        <v>499</v>
      </c>
    </row>
    <row r="48" spans="1:42" x14ac:dyDescent="0.25">
      <c r="A48" t="s">
        <v>500</v>
      </c>
      <c r="B48" t="s">
        <v>501</v>
      </c>
      <c r="C48" t="s">
        <v>502</v>
      </c>
      <c r="E48" t="s">
        <v>79</v>
      </c>
      <c r="I48" t="s">
        <v>79</v>
      </c>
      <c r="Q48" t="s">
        <v>145</v>
      </c>
      <c r="AF48">
        <v>1792147</v>
      </c>
      <c r="AI48">
        <v>78864000000</v>
      </c>
    </row>
    <row r="49" spans="1:41" x14ac:dyDescent="0.25">
      <c r="A49" t="s">
        <v>503</v>
      </c>
      <c r="B49" t="s">
        <v>504</v>
      </c>
      <c r="C49" t="s">
        <v>505</v>
      </c>
      <c r="D49" t="s">
        <v>152</v>
      </c>
      <c r="E49" t="s">
        <v>134</v>
      </c>
      <c r="F49">
        <v>2025</v>
      </c>
      <c r="H49">
        <v>2020</v>
      </c>
      <c r="I49" t="s">
        <v>79</v>
      </c>
      <c r="M49" t="s">
        <v>506</v>
      </c>
      <c r="O49" t="s">
        <v>507</v>
      </c>
      <c r="P49" t="s">
        <v>508</v>
      </c>
      <c r="Q49" t="s">
        <v>139</v>
      </c>
      <c r="R49" t="s">
        <v>145</v>
      </c>
      <c r="S49" t="s">
        <v>145</v>
      </c>
      <c r="T49" t="s">
        <v>141</v>
      </c>
      <c r="U49" t="s">
        <v>509</v>
      </c>
      <c r="V49" t="s">
        <v>140</v>
      </c>
      <c r="X49" t="s">
        <v>171</v>
      </c>
      <c r="Y49" t="s">
        <v>140</v>
      </c>
      <c r="Z49" t="s">
        <v>145</v>
      </c>
      <c r="AA49" t="s">
        <v>510</v>
      </c>
      <c r="AB49" t="s">
        <v>140</v>
      </c>
      <c r="AC49" t="s">
        <v>141</v>
      </c>
      <c r="AD49" t="s">
        <v>160</v>
      </c>
      <c r="AE49" t="s">
        <v>511</v>
      </c>
      <c r="AF49">
        <v>5822434</v>
      </c>
      <c r="AI49">
        <v>349416000000</v>
      </c>
      <c r="AK49" t="s">
        <v>512</v>
      </c>
      <c r="AN49">
        <v>26</v>
      </c>
      <c r="AO49">
        <v>2005</v>
      </c>
    </row>
    <row r="50" spans="1:41" x14ac:dyDescent="0.25">
      <c r="A50" t="s">
        <v>513</v>
      </c>
      <c r="B50" t="s">
        <v>514</v>
      </c>
      <c r="C50" t="s">
        <v>515</v>
      </c>
      <c r="E50" t="s">
        <v>79</v>
      </c>
      <c r="I50" t="s">
        <v>79</v>
      </c>
      <c r="O50" t="s">
        <v>516</v>
      </c>
      <c r="P50" t="s">
        <v>517</v>
      </c>
      <c r="Q50" t="s">
        <v>145</v>
      </c>
      <c r="AF50">
        <v>578759</v>
      </c>
      <c r="AI50">
        <v>40420000000</v>
      </c>
    </row>
    <row r="51" spans="1:41" x14ac:dyDescent="0.25">
      <c r="A51" t="s">
        <v>518</v>
      </c>
      <c r="B51" t="s">
        <v>519</v>
      </c>
      <c r="C51" t="s">
        <v>520</v>
      </c>
      <c r="E51" t="s">
        <v>79</v>
      </c>
      <c r="I51" t="s">
        <v>79</v>
      </c>
      <c r="O51" t="s">
        <v>521</v>
      </c>
      <c r="P51" t="s">
        <v>522</v>
      </c>
      <c r="R51" t="s">
        <v>141</v>
      </c>
      <c r="S51" t="s">
        <v>145</v>
      </c>
      <c r="T51" t="s">
        <v>141</v>
      </c>
      <c r="V51" t="s">
        <v>141</v>
      </c>
      <c r="X51" t="s">
        <v>171</v>
      </c>
      <c r="Y51" t="s">
        <v>141</v>
      </c>
      <c r="Z51" t="s">
        <v>145</v>
      </c>
      <c r="AB51" t="s">
        <v>145</v>
      </c>
      <c r="AC51" t="s">
        <v>141</v>
      </c>
      <c r="AD51" t="s">
        <v>145</v>
      </c>
      <c r="AF51">
        <v>10912876</v>
      </c>
    </row>
    <row r="54" spans="1:41" x14ac:dyDescent="0.25">
      <c r="A54" s="1" t="s">
        <v>22</v>
      </c>
      <c r="B54" t="s">
        <v>523</v>
      </c>
    </row>
    <row r="55" spans="1:41" x14ac:dyDescent="0.25">
      <c r="A55" s="1" t="s">
        <v>26</v>
      </c>
      <c r="B55" t="s">
        <v>528</v>
      </c>
    </row>
    <row r="56" spans="1:41" x14ac:dyDescent="0.25">
      <c r="A56" s="1" t="s">
        <v>23</v>
      </c>
      <c r="B56" s="4">
        <v>45383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D404-679E-4194-892E-067AFA60CB06}">
  <dimension ref="A1:AA40"/>
  <sheetViews>
    <sheetView workbookViewId="0">
      <selection activeCell="G46" sqref="G46"/>
    </sheetView>
  </sheetViews>
  <sheetFormatPr defaultRowHeight="15" x14ac:dyDescent="0.25"/>
  <cols>
    <col min="1" max="1" width="36.7109375" bestFit="1" customWidth="1"/>
    <col min="2" max="2" width="10.7109375" bestFit="1" customWidth="1"/>
    <col min="3" max="3" width="11.5703125" bestFit="1" customWidth="1"/>
    <col min="4" max="15" width="10.7109375" bestFit="1" customWidth="1"/>
    <col min="16" max="24" width="10.7109375" customWidth="1"/>
    <col min="25" max="25" width="28.28515625" bestFit="1" customWidth="1"/>
    <col min="26" max="26" width="14.7109375" customWidth="1"/>
    <col min="27" max="27" width="12.85546875" bestFit="1" customWidth="1"/>
  </cols>
  <sheetData>
    <row r="1" spans="1:27" ht="15.75" thickBot="1" x14ac:dyDescent="0.3">
      <c r="A1" s="85" t="s">
        <v>31</v>
      </c>
      <c r="B1" s="83">
        <v>2010</v>
      </c>
      <c r="C1" s="83">
        <v>2011</v>
      </c>
      <c r="D1" s="83">
        <v>2012</v>
      </c>
      <c r="E1" s="83">
        <v>2013</v>
      </c>
      <c r="F1" s="83">
        <v>2014</v>
      </c>
      <c r="G1" s="83">
        <v>2015</v>
      </c>
      <c r="H1" s="83">
        <v>2016</v>
      </c>
      <c r="I1" s="83">
        <v>2017</v>
      </c>
      <c r="J1" s="83">
        <v>2018</v>
      </c>
      <c r="K1" s="83">
        <v>2019</v>
      </c>
      <c r="L1" s="83">
        <v>2020</v>
      </c>
      <c r="M1" s="83">
        <v>2021</v>
      </c>
      <c r="N1" s="83">
        <v>2022</v>
      </c>
      <c r="O1" s="83">
        <v>2023</v>
      </c>
      <c r="P1" s="83">
        <v>2024</v>
      </c>
      <c r="Q1" s="83">
        <v>2025</v>
      </c>
      <c r="R1" s="83">
        <v>2026</v>
      </c>
      <c r="S1" s="83">
        <v>2027</v>
      </c>
      <c r="T1" s="83">
        <v>2028</v>
      </c>
      <c r="U1" s="83">
        <v>2029</v>
      </c>
      <c r="V1" s="83">
        <v>2030</v>
      </c>
      <c r="W1" s="83">
        <v>2031</v>
      </c>
      <c r="X1" s="83">
        <v>2032</v>
      </c>
      <c r="Y1" s="83" t="s">
        <v>22</v>
      </c>
      <c r="Z1" s="83" t="s">
        <v>26</v>
      </c>
      <c r="AA1" s="84" t="s">
        <v>23</v>
      </c>
    </row>
    <row r="2" spans="1:27" x14ac:dyDescent="0.25">
      <c r="A2" s="16" t="s">
        <v>2</v>
      </c>
      <c r="B2" s="17">
        <v>13616.380449141347</v>
      </c>
      <c r="C2" s="17">
        <v>14334.214002642007</v>
      </c>
      <c r="D2" s="17">
        <v>13685.601056803171</v>
      </c>
      <c r="E2" s="82">
        <v>13698.018494055481</v>
      </c>
      <c r="F2" s="17">
        <v>14730.779392338176</v>
      </c>
      <c r="G2" s="17">
        <v>15199.735799207398</v>
      </c>
      <c r="H2" s="17">
        <v>15728.401585204754</v>
      </c>
      <c r="I2" s="17">
        <v>16257.331571994715</v>
      </c>
      <c r="J2" s="17">
        <v>16480.052840158522</v>
      </c>
      <c r="K2" s="17">
        <v>16202.113606340818</v>
      </c>
      <c r="L2" s="17">
        <v>14404.491413474239</v>
      </c>
      <c r="M2" s="17">
        <v>15493.527080581242</v>
      </c>
      <c r="N2" s="17">
        <v>15790.43857331572</v>
      </c>
      <c r="O2" s="17">
        <v>15851.331571994715</v>
      </c>
      <c r="P2" s="17">
        <v>15882.182298546895</v>
      </c>
      <c r="Q2" s="17">
        <v>15883.75429326288</v>
      </c>
      <c r="R2" s="17">
        <v>15928.327608982827</v>
      </c>
      <c r="S2" s="17">
        <v>15952.842800528402</v>
      </c>
      <c r="T2" s="17">
        <v>15987.886393659181</v>
      </c>
      <c r="U2" s="17">
        <v>16018.7107001321</v>
      </c>
      <c r="V2" s="17">
        <v>16055.677675033025</v>
      </c>
      <c r="W2" s="17">
        <v>16097.138705416115</v>
      </c>
      <c r="X2" s="17">
        <v>16138.702774108322</v>
      </c>
      <c r="Y2" s="18" t="s">
        <v>24</v>
      </c>
      <c r="Z2" s="79" t="s">
        <v>25</v>
      </c>
      <c r="AA2" s="19">
        <v>45352</v>
      </c>
    </row>
    <row r="3" spans="1:27" x14ac:dyDescent="0.25">
      <c r="A3" s="9" t="s">
        <v>27</v>
      </c>
      <c r="B3" s="3">
        <v>7388.4227212681635</v>
      </c>
      <c r="C3" s="3">
        <v>5982.3804491413475</v>
      </c>
      <c r="D3" s="3">
        <v>6182.5653896961685</v>
      </c>
      <c r="E3" s="80">
        <v>7219.2523117569344</v>
      </c>
      <c r="F3" s="3">
        <v>7453.0066050198147</v>
      </c>
      <c r="G3" s="3">
        <v>7847.2628797886391</v>
      </c>
      <c r="H3" s="3">
        <v>7366.2166446499341</v>
      </c>
      <c r="I3" s="3">
        <v>7290.1981505944523</v>
      </c>
      <c r="J3" s="3">
        <v>8765.9709379128126</v>
      </c>
      <c r="K3" s="3">
        <v>9287.6988110964339</v>
      </c>
      <c r="L3" s="3">
        <v>8613.8705416116245</v>
      </c>
      <c r="M3" s="3">
        <v>7874.9590488771464</v>
      </c>
      <c r="N3" s="3">
        <v>8309.2311756935269</v>
      </c>
      <c r="O3" s="3">
        <v>8908.9247027741076</v>
      </c>
      <c r="P3" s="3">
        <v>9211.1202113606323</v>
      </c>
      <c r="Q3" s="3">
        <v>9403.0858652575953</v>
      </c>
      <c r="R3" s="3">
        <v>9655.2047556142661</v>
      </c>
      <c r="S3" s="3">
        <v>9882.5019815059441</v>
      </c>
      <c r="T3" s="3">
        <v>10145.077939233817</v>
      </c>
      <c r="U3" s="3">
        <v>10369.508586525759</v>
      </c>
      <c r="V3" s="3">
        <v>10592.515191545574</v>
      </c>
      <c r="W3" s="3">
        <v>10800.956406869222</v>
      </c>
      <c r="X3" s="3">
        <v>11012.287978863937</v>
      </c>
      <c r="Y3" s="2" t="s">
        <v>24</v>
      </c>
      <c r="Z3" s="2" t="s">
        <v>25</v>
      </c>
      <c r="AA3" s="10">
        <v>45352</v>
      </c>
    </row>
    <row r="4" spans="1:27" x14ac:dyDescent="0.25">
      <c r="A4" s="9" t="s">
        <v>3</v>
      </c>
      <c r="B4" s="3">
        <v>1277.6221928665786</v>
      </c>
      <c r="C4" s="3">
        <v>1519.3527080581241</v>
      </c>
      <c r="D4" s="3">
        <v>1390.7265521796564</v>
      </c>
      <c r="E4" s="80">
        <v>1452.2800528401585</v>
      </c>
      <c r="F4" s="3">
        <v>1617.2100396301189</v>
      </c>
      <c r="G4" s="3">
        <v>1553.891677675033</v>
      </c>
      <c r="H4" s="3">
        <v>1504.4121532364595</v>
      </c>
      <c r="I4" s="3">
        <v>1574.8295904887714</v>
      </c>
      <c r="J4" s="3">
        <v>1566.2906208718625</v>
      </c>
      <c r="K4" s="3">
        <v>1596.8110964332893</v>
      </c>
      <c r="L4" s="3">
        <v>1654.1268163804491</v>
      </c>
      <c r="M4" s="3">
        <v>1884.5231175693527</v>
      </c>
      <c r="N4" s="3">
        <v>1705.1598414795244</v>
      </c>
      <c r="O4" s="3">
        <v>1732.8058124174372</v>
      </c>
      <c r="P4" s="3">
        <v>1750.5891677675031</v>
      </c>
      <c r="Q4" s="3">
        <v>1767.8044914134744</v>
      </c>
      <c r="R4" s="3">
        <v>1788.9194187582564</v>
      </c>
      <c r="S4" s="3">
        <v>1808.2879788639366</v>
      </c>
      <c r="T4" s="3">
        <v>1828.5125495376485</v>
      </c>
      <c r="U4" s="3">
        <v>1848.3910171730515</v>
      </c>
      <c r="V4" s="3">
        <v>1868.4914134742403</v>
      </c>
      <c r="W4" s="3">
        <v>1889.1598414795244</v>
      </c>
      <c r="X4" s="3">
        <v>1909.9762219286658</v>
      </c>
      <c r="Y4" s="2" t="s">
        <v>24</v>
      </c>
      <c r="Z4" s="2" t="s">
        <v>25</v>
      </c>
      <c r="AA4" s="10">
        <v>45352</v>
      </c>
    </row>
    <row r="5" spans="1:27" x14ac:dyDescent="0.25">
      <c r="A5" s="9" t="s">
        <v>4</v>
      </c>
      <c r="B5" s="3">
        <v>375.16512549537646</v>
      </c>
      <c r="C5" s="3">
        <v>480.8454425363276</v>
      </c>
      <c r="D5" s="3">
        <v>484.80845442536327</v>
      </c>
      <c r="E5" s="80">
        <v>494.0554821664465</v>
      </c>
      <c r="F5" s="3">
        <v>494.0554821664465</v>
      </c>
      <c r="G5" s="3">
        <v>498.01849405548217</v>
      </c>
      <c r="H5" s="3">
        <v>500.66050198150594</v>
      </c>
      <c r="I5" s="3">
        <v>501.98150594451783</v>
      </c>
      <c r="J5" s="3">
        <v>501.98150594451783</v>
      </c>
      <c r="K5" s="3">
        <v>557.4636723910171</v>
      </c>
      <c r="L5" s="3">
        <v>500.66050198150594</v>
      </c>
      <c r="M5" s="3">
        <v>505.9445178335535</v>
      </c>
      <c r="N5" s="3">
        <v>521.12285336856007</v>
      </c>
      <c r="O5" s="3">
        <v>534.26420079260242</v>
      </c>
      <c r="P5" s="3">
        <v>544.73976221928672</v>
      </c>
      <c r="Q5" s="3">
        <v>554.53104359313079</v>
      </c>
      <c r="R5" s="3">
        <v>565.83091149273446</v>
      </c>
      <c r="S5" s="3">
        <v>576.54425363276084</v>
      </c>
      <c r="T5" s="3">
        <v>587.88639365918095</v>
      </c>
      <c r="U5" s="3">
        <v>599.38969616908855</v>
      </c>
      <c r="V5" s="3">
        <v>611.38177014531038</v>
      </c>
      <c r="W5" s="3">
        <v>623.85468956406862</v>
      </c>
      <c r="X5" s="3">
        <v>636.6182298546895</v>
      </c>
      <c r="Y5" s="2" t="s">
        <v>24</v>
      </c>
      <c r="Z5" s="2" t="s">
        <v>25</v>
      </c>
      <c r="AA5" s="10">
        <v>45352</v>
      </c>
    </row>
    <row r="6" spans="1:27" s="5" customFormat="1" x14ac:dyDescent="0.25">
      <c r="A6" s="11" t="s">
        <v>5</v>
      </c>
      <c r="B6" s="3">
        <v>2182.2985468956408</v>
      </c>
      <c r="C6" s="3">
        <v>2203.4346103038311</v>
      </c>
      <c r="D6" s="3">
        <v>2166.4464993394981</v>
      </c>
      <c r="E6" s="80">
        <v>2408.1902245706738</v>
      </c>
      <c r="F6" s="3">
        <v>2589.1677675033025</v>
      </c>
      <c r="G6" s="3">
        <v>2553.5006605019812</v>
      </c>
      <c r="H6" s="3">
        <v>2457.0673712021135</v>
      </c>
      <c r="I6" s="3">
        <v>2457.0673712021135</v>
      </c>
      <c r="J6" s="3">
        <v>2515.1915455746366</v>
      </c>
      <c r="K6" s="3">
        <v>2589.1677675033025</v>
      </c>
      <c r="L6" s="3">
        <v>2430.6472919418757</v>
      </c>
      <c r="M6" s="3">
        <v>2708.0581241743726</v>
      </c>
      <c r="N6" s="3">
        <v>2681.5085865257597</v>
      </c>
      <c r="O6" s="3">
        <v>2684.4332892998677</v>
      </c>
      <c r="P6" s="3">
        <v>2707.2364597093788</v>
      </c>
      <c r="Q6" s="3">
        <v>2745.3949801849403</v>
      </c>
      <c r="R6" s="3">
        <v>2781.7305151915457</v>
      </c>
      <c r="S6" s="3">
        <v>2807.1968295904885</v>
      </c>
      <c r="T6" s="3">
        <v>2839.217965653897</v>
      </c>
      <c r="U6" s="3">
        <v>2866.2192866578598</v>
      </c>
      <c r="V6" s="3">
        <v>2896.7344782034343</v>
      </c>
      <c r="W6" s="3">
        <v>2925.0752972258915</v>
      </c>
      <c r="X6" s="3">
        <v>2954.1162483487451</v>
      </c>
      <c r="Y6" s="2" t="s">
        <v>24</v>
      </c>
      <c r="Z6" s="2" t="s">
        <v>25</v>
      </c>
      <c r="AA6" s="10">
        <v>45352</v>
      </c>
    </row>
    <row r="7" spans="1:27" s="5" customFormat="1" x14ac:dyDescent="0.25">
      <c r="A7" s="11" t="s">
        <v>33</v>
      </c>
      <c r="B7" s="3">
        <v>54.927344782034346</v>
      </c>
      <c r="C7" s="3">
        <v>55.878467635402906</v>
      </c>
      <c r="D7" s="3">
        <v>56.380449141347427</v>
      </c>
      <c r="E7" s="80">
        <v>55.059445178335537</v>
      </c>
      <c r="F7" s="3">
        <v>51.228533685601057</v>
      </c>
      <c r="G7" s="3">
        <v>55.297225891677677</v>
      </c>
      <c r="H7" s="3">
        <v>54.610303830911491</v>
      </c>
      <c r="I7" s="3">
        <v>52.153236459709376</v>
      </c>
      <c r="J7" s="3">
        <v>50.224570673712016</v>
      </c>
      <c r="K7" s="3">
        <v>50.145310435931307</v>
      </c>
      <c r="L7" s="3">
        <v>46.789960369881108</v>
      </c>
      <c r="M7" s="3">
        <v>47.186261558784672</v>
      </c>
      <c r="N7" s="3">
        <v>47.608982826948477</v>
      </c>
      <c r="O7" s="3">
        <v>48.570673712021133</v>
      </c>
      <c r="P7" s="3">
        <v>49.638044914134738</v>
      </c>
      <c r="Q7" s="3">
        <v>50.723910171730516</v>
      </c>
      <c r="R7" s="3">
        <v>51.812417437252314</v>
      </c>
      <c r="S7" s="3">
        <v>52.908850726552174</v>
      </c>
      <c r="T7" s="3">
        <v>53.978863936591807</v>
      </c>
      <c r="U7" s="3">
        <v>55.025099075297227</v>
      </c>
      <c r="V7" s="3">
        <v>56.047556142668419</v>
      </c>
      <c r="W7" s="3">
        <v>57.04887714663144</v>
      </c>
      <c r="X7" s="3">
        <v>58.029062087186254</v>
      </c>
      <c r="Y7" s="2" t="s">
        <v>24</v>
      </c>
      <c r="Z7" s="2" t="s">
        <v>25</v>
      </c>
      <c r="AA7" s="10">
        <v>45352</v>
      </c>
    </row>
    <row r="8" spans="1:27" x14ac:dyDescent="0.25">
      <c r="A8" s="2" t="s">
        <v>6</v>
      </c>
      <c r="B8" s="26">
        <v>174.37252311756936</v>
      </c>
      <c r="C8" s="26">
        <v>153.23645970937912</v>
      </c>
      <c r="D8" s="26">
        <v>129.45838837516513</v>
      </c>
      <c r="E8" s="81">
        <v>140.02642007926022</v>
      </c>
      <c r="F8" s="3">
        <v>243.06472919418758</v>
      </c>
      <c r="G8" s="3">
        <v>192.86657859973579</v>
      </c>
      <c r="H8" s="3">
        <v>236.46235138705416</v>
      </c>
      <c r="I8" s="3">
        <v>272.12681638044916</v>
      </c>
      <c r="J8" s="3">
        <v>245.70673712021136</v>
      </c>
      <c r="K8" s="3">
        <v>125.49801849405547</v>
      </c>
      <c r="L8" s="3">
        <v>158.52047556142668</v>
      </c>
      <c r="M8" s="3">
        <v>163.80449141347424</v>
      </c>
      <c r="N8" s="3">
        <v>198.15059445178335</v>
      </c>
      <c r="O8" s="3">
        <v>206.93262879788639</v>
      </c>
      <c r="P8" s="3">
        <v>213.88375165125493</v>
      </c>
      <c r="Q8" s="3">
        <v>214.16908850726551</v>
      </c>
      <c r="R8" s="3">
        <v>210.49933949801849</v>
      </c>
      <c r="S8" s="3">
        <v>205.13870541611627</v>
      </c>
      <c r="T8" s="3">
        <v>208.41215323645972</v>
      </c>
      <c r="U8" s="3">
        <v>210.74240422721266</v>
      </c>
      <c r="V8" s="3">
        <v>212.39101717305149</v>
      </c>
      <c r="W8" s="3">
        <v>213.19682959048879</v>
      </c>
      <c r="X8" s="3">
        <v>217.05944517833555</v>
      </c>
      <c r="Y8" s="2" t="s">
        <v>24</v>
      </c>
      <c r="Z8" s="2" t="s">
        <v>25</v>
      </c>
      <c r="AA8" s="10">
        <v>45352</v>
      </c>
    </row>
    <row r="9" spans="1:27" x14ac:dyDescent="0.25">
      <c r="A9" s="2" t="s">
        <v>556</v>
      </c>
      <c r="B9" s="3">
        <f t="shared" ref="B9:X9" si="0">+B10-SUM(B2:B8)</f>
        <v>2275.363276089829</v>
      </c>
      <c r="C9" s="3">
        <f t="shared" si="0"/>
        <v>2412.5072655217955</v>
      </c>
      <c r="D9" s="3">
        <f t="shared" si="0"/>
        <v>2522.9088507265551</v>
      </c>
      <c r="E9" s="3">
        <f t="shared" si="0"/>
        <v>2731.0277410832205</v>
      </c>
      <c r="F9" s="3">
        <f t="shared" si="0"/>
        <v>2971.0330250990773</v>
      </c>
      <c r="G9" s="3">
        <f t="shared" si="0"/>
        <v>3046.7080581241717</v>
      </c>
      <c r="H9" s="3">
        <f t="shared" si="0"/>
        <v>3290.4200792602387</v>
      </c>
      <c r="I9" s="3">
        <f t="shared" si="0"/>
        <v>3265.3130779392377</v>
      </c>
      <c r="J9" s="3">
        <f t="shared" si="0"/>
        <v>3659.6829590488778</v>
      </c>
      <c r="K9" s="3">
        <f t="shared" si="0"/>
        <v>3833.7754293262915</v>
      </c>
      <c r="L9" s="3">
        <f t="shared" si="0"/>
        <v>3710.3381770145315</v>
      </c>
      <c r="M9" s="3">
        <f t="shared" si="0"/>
        <v>4165.5614266842822</v>
      </c>
      <c r="N9" s="3">
        <f t="shared" si="0"/>
        <v>4932.7503302509867</v>
      </c>
      <c r="O9" s="3">
        <f t="shared" si="0"/>
        <v>5302.8877146631421</v>
      </c>
      <c r="P9" s="3">
        <f t="shared" si="0"/>
        <v>5644.0871862615568</v>
      </c>
      <c r="Q9" s="3">
        <f t="shared" si="0"/>
        <v>5904.7793923381796</v>
      </c>
      <c r="R9" s="3">
        <f t="shared" si="0"/>
        <v>6111.4108322324901</v>
      </c>
      <c r="S9" s="3">
        <f t="shared" si="0"/>
        <v>6285.5165125495369</v>
      </c>
      <c r="T9" s="3">
        <f t="shared" si="0"/>
        <v>6440.6816380449163</v>
      </c>
      <c r="U9" s="3">
        <f t="shared" si="0"/>
        <v>6582.1426684280013</v>
      </c>
      <c r="V9" s="3">
        <f t="shared" si="0"/>
        <v>6713.0752972258888</v>
      </c>
      <c r="W9" s="3">
        <f t="shared" si="0"/>
        <v>6835.2972258916816</v>
      </c>
      <c r="X9" s="3">
        <f t="shared" si="0"/>
        <v>6950.0766182298539</v>
      </c>
      <c r="Y9" s="2" t="s">
        <v>24</v>
      </c>
      <c r="Z9" s="2" t="s">
        <v>25</v>
      </c>
      <c r="AA9" s="10">
        <v>45352</v>
      </c>
    </row>
    <row r="10" spans="1:27" ht="15.75" thickBot="1" x14ac:dyDescent="0.3">
      <c r="A10" s="86" t="s">
        <v>557</v>
      </c>
      <c r="B10" s="87">
        <v>27344.552179656541</v>
      </c>
      <c r="C10" s="87">
        <v>27141.849405548215</v>
      </c>
      <c r="D10" s="87">
        <v>26618.895640686922</v>
      </c>
      <c r="E10" s="88">
        <v>28197.910171730513</v>
      </c>
      <c r="F10" s="13">
        <v>30149.545574636722</v>
      </c>
      <c r="G10" s="13">
        <v>30947.281373844122</v>
      </c>
      <c r="H10" s="13">
        <v>31138.250990752971</v>
      </c>
      <c r="I10" s="13">
        <v>31671.001321003961</v>
      </c>
      <c r="J10" s="13">
        <v>33785.101717305151</v>
      </c>
      <c r="K10" s="13">
        <v>34242.673712021133</v>
      </c>
      <c r="L10" s="13">
        <v>31519.445178335536</v>
      </c>
      <c r="M10" s="13">
        <v>32843.564068692205</v>
      </c>
      <c r="N10" s="13">
        <v>34185.970937912811</v>
      </c>
      <c r="O10" s="13">
        <v>35270.150594451778</v>
      </c>
      <c r="P10" s="13">
        <v>36003.476882430645</v>
      </c>
      <c r="Q10" s="13">
        <v>36524.243064729199</v>
      </c>
      <c r="R10" s="13">
        <v>37093.735799207396</v>
      </c>
      <c r="S10" s="13">
        <v>37570.937912813737</v>
      </c>
      <c r="T10" s="13">
        <v>38091.653896961689</v>
      </c>
      <c r="U10" s="13">
        <v>38550.129458388372</v>
      </c>
      <c r="V10" s="13">
        <v>39006.314398943192</v>
      </c>
      <c r="W10" s="13">
        <v>39441.72787318362</v>
      </c>
      <c r="X10" s="13">
        <v>39876.866578599736</v>
      </c>
      <c r="Y10" s="14" t="s">
        <v>24</v>
      </c>
      <c r="Z10" s="14" t="s">
        <v>25</v>
      </c>
      <c r="AA10" s="15">
        <v>45352</v>
      </c>
    </row>
    <row r="11" spans="1:27" x14ac:dyDescent="0.25">
      <c r="A11" s="16" t="s">
        <v>7</v>
      </c>
      <c r="B11" s="17">
        <v>13236.343461030381</v>
      </c>
      <c r="C11" s="17">
        <v>13624.224570673712</v>
      </c>
      <c r="D11" s="17">
        <v>13517.04887714663</v>
      </c>
      <c r="E11" s="82">
        <v>13768.430647291942</v>
      </c>
      <c r="F11" s="17">
        <v>14111.590488771466</v>
      </c>
      <c r="G11" s="17">
        <v>14450.145310435932</v>
      </c>
      <c r="H11" s="17">
        <v>14900.179656538969</v>
      </c>
      <c r="I11" s="17">
        <v>14995.516512549537</v>
      </c>
      <c r="J11" s="17">
        <v>15098.005284015851</v>
      </c>
      <c r="K11" s="17">
        <v>15116.036988110964</v>
      </c>
      <c r="L11" s="17">
        <v>13338.298546895639</v>
      </c>
      <c r="M11" s="17">
        <v>14467.376486129457</v>
      </c>
      <c r="N11" s="17">
        <v>14565.247027741083</v>
      </c>
      <c r="O11" s="17">
        <v>14614.800528401584</v>
      </c>
      <c r="P11" s="17">
        <v>14514.602377807132</v>
      </c>
      <c r="Q11" s="17">
        <v>14469.730515191544</v>
      </c>
      <c r="R11" s="17">
        <v>14486.496697490093</v>
      </c>
      <c r="S11" s="17">
        <v>14484.752972258917</v>
      </c>
      <c r="T11" s="17">
        <v>14492.14531043593</v>
      </c>
      <c r="U11" s="17">
        <v>14489.107001321003</v>
      </c>
      <c r="V11" s="17">
        <v>14487.973579920739</v>
      </c>
      <c r="W11" s="17">
        <v>14481.2285336856</v>
      </c>
      <c r="X11" s="17">
        <v>14474.713342140027</v>
      </c>
      <c r="Y11" s="18" t="s">
        <v>24</v>
      </c>
      <c r="Z11" s="18" t="s">
        <v>25</v>
      </c>
      <c r="AA11" s="19">
        <v>45352</v>
      </c>
    </row>
    <row r="12" spans="1:27" x14ac:dyDescent="0.25">
      <c r="A12" s="9" t="s">
        <v>28</v>
      </c>
      <c r="B12" s="3">
        <v>6651.9735799207401</v>
      </c>
      <c r="C12" s="3">
        <v>5905.8071334214001</v>
      </c>
      <c r="D12" s="3">
        <v>5352.6340819022462</v>
      </c>
      <c r="E12" s="3">
        <v>6353.0145310435928</v>
      </c>
      <c r="F12" s="3">
        <v>7074.0237780713342</v>
      </c>
      <c r="G12" s="3">
        <v>8268.5336856010563</v>
      </c>
      <c r="H12" s="3">
        <v>7582.8269484808452</v>
      </c>
      <c r="I12" s="3">
        <v>7427.2311756935269</v>
      </c>
      <c r="J12" s="3">
        <v>8544.1743725231172</v>
      </c>
      <c r="K12" s="3">
        <v>9339.1307793923388</v>
      </c>
      <c r="L12" s="3">
        <v>8018.5257595772782</v>
      </c>
      <c r="M12" s="3">
        <v>7550.1796565389695</v>
      </c>
      <c r="N12" s="3">
        <v>7854.9273447820342</v>
      </c>
      <c r="O12" s="29">
        <v>8438.5970937912807</v>
      </c>
      <c r="P12" s="29">
        <v>8783.1783355350071</v>
      </c>
      <c r="Q12" s="29">
        <v>9040.9326287978856</v>
      </c>
      <c r="R12" s="29">
        <v>9285.7965653896954</v>
      </c>
      <c r="S12" s="29">
        <v>9505.2073976221927</v>
      </c>
      <c r="T12" s="29">
        <v>9741.6750330250979</v>
      </c>
      <c r="U12" s="29">
        <v>9962.2113606340827</v>
      </c>
      <c r="V12" s="29">
        <v>10186.692206076617</v>
      </c>
      <c r="W12" s="29">
        <v>10402.626155878468</v>
      </c>
      <c r="X12" s="29">
        <v>10621.051519154556</v>
      </c>
      <c r="Y12" s="2" t="s">
        <v>24</v>
      </c>
      <c r="Z12" s="2" t="s">
        <v>25</v>
      </c>
      <c r="AA12" s="10">
        <v>45352</v>
      </c>
    </row>
    <row r="13" spans="1:27" x14ac:dyDescent="0.25">
      <c r="A13" s="9" t="s">
        <v>8</v>
      </c>
      <c r="B13" s="3">
        <v>1360.0105680317042</v>
      </c>
      <c r="C13" s="3">
        <v>1493.8837516512549</v>
      </c>
      <c r="D13" s="3">
        <v>1489.1466314398942</v>
      </c>
      <c r="E13" s="3">
        <v>1498.9722589167766</v>
      </c>
      <c r="F13" s="3">
        <v>1695.5746367239101</v>
      </c>
      <c r="G13" s="3">
        <v>1553.0303830911494</v>
      </c>
      <c r="H13" s="3">
        <v>1542.1849405548217</v>
      </c>
      <c r="I13" s="3">
        <v>1594.6208718626156</v>
      </c>
      <c r="J13" s="3">
        <v>1724.1479524438571</v>
      </c>
      <c r="K13" s="3">
        <v>1784.4306472919418</v>
      </c>
      <c r="L13" s="3">
        <v>1811.2523117569353</v>
      </c>
      <c r="M13" s="3">
        <v>1925.5429326287979</v>
      </c>
      <c r="N13" s="3">
        <v>1810.3593130779391</v>
      </c>
      <c r="O13" s="29">
        <v>1843.7754293262878</v>
      </c>
      <c r="P13" s="29">
        <v>1864.6605019815058</v>
      </c>
      <c r="Q13" s="29">
        <v>1881.7305151915457</v>
      </c>
      <c r="R13" s="29">
        <v>1906.1558784676354</v>
      </c>
      <c r="S13" s="29">
        <v>1931.4821664464991</v>
      </c>
      <c r="T13" s="29">
        <v>1952.2113606340818</v>
      </c>
      <c r="U13" s="29">
        <v>1967.6195508586525</v>
      </c>
      <c r="V13" s="29">
        <v>1971.1466314398942</v>
      </c>
      <c r="W13" s="29">
        <v>1975.0488771466314</v>
      </c>
      <c r="X13" s="29">
        <v>1975.0832232496696</v>
      </c>
      <c r="Y13" s="2" t="s">
        <v>24</v>
      </c>
      <c r="Z13" s="2" t="s">
        <v>25</v>
      </c>
      <c r="AA13" s="10">
        <v>45352</v>
      </c>
    </row>
    <row r="14" spans="1:27" x14ac:dyDescent="0.25">
      <c r="A14" s="9" t="s">
        <v>9</v>
      </c>
      <c r="B14" s="3">
        <v>0</v>
      </c>
      <c r="C14" s="3">
        <v>0</v>
      </c>
      <c r="D14" s="3">
        <v>703.30250990752972</v>
      </c>
      <c r="E14" s="3">
        <v>798.15059445178338</v>
      </c>
      <c r="F14" s="3">
        <v>838.04491413474238</v>
      </c>
      <c r="G14" s="3">
        <v>859.70937912813736</v>
      </c>
      <c r="H14" s="3">
        <v>858.9167767503302</v>
      </c>
      <c r="I14" s="3">
        <v>872.39101717305152</v>
      </c>
      <c r="J14" s="3">
        <v>867.2919418758255</v>
      </c>
      <c r="K14" s="3">
        <v>896.45970937912807</v>
      </c>
      <c r="L14" s="3">
        <v>814.49933949801846</v>
      </c>
      <c r="M14" s="3">
        <v>848.21400264200781</v>
      </c>
      <c r="N14" s="3">
        <v>934.80581241743721</v>
      </c>
      <c r="O14" s="29">
        <v>1000.4068692206076</v>
      </c>
      <c r="P14" s="29">
        <v>1062.0317040951122</v>
      </c>
      <c r="Q14" s="29">
        <v>1119.5429326287979</v>
      </c>
      <c r="R14" s="29">
        <v>1174.4174372523116</v>
      </c>
      <c r="S14" s="29">
        <v>1226.240422721268</v>
      </c>
      <c r="T14" s="29">
        <v>1279.5323645970936</v>
      </c>
      <c r="U14" s="29">
        <v>1330.9696169088506</v>
      </c>
      <c r="V14" s="29">
        <v>1382.7793923381769</v>
      </c>
      <c r="W14" s="29">
        <v>1435.8150594451783</v>
      </c>
      <c r="X14" s="29">
        <v>1491.2892998678994</v>
      </c>
      <c r="Y14" s="2" t="s">
        <v>24</v>
      </c>
      <c r="Z14" s="2" t="s">
        <v>25</v>
      </c>
      <c r="AA14" s="10">
        <v>45352</v>
      </c>
    </row>
    <row r="15" spans="1:27" x14ac:dyDescent="0.25">
      <c r="A15" s="9" t="s">
        <v>10</v>
      </c>
      <c r="B15" s="3">
        <v>2140.0264200792603</v>
      </c>
      <c r="C15" s="3">
        <v>2179.5746367239103</v>
      </c>
      <c r="D15" s="3">
        <v>2179.7357992073971</v>
      </c>
      <c r="E15" s="3">
        <v>2375.1651254953763</v>
      </c>
      <c r="F15" s="3">
        <v>2575.9577278731836</v>
      </c>
      <c r="G15" s="3">
        <v>2668.4280052840159</v>
      </c>
      <c r="H15" s="3">
        <v>2668.4280052840159</v>
      </c>
      <c r="I15" s="3">
        <v>2509.9075297225891</v>
      </c>
      <c r="J15" s="3">
        <v>2694.8480845442537</v>
      </c>
      <c r="K15" s="3">
        <v>2668.4280052840159</v>
      </c>
      <c r="L15" s="3">
        <v>2404.2272126816379</v>
      </c>
      <c r="M15" s="3">
        <v>2826.9484808454426</v>
      </c>
      <c r="N15" s="3">
        <v>2715.669749009247</v>
      </c>
      <c r="O15" s="29">
        <v>2756.6393659180976</v>
      </c>
      <c r="P15" s="29">
        <v>2784.2351387054159</v>
      </c>
      <c r="Q15" s="29">
        <v>2827.138705416116</v>
      </c>
      <c r="R15" s="29">
        <v>2864.372523117569</v>
      </c>
      <c r="S15" s="29">
        <v>2892.8612945838836</v>
      </c>
      <c r="T15" s="29">
        <v>2926.4544253632757</v>
      </c>
      <c r="U15" s="29">
        <v>2955.6063408190221</v>
      </c>
      <c r="V15" s="29">
        <v>2986.8877146631439</v>
      </c>
      <c r="W15" s="29">
        <v>3015.7807133421397</v>
      </c>
      <c r="X15" s="29">
        <v>3045.3870541611627</v>
      </c>
      <c r="Y15" s="2" t="s">
        <v>24</v>
      </c>
      <c r="Z15" s="2" t="s">
        <v>25</v>
      </c>
      <c r="AA15" s="10">
        <v>45352</v>
      </c>
    </row>
    <row r="16" spans="1:27" x14ac:dyDescent="0.25">
      <c r="A16" s="9" t="s">
        <v>34</v>
      </c>
      <c r="B16" s="3">
        <v>41.743725231175695</v>
      </c>
      <c r="C16" s="3">
        <v>38.30911492734478</v>
      </c>
      <c r="D16" s="3">
        <v>41.215323645970933</v>
      </c>
      <c r="E16" s="3">
        <v>30.647291941875825</v>
      </c>
      <c r="F16" s="3">
        <v>28.269484808454425</v>
      </c>
      <c r="G16" s="3">
        <v>41.479524438573314</v>
      </c>
      <c r="H16" s="3">
        <v>36.459709379128135</v>
      </c>
      <c r="I16" s="3">
        <v>36.459709379128135</v>
      </c>
      <c r="J16" s="3">
        <v>33.817701453104355</v>
      </c>
      <c r="K16" s="3">
        <v>31.968295904887714</v>
      </c>
      <c r="L16" s="3">
        <v>41.743725231175695</v>
      </c>
      <c r="M16" s="3">
        <v>39.894319682959051</v>
      </c>
      <c r="N16" s="3">
        <v>38.573315719947161</v>
      </c>
      <c r="O16" s="29">
        <v>39.640686922060766</v>
      </c>
      <c r="P16" s="29">
        <v>40.708058124174372</v>
      </c>
      <c r="Q16" s="29">
        <v>41.793923381770142</v>
      </c>
      <c r="R16" s="29">
        <v>42.88243064729194</v>
      </c>
      <c r="S16" s="29">
        <v>43.978863936591807</v>
      </c>
      <c r="T16" s="29">
        <v>45.048877146631433</v>
      </c>
      <c r="U16" s="29">
        <v>46.095112285336853</v>
      </c>
      <c r="V16" s="29">
        <v>47.11756935270806</v>
      </c>
      <c r="W16" s="29">
        <v>48.118890356671066</v>
      </c>
      <c r="X16" s="29">
        <v>49.099075297225887</v>
      </c>
      <c r="Y16" s="2" t="s">
        <v>24</v>
      </c>
      <c r="Z16" s="2" t="s">
        <v>25</v>
      </c>
      <c r="AA16" s="10">
        <v>45352</v>
      </c>
    </row>
    <row r="17" spans="1:27" x14ac:dyDescent="0.25">
      <c r="A17" s="9" t="s">
        <v>11</v>
      </c>
      <c r="B17" s="3">
        <v>272.27741083223248</v>
      </c>
      <c r="C17" s="3">
        <v>277.8811096433289</v>
      </c>
      <c r="D17" s="3">
        <v>296.96169088507264</v>
      </c>
      <c r="E17" s="3">
        <v>303.56671070013209</v>
      </c>
      <c r="F17" s="3">
        <v>288.50726552179657</v>
      </c>
      <c r="G17" s="3">
        <v>284.01849405548217</v>
      </c>
      <c r="H17" s="3">
        <v>273.18361955085862</v>
      </c>
      <c r="I17" s="3">
        <v>256.75033025099071</v>
      </c>
      <c r="J17" s="3">
        <v>286.71070013210038</v>
      </c>
      <c r="K17" s="3">
        <v>285.87582562747684</v>
      </c>
      <c r="L17" s="3">
        <v>246.76618229854688</v>
      </c>
      <c r="M17" s="3">
        <v>296.43328929986791</v>
      </c>
      <c r="N17" s="3">
        <v>392.33817701453103</v>
      </c>
      <c r="O17" s="29">
        <v>340.95904887714659</v>
      </c>
      <c r="P17" s="29">
        <v>349.99207397622195</v>
      </c>
      <c r="Q17" s="29">
        <v>352.21136063408187</v>
      </c>
      <c r="R17" s="29">
        <v>350.33289299867897</v>
      </c>
      <c r="S17" s="29">
        <v>346.88771466314398</v>
      </c>
      <c r="T17" s="29">
        <v>352.0739762219286</v>
      </c>
      <c r="U17" s="29">
        <v>356.30911492734481</v>
      </c>
      <c r="V17" s="29">
        <v>359.82562747688246</v>
      </c>
      <c r="W17" s="29">
        <v>362.48612945838835</v>
      </c>
      <c r="X17" s="29">
        <v>364.41215323645969</v>
      </c>
      <c r="Y17" s="2" t="s">
        <v>24</v>
      </c>
      <c r="Z17" s="2" t="s">
        <v>25</v>
      </c>
      <c r="AA17" s="10">
        <v>45352</v>
      </c>
    </row>
    <row r="18" spans="1:27" x14ac:dyDescent="0.25">
      <c r="A18" s="9" t="s">
        <v>558</v>
      </c>
      <c r="B18" s="3">
        <f t="shared" ref="B18:X18" si="1">+B19-SUM(B11:B17)</f>
        <v>2534.8639365918098</v>
      </c>
      <c r="C18" s="3">
        <f t="shared" si="1"/>
        <v>2672.5099075297221</v>
      </c>
      <c r="D18" s="3">
        <f t="shared" si="1"/>
        <v>2747.3764861294549</v>
      </c>
      <c r="E18" s="3">
        <f t="shared" si="1"/>
        <v>2983.6538969616922</v>
      </c>
      <c r="F18" s="3">
        <f t="shared" si="1"/>
        <v>3296.6208718626112</v>
      </c>
      <c r="G18" s="3">
        <f t="shared" si="1"/>
        <v>3558.9273447820342</v>
      </c>
      <c r="H18" s="3">
        <f t="shared" si="1"/>
        <v>3885.4927344782045</v>
      </c>
      <c r="I18" s="3">
        <f t="shared" si="1"/>
        <v>3975.2311756935233</v>
      </c>
      <c r="J18" s="3">
        <f t="shared" si="1"/>
        <v>4351.4055482166441</v>
      </c>
      <c r="K18" s="3">
        <f t="shared" si="1"/>
        <v>4593.6671070013181</v>
      </c>
      <c r="L18" s="3">
        <f t="shared" si="1"/>
        <v>4767.157199471596</v>
      </c>
      <c r="M18" s="3">
        <f t="shared" si="1"/>
        <v>5036.1294583883682</v>
      </c>
      <c r="N18" s="3">
        <f t="shared" si="1"/>
        <v>5815.6142668427965</v>
      </c>
      <c r="O18" s="3">
        <f t="shared" si="1"/>
        <v>6241.3896961690916</v>
      </c>
      <c r="P18" s="3">
        <f t="shared" si="1"/>
        <v>6589.1202113606341</v>
      </c>
      <c r="Q18" s="3">
        <f t="shared" si="1"/>
        <v>6839.9603698811043</v>
      </c>
      <c r="R18" s="3">
        <f t="shared" si="1"/>
        <v>7040.3857331571962</v>
      </c>
      <c r="S18" s="3">
        <f t="shared" si="1"/>
        <v>7210.6895640686926</v>
      </c>
      <c r="T18" s="3">
        <f t="shared" si="1"/>
        <v>7366.9220607661919</v>
      </c>
      <c r="U18" s="3">
        <f t="shared" si="1"/>
        <v>7506.4438573315638</v>
      </c>
      <c r="V18" s="3">
        <f t="shared" si="1"/>
        <v>7635.1387054161169</v>
      </c>
      <c r="W18" s="3">
        <f t="shared" si="1"/>
        <v>7755.4266842800498</v>
      </c>
      <c r="X18" s="3">
        <f t="shared" si="1"/>
        <v>7868.6789960369933</v>
      </c>
      <c r="Y18" s="2" t="s">
        <v>24</v>
      </c>
      <c r="Z18" s="2" t="s">
        <v>25</v>
      </c>
      <c r="AA18" s="10">
        <v>45352</v>
      </c>
    </row>
    <row r="19" spans="1:27" ht="15.75" thickBot="1" x14ac:dyDescent="0.3">
      <c r="A19" s="12" t="s">
        <v>559</v>
      </c>
      <c r="B19" s="13">
        <v>26237.239101717303</v>
      </c>
      <c r="C19" s="13">
        <v>26192.190224570673</v>
      </c>
      <c r="D19" s="13">
        <v>26327.421400264197</v>
      </c>
      <c r="E19" s="13">
        <v>28111.601056803171</v>
      </c>
      <c r="F19" s="13">
        <v>29908.589167767499</v>
      </c>
      <c r="G19" s="13">
        <v>31684.27212681638</v>
      </c>
      <c r="H19" s="13">
        <v>31747.672391017171</v>
      </c>
      <c r="I19" s="13">
        <v>31668.108322324963</v>
      </c>
      <c r="J19" s="13">
        <v>33600.401585204752</v>
      </c>
      <c r="K19" s="13">
        <v>34715.99735799207</v>
      </c>
      <c r="L19" s="13">
        <v>31442.47027741083</v>
      </c>
      <c r="M19" s="13">
        <v>32990.718626155875</v>
      </c>
      <c r="N19" s="13">
        <v>34127.535006605016</v>
      </c>
      <c r="O19" s="32">
        <v>35276.208718626156</v>
      </c>
      <c r="P19" s="32">
        <v>35988.528401585201</v>
      </c>
      <c r="Q19" s="32">
        <v>36573.04095112285</v>
      </c>
      <c r="R19" s="32">
        <v>37150.84015852047</v>
      </c>
      <c r="S19" s="32">
        <v>37642.10039630119</v>
      </c>
      <c r="T19" s="32">
        <v>38156.063408190224</v>
      </c>
      <c r="U19" s="32">
        <v>38614.361955085857</v>
      </c>
      <c r="V19" s="32">
        <v>39057.561426684275</v>
      </c>
      <c r="W19" s="32">
        <v>39476.531043593131</v>
      </c>
      <c r="X19" s="32">
        <v>39889.71466314399</v>
      </c>
      <c r="Y19" s="14" t="s">
        <v>24</v>
      </c>
      <c r="Z19" s="14" t="s">
        <v>25</v>
      </c>
      <c r="AA19" s="15">
        <v>45352</v>
      </c>
    </row>
    <row r="20" spans="1:27" ht="15.75" thickBot="1" x14ac:dyDescent="0.3">
      <c r="A20" s="22" t="s">
        <v>32</v>
      </c>
      <c r="B20" s="23">
        <v>2010</v>
      </c>
      <c r="C20" s="23">
        <v>2011</v>
      </c>
      <c r="D20" s="23">
        <v>2012</v>
      </c>
      <c r="E20" s="23">
        <v>2013</v>
      </c>
      <c r="F20" s="23">
        <v>2014</v>
      </c>
      <c r="G20" s="23">
        <v>2015</v>
      </c>
      <c r="H20" s="23">
        <v>2016</v>
      </c>
      <c r="I20" s="23">
        <v>2017</v>
      </c>
      <c r="J20" s="23">
        <v>2018</v>
      </c>
      <c r="K20" s="23">
        <v>2019</v>
      </c>
      <c r="L20" s="23">
        <v>2020</v>
      </c>
      <c r="M20" s="23">
        <v>2021</v>
      </c>
      <c r="N20" s="23">
        <v>2022</v>
      </c>
      <c r="O20" s="23">
        <v>2023</v>
      </c>
      <c r="P20" s="23">
        <v>2024</v>
      </c>
      <c r="Q20" s="23">
        <v>2025</v>
      </c>
      <c r="R20" s="23">
        <v>2026</v>
      </c>
      <c r="S20" s="23">
        <v>2027</v>
      </c>
      <c r="T20" s="23">
        <v>2028</v>
      </c>
      <c r="U20" s="23">
        <v>2029</v>
      </c>
      <c r="V20" s="23">
        <v>2030</v>
      </c>
      <c r="W20" s="23">
        <v>2031</v>
      </c>
      <c r="X20" s="23">
        <v>2032</v>
      </c>
      <c r="Y20" s="23" t="s">
        <v>22</v>
      </c>
      <c r="Z20" s="23" t="s">
        <v>26</v>
      </c>
      <c r="AA20" s="24" t="s">
        <v>23</v>
      </c>
    </row>
    <row r="21" spans="1:27" x14ac:dyDescent="0.25">
      <c r="A21" s="16" t="s">
        <v>12</v>
      </c>
      <c r="B21" s="17">
        <v>124.54953764861294</v>
      </c>
      <c r="C21" s="17">
        <v>292.1241743725231</v>
      </c>
      <c r="D21" s="17">
        <v>650.23513870541603</v>
      </c>
      <c r="E21" s="17">
        <v>520.66050198150594</v>
      </c>
      <c r="F21" s="17">
        <v>235.86789960369879</v>
      </c>
      <c r="G21" s="17">
        <v>282.01056803170411</v>
      </c>
      <c r="H21" s="17">
        <v>214.79524438573316</v>
      </c>
      <c r="I21" s="17">
        <v>270.95904887714659</v>
      </c>
      <c r="J21" s="17">
        <v>272.14531043593126</v>
      </c>
      <c r="K21" s="17">
        <v>339.77542932628796</v>
      </c>
      <c r="L21" s="17">
        <v>322.81373844121526</v>
      </c>
      <c r="M21" s="17">
        <v>134.83223249669749</v>
      </c>
      <c r="N21" s="17">
        <v>151.01981505944516</v>
      </c>
      <c r="O21" s="17">
        <v>136.43857331571994</v>
      </c>
      <c r="P21" s="17">
        <v>138.4570673712021</v>
      </c>
      <c r="Q21" s="17">
        <v>137.46367239101716</v>
      </c>
      <c r="R21" s="17">
        <v>133.85997357992073</v>
      </c>
      <c r="S21" s="17">
        <v>131.97886393659181</v>
      </c>
      <c r="T21" s="17">
        <v>130.22721268163804</v>
      </c>
      <c r="U21" s="17">
        <v>127.92866578599735</v>
      </c>
      <c r="V21" s="17">
        <v>125.0435931307794</v>
      </c>
      <c r="W21" s="103">
        <v>121.98150594451782</v>
      </c>
      <c r="X21" s="17">
        <v>119.14663143989432</v>
      </c>
      <c r="Y21" s="18" t="s">
        <v>24</v>
      </c>
      <c r="Z21" s="18" t="s">
        <v>25</v>
      </c>
      <c r="AA21" s="19">
        <v>45352</v>
      </c>
    </row>
    <row r="22" spans="1:27" x14ac:dyDescent="0.25">
      <c r="A22" s="9" t="s">
        <v>30</v>
      </c>
      <c r="B22" s="3">
        <v>20.174372523117569</v>
      </c>
      <c r="C22" s="3">
        <v>303.85997357992068</v>
      </c>
      <c r="D22" s="3">
        <v>144.14795244385732</v>
      </c>
      <c r="E22" s="3">
        <v>34.797886393659184</v>
      </c>
      <c r="F22" s="3">
        <v>119.41875825627477</v>
      </c>
      <c r="G22" s="3">
        <v>135.49537648612946</v>
      </c>
      <c r="H22" s="3">
        <v>220.5125495376486</v>
      </c>
      <c r="I22" s="3">
        <v>482.33553500660503</v>
      </c>
      <c r="J22" s="3">
        <v>469.04359313077936</v>
      </c>
      <c r="K22" s="3">
        <v>385.09907529722585</v>
      </c>
      <c r="L22" s="3">
        <v>266.79788639365916</v>
      </c>
      <c r="M22" s="3">
        <v>114.20343461030383</v>
      </c>
      <c r="N22" s="3">
        <v>67.812417437252307</v>
      </c>
      <c r="O22" s="29">
        <v>61.896961690885071</v>
      </c>
      <c r="P22" s="29">
        <v>68.60501981505945</v>
      </c>
      <c r="Q22" s="29">
        <v>73.402906208718619</v>
      </c>
      <c r="R22" s="29">
        <v>74.850726552179651</v>
      </c>
      <c r="S22" s="29">
        <v>72.78467635402906</v>
      </c>
      <c r="T22" s="29">
        <v>70.412153236459702</v>
      </c>
      <c r="U22" s="29">
        <v>69.582562747688243</v>
      </c>
      <c r="V22" s="29">
        <v>70.290620871862615</v>
      </c>
      <c r="W22" s="29">
        <v>71.569352708058119</v>
      </c>
      <c r="X22" s="29">
        <v>72.549537648612954</v>
      </c>
      <c r="Y22" s="2" t="s">
        <v>24</v>
      </c>
      <c r="Z22" s="2" t="s">
        <v>25</v>
      </c>
      <c r="AA22" s="10">
        <v>45352</v>
      </c>
    </row>
    <row r="23" spans="1:27" x14ac:dyDescent="0.25">
      <c r="A23" s="9" t="s">
        <v>13</v>
      </c>
      <c r="B23" s="3">
        <v>150.13738441215324</v>
      </c>
      <c r="C23" s="3">
        <v>205.36856010568033</v>
      </c>
      <c r="D23" s="3">
        <v>186.35667107001322</v>
      </c>
      <c r="E23" s="3">
        <v>239.65918097754292</v>
      </c>
      <c r="F23" s="3">
        <v>208.79524438573313</v>
      </c>
      <c r="G23" s="3">
        <v>190.43064729194185</v>
      </c>
      <c r="H23" s="3">
        <v>210.06605019815061</v>
      </c>
      <c r="I23" s="3">
        <v>203.35006605019814</v>
      </c>
      <c r="J23" s="3">
        <v>164.04755614266841</v>
      </c>
      <c r="K23" s="3">
        <v>254.86657859973579</v>
      </c>
      <c r="L23" s="3">
        <v>348.56010568031701</v>
      </c>
      <c r="M23" s="3">
        <v>253.5138705416116</v>
      </c>
      <c r="N23" s="3">
        <v>399.13077939233818</v>
      </c>
      <c r="O23" s="29">
        <v>259.65389696169086</v>
      </c>
      <c r="P23" s="29">
        <v>247.46367239101716</v>
      </c>
      <c r="Q23" s="29">
        <v>204.335535006605</v>
      </c>
      <c r="R23" s="29">
        <v>205.11492734478202</v>
      </c>
      <c r="S23" s="29">
        <v>206.73712021136063</v>
      </c>
      <c r="T23" s="29">
        <v>209.0330250990753</v>
      </c>
      <c r="U23" s="29">
        <v>210.65521796565389</v>
      </c>
      <c r="V23" s="29">
        <v>212.09775429326285</v>
      </c>
      <c r="W23" s="29">
        <v>213.43196829590488</v>
      </c>
      <c r="X23" s="29">
        <v>214.78467635402907</v>
      </c>
      <c r="Y23" s="2" t="s">
        <v>24</v>
      </c>
      <c r="Z23" s="2" t="s">
        <v>25</v>
      </c>
      <c r="AA23" s="10">
        <v>45352</v>
      </c>
    </row>
    <row r="24" spans="1:27" x14ac:dyDescent="0.25">
      <c r="A24" s="9" t="s">
        <v>14</v>
      </c>
      <c r="B24" s="3">
        <v>155.35006605019814</v>
      </c>
      <c r="C24" s="3">
        <v>266.31439894319681</v>
      </c>
      <c r="D24" s="3">
        <v>287.18626155878468</v>
      </c>
      <c r="E24" s="3">
        <v>313.07793923381769</v>
      </c>
      <c r="F24" s="3">
        <v>354.02906208718628</v>
      </c>
      <c r="G24" s="3">
        <v>372.25891677675031</v>
      </c>
      <c r="H24" s="3">
        <v>370.14531043593132</v>
      </c>
      <c r="I24" s="3">
        <v>383.0911492734478</v>
      </c>
      <c r="J24" s="3">
        <v>369.72258916776752</v>
      </c>
      <c r="K24" s="3">
        <v>338.20343461030382</v>
      </c>
      <c r="L24" s="3">
        <v>341.40026420079261</v>
      </c>
      <c r="M24" s="3">
        <v>366.04755614266844</v>
      </c>
      <c r="N24" s="3">
        <v>437.4610303830911</v>
      </c>
      <c r="O24" s="29">
        <v>489.26552179656534</v>
      </c>
      <c r="P24" s="29">
        <v>542.01321003963005</v>
      </c>
      <c r="Q24" s="29">
        <v>588.87186261558782</v>
      </c>
      <c r="R24" s="29">
        <v>632.41479524438569</v>
      </c>
      <c r="S24" s="29">
        <v>673.29986789960367</v>
      </c>
      <c r="T24" s="29">
        <v>715.52708058124176</v>
      </c>
      <c r="U24" s="29">
        <v>755.37384412153233</v>
      </c>
      <c r="V24" s="29">
        <v>795.10700132100396</v>
      </c>
      <c r="W24" s="29">
        <v>835.70937912813736</v>
      </c>
      <c r="X24" s="29">
        <v>878.50990752972257</v>
      </c>
      <c r="Y24" s="2" t="s">
        <v>24</v>
      </c>
      <c r="Z24" s="2" t="s">
        <v>25</v>
      </c>
      <c r="AA24" s="10">
        <v>45352</v>
      </c>
    </row>
    <row r="25" spans="1:27" x14ac:dyDescent="0.25">
      <c r="A25" s="9" t="s">
        <v>15</v>
      </c>
      <c r="B25" s="3">
        <v>0.95640686922060769</v>
      </c>
      <c r="C25" s="3">
        <v>1.321003963011889</v>
      </c>
      <c r="D25" s="3">
        <v>3.9630118890356671</v>
      </c>
      <c r="E25" s="3">
        <v>0</v>
      </c>
      <c r="F25" s="3">
        <v>7.0541611624834868</v>
      </c>
      <c r="G25" s="3">
        <v>181.50594451783354</v>
      </c>
      <c r="H25" s="3">
        <v>235.13870541611624</v>
      </c>
      <c r="I25" s="3">
        <v>6.6050198150594452</v>
      </c>
      <c r="J25" s="3">
        <v>273.44782034346105</v>
      </c>
      <c r="K25" s="3">
        <v>27.47688243064729</v>
      </c>
      <c r="L25" s="3">
        <v>18.150594451783356</v>
      </c>
      <c r="M25" s="3">
        <v>220.4227212681638</v>
      </c>
      <c r="N25" s="3">
        <v>1.321003963011889</v>
      </c>
      <c r="O25" s="29">
        <v>98.422721268163798</v>
      </c>
      <c r="P25" s="29">
        <v>103.42668428005284</v>
      </c>
      <c r="Q25" s="29">
        <v>107.05944517833554</v>
      </c>
      <c r="R25" s="29">
        <v>107.64332892998679</v>
      </c>
      <c r="S25" s="29">
        <v>110.66842800528401</v>
      </c>
      <c r="T25" s="29">
        <v>112.17173051519154</v>
      </c>
      <c r="U25" s="29">
        <v>113.89167767503302</v>
      </c>
      <c r="V25" s="29">
        <v>114.70541611624836</v>
      </c>
      <c r="W25" s="29">
        <v>115.18361955085865</v>
      </c>
      <c r="X25" s="29">
        <v>115.82562747688242</v>
      </c>
      <c r="Y25" s="2" t="s">
        <v>24</v>
      </c>
      <c r="Z25" s="2" t="s">
        <v>25</v>
      </c>
      <c r="AA25" s="10">
        <v>45352</v>
      </c>
    </row>
    <row r="26" spans="1:27" x14ac:dyDescent="0.25">
      <c r="A26" s="9" t="s">
        <v>35</v>
      </c>
      <c r="B26" s="3">
        <v>7.9260237780713338E-2</v>
      </c>
      <c r="C26" s="3">
        <v>0.18494055482166444</v>
      </c>
      <c r="D26" s="3">
        <v>0.8190224570673712</v>
      </c>
      <c r="E26" s="3">
        <v>0.13210039630118889</v>
      </c>
      <c r="F26" s="3">
        <v>0.26420079260237778</v>
      </c>
      <c r="G26" s="3">
        <v>0.10568031704095113</v>
      </c>
      <c r="H26" s="3">
        <v>0.58124174372523119</v>
      </c>
      <c r="I26" s="3">
        <v>1.2681638044914134</v>
      </c>
      <c r="J26" s="3">
        <v>25.284015852047556</v>
      </c>
      <c r="K26" s="3">
        <v>0.21136063408190225</v>
      </c>
      <c r="L26" s="3">
        <v>7.5033025099075292</v>
      </c>
      <c r="M26" s="3">
        <v>14.187582562747689</v>
      </c>
      <c r="N26" s="3">
        <v>8.9299867899603687</v>
      </c>
      <c r="O26" s="29">
        <v>8.9299867899603687</v>
      </c>
      <c r="P26" s="29">
        <v>8.9299867899603687</v>
      </c>
      <c r="Q26" s="29">
        <v>8.9299867899603687</v>
      </c>
      <c r="R26" s="29">
        <v>8.9299867899603687</v>
      </c>
      <c r="S26" s="29">
        <v>8.9299867899603687</v>
      </c>
      <c r="T26" s="29">
        <v>8.9299867899603687</v>
      </c>
      <c r="U26" s="29">
        <v>8.9299867899603687</v>
      </c>
      <c r="V26" s="29">
        <v>8.9299867899603687</v>
      </c>
      <c r="W26" s="29">
        <v>8.9299867899603687</v>
      </c>
      <c r="X26" s="29">
        <v>8.9299867899603687</v>
      </c>
      <c r="Y26" s="2" t="s">
        <v>24</v>
      </c>
      <c r="Z26" s="2" t="s">
        <v>25</v>
      </c>
      <c r="AA26" s="10">
        <v>45352</v>
      </c>
    </row>
    <row r="27" spans="1:27" x14ac:dyDescent="0.25">
      <c r="A27" s="9" t="s">
        <v>16</v>
      </c>
      <c r="B27" s="3">
        <v>142.15852047556143</v>
      </c>
      <c r="C27" s="3">
        <v>163.89167767503304</v>
      </c>
      <c r="D27" s="3">
        <v>200.25099075297226</v>
      </c>
      <c r="E27" s="3">
        <v>210.72919418758255</v>
      </c>
      <c r="F27" s="3">
        <v>117.3236459709379</v>
      </c>
      <c r="G27" s="3">
        <v>170.06076618229852</v>
      </c>
      <c r="H27" s="3">
        <v>146.11889035667105</v>
      </c>
      <c r="I27" s="3">
        <v>148.58388375165126</v>
      </c>
      <c r="J27" s="3">
        <v>152.47556142668427</v>
      </c>
      <c r="K27" s="3">
        <v>211.35270805812416</v>
      </c>
      <c r="L27" s="3">
        <v>124.45970937912813</v>
      </c>
      <c r="M27" s="3">
        <v>175.4214002642008</v>
      </c>
      <c r="N27" s="3">
        <v>273.44782034346105</v>
      </c>
      <c r="O27" s="29">
        <v>176.20871862615587</v>
      </c>
      <c r="P27" s="29">
        <v>178.69484808454425</v>
      </c>
      <c r="Q27" s="29">
        <v>180.38044914134741</v>
      </c>
      <c r="R27" s="29">
        <v>182.16380449141346</v>
      </c>
      <c r="S27" s="29">
        <v>184.01056803170408</v>
      </c>
      <c r="T27" s="29">
        <v>185.99207397622192</v>
      </c>
      <c r="U27" s="29">
        <v>187.86789960369882</v>
      </c>
      <c r="V27" s="29">
        <v>189.71466314398944</v>
      </c>
      <c r="W27" s="29">
        <v>191.58256274768823</v>
      </c>
      <c r="X27" s="29">
        <v>189.67503302509905</v>
      </c>
      <c r="Y27" s="2" t="s">
        <v>24</v>
      </c>
      <c r="Z27" s="2" t="s">
        <v>25</v>
      </c>
      <c r="AA27" s="10">
        <v>45352</v>
      </c>
    </row>
    <row r="28" spans="1:27" x14ac:dyDescent="0.25">
      <c r="A28" s="9" t="s">
        <v>560</v>
      </c>
      <c r="B28" s="3">
        <f t="shared" ref="B28:X28" si="2">+B29-SUM(B21:B27)</f>
        <v>767.23117569352712</v>
      </c>
      <c r="C28" s="3">
        <f t="shared" si="2"/>
        <v>757.50594451783377</v>
      </c>
      <c r="D28" s="3">
        <f t="shared" si="2"/>
        <v>843.89167767503318</v>
      </c>
      <c r="E28" s="3">
        <f t="shared" si="2"/>
        <v>891.1704095112284</v>
      </c>
      <c r="F28" s="3">
        <f t="shared" si="2"/>
        <v>904.06605019815061</v>
      </c>
      <c r="G28" s="3">
        <f t="shared" si="2"/>
        <v>1005.093791281374</v>
      </c>
      <c r="H28" s="3">
        <f t="shared" si="2"/>
        <v>1124.3566710700134</v>
      </c>
      <c r="I28" s="3">
        <f t="shared" si="2"/>
        <v>1247.8282694848087</v>
      </c>
      <c r="J28" s="3">
        <f t="shared" si="2"/>
        <v>1294.993394980185</v>
      </c>
      <c r="K28" s="3">
        <f t="shared" si="2"/>
        <v>1387.5323645970939</v>
      </c>
      <c r="L28" s="3">
        <f t="shared" si="2"/>
        <v>1621.4953764861293</v>
      </c>
      <c r="M28" s="3">
        <f t="shared" si="2"/>
        <v>1429.2681638044912</v>
      </c>
      <c r="N28" s="3">
        <f t="shared" si="2"/>
        <v>1535.5852047556143</v>
      </c>
      <c r="O28" s="3">
        <f t="shared" si="2"/>
        <v>1540.6525759577278</v>
      </c>
      <c r="P28" s="3">
        <f t="shared" si="2"/>
        <v>1548.6235138705417</v>
      </c>
      <c r="Q28" s="3">
        <f t="shared" si="2"/>
        <v>1540.7186261558782</v>
      </c>
      <c r="R28" s="3">
        <f t="shared" si="2"/>
        <v>1536.6446499339499</v>
      </c>
      <c r="S28" s="3">
        <f t="shared" si="2"/>
        <v>1535.479524438573</v>
      </c>
      <c r="T28" s="3">
        <f t="shared" si="2"/>
        <v>1537.247027741083</v>
      </c>
      <c r="U28" s="3">
        <f t="shared" si="2"/>
        <v>1537.0303830911494</v>
      </c>
      <c r="V28" s="3">
        <f t="shared" si="2"/>
        <v>1535.9735799207394</v>
      </c>
      <c r="W28" s="3">
        <f t="shared" si="2"/>
        <v>1535.2628797886393</v>
      </c>
      <c r="X28" s="3">
        <f t="shared" si="2"/>
        <v>1534.8507265521794</v>
      </c>
      <c r="Y28" s="2" t="s">
        <v>24</v>
      </c>
      <c r="Z28" s="2" t="s">
        <v>25</v>
      </c>
      <c r="AA28" s="10">
        <v>45352</v>
      </c>
    </row>
    <row r="29" spans="1:27" ht="15.75" thickBot="1" x14ac:dyDescent="0.3">
      <c r="A29" s="12" t="s">
        <v>561</v>
      </c>
      <c r="B29" s="13">
        <v>1360.6367239101717</v>
      </c>
      <c r="C29" s="13">
        <v>1990.5706737120211</v>
      </c>
      <c r="D29" s="13">
        <v>2316.8507265521798</v>
      </c>
      <c r="E29" s="13">
        <v>2210.2272126816379</v>
      </c>
      <c r="F29" s="13">
        <v>1946.8190224570674</v>
      </c>
      <c r="G29" s="13">
        <v>2336.9616908850726</v>
      </c>
      <c r="H29" s="13">
        <v>2521.7146631439896</v>
      </c>
      <c r="I29" s="13">
        <v>2744.0211360634084</v>
      </c>
      <c r="J29" s="13">
        <v>3021.1598414795244</v>
      </c>
      <c r="K29" s="13">
        <v>2944.5178335535006</v>
      </c>
      <c r="L29" s="13">
        <v>3051.1809775429324</v>
      </c>
      <c r="M29" s="13">
        <v>2707.8969616908848</v>
      </c>
      <c r="N29" s="13">
        <v>2874.7080581241744</v>
      </c>
      <c r="O29" s="32">
        <v>2771.468956406869</v>
      </c>
      <c r="P29" s="32">
        <v>2836.2140026420079</v>
      </c>
      <c r="Q29" s="32">
        <v>2841.1624834874501</v>
      </c>
      <c r="R29" s="32">
        <v>2881.6221928665786</v>
      </c>
      <c r="S29" s="32">
        <v>2923.8890356671068</v>
      </c>
      <c r="T29" s="32">
        <v>2969.5402906208715</v>
      </c>
      <c r="U29" s="32">
        <v>3011.2602377807134</v>
      </c>
      <c r="V29" s="32">
        <v>3051.8626155878464</v>
      </c>
      <c r="W29" s="32">
        <v>3093.6512549537647</v>
      </c>
      <c r="X29" s="32">
        <v>3134.27212681638</v>
      </c>
      <c r="Y29" s="14" t="s">
        <v>24</v>
      </c>
      <c r="Z29" s="14" t="s">
        <v>25</v>
      </c>
      <c r="AA29" s="15">
        <v>45352</v>
      </c>
    </row>
    <row r="30" spans="1:27" x14ac:dyDescent="0.25">
      <c r="A30" s="16" t="s">
        <v>17</v>
      </c>
      <c r="B30" s="17">
        <v>395.75957727873185</v>
      </c>
      <c r="C30" s="17">
        <v>1193.2655217965655</v>
      </c>
      <c r="D30" s="17">
        <v>731.60105680317042</v>
      </c>
      <c r="E30" s="17">
        <v>616.69749009247016</v>
      </c>
      <c r="F30" s="17">
        <v>839.20475561426679</v>
      </c>
      <c r="G30" s="17">
        <v>910.06869220607666</v>
      </c>
      <c r="H30" s="17">
        <v>1161.1545574636725</v>
      </c>
      <c r="I30" s="17">
        <v>1387.6010568031702</v>
      </c>
      <c r="J30" s="17">
        <v>1675.117569352708</v>
      </c>
      <c r="K30" s="17">
        <v>1446.774108322325</v>
      </c>
      <c r="L30" s="17">
        <v>1312.4861294583884</v>
      </c>
      <c r="M30" s="17">
        <v>1236.2377807133421</v>
      </c>
      <c r="N30" s="17">
        <v>1398.8850726552178</v>
      </c>
      <c r="O30" s="17">
        <v>1383.0066050198152</v>
      </c>
      <c r="P30" s="17">
        <v>1487.3500660501982</v>
      </c>
      <c r="Q30" s="17">
        <v>1549.5482166446498</v>
      </c>
      <c r="R30" s="17">
        <v>1572.8216644649933</v>
      </c>
      <c r="S30" s="17">
        <v>1601.4874504623513</v>
      </c>
      <c r="T30" s="17">
        <v>1621.4583883751652</v>
      </c>
      <c r="U30" s="17">
        <v>1655.006605019815</v>
      </c>
      <c r="V30" s="17">
        <v>1691.6063408190223</v>
      </c>
      <c r="W30" s="103">
        <v>1735.9841479524437</v>
      </c>
      <c r="X30" s="17">
        <v>1779.54821664465</v>
      </c>
      <c r="Y30" s="18" t="s">
        <v>24</v>
      </c>
      <c r="Z30" s="18" t="s">
        <v>25</v>
      </c>
      <c r="AA30" s="19">
        <v>45352</v>
      </c>
    </row>
    <row r="31" spans="1:27" x14ac:dyDescent="0.25">
      <c r="A31" s="9" t="s">
        <v>29</v>
      </c>
      <c r="B31" s="3">
        <v>551.01717305151908</v>
      </c>
      <c r="C31" s="3">
        <v>518.87978863936587</v>
      </c>
      <c r="D31" s="3">
        <v>807.2100396301189</v>
      </c>
      <c r="E31" s="3">
        <v>770.56010568031706</v>
      </c>
      <c r="F31" s="3">
        <v>369.32628797886395</v>
      </c>
      <c r="G31" s="3">
        <v>493.32100396301189</v>
      </c>
      <c r="H31" s="3">
        <v>472.65521796565389</v>
      </c>
      <c r="I31" s="3">
        <v>364.63672391017172</v>
      </c>
      <c r="J31" s="3">
        <v>446.29590488771464</v>
      </c>
      <c r="K31" s="3">
        <v>512.78203434610305</v>
      </c>
      <c r="L31" s="3">
        <v>711.94715984147945</v>
      </c>
      <c r="M31" s="3">
        <v>514.72655217965655</v>
      </c>
      <c r="N31" s="3">
        <v>497.91545574636717</v>
      </c>
      <c r="O31" s="29">
        <v>533.0885072655218</v>
      </c>
      <c r="P31" s="29">
        <v>493.87846763540284</v>
      </c>
      <c r="Q31" s="29">
        <v>435.31571994715983</v>
      </c>
      <c r="R31" s="29">
        <v>443.1598414795244</v>
      </c>
      <c r="S31" s="29">
        <v>448.56803170409506</v>
      </c>
      <c r="T31" s="29">
        <v>471.72787318361952</v>
      </c>
      <c r="U31" s="29">
        <v>475.93394980184939</v>
      </c>
      <c r="V31" s="29">
        <v>475.98678996036983</v>
      </c>
      <c r="W31" s="29">
        <v>469.55085865257593</v>
      </c>
      <c r="X31" s="29">
        <v>462.77939233817699</v>
      </c>
      <c r="Y31" s="2" t="s">
        <v>24</v>
      </c>
      <c r="Z31" s="2" t="s">
        <v>25</v>
      </c>
      <c r="AA31" s="10">
        <v>45352</v>
      </c>
    </row>
    <row r="32" spans="1:27" x14ac:dyDescent="0.25">
      <c r="A32" s="9" t="s">
        <v>18</v>
      </c>
      <c r="B32" s="3">
        <v>93.252311756935256</v>
      </c>
      <c r="C32" s="3">
        <v>98.644649933949793</v>
      </c>
      <c r="D32" s="3">
        <v>106.24042272126816</v>
      </c>
      <c r="E32" s="3">
        <v>152.35931307793922</v>
      </c>
      <c r="F32" s="3">
        <v>143.87318361955084</v>
      </c>
      <c r="G32" s="3">
        <v>179.4029062087186</v>
      </c>
      <c r="H32" s="3">
        <v>183.03302509907527</v>
      </c>
      <c r="I32" s="3">
        <v>195.46103038309116</v>
      </c>
      <c r="J32" s="3">
        <v>197.80713342140027</v>
      </c>
      <c r="K32" s="3">
        <v>192.69749009247028</v>
      </c>
      <c r="L32" s="3">
        <v>158.80052840158518</v>
      </c>
      <c r="M32" s="3">
        <v>146.17173051519154</v>
      </c>
      <c r="N32" s="3">
        <v>114.60766182298546</v>
      </c>
      <c r="O32" s="29">
        <v>141.71730515191544</v>
      </c>
      <c r="P32" s="29">
        <v>141.38705416116247</v>
      </c>
      <c r="Q32" s="29">
        <v>140.9669749009247</v>
      </c>
      <c r="R32" s="29">
        <v>148.5125495376486</v>
      </c>
      <c r="S32" s="29">
        <v>153.87318361955084</v>
      </c>
      <c r="T32" s="29">
        <v>156.12945838837518</v>
      </c>
      <c r="U32" s="29">
        <v>158.70277410832233</v>
      </c>
      <c r="V32" s="29">
        <v>161.36591809775427</v>
      </c>
      <c r="W32" s="29">
        <v>164.08454425363274</v>
      </c>
      <c r="X32" s="29">
        <v>166.80052840158521</v>
      </c>
      <c r="Y32" s="2" t="s">
        <v>24</v>
      </c>
      <c r="Z32" s="2" t="s">
        <v>25</v>
      </c>
      <c r="AA32" s="10">
        <v>45352</v>
      </c>
    </row>
    <row r="33" spans="1:27" x14ac:dyDescent="0.25">
      <c r="A33" s="9" t="s">
        <v>19</v>
      </c>
      <c r="B33" s="3">
        <v>24.834874504623514</v>
      </c>
      <c r="C33" s="3">
        <v>20.343461030383089</v>
      </c>
      <c r="D33" s="3">
        <v>14.266842800528401</v>
      </c>
      <c r="E33" s="3">
        <v>15.323645970937912</v>
      </c>
      <c r="F33" s="3">
        <v>16.6446499339498</v>
      </c>
      <c r="G33" s="3">
        <v>17.96565389696169</v>
      </c>
      <c r="H33" s="3">
        <v>20.079260237780712</v>
      </c>
      <c r="I33" s="3">
        <v>23.249669749009247</v>
      </c>
      <c r="J33" s="3">
        <v>23.778071334214001</v>
      </c>
      <c r="K33" s="3">
        <v>23.778071334214001</v>
      </c>
      <c r="L33" s="3">
        <v>23.778071334214001</v>
      </c>
      <c r="M33" s="3">
        <v>23.778071334214001</v>
      </c>
      <c r="N33" s="3">
        <v>23.778071334214001</v>
      </c>
      <c r="O33" s="29">
        <v>23.894319682959047</v>
      </c>
      <c r="P33" s="29">
        <v>23.822985468956407</v>
      </c>
      <c r="Q33" s="29">
        <v>23.815059445178335</v>
      </c>
      <c r="R33" s="29">
        <v>23.820343461030383</v>
      </c>
      <c r="S33" s="29">
        <v>23.809775429326287</v>
      </c>
      <c r="T33" s="29">
        <v>23.79920739762219</v>
      </c>
      <c r="U33" s="29">
        <v>23.793923381770146</v>
      </c>
      <c r="V33" s="29">
        <v>23.796565389696166</v>
      </c>
      <c r="W33" s="29">
        <v>23.79920739762219</v>
      </c>
      <c r="X33" s="29">
        <v>23.801849405548218</v>
      </c>
      <c r="Y33" s="2" t="s">
        <v>24</v>
      </c>
      <c r="Z33" s="2" t="s">
        <v>25</v>
      </c>
      <c r="AA33" s="10">
        <v>45352</v>
      </c>
    </row>
    <row r="34" spans="1:27" x14ac:dyDescent="0.25">
      <c r="A34" s="9" t="s">
        <v>20</v>
      </c>
      <c r="B34" s="3">
        <v>41.223249669749009</v>
      </c>
      <c r="C34" s="3">
        <v>11.450462351387054</v>
      </c>
      <c r="D34" s="3">
        <v>11.889035667107001</v>
      </c>
      <c r="E34" s="3">
        <v>10.568031704095112</v>
      </c>
      <c r="F34" s="3">
        <v>8.7186261558784679</v>
      </c>
      <c r="G34" s="3">
        <v>6.6050198150594452</v>
      </c>
      <c r="H34" s="3">
        <v>8.9035667107001331</v>
      </c>
      <c r="I34" s="3">
        <v>35.138705416116245</v>
      </c>
      <c r="J34" s="3">
        <v>20.95112285336856</v>
      </c>
      <c r="K34" s="3">
        <v>5.5482166446499335</v>
      </c>
      <c r="L34" s="3">
        <v>96.98811096433289</v>
      </c>
      <c r="M34" s="3">
        <v>6.1294583883751645</v>
      </c>
      <c r="N34" s="3">
        <v>3.9577278731836194</v>
      </c>
      <c r="O34" s="29">
        <v>26.528401585204755</v>
      </c>
      <c r="P34" s="29">
        <v>25.992073976221928</v>
      </c>
      <c r="Q34" s="29">
        <v>25.365918097754292</v>
      </c>
      <c r="R34" s="29">
        <v>25.017173051519151</v>
      </c>
      <c r="S34" s="29">
        <v>25.128137384412152</v>
      </c>
      <c r="T34" s="29">
        <v>24.866578599735799</v>
      </c>
      <c r="U34" s="29">
        <v>24.504623513870541</v>
      </c>
      <c r="V34" s="29">
        <v>24.583883751651253</v>
      </c>
      <c r="W34" s="29">
        <v>24.496697490092469</v>
      </c>
      <c r="X34" s="29">
        <v>24.528401585204755</v>
      </c>
      <c r="Y34" s="2" t="s">
        <v>24</v>
      </c>
      <c r="Z34" s="2" t="s">
        <v>25</v>
      </c>
      <c r="AA34" s="10">
        <v>45352</v>
      </c>
    </row>
    <row r="35" spans="1:27" x14ac:dyDescent="0.25">
      <c r="A35" s="9" t="s">
        <v>36</v>
      </c>
      <c r="B35" s="3">
        <v>13.21003963011889</v>
      </c>
      <c r="C35" s="3">
        <v>17.701453104359313</v>
      </c>
      <c r="D35" s="3">
        <v>15.957727873183618</v>
      </c>
      <c r="E35" s="3">
        <v>24.649933949801849</v>
      </c>
      <c r="F35" s="3">
        <v>23.328929986789959</v>
      </c>
      <c r="G35" s="3">
        <v>14.055482166446499</v>
      </c>
      <c r="H35" s="3">
        <v>18.705416116248347</v>
      </c>
      <c r="I35" s="3">
        <v>16.88243064729194</v>
      </c>
      <c r="J35" s="3">
        <v>41.743725231175695</v>
      </c>
      <c r="K35" s="3">
        <v>18.335535006605021</v>
      </c>
      <c r="L35" s="3">
        <v>12.443857331571994</v>
      </c>
      <c r="M35" s="3">
        <v>21.532364597093789</v>
      </c>
      <c r="N35" s="3">
        <v>17.859973579920737</v>
      </c>
      <c r="O35" s="29">
        <v>17.859973579920737</v>
      </c>
      <c r="P35" s="29">
        <v>17.859973579920737</v>
      </c>
      <c r="Q35" s="29">
        <v>17.859973579920737</v>
      </c>
      <c r="R35" s="29">
        <v>17.859973579920737</v>
      </c>
      <c r="S35" s="29">
        <v>17.859973579920737</v>
      </c>
      <c r="T35" s="29">
        <v>17.859973579920737</v>
      </c>
      <c r="U35" s="29">
        <v>17.859973579920737</v>
      </c>
      <c r="V35" s="29">
        <v>17.859973579920737</v>
      </c>
      <c r="W35" s="29">
        <v>17.859973579920737</v>
      </c>
      <c r="X35" s="29">
        <v>17.859973579920737</v>
      </c>
      <c r="Y35" s="2" t="s">
        <v>24</v>
      </c>
      <c r="Z35" s="2" t="s">
        <v>25</v>
      </c>
      <c r="AA35" s="10">
        <v>45352</v>
      </c>
    </row>
    <row r="36" spans="1:27" x14ac:dyDescent="0.25">
      <c r="A36" s="9" t="s">
        <v>21</v>
      </c>
      <c r="B36" s="3">
        <v>38.435931307793922</v>
      </c>
      <c r="C36" s="3">
        <v>38.853368560105679</v>
      </c>
      <c r="D36" s="3">
        <v>50.776750330250991</v>
      </c>
      <c r="E36" s="3">
        <v>32.171730515191541</v>
      </c>
      <c r="F36" s="3">
        <v>89.442536327608991</v>
      </c>
      <c r="G36" s="3">
        <v>79.453104359313073</v>
      </c>
      <c r="H36" s="3">
        <v>106.89828269484808</v>
      </c>
      <c r="I36" s="3">
        <v>152.28797886393659</v>
      </c>
      <c r="J36" s="3">
        <v>108.58652575957727</v>
      </c>
      <c r="K36" s="3">
        <v>50.634081902245704</v>
      </c>
      <c r="L36" s="3">
        <v>46.861294583883748</v>
      </c>
      <c r="M36" s="3">
        <v>40.235138705416112</v>
      </c>
      <c r="N36" s="3">
        <v>42.27212681638045</v>
      </c>
      <c r="O36" s="29">
        <v>42.417437252311757</v>
      </c>
      <c r="P36" s="29">
        <v>42.30911492734478</v>
      </c>
      <c r="Q36" s="29">
        <v>42.324966974900917</v>
      </c>
      <c r="R36" s="29">
        <v>42.327608982826952</v>
      </c>
      <c r="S36" s="29">
        <v>42.322324966974897</v>
      </c>
      <c r="T36" s="29">
        <v>42.303830911492732</v>
      </c>
      <c r="U36" s="29">
        <v>42.301188903566711</v>
      </c>
      <c r="V36" s="29">
        <v>42.306472919418752</v>
      </c>
      <c r="W36" s="29">
        <v>42.30911492734478</v>
      </c>
      <c r="X36" s="29">
        <v>42.311756935270807</v>
      </c>
      <c r="Y36" s="2" t="s">
        <v>24</v>
      </c>
      <c r="Z36" s="2" t="s">
        <v>25</v>
      </c>
      <c r="AA36" s="10">
        <v>45352</v>
      </c>
    </row>
    <row r="37" spans="1:27" x14ac:dyDescent="0.25">
      <c r="A37" s="9" t="s">
        <v>562</v>
      </c>
      <c r="B37" s="3">
        <f t="shared" ref="B37:X37" si="3">+B38-SUM(B30:B36)</f>
        <v>445.84147952443845</v>
      </c>
      <c r="C37" s="3">
        <f t="shared" si="3"/>
        <v>459.28401585204688</v>
      </c>
      <c r="D37" s="3">
        <f t="shared" si="3"/>
        <v>585.27608982826905</v>
      </c>
      <c r="E37" s="3">
        <f t="shared" si="3"/>
        <v>588.95640686922047</v>
      </c>
      <c r="F37" s="3">
        <f t="shared" si="3"/>
        <v>543.13606340819047</v>
      </c>
      <c r="G37" s="3">
        <f t="shared" si="3"/>
        <v>440.57067371202083</v>
      </c>
      <c r="H37" s="3">
        <f t="shared" si="3"/>
        <v>479.59048877146597</v>
      </c>
      <c r="I37" s="3">
        <f t="shared" si="3"/>
        <v>487.98414795244435</v>
      </c>
      <c r="J37" s="3">
        <f t="shared" si="3"/>
        <v>530.39630118890409</v>
      </c>
      <c r="K37" s="3">
        <f t="shared" si="3"/>
        <v>548.26420079260242</v>
      </c>
      <c r="L37" s="3">
        <f t="shared" si="3"/>
        <v>508.24042272126826</v>
      </c>
      <c r="M37" s="3">
        <f t="shared" si="3"/>
        <v>522.4702774108323</v>
      </c>
      <c r="N37" s="3">
        <f t="shared" si="3"/>
        <v>592.52311756935296</v>
      </c>
      <c r="O37" s="3">
        <f t="shared" si="3"/>
        <v>602.95640686922025</v>
      </c>
      <c r="P37" s="3">
        <f t="shared" si="3"/>
        <v>603.61426684280059</v>
      </c>
      <c r="Q37" s="3">
        <f t="shared" si="3"/>
        <v>605.96565389696207</v>
      </c>
      <c r="R37" s="3">
        <f t="shared" si="3"/>
        <v>608.10303830911516</v>
      </c>
      <c r="S37" s="3">
        <f t="shared" si="3"/>
        <v>610.8401585204756</v>
      </c>
      <c r="T37" s="3">
        <f t="shared" si="3"/>
        <v>611.39498018494032</v>
      </c>
      <c r="U37" s="3">
        <f t="shared" si="3"/>
        <v>613.15719947159823</v>
      </c>
      <c r="V37" s="3">
        <f t="shared" si="3"/>
        <v>614.35667107001291</v>
      </c>
      <c r="W37" s="3">
        <f t="shared" si="3"/>
        <v>615.56671070013226</v>
      </c>
      <c r="X37" s="3">
        <f t="shared" si="3"/>
        <v>616.64200792602333</v>
      </c>
      <c r="Y37" s="2" t="s">
        <v>24</v>
      </c>
      <c r="Z37" s="2" t="s">
        <v>25</v>
      </c>
      <c r="AA37" s="10">
        <v>45352</v>
      </c>
    </row>
    <row r="38" spans="1:27" ht="15.75" thickBot="1" x14ac:dyDescent="0.3">
      <c r="A38" s="12" t="s">
        <v>563</v>
      </c>
      <c r="B38" s="32">
        <v>1603.5746367239101</v>
      </c>
      <c r="C38" s="32">
        <v>2358.4227212681635</v>
      </c>
      <c r="D38" s="32">
        <v>2323.2179656538965</v>
      </c>
      <c r="E38" s="32">
        <v>2211.2866578599733</v>
      </c>
      <c r="F38" s="32">
        <v>2033.6750330250991</v>
      </c>
      <c r="G38" s="32">
        <v>2141.4425363276087</v>
      </c>
      <c r="H38" s="32">
        <v>2451.0198150594451</v>
      </c>
      <c r="I38" s="32">
        <v>2663.2417437252311</v>
      </c>
      <c r="J38" s="32">
        <v>3044.6763540290622</v>
      </c>
      <c r="K38" s="32">
        <v>2798.8137384412153</v>
      </c>
      <c r="L38" s="32">
        <v>2871.5455746367238</v>
      </c>
      <c r="M38" s="32">
        <v>2511.2813738441218</v>
      </c>
      <c r="N38" s="32">
        <v>2691.799207397622</v>
      </c>
      <c r="O38" s="32">
        <v>2771.468956406869</v>
      </c>
      <c r="P38" s="32">
        <v>2836.2140026420079</v>
      </c>
      <c r="Q38" s="32">
        <v>2841.1624834874501</v>
      </c>
      <c r="R38" s="32">
        <v>2881.6221928665786</v>
      </c>
      <c r="S38" s="32">
        <v>2923.8890356671068</v>
      </c>
      <c r="T38" s="32">
        <v>2969.5402906208715</v>
      </c>
      <c r="U38" s="32">
        <v>3011.2602377807134</v>
      </c>
      <c r="V38" s="32">
        <v>3051.8626155878464</v>
      </c>
      <c r="W38" s="32">
        <v>3093.6512549537647</v>
      </c>
      <c r="X38" s="32">
        <v>3134.27212681638</v>
      </c>
      <c r="Y38" s="14" t="s">
        <v>24</v>
      </c>
      <c r="Z38" s="104" t="s">
        <v>25</v>
      </c>
      <c r="AA38" s="15">
        <v>45352</v>
      </c>
    </row>
    <row r="40" spans="1:27" x14ac:dyDescent="0.25">
      <c r="D40" s="134"/>
      <c r="E40" s="135"/>
      <c r="F40" s="135"/>
      <c r="G40" s="135"/>
      <c r="H40" s="135"/>
      <c r="I40" s="135"/>
      <c r="J40" s="135"/>
      <c r="K40" s="135"/>
      <c r="L40" s="135"/>
      <c r="M40" s="135"/>
      <c r="N40" s="135"/>
      <c r="O40" s="135"/>
      <c r="P40" s="133"/>
    </row>
  </sheetData>
  <hyperlinks>
    <hyperlink ref="Z2" r:id="rId1" xr:uid="{A5C78196-C816-4D79-B647-305ABB5EDB26}"/>
    <hyperlink ref="Z38" r:id="rId2" xr:uid="{59806C07-D95D-412B-BFE8-A6A9834FEBFB}"/>
  </hyperlinks>
  <pageMargins left="0.7" right="0.7" top="0.75" bottom="0.75" header="0.3" footer="0.3"/>
  <pageSetup orientation="portrait" horizontalDpi="1200" verticalDpi="1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934B-E063-48E0-AD98-1E207F9A54DF}">
  <dimension ref="A1:AA38"/>
  <sheetViews>
    <sheetView zoomScale="55" zoomScaleNormal="55" workbookViewId="0">
      <selection activeCell="M36" sqref="M36"/>
    </sheetView>
  </sheetViews>
  <sheetFormatPr defaultRowHeight="15" x14ac:dyDescent="0.25"/>
  <cols>
    <col min="1" max="1" width="36.7109375" bestFit="1" customWidth="1"/>
    <col min="2" max="2" width="10.7109375" bestFit="1" customWidth="1"/>
    <col min="3" max="3" width="11.5703125" bestFit="1" customWidth="1"/>
    <col min="4" max="15" width="10.7109375" bestFit="1" customWidth="1"/>
    <col min="16" max="24" width="10.7109375" customWidth="1"/>
    <col min="25" max="25" width="28.28515625" bestFit="1" customWidth="1"/>
    <col min="26" max="26" width="14.7109375" customWidth="1"/>
    <col min="27" max="27" width="12.85546875" bestFit="1" customWidth="1"/>
  </cols>
  <sheetData>
    <row r="1" spans="1:27" ht="15.75" thickBot="1" x14ac:dyDescent="0.3">
      <c r="A1" s="85" t="s">
        <v>31</v>
      </c>
      <c r="B1" s="83">
        <v>2010</v>
      </c>
      <c r="C1" s="83">
        <v>2011</v>
      </c>
      <c r="D1" s="83">
        <v>2012</v>
      </c>
      <c r="E1" s="83">
        <v>2013</v>
      </c>
      <c r="F1" s="83">
        <v>2014</v>
      </c>
      <c r="G1" s="83">
        <v>2015</v>
      </c>
      <c r="H1" s="83">
        <v>2016</v>
      </c>
      <c r="I1" s="83">
        <v>2017</v>
      </c>
      <c r="J1" s="83">
        <v>2018</v>
      </c>
      <c r="K1" s="83">
        <v>2019</v>
      </c>
      <c r="L1" s="83">
        <v>2020</v>
      </c>
      <c r="M1" s="83">
        <v>2021</v>
      </c>
      <c r="N1" s="83">
        <v>2022</v>
      </c>
      <c r="O1" s="83">
        <v>2023</v>
      </c>
      <c r="P1" s="83">
        <v>2024</v>
      </c>
      <c r="Q1" s="83">
        <v>2025</v>
      </c>
      <c r="R1" s="83">
        <v>2026</v>
      </c>
      <c r="S1" s="83">
        <v>2027</v>
      </c>
      <c r="T1" s="83">
        <v>2028</v>
      </c>
      <c r="U1" s="83">
        <v>2029</v>
      </c>
      <c r="V1" s="83">
        <v>2030</v>
      </c>
      <c r="W1" s="83">
        <v>2031</v>
      </c>
      <c r="X1" s="83">
        <v>2032</v>
      </c>
      <c r="Y1" s="83" t="s">
        <v>22</v>
      </c>
      <c r="Z1" s="83" t="s">
        <v>26</v>
      </c>
      <c r="AA1" s="84" t="s">
        <v>23</v>
      </c>
    </row>
    <row r="2" spans="1:27" x14ac:dyDescent="0.25">
      <c r="A2" s="16" t="s">
        <v>2</v>
      </c>
      <c r="B2" s="17">
        <v>343.01981505944514</v>
      </c>
      <c r="C2" s="17">
        <v>1022.1426684280052</v>
      </c>
      <c r="D2" s="17">
        <v>1036.8269484808454</v>
      </c>
      <c r="E2" s="82">
        <v>1459.4002642007924</v>
      </c>
      <c r="F2" s="17">
        <v>1419.5825627476881</v>
      </c>
      <c r="G2" s="17">
        <v>1389.6327608982826</v>
      </c>
      <c r="H2" s="17">
        <v>1781.2047556142668</v>
      </c>
      <c r="I2" s="17">
        <v>1824.110964332893</v>
      </c>
      <c r="J2" s="17">
        <v>2127.4055482166445</v>
      </c>
      <c r="K2" s="17">
        <v>2159.9128137384414</v>
      </c>
      <c r="L2" s="17">
        <v>2286.8375165125494</v>
      </c>
      <c r="M2" s="17">
        <v>2360.4861294583884</v>
      </c>
      <c r="N2" s="17">
        <v>3137.6486129458385</v>
      </c>
      <c r="O2" s="17">
        <v>3234.9458388375165</v>
      </c>
      <c r="P2" s="17">
        <v>3565.0647291941877</v>
      </c>
      <c r="Q2" s="17">
        <v>3689.5931307793921</v>
      </c>
      <c r="R2" s="17">
        <v>3787.7305151915452</v>
      </c>
      <c r="S2" s="17">
        <v>3893.1545574636721</v>
      </c>
      <c r="T2" s="17">
        <v>3968.2985468956408</v>
      </c>
      <c r="U2" s="17">
        <v>4034.4649933949804</v>
      </c>
      <c r="V2" s="17">
        <v>4125.3394980184939</v>
      </c>
      <c r="W2" s="17">
        <v>4195.9735799207392</v>
      </c>
      <c r="X2" s="17">
        <v>4273.6723910171731</v>
      </c>
      <c r="Y2" s="18" t="s">
        <v>24</v>
      </c>
      <c r="Z2" s="79" t="s">
        <v>25</v>
      </c>
      <c r="AA2" s="19">
        <v>45352</v>
      </c>
    </row>
    <row r="3" spans="1:27" x14ac:dyDescent="0.25">
      <c r="A3" s="9" t="s">
        <v>27</v>
      </c>
      <c r="B3" s="3">
        <v>630.38309114927347</v>
      </c>
      <c r="C3" s="3">
        <v>706.20871862615581</v>
      </c>
      <c r="D3" s="3">
        <v>739.7622192866578</v>
      </c>
      <c r="E3" s="80">
        <v>775.42932628797882</v>
      </c>
      <c r="F3" s="3">
        <v>906.20871862615581</v>
      </c>
      <c r="G3" s="3">
        <v>1062.0871862615588</v>
      </c>
      <c r="H3" s="3">
        <v>1004.227212681638</v>
      </c>
      <c r="I3" s="3">
        <v>1133.6856010568031</v>
      </c>
      <c r="J3" s="3">
        <v>1426.68428005284</v>
      </c>
      <c r="K3" s="3">
        <v>1558.5785997357991</v>
      </c>
      <c r="L3" s="3">
        <v>1698.805812417437</v>
      </c>
      <c r="M3" s="3">
        <v>1786.9696169088506</v>
      </c>
      <c r="N3" s="3">
        <v>1746.7688243064729</v>
      </c>
      <c r="O3" s="3">
        <v>1861.1889035667107</v>
      </c>
      <c r="P3" s="3">
        <v>1882.4755614266842</v>
      </c>
      <c r="Q3" s="3">
        <v>1892.9114927344781</v>
      </c>
      <c r="R3" s="3">
        <v>1910.5442536327607</v>
      </c>
      <c r="S3" s="3">
        <v>1933.891677675033</v>
      </c>
      <c r="T3" s="3">
        <v>1976.4412153236458</v>
      </c>
      <c r="U3" s="3">
        <v>2017.1598414795244</v>
      </c>
      <c r="V3" s="3">
        <v>2059.791281373844</v>
      </c>
      <c r="W3" s="3">
        <v>2101.8177014531043</v>
      </c>
      <c r="X3" s="3">
        <v>2144.9220607661823</v>
      </c>
      <c r="Y3" s="2" t="s">
        <v>24</v>
      </c>
      <c r="Z3" s="2" t="s">
        <v>25</v>
      </c>
      <c r="AA3" s="10">
        <v>45352</v>
      </c>
    </row>
    <row r="4" spans="1:27" x14ac:dyDescent="0.25">
      <c r="A4" s="9" t="s">
        <v>3</v>
      </c>
      <c r="B4" s="3">
        <v>2885.3791281373842</v>
      </c>
      <c r="C4" s="3">
        <v>2831.0224570673713</v>
      </c>
      <c r="D4" s="3">
        <v>3102.3302509907526</v>
      </c>
      <c r="E4" s="80">
        <v>3261.9630118890359</v>
      </c>
      <c r="F4" s="3">
        <v>3632.9431968295903</v>
      </c>
      <c r="G4" s="3">
        <v>3606.100396301189</v>
      </c>
      <c r="H4" s="3">
        <v>3479.7833553500659</v>
      </c>
      <c r="I4" s="3">
        <v>3866.6763540290622</v>
      </c>
      <c r="J4" s="3">
        <v>4017.9233817701452</v>
      </c>
      <c r="K4" s="3">
        <v>4193.3579920739758</v>
      </c>
      <c r="L4" s="3">
        <v>4450.7846763540292</v>
      </c>
      <c r="M4" s="3">
        <v>4166.0819022457072</v>
      </c>
      <c r="N4" s="3">
        <v>5072.1743725231172</v>
      </c>
      <c r="O4" s="3">
        <v>4542.6552179656537</v>
      </c>
      <c r="P4" s="3">
        <v>4569.7305151915452</v>
      </c>
      <c r="Q4" s="3">
        <v>4539.038309114927</v>
      </c>
      <c r="R4" s="3">
        <v>4563.2840158520467</v>
      </c>
      <c r="S4" s="3">
        <v>4586.6287978863929</v>
      </c>
      <c r="T4" s="3">
        <v>4594.4861294583889</v>
      </c>
      <c r="U4" s="3">
        <v>4588.8507265521794</v>
      </c>
      <c r="V4" s="3">
        <v>4555.0937912813733</v>
      </c>
      <c r="W4" s="3">
        <v>4546.8507265521803</v>
      </c>
      <c r="X4" s="3">
        <v>4578.0449141347426</v>
      </c>
      <c r="Y4" s="2" t="s">
        <v>24</v>
      </c>
      <c r="Z4" s="2" t="s">
        <v>25</v>
      </c>
      <c r="AA4" s="10">
        <v>45352</v>
      </c>
    </row>
    <row r="5" spans="1:27" x14ac:dyDescent="0.25">
      <c r="A5" s="9" t="s">
        <v>4</v>
      </c>
      <c r="B5" s="3">
        <v>30.383091149273447</v>
      </c>
      <c r="C5" s="3">
        <v>31.704095112285337</v>
      </c>
      <c r="D5" s="3">
        <v>26.420079260237781</v>
      </c>
      <c r="E5" s="80">
        <v>81.109643328929977</v>
      </c>
      <c r="F5" s="3">
        <v>71.334214002642</v>
      </c>
      <c r="G5" s="3">
        <v>76.089828269484812</v>
      </c>
      <c r="H5" s="3">
        <v>71.334214002642</v>
      </c>
      <c r="I5" s="3">
        <v>71.334214002642</v>
      </c>
      <c r="J5" s="3">
        <v>79.260237780713339</v>
      </c>
      <c r="K5" s="3">
        <v>99.075297225891674</v>
      </c>
      <c r="L5" s="3">
        <v>97.675033025099069</v>
      </c>
      <c r="M5" s="3">
        <v>103.36591809775429</v>
      </c>
      <c r="N5" s="3">
        <v>106.56803170409511</v>
      </c>
      <c r="O5" s="3">
        <v>113.31307793923381</v>
      </c>
      <c r="P5" s="3">
        <v>121.50330250990753</v>
      </c>
      <c r="Q5" s="3">
        <v>129.01188903566711</v>
      </c>
      <c r="R5" s="3">
        <v>135.98414795244386</v>
      </c>
      <c r="S5" s="3">
        <v>141.26023778071334</v>
      </c>
      <c r="T5" s="3">
        <v>149.28137384412153</v>
      </c>
      <c r="U5" s="3">
        <v>157.19682959048876</v>
      </c>
      <c r="V5" s="3">
        <v>165.12021136063407</v>
      </c>
      <c r="W5" s="3">
        <v>173.02774108322325</v>
      </c>
      <c r="X5" s="3">
        <v>180.95904887714661</v>
      </c>
      <c r="Y5" s="2" t="s">
        <v>24</v>
      </c>
      <c r="Z5" s="2" t="s">
        <v>25</v>
      </c>
      <c r="AA5" s="10">
        <v>45352</v>
      </c>
    </row>
    <row r="6" spans="1:27" s="5" customFormat="1" x14ac:dyDescent="0.25">
      <c r="A6" s="11" t="s">
        <v>5</v>
      </c>
      <c r="B6" s="3">
        <v>150.06605019815058</v>
      </c>
      <c r="C6" s="3">
        <v>194.98018494055481</v>
      </c>
      <c r="D6" s="3">
        <v>244.91413474240423</v>
      </c>
      <c r="E6" s="80">
        <v>285.07265521796563</v>
      </c>
      <c r="F6" s="3">
        <v>299.33949801849406</v>
      </c>
      <c r="G6" s="3">
        <v>207.92602377807134</v>
      </c>
      <c r="H6" s="3">
        <v>240.15852047556143</v>
      </c>
      <c r="I6" s="3">
        <v>275.56142668428004</v>
      </c>
      <c r="J6" s="3">
        <v>220.34346103038308</v>
      </c>
      <c r="K6" s="3">
        <v>248.08454425363274</v>
      </c>
      <c r="L6" s="3">
        <v>384.41215323645969</v>
      </c>
      <c r="M6" s="3">
        <v>484.80845442536327</v>
      </c>
      <c r="N6" s="3">
        <v>642.00792602377805</v>
      </c>
      <c r="O6" s="3">
        <v>616.61558784676345</v>
      </c>
      <c r="P6" s="3">
        <v>589.69352708058113</v>
      </c>
      <c r="Q6" s="3">
        <v>554.18494055482165</v>
      </c>
      <c r="R6" s="3">
        <v>520.79788639365916</v>
      </c>
      <c r="S6" s="3">
        <v>489.16248348745046</v>
      </c>
      <c r="T6" s="3">
        <v>488.13474240422715</v>
      </c>
      <c r="U6" s="3">
        <v>499.84676354029062</v>
      </c>
      <c r="V6" s="3">
        <v>503.93130779392339</v>
      </c>
      <c r="W6" s="3">
        <v>505.05680317040952</v>
      </c>
      <c r="X6" s="3">
        <v>512.50198150594451</v>
      </c>
      <c r="Y6" s="2" t="s">
        <v>24</v>
      </c>
      <c r="Z6" s="2" t="s">
        <v>25</v>
      </c>
      <c r="AA6" s="10">
        <v>45352</v>
      </c>
    </row>
    <row r="7" spans="1:27" s="5" customFormat="1" x14ac:dyDescent="0.25">
      <c r="A7" s="11" t="s">
        <v>33</v>
      </c>
      <c r="B7" s="3">
        <v>207.66182298546894</v>
      </c>
      <c r="C7" s="3">
        <v>475.29722589167767</v>
      </c>
      <c r="D7" s="3">
        <v>601.5852047556142</v>
      </c>
      <c r="E7" s="80">
        <v>789.96036988110961</v>
      </c>
      <c r="F7" s="3">
        <v>901.98150594451783</v>
      </c>
      <c r="G7" s="3">
        <v>317.83355350066051</v>
      </c>
      <c r="H7" s="3">
        <v>920.47556142668429</v>
      </c>
      <c r="I7" s="3">
        <v>728.92998678996037</v>
      </c>
      <c r="J7" s="3">
        <v>1458.9167767503302</v>
      </c>
      <c r="K7" s="3">
        <v>2024.8348745046235</v>
      </c>
      <c r="L7" s="3">
        <v>2236.4597093791281</v>
      </c>
      <c r="M7" s="3">
        <v>2507.0013210039629</v>
      </c>
      <c r="N7" s="3">
        <v>2721.2681638044915</v>
      </c>
      <c r="O7" s="3">
        <v>2843.4874504623513</v>
      </c>
      <c r="P7" s="3">
        <v>2906.6261558784677</v>
      </c>
      <c r="Q7" s="3">
        <v>2955.0964332893</v>
      </c>
      <c r="R7" s="3">
        <v>2994.7926023778073</v>
      </c>
      <c r="S7" s="3">
        <v>3021.8018494055482</v>
      </c>
      <c r="T7" s="3">
        <v>3078.6208718626153</v>
      </c>
      <c r="U7" s="3">
        <v>3126.2853368560104</v>
      </c>
      <c r="V7" s="3">
        <v>3174.1822985468957</v>
      </c>
      <c r="W7" s="3">
        <v>3222.7212681638043</v>
      </c>
      <c r="X7" s="3">
        <v>3272.2166446499336</v>
      </c>
      <c r="Y7" s="2" t="s">
        <v>24</v>
      </c>
      <c r="Z7" s="2" t="s">
        <v>25</v>
      </c>
      <c r="AA7" s="10">
        <v>45352</v>
      </c>
    </row>
    <row r="8" spans="1:27" x14ac:dyDescent="0.25">
      <c r="A8" s="2" t="s">
        <v>6</v>
      </c>
      <c r="B8" s="26">
        <v>41.1889035667107</v>
      </c>
      <c r="C8" s="26">
        <v>47.450462351387053</v>
      </c>
      <c r="D8" s="26">
        <v>66.076618229854688</v>
      </c>
      <c r="E8" s="81">
        <v>70.805812417437252</v>
      </c>
      <c r="F8" s="3">
        <v>37.859973579920741</v>
      </c>
      <c r="G8" s="3">
        <v>39.418758256274764</v>
      </c>
      <c r="H8" s="3">
        <v>90.805812417437252</v>
      </c>
      <c r="I8" s="3">
        <v>102.88507265521797</v>
      </c>
      <c r="J8" s="3">
        <v>129.4557463672391</v>
      </c>
      <c r="K8" s="3">
        <v>148.51519154557462</v>
      </c>
      <c r="L8" s="3">
        <v>158.52047556142668</v>
      </c>
      <c r="M8" s="3">
        <v>160.10568031704094</v>
      </c>
      <c r="N8" s="3">
        <v>161.70673712021133</v>
      </c>
      <c r="O8" s="3">
        <v>163.32364597093789</v>
      </c>
      <c r="P8" s="3">
        <v>162.07661822985469</v>
      </c>
      <c r="Q8" s="3">
        <v>164.76882430647291</v>
      </c>
      <c r="R8" s="3">
        <v>167.45046235138705</v>
      </c>
      <c r="S8" s="3">
        <v>172.06605019815058</v>
      </c>
      <c r="T8" s="3">
        <v>175.93923381770142</v>
      </c>
      <c r="U8" s="3">
        <v>180.90885072655217</v>
      </c>
      <c r="V8" s="3">
        <v>185.65125495376486</v>
      </c>
      <c r="W8" s="3">
        <v>191.05151915455747</v>
      </c>
      <c r="X8" s="3">
        <v>196.44385733157199</v>
      </c>
      <c r="Y8" s="2" t="s">
        <v>24</v>
      </c>
      <c r="Z8" s="2" t="s">
        <v>25</v>
      </c>
      <c r="AA8" s="10">
        <v>45352</v>
      </c>
    </row>
    <row r="9" spans="1:27" x14ac:dyDescent="0.25">
      <c r="A9" s="2" t="s">
        <v>556</v>
      </c>
      <c r="B9" s="3">
        <f>+B10-SUM(B2:B8)</f>
        <v>1047.2655217965657</v>
      </c>
      <c r="C9" s="3">
        <f t="shared" ref="C9:X9" si="0">+C10-SUM(C2:C8)</f>
        <v>1276.0739762219291</v>
      </c>
      <c r="D9" s="3">
        <f t="shared" si="0"/>
        <v>1560.6737120211355</v>
      </c>
      <c r="E9" s="3">
        <f t="shared" si="0"/>
        <v>1684.8612945838831</v>
      </c>
      <c r="F9" s="3">
        <f t="shared" si="0"/>
        <v>1883.4715984147961</v>
      </c>
      <c r="G9" s="3">
        <f t="shared" si="0"/>
        <v>1781.8811096433283</v>
      </c>
      <c r="H9" s="3">
        <f t="shared" si="0"/>
        <v>1954.2509907529711</v>
      </c>
      <c r="I9" s="3">
        <f t="shared" si="0"/>
        <v>2129.4980184940532</v>
      </c>
      <c r="J9" s="3">
        <f t="shared" si="0"/>
        <v>2098.150594451783</v>
      </c>
      <c r="K9" s="3">
        <f t="shared" si="0"/>
        <v>2269.130779392337</v>
      </c>
      <c r="L9" s="3">
        <f t="shared" si="0"/>
        <v>1892.4544253632757</v>
      </c>
      <c r="M9" s="3">
        <f t="shared" si="0"/>
        <v>2062.8216644649929</v>
      </c>
      <c r="N9" s="3">
        <f t="shared" si="0"/>
        <v>2047.825627476881</v>
      </c>
      <c r="O9" s="3">
        <f t="shared" si="0"/>
        <v>2104.2113606340808</v>
      </c>
      <c r="P9" s="3">
        <f t="shared" si="0"/>
        <v>2216.7661822985483</v>
      </c>
      <c r="Q9" s="3">
        <f t="shared" si="0"/>
        <v>2297.9048877146615</v>
      </c>
      <c r="R9" s="3">
        <f t="shared" si="0"/>
        <v>2358.3143989431992</v>
      </c>
      <c r="S9" s="3">
        <f t="shared" si="0"/>
        <v>2382.8243064729213</v>
      </c>
      <c r="T9" s="3">
        <f t="shared" si="0"/>
        <v>2412.9775429326291</v>
      </c>
      <c r="U9" s="3">
        <f t="shared" si="0"/>
        <v>2438.599735799211</v>
      </c>
      <c r="V9" s="3">
        <f t="shared" si="0"/>
        <v>2464.2826948480833</v>
      </c>
      <c r="W9" s="3">
        <f t="shared" si="0"/>
        <v>2490.3011889035643</v>
      </c>
      <c r="X9" s="3">
        <f t="shared" si="0"/>
        <v>2517.0832232496705</v>
      </c>
      <c r="Y9" s="2" t="s">
        <v>24</v>
      </c>
      <c r="Z9" s="2" t="s">
        <v>25</v>
      </c>
      <c r="AA9" s="10">
        <v>45352</v>
      </c>
    </row>
    <row r="10" spans="1:27" ht="15.75" thickBot="1" x14ac:dyDescent="0.3">
      <c r="A10" s="86" t="s">
        <v>557</v>
      </c>
      <c r="B10" s="87">
        <v>5335.347424042272</v>
      </c>
      <c r="C10" s="87">
        <v>6584.8797886393659</v>
      </c>
      <c r="D10" s="87">
        <v>7378.5891677675027</v>
      </c>
      <c r="E10" s="88">
        <v>8408.602377807134</v>
      </c>
      <c r="F10" s="13">
        <v>9152.7212681638048</v>
      </c>
      <c r="G10" s="13">
        <v>8480.9696169088511</v>
      </c>
      <c r="H10" s="13">
        <v>9542.2404227212664</v>
      </c>
      <c r="I10" s="13">
        <v>10132.681638044913</v>
      </c>
      <c r="J10" s="13">
        <v>11558.140026420078</v>
      </c>
      <c r="K10" s="13">
        <v>12701.490092470276</v>
      </c>
      <c r="L10" s="13">
        <v>13205.949801849405</v>
      </c>
      <c r="M10" s="13">
        <v>13631.640686922061</v>
      </c>
      <c r="N10" s="13">
        <v>15635.968295904888</v>
      </c>
      <c r="O10" s="13">
        <v>15479.741083223249</v>
      </c>
      <c r="P10" s="13">
        <v>16013.936591809776</v>
      </c>
      <c r="Q10" s="13">
        <v>16222.509907529722</v>
      </c>
      <c r="R10" s="13">
        <v>16438.898282694849</v>
      </c>
      <c r="S10" s="13">
        <v>16620.789960369882</v>
      </c>
      <c r="T10" s="13">
        <v>16844.17965653897</v>
      </c>
      <c r="U10" s="13">
        <v>17043.313077939234</v>
      </c>
      <c r="V10" s="13">
        <v>17233.392338177015</v>
      </c>
      <c r="W10" s="13">
        <v>17426.800528401585</v>
      </c>
      <c r="X10" s="13">
        <v>17675.844121532366</v>
      </c>
      <c r="Y10" s="14" t="s">
        <v>24</v>
      </c>
      <c r="Z10" s="14" t="s">
        <v>25</v>
      </c>
      <c r="AA10" s="15">
        <v>45352</v>
      </c>
    </row>
    <row r="11" spans="1:27" x14ac:dyDescent="0.25">
      <c r="A11" s="16" t="s">
        <v>7</v>
      </c>
      <c r="B11" s="17">
        <v>270.08982826948477</v>
      </c>
      <c r="C11" s="17">
        <v>940.51254953764862</v>
      </c>
      <c r="D11" s="17">
        <v>964.48612945838829</v>
      </c>
      <c r="E11" s="82">
        <v>1689.7965653896961</v>
      </c>
      <c r="F11" s="17">
        <v>1676.9273447820342</v>
      </c>
      <c r="G11" s="17">
        <v>1828.9273447820342</v>
      </c>
      <c r="H11" s="17">
        <v>2439.2338177014531</v>
      </c>
      <c r="I11" s="17">
        <v>2347.2073976221927</v>
      </c>
      <c r="J11" s="17">
        <v>2227.5508586525762</v>
      </c>
      <c r="K11" s="17">
        <v>2418.5310435931306</v>
      </c>
      <c r="L11" s="17">
        <v>2549.5376486129458</v>
      </c>
      <c r="M11" s="17">
        <v>2957.7278731836195</v>
      </c>
      <c r="N11" s="17">
        <v>3354.029062087186</v>
      </c>
      <c r="O11" s="17">
        <v>3540.3566710700129</v>
      </c>
      <c r="P11" s="17">
        <v>3838.4042272126817</v>
      </c>
      <c r="Q11" s="17">
        <v>3931.1334214002641</v>
      </c>
      <c r="R11" s="17">
        <v>4000.6393659180976</v>
      </c>
      <c r="S11" s="17">
        <v>4076.91677675033</v>
      </c>
      <c r="T11" s="17">
        <v>4149.9630118890354</v>
      </c>
      <c r="U11" s="17">
        <v>4227.0673712021135</v>
      </c>
      <c r="V11" s="17">
        <v>4320.3883751651256</v>
      </c>
      <c r="W11" s="17">
        <v>4389.8969616908844</v>
      </c>
      <c r="X11" s="17">
        <v>4466.5653896961694</v>
      </c>
      <c r="Y11" s="18" t="s">
        <v>24</v>
      </c>
      <c r="Z11" s="18" t="s">
        <v>25</v>
      </c>
      <c r="AA11" s="19">
        <v>45352</v>
      </c>
    </row>
    <row r="12" spans="1:27" x14ac:dyDescent="0.25">
      <c r="A12" s="9" t="s">
        <v>28</v>
      </c>
      <c r="B12" s="3">
        <v>650.46235138705413</v>
      </c>
      <c r="C12" s="3">
        <v>690.35667107001314</v>
      </c>
      <c r="D12" s="3">
        <v>738.44121532364591</v>
      </c>
      <c r="E12" s="3">
        <v>773.5799207397622</v>
      </c>
      <c r="F12" s="3">
        <v>900.92470277410825</v>
      </c>
      <c r="G12" s="3">
        <v>1057.8599735799207</v>
      </c>
      <c r="H12" s="3">
        <v>1003.9630118890357</v>
      </c>
      <c r="I12" s="3">
        <v>1128.6657859973579</v>
      </c>
      <c r="J12" s="3">
        <v>1420.7133421400263</v>
      </c>
      <c r="K12" s="3">
        <v>1554.9379128137382</v>
      </c>
      <c r="L12" s="3">
        <v>1695.2919418758256</v>
      </c>
      <c r="M12" s="3">
        <v>1800.1479524438573</v>
      </c>
      <c r="N12" s="3">
        <v>1736.4068692206076</v>
      </c>
      <c r="O12" s="29">
        <v>1857.2787318361954</v>
      </c>
      <c r="P12" s="29">
        <v>1878.5416116248348</v>
      </c>
      <c r="Q12" s="29">
        <v>1888.5918097754293</v>
      </c>
      <c r="R12" s="29">
        <v>1906.1083223249668</v>
      </c>
      <c r="S12" s="29">
        <v>1929.1862615587847</v>
      </c>
      <c r="T12" s="29">
        <v>1971.5746367239101</v>
      </c>
      <c r="U12" s="29">
        <v>2012.1321003963012</v>
      </c>
      <c r="V12" s="29">
        <v>2054.6050198150592</v>
      </c>
      <c r="W12" s="29">
        <v>2096.4491413474238</v>
      </c>
      <c r="X12" s="29">
        <v>2139.3791281373842</v>
      </c>
      <c r="Y12" s="2" t="s">
        <v>24</v>
      </c>
      <c r="Z12" s="2" t="s">
        <v>25</v>
      </c>
      <c r="AA12" s="10">
        <v>45352</v>
      </c>
    </row>
    <row r="13" spans="1:27" x14ac:dyDescent="0.25">
      <c r="A13" s="9" t="s">
        <v>8</v>
      </c>
      <c r="B13" s="3">
        <v>3377.5350066050196</v>
      </c>
      <c r="C13" s="3">
        <v>3353.8309114927342</v>
      </c>
      <c r="D13" s="3">
        <v>3684.7186261558782</v>
      </c>
      <c r="E13" s="3">
        <v>3433.3844121532366</v>
      </c>
      <c r="F13" s="3">
        <v>3582.5416116248348</v>
      </c>
      <c r="G13" s="3">
        <v>3598.2087186261556</v>
      </c>
      <c r="H13" s="3">
        <v>3784.4174372523116</v>
      </c>
      <c r="I13" s="3">
        <v>4223.447820343461</v>
      </c>
      <c r="J13" s="3">
        <v>4605.6248348745048</v>
      </c>
      <c r="K13" s="3">
        <v>4919.6935270805816</v>
      </c>
      <c r="L13" s="3">
        <v>5019.2760898282695</v>
      </c>
      <c r="M13" s="3">
        <v>5127.2232496697488</v>
      </c>
      <c r="N13" s="3">
        <v>5237.4900924702779</v>
      </c>
      <c r="O13" s="29">
        <v>5216.142668428005</v>
      </c>
      <c r="P13" s="29">
        <v>5234.6631439894318</v>
      </c>
      <c r="Q13" s="29">
        <v>5200.8454425363279</v>
      </c>
      <c r="R13" s="29">
        <v>5217.2945838837513</v>
      </c>
      <c r="S13" s="29">
        <v>5235.5217965653901</v>
      </c>
      <c r="T13" s="29">
        <v>5235.7120211360625</v>
      </c>
      <c r="U13" s="29">
        <v>5221.5508586525757</v>
      </c>
      <c r="V13" s="29">
        <v>5179.4266842800525</v>
      </c>
      <c r="W13" s="29">
        <v>5162.2245706737122</v>
      </c>
      <c r="X13" s="29">
        <v>5191.3342140026416</v>
      </c>
      <c r="Y13" s="2" t="s">
        <v>24</v>
      </c>
      <c r="Z13" s="2" t="s">
        <v>25</v>
      </c>
      <c r="AA13" s="10">
        <v>45352</v>
      </c>
    </row>
    <row r="14" spans="1:27" x14ac:dyDescent="0.25">
      <c r="A14" s="9" t="s">
        <v>9</v>
      </c>
      <c r="B14" s="3">
        <v>29.326287978863935</v>
      </c>
      <c r="C14" s="3">
        <v>42.27212681638045</v>
      </c>
      <c r="D14" s="3">
        <v>29.854689564068693</v>
      </c>
      <c r="E14" s="3">
        <v>72.65521796565389</v>
      </c>
      <c r="F14" s="3">
        <v>61.55878467635403</v>
      </c>
      <c r="G14" s="3">
        <v>95.376486129458385</v>
      </c>
      <c r="H14" s="3">
        <v>93.791281373844114</v>
      </c>
      <c r="I14" s="3">
        <v>95.112285336856004</v>
      </c>
      <c r="J14" s="3">
        <v>98.546895640686913</v>
      </c>
      <c r="K14" s="3">
        <v>125.02774108322325</v>
      </c>
      <c r="L14" s="3">
        <v>117.16248348745046</v>
      </c>
      <c r="M14" s="3">
        <v>118.0105680317041</v>
      </c>
      <c r="N14" s="3">
        <v>118.51519154557462</v>
      </c>
      <c r="O14" s="29">
        <v>130.64464993394981</v>
      </c>
      <c r="P14" s="29">
        <v>144.25363276089828</v>
      </c>
      <c r="Q14" s="29">
        <v>157.07001321003963</v>
      </c>
      <c r="R14" s="29">
        <v>169.38177014531044</v>
      </c>
      <c r="S14" s="29">
        <v>179.97886393659181</v>
      </c>
      <c r="T14" s="29">
        <v>193.33949801849403</v>
      </c>
      <c r="U14" s="29">
        <v>206.67635402906208</v>
      </c>
      <c r="V14" s="29">
        <v>220.03963011889036</v>
      </c>
      <c r="W14" s="29">
        <v>233.40554821664466</v>
      </c>
      <c r="X14" s="29">
        <v>246.78731836195507</v>
      </c>
      <c r="Y14" s="2" t="s">
        <v>24</v>
      </c>
      <c r="Z14" s="2" t="s">
        <v>25</v>
      </c>
      <c r="AA14" s="10">
        <v>45352</v>
      </c>
    </row>
    <row r="15" spans="1:27" x14ac:dyDescent="0.25">
      <c r="A15" s="9" t="s">
        <v>10</v>
      </c>
      <c r="B15" s="3">
        <v>150.06605019815058</v>
      </c>
      <c r="C15" s="3">
        <v>194.98018494055481</v>
      </c>
      <c r="D15" s="3">
        <v>257.85997357992073</v>
      </c>
      <c r="E15" s="3">
        <v>521.53236459709376</v>
      </c>
      <c r="F15" s="3">
        <v>559.57727873183615</v>
      </c>
      <c r="G15" s="3">
        <v>209.5112285336856</v>
      </c>
      <c r="H15" s="3">
        <v>222.19286657859973</v>
      </c>
      <c r="I15" s="3">
        <v>229.06208718626155</v>
      </c>
      <c r="J15" s="3">
        <v>351.3870541611625</v>
      </c>
      <c r="K15" s="3">
        <v>301.18890356671068</v>
      </c>
      <c r="L15" s="3">
        <v>137.9128137384412</v>
      </c>
      <c r="M15" s="3">
        <v>149.00924702774108</v>
      </c>
      <c r="N15" s="3">
        <v>158.52047556142668</v>
      </c>
      <c r="O15" s="29">
        <v>161.51651254953765</v>
      </c>
      <c r="P15" s="29">
        <v>164.85336856010568</v>
      </c>
      <c r="Q15" s="29">
        <v>167.63011889035667</v>
      </c>
      <c r="R15" s="29">
        <v>170.96433289299867</v>
      </c>
      <c r="S15" s="29">
        <v>174.15587846763538</v>
      </c>
      <c r="T15" s="29">
        <v>177.59577278731837</v>
      </c>
      <c r="U15" s="29">
        <v>181.28929986789959</v>
      </c>
      <c r="V15" s="29">
        <v>184.92734478203434</v>
      </c>
      <c r="W15" s="29">
        <v>188.63672391017172</v>
      </c>
      <c r="X15" s="29">
        <v>192.38309114927344</v>
      </c>
      <c r="Y15" s="2" t="s">
        <v>24</v>
      </c>
      <c r="Z15" s="2" t="s">
        <v>25</v>
      </c>
      <c r="AA15" s="10">
        <v>45352</v>
      </c>
    </row>
    <row r="16" spans="1:27" x14ac:dyDescent="0.25">
      <c r="A16" s="9" t="s">
        <v>34</v>
      </c>
      <c r="B16" s="3">
        <v>58.91677675033025</v>
      </c>
      <c r="C16" s="3">
        <v>94.848084544253624</v>
      </c>
      <c r="D16" s="3">
        <v>176.75033025099074</v>
      </c>
      <c r="E16" s="3">
        <v>277.41083223249666</v>
      </c>
      <c r="F16" s="3">
        <v>488.77146631439894</v>
      </c>
      <c r="G16" s="3">
        <v>227.2126816380449</v>
      </c>
      <c r="H16" s="3">
        <v>795.24438573315717</v>
      </c>
      <c r="I16" s="3">
        <v>678.99603698811097</v>
      </c>
      <c r="J16" s="3">
        <v>990.75297225891677</v>
      </c>
      <c r="K16" s="3">
        <v>1688.2430647291942</v>
      </c>
      <c r="L16" s="3">
        <v>2227.2126816380446</v>
      </c>
      <c r="M16" s="3">
        <v>2457.0673712021135</v>
      </c>
      <c r="N16" s="3">
        <v>2668.4280052840159</v>
      </c>
      <c r="O16" s="29">
        <v>2786.3381770145311</v>
      </c>
      <c r="P16" s="29">
        <v>2851.326287978864</v>
      </c>
      <c r="Q16" s="29">
        <v>2895.3712021136062</v>
      </c>
      <c r="R16" s="29">
        <v>2933.2021136063408</v>
      </c>
      <c r="S16" s="29">
        <v>2958.229854689564</v>
      </c>
      <c r="T16" s="29">
        <v>3013.8229854689562</v>
      </c>
      <c r="U16" s="29">
        <v>3058.6367239101719</v>
      </c>
      <c r="V16" s="29">
        <v>3104.208718626156</v>
      </c>
      <c r="W16" s="29">
        <v>3150.5574636723909</v>
      </c>
      <c r="X16" s="29">
        <v>3197.6988110964335</v>
      </c>
      <c r="Y16" s="2" t="s">
        <v>24</v>
      </c>
      <c r="Z16" s="2" t="s">
        <v>25</v>
      </c>
      <c r="AA16" s="10">
        <v>45352</v>
      </c>
    </row>
    <row r="17" spans="1:27" x14ac:dyDescent="0.25">
      <c r="A17" s="9" t="s">
        <v>11</v>
      </c>
      <c r="B17" s="3">
        <v>150.57859973579923</v>
      </c>
      <c r="C17" s="3">
        <v>92.177014531043582</v>
      </c>
      <c r="D17" s="3">
        <v>100.779392338177</v>
      </c>
      <c r="E17" s="3">
        <v>118.66578599735799</v>
      </c>
      <c r="F17" s="3">
        <v>110.94848084544253</v>
      </c>
      <c r="G17" s="3">
        <v>81.886393659180968</v>
      </c>
      <c r="H17" s="3">
        <v>147.85204755614265</v>
      </c>
      <c r="I17" s="3">
        <v>162.05019815059444</v>
      </c>
      <c r="J17" s="3">
        <v>285.90488771466318</v>
      </c>
      <c r="K17" s="3">
        <v>425.334214002642</v>
      </c>
      <c r="L17" s="3">
        <v>465.17040951122851</v>
      </c>
      <c r="M17" s="3">
        <v>279.79392338177013</v>
      </c>
      <c r="N17" s="3">
        <v>392.2404227212682</v>
      </c>
      <c r="O17" s="29">
        <v>310.19815059445176</v>
      </c>
      <c r="P17" s="29">
        <v>307.82826948480846</v>
      </c>
      <c r="Q17" s="29">
        <v>312.94583883751648</v>
      </c>
      <c r="R17" s="29">
        <v>318.03963011889033</v>
      </c>
      <c r="S17" s="29">
        <v>326.80581241743727</v>
      </c>
      <c r="T17" s="29">
        <v>334.16380449141343</v>
      </c>
      <c r="U17" s="29">
        <v>343.60105680317037</v>
      </c>
      <c r="V17" s="29">
        <v>352.60766182298545</v>
      </c>
      <c r="W17" s="29">
        <v>362.86129458388376</v>
      </c>
      <c r="X17" s="29">
        <v>373.10435931307796</v>
      </c>
      <c r="Y17" s="2" t="s">
        <v>24</v>
      </c>
      <c r="Z17" s="2" t="s">
        <v>25</v>
      </c>
      <c r="AA17" s="10">
        <v>45352</v>
      </c>
    </row>
    <row r="18" spans="1:27" x14ac:dyDescent="0.25">
      <c r="A18" s="9" t="s">
        <v>558</v>
      </c>
      <c r="B18" s="3">
        <f>+B19-SUM(B11:B17)</f>
        <v>665.94980184940687</v>
      </c>
      <c r="C18" s="3">
        <f t="shared" ref="C18:X18" si="1">+C19-SUM(C11:C17)</f>
        <v>803.60634081902299</v>
      </c>
      <c r="D18" s="3">
        <f t="shared" si="1"/>
        <v>1009.7120211360643</v>
      </c>
      <c r="E18" s="3">
        <f t="shared" si="1"/>
        <v>1119.7595772787317</v>
      </c>
      <c r="F18" s="3">
        <f t="shared" si="1"/>
        <v>1300.0052840158514</v>
      </c>
      <c r="G18" s="3">
        <f t="shared" si="1"/>
        <v>1357.2443857331573</v>
      </c>
      <c r="H18" s="3">
        <f t="shared" si="1"/>
        <v>1323.328929986792</v>
      </c>
      <c r="I18" s="3">
        <f t="shared" si="1"/>
        <v>1469.0039630118899</v>
      </c>
      <c r="J18" s="3">
        <f t="shared" si="1"/>
        <v>1480.9511228533647</v>
      </c>
      <c r="K18" s="3">
        <f t="shared" si="1"/>
        <v>1692.837516512549</v>
      </c>
      <c r="L18" s="3">
        <f t="shared" si="1"/>
        <v>1445.18890356671</v>
      </c>
      <c r="M18" s="3">
        <f t="shared" si="1"/>
        <v>1458.8824306472907</v>
      </c>
      <c r="N18" s="3">
        <f t="shared" si="1"/>
        <v>1440.330250990748</v>
      </c>
      <c r="O18" s="3">
        <f t="shared" si="1"/>
        <v>1488.6842800528411</v>
      </c>
      <c r="P18" s="3">
        <f t="shared" si="1"/>
        <v>1605.2892998679017</v>
      </c>
      <c r="Q18" s="3">
        <f t="shared" si="1"/>
        <v>1679.9498018494087</v>
      </c>
      <c r="R18" s="3">
        <f t="shared" si="1"/>
        <v>1734.1030383091147</v>
      </c>
      <c r="S18" s="3">
        <f t="shared" si="1"/>
        <v>1750.6393659180976</v>
      </c>
      <c r="T18" s="3">
        <f t="shared" si="1"/>
        <v>1778.4623513870538</v>
      </c>
      <c r="U18" s="3">
        <f t="shared" si="1"/>
        <v>1802.6287978863948</v>
      </c>
      <c r="V18" s="3">
        <f t="shared" si="1"/>
        <v>1827.2734478203402</v>
      </c>
      <c r="W18" s="3">
        <f t="shared" si="1"/>
        <v>1852.4095112285358</v>
      </c>
      <c r="X18" s="3">
        <f t="shared" si="1"/>
        <v>1878.0528401585216</v>
      </c>
      <c r="Y18" s="2" t="s">
        <v>24</v>
      </c>
      <c r="Z18" s="2" t="s">
        <v>25</v>
      </c>
      <c r="AA18" s="10">
        <v>45352</v>
      </c>
    </row>
    <row r="19" spans="1:27" ht="15.75" thickBot="1" x14ac:dyDescent="0.3">
      <c r="A19" s="12" t="s">
        <v>559</v>
      </c>
      <c r="B19" s="13">
        <v>5352.9247027741085</v>
      </c>
      <c r="C19" s="13">
        <v>6212.5838837516512</v>
      </c>
      <c r="D19" s="13">
        <v>6962.6023778071331</v>
      </c>
      <c r="E19" s="13">
        <v>8006.7846763540292</v>
      </c>
      <c r="F19" s="13">
        <v>8681.2549537648611</v>
      </c>
      <c r="G19" s="13">
        <v>8456.227212681637</v>
      </c>
      <c r="H19" s="13">
        <v>9810.0237780713342</v>
      </c>
      <c r="I19" s="13">
        <v>10333.545574636724</v>
      </c>
      <c r="J19" s="13">
        <v>11461.431968295903</v>
      </c>
      <c r="K19" s="13">
        <v>13125.793923381769</v>
      </c>
      <c r="L19" s="13">
        <v>13656.752972258915</v>
      </c>
      <c r="M19" s="13">
        <v>14347.862615587846</v>
      </c>
      <c r="N19" s="13">
        <v>15105.960369881108</v>
      </c>
      <c r="O19" s="32">
        <v>15491.159841479524</v>
      </c>
      <c r="P19" s="32">
        <v>16025.159841479524</v>
      </c>
      <c r="Q19" s="32">
        <v>16233.537648612946</v>
      </c>
      <c r="R19" s="32">
        <v>16449.733157199469</v>
      </c>
      <c r="S19" s="32">
        <v>16631.43461030383</v>
      </c>
      <c r="T19" s="32">
        <v>16854.634081902244</v>
      </c>
      <c r="U19" s="32">
        <v>17053.582562747688</v>
      </c>
      <c r="V19" s="32">
        <v>17243.476882430645</v>
      </c>
      <c r="W19" s="32">
        <v>17436.441215323644</v>
      </c>
      <c r="X19" s="32">
        <v>17685.305151915458</v>
      </c>
      <c r="Y19" s="14" t="s">
        <v>24</v>
      </c>
      <c r="Z19" s="14" t="s">
        <v>25</v>
      </c>
      <c r="AA19" s="15">
        <v>45352</v>
      </c>
    </row>
    <row r="20" spans="1:27" ht="15.75" thickBot="1" x14ac:dyDescent="0.3">
      <c r="A20" s="22" t="s">
        <v>32</v>
      </c>
      <c r="B20" s="23">
        <v>2010</v>
      </c>
      <c r="C20" s="23">
        <v>2011</v>
      </c>
      <c r="D20" s="23">
        <v>2012</v>
      </c>
      <c r="E20" s="23">
        <v>2013</v>
      </c>
      <c r="F20" s="23">
        <v>2014</v>
      </c>
      <c r="G20" s="23">
        <v>2015</v>
      </c>
      <c r="H20" s="23">
        <v>2016</v>
      </c>
      <c r="I20" s="23">
        <v>2017</v>
      </c>
      <c r="J20" s="23">
        <v>2018</v>
      </c>
      <c r="K20" s="23">
        <v>2019</v>
      </c>
      <c r="L20" s="23">
        <v>2020</v>
      </c>
      <c r="M20" s="23">
        <v>2021</v>
      </c>
      <c r="N20" s="23">
        <v>2022</v>
      </c>
      <c r="O20" s="23">
        <v>2023</v>
      </c>
      <c r="P20" s="23">
        <v>2024</v>
      </c>
      <c r="Q20" s="23">
        <v>2025</v>
      </c>
      <c r="R20" s="23">
        <v>2026</v>
      </c>
      <c r="S20" s="23">
        <v>2027</v>
      </c>
      <c r="T20" s="23">
        <v>2028</v>
      </c>
      <c r="U20" s="23">
        <v>2029</v>
      </c>
      <c r="V20" s="23">
        <v>2030</v>
      </c>
      <c r="W20" s="23">
        <v>2031</v>
      </c>
      <c r="X20" s="23">
        <v>2032</v>
      </c>
      <c r="Y20" s="23" t="s">
        <v>22</v>
      </c>
      <c r="Z20" s="23" t="s">
        <v>26</v>
      </c>
      <c r="AA20" s="24" t="s">
        <v>23</v>
      </c>
    </row>
    <row r="21" spans="1:27" x14ac:dyDescent="0.25">
      <c r="A21" s="16" t="s">
        <v>12</v>
      </c>
      <c r="B21" s="17">
        <v>51.056803170409509</v>
      </c>
      <c r="C21" s="17">
        <v>50.578599735799202</v>
      </c>
      <c r="D21" s="17">
        <v>50.861294583883748</v>
      </c>
      <c r="E21" s="17">
        <v>496.46499339498013</v>
      </c>
      <c r="F21" s="17">
        <v>312.32760898282697</v>
      </c>
      <c r="G21" s="17">
        <v>584.15323645970932</v>
      </c>
      <c r="H21" s="17">
        <v>881.14663143989424</v>
      </c>
      <c r="I21" s="17">
        <v>582.74504623513872</v>
      </c>
      <c r="J21" s="17">
        <v>258.6103038309115</v>
      </c>
      <c r="K21" s="17">
        <v>320.98811096433292</v>
      </c>
      <c r="L21" s="17">
        <v>458.69749009247028</v>
      </c>
      <c r="M21" s="17">
        <v>817.26816380449145</v>
      </c>
      <c r="N21" s="17">
        <v>543.72523117569347</v>
      </c>
      <c r="O21" s="17">
        <v>539.86525759577285</v>
      </c>
      <c r="P21" s="17">
        <v>516.38309114927347</v>
      </c>
      <c r="Q21" s="17">
        <v>492.37252311756936</v>
      </c>
      <c r="R21" s="17">
        <v>471.48745046235138</v>
      </c>
      <c r="S21" s="17">
        <v>449.98943196829589</v>
      </c>
      <c r="T21" s="17">
        <v>455.81241743725229</v>
      </c>
      <c r="U21" s="17">
        <v>474.75561426684277</v>
      </c>
      <c r="V21" s="17">
        <v>485.19418758256273</v>
      </c>
      <c r="W21" s="17">
        <v>492.08190224570671</v>
      </c>
      <c r="X21" s="17">
        <v>499.03038309114925</v>
      </c>
      <c r="Y21" s="18" t="s">
        <v>24</v>
      </c>
      <c r="Z21" s="18" t="s">
        <v>25</v>
      </c>
      <c r="AA21" s="19">
        <v>45352</v>
      </c>
    </row>
    <row r="22" spans="1:27" x14ac:dyDescent="0.25">
      <c r="A22" s="9" t="s">
        <v>30</v>
      </c>
      <c r="B22" s="3">
        <v>2.3778071334214004</v>
      </c>
      <c r="C22" s="3">
        <v>4.7556142668428008</v>
      </c>
      <c r="D22" s="3">
        <v>0</v>
      </c>
      <c r="E22" s="3">
        <v>0</v>
      </c>
      <c r="F22" s="3">
        <v>0</v>
      </c>
      <c r="G22" s="3">
        <v>0</v>
      </c>
      <c r="H22" s="3">
        <v>0</v>
      </c>
      <c r="I22" s="3">
        <v>0</v>
      </c>
      <c r="J22" s="3">
        <v>0</v>
      </c>
      <c r="K22" s="3">
        <v>0</v>
      </c>
      <c r="L22" s="3">
        <v>0</v>
      </c>
      <c r="M22" s="3">
        <v>0</v>
      </c>
      <c r="N22" s="3">
        <v>0</v>
      </c>
      <c r="O22" s="29">
        <v>0</v>
      </c>
      <c r="P22" s="29">
        <v>0</v>
      </c>
      <c r="Q22" s="29">
        <v>0</v>
      </c>
      <c r="R22" s="29">
        <v>0</v>
      </c>
      <c r="S22" s="29">
        <v>0</v>
      </c>
      <c r="T22" s="29">
        <v>0</v>
      </c>
      <c r="U22" s="29">
        <v>0</v>
      </c>
      <c r="V22" s="29">
        <v>0</v>
      </c>
      <c r="W22" s="29">
        <v>0</v>
      </c>
      <c r="X22" s="29">
        <v>0</v>
      </c>
      <c r="Y22" s="2" t="s">
        <v>24</v>
      </c>
      <c r="Z22" s="2" t="s">
        <v>25</v>
      </c>
      <c r="AA22" s="10">
        <v>45352</v>
      </c>
    </row>
    <row r="23" spans="1:27" x14ac:dyDescent="0.25">
      <c r="A23" s="9" t="s">
        <v>13</v>
      </c>
      <c r="B23" s="3">
        <v>555.83355350066051</v>
      </c>
      <c r="C23" s="3">
        <v>783.73051519154558</v>
      </c>
      <c r="D23" s="3">
        <v>803.0937912813738</v>
      </c>
      <c r="E23" s="3">
        <v>420.67635402906205</v>
      </c>
      <c r="F23" s="3">
        <v>265.43196829590488</v>
      </c>
      <c r="G23" s="3">
        <v>268.83223249669749</v>
      </c>
      <c r="H23" s="3">
        <v>318.21136063408193</v>
      </c>
      <c r="I23" s="3">
        <v>511.65918097754292</v>
      </c>
      <c r="J23" s="3">
        <v>1169.7622192866579</v>
      </c>
      <c r="K23" s="3">
        <v>1219.4372523117568</v>
      </c>
      <c r="L23" s="3">
        <v>1045.3077939233817</v>
      </c>
      <c r="M23" s="3">
        <v>953.45574636723904</v>
      </c>
      <c r="N23" s="3">
        <v>994.4966974900924</v>
      </c>
      <c r="O23" s="29">
        <v>851.13606340819024</v>
      </c>
      <c r="P23" s="29">
        <v>849.9498018494055</v>
      </c>
      <c r="Q23" s="29">
        <v>853.9603698811095</v>
      </c>
      <c r="R23" s="29">
        <v>853.94715984147956</v>
      </c>
      <c r="S23" s="29">
        <v>856.61558784676345</v>
      </c>
      <c r="T23" s="29">
        <v>857.22589167767501</v>
      </c>
      <c r="U23" s="29">
        <v>857.331571994716</v>
      </c>
      <c r="V23" s="29">
        <v>857.85997357992073</v>
      </c>
      <c r="W23" s="29">
        <v>858.14266842800532</v>
      </c>
      <c r="X23" s="29">
        <v>858.75561426684271</v>
      </c>
      <c r="Y23" s="2" t="s">
        <v>24</v>
      </c>
      <c r="Z23" s="2" t="s">
        <v>25</v>
      </c>
      <c r="AA23" s="10">
        <v>45352</v>
      </c>
    </row>
    <row r="24" spans="1:27" x14ac:dyDescent="0.25">
      <c r="A24" s="9" t="s">
        <v>14</v>
      </c>
      <c r="B24" s="3">
        <v>30.383091149273447</v>
      </c>
      <c r="C24" s="3">
        <v>31.704095112285337</v>
      </c>
      <c r="D24" s="3">
        <v>26.420079260237781</v>
      </c>
      <c r="E24" s="3">
        <v>36.98811096433289</v>
      </c>
      <c r="F24" s="3">
        <v>76.618229854689559</v>
      </c>
      <c r="G24" s="3">
        <v>89.828269484808445</v>
      </c>
      <c r="H24" s="3">
        <v>126.55217965653897</v>
      </c>
      <c r="I24" s="3">
        <v>135.00660501981505</v>
      </c>
      <c r="J24" s="3">
        <v>99.603698811096436</v>
      </c>
      <c r="K24" s="3">
        <v>98.607661822985463</v>
      </c>
      <c r="L24" s="3">
        <v>97.622192866578601</v>
      </c>
      <c r="M24" s="3">
        <v>96.644649933949808</v>
      </c>
      <c r="N24" s="3">
        <v>95.677675033025096</v>
      </c>
      <c r="O24" s="29">
        <v>104.58652575957728</v>
      </c>
      <c r="P24" s="29">
        <v>113.51915455746368</v>
      </c>
      <c r="Q24" s="29">
        <v>122.3672391017173</v>
      </c>
      <c r="R24" s="29">
        <v>131.23645970937912</v>
      </c>
      <c r="S24" s="29">
        <v>140.09247027741083</v>
      </c>
      <c r="T24" s="29">
        <v>148.96169088507267</v>
      </c>
      <c r="U24" s="29">
        <v>157.89431968295904</v>
      </c>
      <c r="V24" s="29">
        <v>166.84280052840157</v>
      </c>
      <c r="W24" s="29">
        <v>175.80713342140024</v>
      </c>
      <c r="X24" s="29">
        <v>184.76354029062088</v>
      </c>
      <c r="Y24" s="2" t="s">
        <v>24</v>
      </c>
      <c r="Z24" s="2" t="s">
        <v>25</v>
      </c>
      <c r="AA24" s="10">
        <v>45352</v>
      </c>
    </row>
    <row r="25" spans="1:27" x14ac:dyDescent="0.25">
      <c r="A25" s="9" t="s">
        <v>15</v>
      </c>
      <c r="B25" s="3">
        <v>0</v>
      </c>
      <c r="C25" s="3">
        <v>0</v>
      </c>
      <c r="D25" s="3">
        <v>12.945838837516511</v>
      </c>
      <c r="E25" s="3">
        <v>236.45970937912813</v>
      </c>
      <c r="F25" s="3">
        <v>271.59841479524437</v>
      </c>
      <c r="G25" s="3">
        <v>8.7186261558784679</v>
      </c>
      <c r="H25" s="3">
        <v>2.1136063408190222</v>
      </c>
      <c r="I25" s="3">
        <v>4.7556142668428008</v>
      </c>
      <c r="J25" s="3">
        <v>225.36327608982825</v>
      </c>
      <c r="K25" s="3">
        <v>251.78335535006605</v>
      </c>
      <c r="L25" s="3">
        <v>26.948480845442536</v>
      </c>
      <c r="M25" s="3">
        <v>53.896961690885071</v>
      </c>
      <c r="N25" s="3">
        <v>77.939233817701449</v>
      </c>
      <c r="O25" s="29">
        <v>76.058124174372523</v>
      </c>
      <c r="P25" s="29">
        <v>76.649933949801849</v>
      </c>
      <c r="Q25" s="29">
        <v>71.56142668428005</v>
      </c>
      <c r="R25" s="29">
        <v>71.37120211360633</v>
      </c>
      <c r="S25" s="29">
        <v>69.558784676354023</v>
      </c>
      <c r="T25" s="29">
        <v>68.922060766182298</v>
      </c>
      <c r="U25" s="29">
        <v>69.542932628797885</v>
      </c>
      <c r="V25" s="29">
        <v>69.289299867899601</v>
      </c>
      <c r="W25" s="29">
        <v>69.764861294583881</v>
      </c>
      <c r="X25" s="29">
        <v>69.952443857331559</v>
      </c>
      <c r="Y25" s="2" t="s">
        <v>24</v>
      </c>
      <c r="Z25" s="2" t="s">
        <v>25</v>
      </c>
      <c r="AA25" s="10">
        <v>45352</v>
      </c>
    </row>
    <row r="26" spans="1:27" x14ac:dyDescent="0.25">
      <c r="A26" s="9" t="s">
        <v>35</v>
      </c>
      <c r="B26" s="3">
        <v>0</v>
      </c>
      <c r="C26" s="3">
        <v>0</v>
      </c>
      <c r="D26" s="3">
        <v>0</v>
      </c>
      <c r="E26" s="3">
        <v>0</v>
      </c>
      <c r="F26" s="3">
        <v>0</v>
      </c>
      <c r="G26" s="3">
        <v>0</v>
      </c>
      <c r="H26" s="3">
        <v>0</v>
      </c>
      <c r="I26" s="3">
        <v>0</v>
      </c>
      <c r="J26" s="3">
        <v>0</v>
      </c>
      <c r="K26" s="3">
        <v>0</v>
      </c>
      <c r="L26" s="3">
        <v>0</v>
      </c>
      <c r="M26" s="3">
        <v>0</v>
      </c>
      <c r="N26" s="3">
        <v>0</v>
      </c>
      <c r="O26" s="29">
        <v>0</v>
      </c>
      <c r="P26" s="29">
        <v>0</v>
      </c>
      <c r="Q26" s="29">
        <v>0</v>
      </c>
      <c r="R26" s="29">
        <v>0</v>
      </c>
      <c r="S26" s="29">
        <v>0</v>
      </c>
      <c r="T26" s="29">
        <v>0</v>
      </c>
      <c r="U26" s="29">
        <v>0</v>
      </c>
      <c r="V26" s="29">
        <v>0</v>
      </c>
      <c r="W26" s="29">
        <v>0</v>
      </c>
      <c r="X26" s="29">
        <v>0</v>
      </c>
      <c r="Y26" s="2" t="s">
        <v>24</v>
      </c>
      <c r="Z26" s="2" t="s">
        <v>25</v>
      </c>
      <c r="AA26" s="10">
        <v>45352</v>
      </c>
    </row>
    <row r="27" spans="1:27" x14ac:dyDescent="0.25">
      <c r="A27" s="9" t="s">
        <v>16</v>
      </c>
      <c r="B27" s="3">
        <v>115.49273447820343</v>
      </c>
      <c r="C27" s="3">
        <v>53.180977542932624</v>
      </c>
      <c r="D27" s="3">
        <v>38.216644649933947</v>
      </c>
      <c r="E27" s="3">
        <v>54.042272126816378</v>
      </c>
      <c r="F27" s="3">
        <v>82.044914134742413</v>
      </c>
      <c r="G27" s="3">
        <v>48.229854689564071</v>
      </c>
      <c r="H27" s="3">
        <v>68.134742404227211</v>
      </c>
      <c r="I27" s="3">
        <v>68.14266842800528</v>
      </c>
      <c r="J27" s="3">
        <v>178.11889035667105</v>
      </c>
      <c r="K27" s="3">
        <v>296.94319682959048</v>
      </c>
      <c r="L27" s="3">
        <v>321.89960369881112</v>
      </c>
      <c r="M27" s="3">
        <v>230.11624834874505</v>
      </c>
      <c r="N27" s="3">
        <v>330.99339498018492</v>
      </c>
      <c r="O27" s="29">
        <v>196</v>
      </c>
      <c r="P27" s="29">
        <v>195.6142668428005</v>
      </c>
      <c r="Q27" s="29">
        <v>198.78731836195507</v>
      </c>
      <c r="R27" s="29">
        <v>201.95772787318361</v>
      </c>
      <c r="S27" s="29">
        <v>206.8797886393659</v>
      </c>
      <c r="T27" s="29">
        <v>211.14663143989432</v>
      </c>
      <c r="U27" s="29">
        <v>216.40686922060766</v>
      </c>
      <c r="V27" s="29">
        <v>221.47688243064727</v>
      </c>
      <c r="W27" s="29">
        <v>227.41611624834874</v>
      </c>
      <c r="X27" s="29">
        <v>233.09379128137383</v>
      </c>
      <c r="Y27" s="2" t="s">
        <v>24</v>
      </c>
      <c r="Z27" s="2" t="s">
        <v>25</v>
      </c>
      <c r="AA27" s="10">
        <v>45352</v>
      </c>
    </row>
    <row r="28" spans="1:27" x14ac:dyDescent="0.25">
      <c r="A28" s="9" t="s">
        <v>560</v>
      </c>
      <c r="B28" s="3">
        <f>+B29-SUM(B21:B27)</f>
        <v>45.215323645970898</v>
      </c>
      <c r="C28" s="3">
        <f t="shared" ref="C28:X28" si="2">+C29-SUM(C21:C27)</f>
        <v>53.669749009246971</v>
      </c>
      <c r="D28" s="3">
        <f t="shared" si="2"/>
        <v>112.41479524438591</v>
      </c>
      <c r="E28" s="3">
        <f t="shared" si="2"/>
        <v>143.43461030383105</v>
      </c>
      <c r="F28" s="3">
        <f t="shared" si="2"/>
        <v>221.39233817701449</v>
      </c>
      <c r="G28" s="3">
        <f t="shared" si="2"/>
        <v>174.03170409511245</v>
      </c>
      <c r="H28" s="3">
        <f t="shared" si="2"/>
        <v>170.36459709379142</v>
      </c>
      <c r="I28" s="3">
        <f t="shared" si="2"/>
        <v>176.02642007926033</v>
      </c>
      <c r="J28" s="3">
        <f t="shared" si="2"/>
        <v>121.87318361955067</v>
      </c>
      <c r="K28" s="3">
        <f t="shared" si="2"/>
        <v>163.35535006605005</v>
      </c>
      <c r="L28" s="3">
        <f t="shared" si="2"/>
        <v>108.66050198150606</v>
      </c>
      <c r="M28" s="3">
        <f t="shared" si="2"/>
        <v>122.27476882430665</v>
      </c>
      <c r="N28" s="3">
        <f t="shared" si="2"/>
        <v>81.83619550858657</v>
      </c>
      <c r="O28" s="3">
        <f t="shared" si="2"/>
        <v>78.417437252311856</v>
      </c>
      <c r="P28" s="3">
        <f t="shared" si="2"/>
        <v>75.978863936591779</v>
      </c>
      <c r="Q28" s="3">
        <f t="shared" si="2"/>
        <v>74.731836195508549</v>
      </c>
      <c r="R28" s="3">
        <f t="shared" si="2"/>
        <v>73.173051519154342</v>
      </c>
      <c r="S28" s="3">
        <f t="shared" si="2"/>
        <v>72.663143989432228</v>
      </c>
      <c r="T28" s="3">
        <f t="shared" si="2"/>
        <v>72.948480845442646</v>
      </c>
      <c r="U28" s="3">
        <f t="shared" si="2"/>
        <v>73.241743725231117</v>
      </c>
      <c r="V28" s="3">
        <f t="shared" si="2"/>
        <v>73.529722589167477</v>
      </c>
      <c r="W28" s="3">
        <f t="shared" si="2"/>
        <v>73.817701453104291</v>
      </c>
      <c r="X28" s="3">
        <f t="shared" si="2"/>
        <v>74.11360634081916</v>
      </c>
      <c r="Y28" s="2" t="s">
        <v>24</v>
      </c>
      <c r="Z28" s="2" t="s">
        <v>25</v>
      </c>
      <c r="AA28" s="10">
        <v>45352</v>
      </c>
    </row>
    <row r="29" spans="1:27" ht="15.75" thickBot="1" x14ac:dyDescent="0.3">
      <c r="A29" s="12" t="s">
        <v>561</v>
      </c>
      <c r="B29" s="13">
        <v>800.35931307793919</v>
      </c>
      <c r="C29" s="13">
        <v>977.61955085865247</v>
      </c>
      <c r="D29" s="13">
        <v>1043.9524438573317</v>
      </c>
      <c r="E29" s="13">
        <v>1388.0660501981506</v>
      </c>
      <c r="F29" s="13">
        <v>1229.4134742404226</v>
      </c>
      <c r="G29" s="13">
        <v>1173.7939233817701</v>
      </c>
      <c r="H29" s="13">
        <v>1566.5231175693527</v>
      </c>
      <c r="I29" s="13">
        <v>1478.3355350066049</v>
      </c>
      <c r="J29" s="13">
        <v>2053.3315719947159</v>
      </c>
      <c r="K29" s="13">
        <v>2351.1149273447818</v>
      </c>
      <c r="L29" s="13">
        <v>2059.1360634081902</v>
      </c>
      <c r="M29" s="13">
        <v>2273.656538969617</v>
      </c>
      <c r="N29" s="13">
        <v>2124.6684280052841</v>
      </c>
      <c r="O29" s="32">
        <v>1846.0634081902247</v>
      </c>
      <c r="P29" s="32">
        <v>1828.0951122853369</v>
      </c>
      <c r="Q29" s="32">
        <v>1813.78071334214</v>
      </c>
      <c r="R29" s="32">
        <v>1803.1730515191546</v>
      </c>
      <c r="S29" s="32">
        <v>1795.7992073976222</v>
      </c>
      <c r="T29" s="32">
        <v>1815.0171730515192</v>
      </c>
      <c r="U29" s="32">
        <v>1849.1730515191546</v>
      </c>
      <c r="V29" s="32">
        <v>1874.1928665785995</v>
      </c>
      <c r="W29" s="32">
        <v>1897.0303830911494</v>
      </c>
      <c r="X29" s="32">
        <v>1919.7093791281375</v>
      </c>
      <c r="Y29" s="14" t="s">
        <v>24</v>
      </c>
      <c r="Z29" s="14" t="s">
        <v>25</v>
      </c>
      <c r="AA29" s="15">
        <v>45352</v>
      </c>
    </row>
    <row r="30" spans="1:27" x14ac:dyDescent="0.25">
      <c r="A30" s="16" t="s">
        <v>17</v>
      </c>
      <c r="B30" s="17">
        <v>125.62483487450461</v>
      </c>
      <c r="C30" s="17">
        <v>76.232496697490092</v>
      </c>
      <c r="D30" s="17">
        <v>124.05284015852048</v>
      </c>
      <c r="E30" s="17">
        <v>189.39762219286658</v>
      </c>
      <c r="F30" s="17">
        <v>83.503302509907527</v>
      </c>
      <c r="G30" s="17">
        <v>110.72126816380448</v>
      </c>
      <c r="H30" s="17">
        <v>120.02113606340818</v>
      </c>
      <c r="I30" s="17">
        <v>149.11228533685599</v>
      </c>
      <c r="J30" s="17">
        <v>167.35270805812416</v>
      </c>
      <c r="K30" s="17">
        <v>189.40819022457066</v>
      </c>
      <c r="L30" s="17">
        <v>196.25363276089828</v>
      </c>
      <c r="M30" s="17">
        <v>220.02642007926022</v>
      </c>
      <c r="N30" s="17">
        <v>327.34478203434611</v>
      </c>
      <c r="O30" s="17">
        <v>234.45178335535005</v>
      </c>
      <c r="P30" s="17">
        <v>243.04623513870538</v>
      </c>
      <c r="Q30" s="17">
        <v>250.83223249669749</v>
      </c>
      <c r="R30" s="17">
        <v>258.57859973579923</v>
      </c>
      <c r="S30" s="17">
        <v>266.22721268163804</v>
      </c>
      <c r="T30" s="17">
        <v>274.14795244385732</v>
      </c>
      <c r="U30" s="17">
        <v>282.15323645970938</v>
      </c>
      <c r="V30" s="17">
        <v>290.14531043593132</v>
      </c>
      <c r="W30" s="17">
        <v>298.15852047556143</v>
      </c>
      <c r="X30" s="17">
        <v>306.13738441215321</v>
      </c>
      <c r="Y30" s="18" t="s">
        <v>24</v>
      </c>
      <c r="Z30" s="18" t="s">
        <v>25</v>
      </c>
      <c r="AA30" s="19">
        <v>45352</v>
      </c>
    </row>
    <row r="31" spans="1:27" x14ac:dyDescent="0.25">
      <c r="A31" s="9" t="s">
        <v>29</v>
      </c>
      <c r="B31" s="3">
        <v>2.1136063408190222</v>
      </c>
      <c r="C31" s="3">
        <v>1.5852047556142668</v>
      </c>
      <c r="D31" s="3">
        <v>0</v>
      </c>
      <c r="E31" s="3">
        <v>10.303830911492733</v>
      </c>
      <c r="F31" s="3">
        <v>10.568031704095112</v>
      </c>
      <c r="G31" s="3">
        <v>3.1704095112285335</v>
      </c>
      <c r="H31" s="3">
        <v>0</v>
      </c>
      <c r="I31" s="3">
        <v>2.6420079260237781</v>
      </c>
      <c r="J31" s="3">
        <v>2.8005284015852046</v>
      </c>
      <c r="K31" s="3">
        <v>3.3764861294583879</v>
      </c>
      <c r="L31" s="3">
        <v>3.249669749009247</v>
      </c>
      <c r="M31" s="3">
        <v>3.7331571994715986</v>
      </c>
      <c r="N31" s="3">
        <v>3.7569352708058124</v>
      </c>
      <c r="O31" s="29">
        <v>3.9128137384412152</v>
      </c>
      <c r="P31" s="29">
        <v>3.931307793923382</v>
      </c>
      <c r="Q31" s="29">
        <v>4.319682959048877</v>
      </c>
      <c r="R31" s="29">
        <v>4.4359313077939229</v>
      </c>
      <c r="S31" s="29">
        <v>4.7027741083223251</v>
      </c>
      <c r="T31" s="29">
        <v>4.8639365918097752</v>
      </c>
      <c r="U31" s="29">
        <v>5.0277410832232494</v>
      </c>
      <c r="V31" s="29">
        <v>5.1889035667107004</v>
      </c>
      <c r="W31" s="29">
        <v>5.3659180977542924</v>
      </c>
      <c r="X31" s="29">
        <v>5.5429326287978862</v>
      </c>
      <c r="Y31" s="2" t="s">
        <v>24</v>
      </c>
      <c r="Z31" s="2" t="s">
        <v>25</v>
      </c>
      <c r="AA31" s="10">
        <v>45352</v>
      </c>
    </row>
    <row r="32" spans="1:27" x14ac:dyDescent="0.25">
      <c r="A32" s="9" t="s">
        <v>18</v>
      </c>
      <c r="B32" s="3">
        <v>186.08454425363277</v>
      </c>
      <c r="C32" s="3">
        <v>168.01056803170408</v>
      </c>
      <c r="D32" s="3">
        <v>110.87186261558783</v>
      </c>
      <c r="E32" s="3">
        <v>238.71334214002641</v>
      </c>
      <c r="F32" s="3">
        <v>241.07265521796566</v>
      </c>
      <c r="G32" s="3">
        <v>207.669749009247</v>
      </c>
      <c r="H32" s="3">
        <v>233.99207397622192</v>
      </c>
      <c r="I32" s="3">
        <v>248.98811096433286</v>
      </c>
      <c r="J32" s="3">
        <v>380.04227212681639</v>
      </c>
      <c r="K32" s="3">
        <v>565.04623513870536</v>
      </c>
      <c r="L32" s="3">
        <v>486.85336856010565</v>
      </c>
      <c r="M32" s="3">
        <v>270.25627476882431</v>
      </c>
      <c r="N32" s="3">
        <v>182.78203434610305</v>
      </c>
      <c r="O32" s="29">
        <v>189.71466314398944</v>
      </c>
      <c r="P32" s="29">
        <v>196.90092470277409</v>
      </c>
      <c r="Q32" s="29">
        <v>203.85997357992073</v>
      </c>
      <c r="R32" s="29">
        <v>211.46631439894318</v>
      </c>
      <c r="S32" s="29">
        <v>219.08058124174372</v>
      </c>
      <c r="T32" s="29">
        <v>227.18890356671068</v>
      </c>
      <c r="U32" s="29">
        <v>235.65125495376486</v>
      </c>
      <c r="V32" s="29">
        <v>244.38309114927344</v>
      </c>
      <c r="W32" s="29">
        <v>253.46367239101716</v>
      </c>
      <c r="X32" s="29">
        <v>256</v>
      </c>
      <c r="Y32" s="2" t="s">
        <v>24</v>
      </c>
      <c r="Z32" s="2" t="s">
        <v>25</v>
      </c>
      <c r="AA32" s="10">
        <v>45352</v>
      </c>
    </row>
    <row r="33" spans="1:27" x14ac:dyDescent="0.25">
      <c r="A33" s="9" t="s">
        <v>19</v>
      </c>
      <c r="B33" s="3">
        <v>29.062087186261557</v>
      </c>
      <c r="C33" s="3">
        <v>21.136063408190225</v>
      </c>
      <c r="D33" s="3">
        <v>26.948480845442536</v>
      </c>
      <c r="E33" s="3">
        <v>41.215323645970933</v>
      </c>
      <c r="F33" s="3">
        <v>86.393659180977536</v>
      </c>
      <c r="G33" s="3">
        <v>70.541611624834871</v>
      </c>
      <c r="H33" s="3">
        <v>105.68031704095112</v>
      </c>
      <c r="I33" s="3">
        <v>110.96433289299867</v>
      </c>
      <c r="J33" s="3">
        <v>78.996036988110959</v>
      </c>
      <c r="K33" s="3">
        <v>72.65521796565389</v>
      </c>
      <c r="L33" s="3">
        <v>78.132100396301198</v>
      </c>
      <c r="M33" s="3">
        <v>82</v>
      </c>
      <c r="N33" s="3">
        <v>83.733157199471592</v>
      </c>
      <c r="O33" s="29">
        <v>87.254953764861284</v>
      </c>
      <c r="P33" s="29">
        <v>90.768824306472922</v>
      </c>
      <c r="Q33" s="29">
        <v>94.30911492734478</v>
      </c>
      <c r="R33" s="29">
        <v>97.838837516512541</v>
      </c>
      <c r="S33" s="29">
        <v>101.37384412153236</v>
      </c>
      <c r="T33" s="29">
        <v>104.90356671070013</v>
      </c>
      <c r="U33" s="29">
        <v>108.41743725231176</v>
      </c>
      <c r="V33" s="29">
        <v>111.92338177014531</v>
      </c>
      <c r="W33" s="29">
        <v>115.42932628797885</v>
      </c>
      <c r="X33" s="29">
        <v>118.93527080581242</v>
      </c>
      <c r="Y33" s="2" t="s">
        <v>24</v>
      </c>
      <c r="Z33" s="2" t="s">
        <v>25</v>
      </c>
      <c r="AA33" s="10">
        <v>45352</v>
      </c>
    </row>
    <row r="34" spans="1:27" x14ac:dyDescent="0.25">
      <c r="A34" s="9" t="s">
        <v>20</v>
      </c>
      <c r="B34" s="3">
        <v>0</v>
      </c>
      <c r="C34" s="3">
        <v>0</v>
      </c>
      <c r="D34" s="3">
        <v>0</v>
      </c>
      <c r="E34" s="3">
        <v>0</v>
      </c>
      <c r="F34" s="3">
        <v>11.360634081902246</v>
      </c>
      <c r="G34" s="3">
        <v>7.1334214002642007</v>
      </c>
      <c r="H34" s="3">
        <v>20.079260237780712</v>
      </c>
      <c r="I34" s="3">
        <v>51.254953764861291</v>
      </c>
      <c r="J34" s="3">
        <v>94.319682959048876</v>
      </c>
      <c r="K34" s="3">
        <v>198.67899603698811</v>
      </c>
      <c r="L34" s="3">
        <v>273.44782034346105</v>
      </c>
      <c r="M34" s="3">
        <v>389.69616908850725</v>
      </c>
      <c r="N34" s="3">
        <v>561.42668428005277</v>
      </c>
      <c r="O34" s="29">
        <v>531.1545574636724</v>
      </c>
      <c r="P34" s="29">
        <v>501.48745046235138</v>
      </c>
      <c r="Q34" s="29">
        <v>458.11624834874505</v>
      </c>
      <c r="R34" s="29">
        <v>421.20211360634079</v>
      </c>
      <c r="S34" s="29">
        <v>384.56538969616906</v>
      </c>
      <c r="T34" s="29">
        <v>379.46367239101716</v>
      </c>
      <c r="U34" s="29">
        <v>388.10039630118888</v>
      </c>
      <c r="V34" s="29">
        <v>388.29590488771464</v>
      </c>
      <c r="W34" s="29">
        <v>386.18494055482165</v>
      </c>
      <c r="X34" s="29">
        <v>390.07133421400266</v>
      </c>
      <c r="Y34" s="2" t="s">
        <v>24</v>
      </c>
      <c r="Z34" s="2" t="s">
        <v>25</v>
      </c>
      <c r="AA34" s="10">
        <v>45352</v>
      </c>
    </row>
    <row r="35" spans="1:27" x14ac:dyDescent="0.25">
      <c r="A35" s="9" t="s">
        <v>36</v>
      </c>
      <c r="B35" s="3">
        <v>148.74504623513869</v>
      </c>
      <c r="C35" s="3">
        <v>380.44914134742402</v>
      </c>
      <c r="D35" s="3">
        <v>425.36327608982828</v>
      </c>
      <c r="E35" s="3">
        <v>512.54953764861295</v>
      </c>
      <c r="F35" s="3">
        <v>414.79524438573316</v>
      </c>
      <c r="G35" s="3">
        <v>90.620871862615587</v>
      </c>
      <c r="H35" s="3">
        <v>125.75957727873183</v>
      </c>
      <c r="I35" s="3">
        <v>49.405548216644647</v>
      </c>
      <c r="J35" s="3">
        <v>467.6354029062087</v>
      </c>
      <c r="K35" s="3">
        <v>335.53500660501982</v>
      </c>
      <c r="L35" s="3">
        <v>10.303830911492733</v>
      </c>
      <c r="M35" s="3">
        <v>50.990752972258917</v>
      </c>
      <c r="N35" s="3">
        <v>52.840158520475562</v>
      </c>
      <c r="O35" s="29">
        <v>57.149273447820342</v>
      </c>
      <c r="P35" s="29">
        <v>55.302509907529718</v>
      </c>
      <c r="Q35" s="29">
        <v>59.727873183619543</v>
      </c>
      <c r="R35" s="29">
        <v>61.590488771466312</v>
      </c>
      <c r="S35" s="29">
        <v>63.571994715984147</v>
      </c>
      <c r="T35" s="29">
        <v>64.797886393659169</v>
      </c>
      <c r="U35" s="29">
        <v>67.651254953764862</v>
      </c>
      <c r="V35" s="29">
        <v>69.973579920739766</v>
      </c>
      <c r="W35" s="29">
        <v>72.163804491413472</v>
      </c>
      <c r="X35" s="29">
        <v>74.517833553500665</v>
      </c>
      <c r="Y35" s="2" t="s">
        <v>24</v>
      </c>
      <c r="Z35" s="2" t="s">
        <v>25</v>
      </c>
      <c r="AA35" s="10">
        <v>45352</v>
      </c>
    </row>
    <row r="36" spans="1:27" x14ac:dyDescent="0.25">
      <c r="A36" s="9" t="s">
        <v>21</v>
      </c>
      <c r="B36" s="3">
        <v>6.1030383091149272</v>
      </c>
      <c r="C36" s="3">
        <v>8.4544253632760888</v>
      </c>
      <c r="D36" s="3">
        <v>3.5138705416116247</v>
      </c>
      <c r="E36" s="3">
        <v>6.1822985468956402</v>
      </c>
      <c r="F36" s="3">
        <v>8.9564068692206078</v>
      </c>
      <c r="G36" s="3">
        <v>5.7622192866578592</v>
      </c>
      <c r="H36" s="3">
        <v>11.088507265521796</v>
      </c>
      <c r="I36" s="3">
        <v>8.9801849405548211</v>
      </c>
      <c r="J36" s="3">
        <v>21.669749009247028</v>
      </c>
      <c r="K36" s="3">
        <v>20.124174372523118</v>
      </c>
      <c r="L36" s="3">
        <v>15.247027741083222</v>
      </c>
      <c r="M36" s="3">
        <v>110.42800528401585</v>
      </c>
      <c r="N36" s="3">
        <v>100.45970937912814</v>
      </c>
      <c r="O36" s="29">
        <v>49.125495376486128</v>
      </c>
      <c r="P36" s="29">
        <v>49.862615587846761</v>
      </c>
      <c r="Q36" s="29">
        <v>50.610303830911491</v>
      </c>
      <c r="R36" s="29">
        <v>51.371202113606337</v>
      </c>
      <c r="S36" s="29">
        <v>52.140026420079259</v>
      </c>
      <c r="T36" s="29">
        <v>52.922060766182298</v>
      </c>
      <c r="U36" s="29">
        <v>53.717305151915454</v>
      </c>
      <c r="V36" s="29">
        <v>54.523117569352706</v>
      </c>
      <c r="W36" s="29">
        <v>55.339498018494055</v>
      </c>
      <c r="X36" s="29">
        <v>56.171730515191548</v>
      </c>
      <c r="Y36" s="2" t="s">
        <v>24</v>
      </c>
      <c r="Z36" s="2" t="s">
        <v>25</v>
      </c>
      <c r="AA36" s="10">
        <v>45352</v>
      </c>
    </row>
    <row r="37" spans="1:27" x14ac:dyDescent="0.25">
      <c r="A37" s="9" t="s">
        <v>562</v>
      </c>
      <c r="B37" s="3">
        <f>+B38-SUM(B30:B36)</f>
        <v>441.06472919418752</v>
      </c>
      <c r="C37" s="3">
        <f t="shared" ref="C37:X37" si="3">+C38-SUM(C30:C36)</f>
        <v>526.13738441215332</v>
      </c>
      <c r="D37" s="3">
        <f t="shared" si="3"/>
        <v>654.1321003963011</v>
      </c>
      <c r="E37" s="3">
        <f t="shared" si="3"/>
        <v>718.57595772787306</v>
      </c>
      <c r="F37" s="3">
        <f t="shared" si="3"/>
        <v>800.10832232496693</v>
      </c>
      <c r="G37" s="3">
        <f t="shared" si="3"/>
        <v>594.4464993394979</v>
      </c>
      <c r="H37" s="3">
        <f t="shared" si="3"/>
        <v>804.19286657859971</v>
      </c>
      <c r="I37" s="3">
        <f t="shared" si="3"/>
        <v>822.51519154557479</v>
      </c>
      <c r="J37" s="3">
        <f t="shared" si="3"/>
        <v>743.56671070013181</v>
      </c>
      <c r="K37" s="3">
        <f t="shared" si="3"/>
        <v>740.44121532364579</v>
      </c>
      <c r="L37" s="3">
        <f t="shared" si="3"/>
        <v>555.4029062087186</v>
      </c>
      <c r="M37" s="3">
        <f t="shared" si="3"/>
        <v>716.96169088507281</v>
      </c>
      <c r="N37" s="3">
        <f t="shared" si="3"/>
        <v>694.6129458388375</v>
      </c>
      <c r="O37" s="3">
        <f t="shared" si="3"/>
        <v>693.2998678996039</v>
      </c>
      <c r="P37" s="3">
        <f t="shared" si="3"/>
        <v>686.79524438573344</v>
      </c>
      <c r="Q37" s="3">
        <f t="shared" si="3"/>
        <v>692.00528401585188</v>
      </c>
      <c r="R37" s="3">
        <f t="shared" si="3"/>
        <v>696.68956406869211</v>
      </c>
      <c r="S37" s="3">
        <f t="shared" si="3"/>
        <v>704.13738441215332</v>
      </c>
      <c r="T37" s="3">
        <f t="shared" si="3"/>
        <v>706.72919418758261</v>
      </c>
      <c r="U37" s="3">
        <f t="shared" si="3"/>
        <v>708.45442536327596</v>
      </c>
      <c r="V37" s="3">
        <f t="shared" si="3"/>
        <v>709.75957727873174</v>
      </c>
      <c r="W37" s="3">
        <f t="shared" si="3"/>
        <v>710.92470277410848</v>
      </c>
      <c r="X37" s="3">
        <f t="shared" si="3"/>
        <v>712.3328929986792</v>
      </c>
      <c r="Y37" s="2" t="s">
        <v>24</v>
      </c>
      <c r="Z37" s="2" t="s">
        <v>25</v>
      </c>
      <c r="AA37" s="10">
        <v>45352</v>
      </c>
    </row>
    <row r="38" spans="1:27" ht="15.75" thickBot="1" x14ac:dyDescent="0.3">
      <c r="A38" s="12" t="s">
        <v>563</v>
      </c>
      <c r="B38" s="32">
        <v>938.79788639365916</v>
      </c>
      <c r="C38" s="32">
        <v>1182.0052840158521</v>
      </c>
      <c r="D38" s="32">
        <v>1344.8824306472918</v>
      </c>
      <c r="E38" s="32">
        <v>1716.9379128137382</v>
      </c>
      <c r="F38" s="32">
        <v>1656.7582562747687</v>
      </c>
      <c r="G38" s="32">
        <v>1090.0660501981504</v>
      </c>
      <c r="H38" s="32">
        <v>1420.8137384412153</v>
      </c>
      <c r="I38" s="32">
        <v>1443.8626155878469</v>
      </c>
      <c r="J38" s="32">
        <v>1956.3830911492732</v>
      </c>
      <c r="K38" s="32">
        <v>2125.2655217965653</v>
      </c>
      <c r="L38" s="32">
        <v>1618.8903566710699</v>
      </c>
      <c r="M38" s="32">
        <v>1844.0924702774109</v>
      </c>
      <c r="N38" s="32">
        <v>2006.9564068692205</v>
      </c>
      <c r="O38" s="32">
        <v>1846.0634081902247</v>
      </c>
      <c r="P38" s="32">
        <v>1828.0951122853369</v>
      </c>
      <c r="Q38" s="32">
        <v>1813.78071334214</v>
      </c>
      <c r="R38" s="32">
        <v>1803.1730515191546</v>
      </c>
      <c r="S38" s="32">
        <v>1795.7992073976222</v>
      </c>
      <c r="T38" s="32">
        <v>1815.0171730515192</v>
      </c>
      <c r="U38" s="32">
        <v>1849.1730515191546</v>
      </c>
      <c r="V38" s="32">
        <v>1874.1928665785995</v>
      </c>
      <c r="W38" s="32">
        <v>1897.0303830911494</v>
      </c>
      <c r="X38" s="32">
        <v>1919.7093791281375</v>
      </c>
      <c r="Y38" s="14" t="s">
        <v>24</v>
      </c>
      <c r="Z38" s="14" t="s">
        <v>25</v>
      </c>
      <c r="AA38" s="15">
        <v>45352</v>
      </c>
    </row>
  </sheetData>
  <hyperlinks>
    <hyperlink ref="Z2" r:id="rId1" xr:uid="{BBB02A83-BAF5-4D15-8745-72B89CFD8830}"/>
  </hyperlink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0B55-0252-4EA9-86B2-D134D7A5604F}">
  <dimension ref="A1:AC179"/>
  <sheetViews>
    <sheetView tabSelected="1" topLeftCell="A26" zoomScale="70" zoomScaleNormal="70" workbookViewId="0">
      <selection activeCell="AC88" sqref="AC88:AS112"/>
    </sheetView>
  </sheetViews>
  <sheetFormatPr defaultRowHeight="15" x14ac:dyDescent="0.25"/>
  <cols>
    <col min="1" max="1" width="44.42578125" bestFit="1" customWidth="1"/>
    <col min="18" max="18" width="17.85546875" bestFit="1" customWidth="1"/>
    <col min="28" max="28" width="18.5703125" customWidth="1"/>
    <col min="29" max="29" width="13.28515625" bestFit="1" customWidth="1"/>
    <col min="30" max="30" width="17.28515625" bestFit="1" customWidth="1"/>
  </cols>
  <sheetData>
    <row r="1" spans="1:29" ht="15.75" thickBot="1" x14ac:dyDescent="0.3">
      <c r="A1" s="22" t="s">
        <v>53</v>
      </c>
      <c r="B1" s="23">
        <v>2010</v>
      </c>
      <c r="C1" s="23">
        <v>2011</v>
      </c>
      <c r="D1" s="23">
        <v>2012</v>
      </c>
      <c r="E1" s="23">
        <v>2013</v>
      </c>
      <c r="F1" s="23">
        <v>2014</v>
      </c>
      <c r="G1" s="23">
        <v>2015</v>
      </c>
      <c r="H1" s="23">
        <v>2016</v>
      </c>
      <c r="I1" s="23">
        <v>2017</v>
      </c>
      <c r="J1" s="23">
        <v>2018</v>
      </c>
      <c r="K1" s="23">
        <v>2019</v>
      </c>
      <c r="L1" s="23">
        <v>2020</v>
      </c>
      <c r="M1" s="23">
        <v>2021</v>
      </c>
      <c r="N1" s="23">
        <v>2022</v>
      </c>
      <c r="O1" s="23">
        <v>2023</v>
      </c>
      <c r="P1" s="23">
        <v>2024</v>
      </c>
      <c r="Q1" s="23">
        <v>2025</v>
      </c>
      <c r="R1" s="23">
        <v>2026</v>
      </c>
      <c r="S1" s="23">
        <v>2027</v>
      </c>
      <c r="T1" s="23">
        <v>2028</v>
      </c>
      <c r="U1" s="23">
        <v>2029</v>
      </c>
      <c r="V1" s="23">
        <v>2030</v>
      </c>
      <c r="W1" s="23">
        <v>2031</v>
      </c>
      <c r="X1" s="23">
        <v>2032</v>
      </c>
      <c r="Y1" s="23"/>
      <c r="Z1" s="23"/>
      <c r="AA1" s="23" t="s">
        <v>22</v>
      </c>
      <c r="AB1" s="23" t="s">
        <v>26</v>
      </c>
      <c r="AC1" s="24" t="s">
        <v>23</v>
      </c>
    </row>
    <row r="2" spans="1:29" ht="15.75" thickBot="1" x14ac:dyDescent="0.3">
      <c r="A2" s="20" t="s">
        <v>55</v>
      </c>
      <c r="B2" s="63">
        <f>+Ethanol!B2+Biodiesel!B2</f>
        <v>13959.400264200791</v>
      </c>
      <c r="C2" s="63">
        <f>+Ethanol!C2+Biodiesel!C2</f>
        <v>15356.356671070012</v>
      </c>
      <c r="D2" s="63">
        <f>+Ethanol!D2+Biodiesel!D2</f>
        <v>14722.428005284017</v>
      </c>
      <c r="E2" s="63">
        <f>+Ethanol!E2+Biodiesel!E2</f>
        <v>15157.418758256274</v>
      </c>
      <c r="F2" s="63">
        <f>+Ethanol!F2+Biodiesel!F2</f>
        <v>16150.361955085864</v>
      </c>
      <c r="G2" s="63">
        <f>+Ethanol!G2+Biodiesel!G2</f>
        <v>16589.368560105679</v>
      </c>
      <c r="H2" s="63">
        <f>+Ethanol!H2+Biodiesel!H2</f>
        <v>17509.60634081902</v>
      </c>
      <c r="I2" s="63">
        <f>+Ethanol!I2+Biodiesel!I2</f>
        <v>18081.44253632761</v>
      </c>
      <c r="J2" s="63">
        <f>+Ethanol!J2+Biodiesel!J2</f>
        <v>18607.458388375166</v>
      </c>
      <c r="K2" s="63">
        <f>+Ethanol!K2+Biodiesel!K2</f>
        <v>18362.026420079259</v>
      </c>
      <c r="L2" s="63">
        <f>+Ethanol!L2+Biodiesel!L2</f>
        <v>16691.32892998679</v>
      </c>
      <c r="M2" s="63">
        <f>+Ethanol!M2+Biodiesel!M2</f>
        <v>17854.013210039629</v>
      </c>
      <c r="N2" s="63">
        <f>+Ethanol!N2+Biodiesel!N2</f>
        <v>18928.087186261557</v>
      </c>
      <c r="O2" s="63">
        <f>+Ethanol!O2+Biodiesel!O2</f>
        <v>19086.27741083223</v>
      </c>
      <c r="P2" s="63">
        <f>+Ethanol!P2+Biodiesel!P2</f>
        <v>19447.247027741083</v>
      </c>
      <c r="Q2" s="63">
        <f>+Ethanol!Q2+Biodiesel!Q2</f>
        <v>19573.347424042273</v>
      </c>
      <c r="R2" s="63">
        <f>+Ethanol!R2+Biodiesel!R2</f>
        <v>19716.058124174371</v>
      </c>
      <c r="S2" s="63">
        <f>+Ethanol!S2+Biodiesel!S2</f>
        <v>19845.997357992073</v>
      </c>
      <c r="T2" s="63">
        <f>+Ethanol!T2+Biodiesel!T2</f>
        <v>19956.18494055482</v>
      </c>
      <c r="U2" s="63">
        <f>+Ethanol!U2+Biodiesel!U2</f>
        <v>20053.175693527082</v>
      </c>
      <c r="V2" s="63">
        <f>+Ethanol!V2+Biodiesel!V2</f>
        <v>20181.017173051518</v>
      </c>
      <c r="W2" s="63">
        <f>+Ethanol!W2+Biodiesel!W2</f>
        <v>20293.112285336854</v>
      </c>
      <c r="X2" s="63">
        <f>+Ethanol!X2+Biodiesel!X2</f>
        <v>20412.375165125493</v>
      </c>
      <c r="Y2" s="65">
        <f t="shared" ref="Y2:Y9" si="0">+(X2-O2)/X2*100</f>
        <v>6.4965382203972952</v>
      </c>
      <c r="Z2" s="65">
        <f t="shared" ref="Z2:Z9" si="1">+X2-O2</f>
        <v>1326.0977542932633</v>
      </c>
      <c r="AA2" s="8" t="s">
        <v>24</v>
      </c>
      <c r="AB2" s="31" t="s">
        <v>25</v>
      </c>
      <c r="AC2" s="21">
        <v>45352</v>
      </c>
    </row>
    <row r="3" spans="1:29" ht="15.75" thickBot="1" x14ac:dyDescent="0.3">
      <c r="A3" s="9" t="s">
        <v>56</v>
      </c>
      <c r="B3" s="64">
        <f>+Ethanol!B3+Biodiesel!B3</f>
        <v>8018.8058124174368</v>
      </c>
      <c r="C3" s="64">
        <f>+Ethanol!C3+Biodiesel!C3</f>
        <v>6688.5891677675036</v>
      </c>
      <c r="D3" s="64">
        <f>+Ethanol!D3+Biodiesel!D3</f>
        <v>6922.327608982826</v>
      </c>
      <c r="E3" s="64">
        <f>+Ethanol!E3+Biodiesel!E3</f>
        <v>7994.6816380449136</v>
      </c>
      <c r="F3" s="64">
        <f>+Ethanol!F3+Biodiesel!F3</f>
        <v>8359.2153236459708</v>
      </c>
      <c r="G3" s="64">
        <f>+Ethanol!G3+Biodiesel!G3</f>
        <v>8909.3500660501977</v>
      </c>
      <c r="H3" s="64">
        <f>+Ethanol!H3+Biodiesel!H3</f>
        <v>8370.4438573315729</v>
      </c>
      <c r="I3" s="64">
        <f>+Ethanol!I3+Biodiesel!I3</f>
        <v>8423.8837516512558</v>
      </c>
      <c r="J3" s="64">
        <f>+Ethanol!J3+Biodiesel!J3</f>
        <v>10192.655217965652</v>
      </c>
      <c r="K3" s="64">
        <f>+Ethanol!K3+Biodiesel!K3</f>
        <v>10846.277410832234</v>
      </c>
      <c r="L3" s="64">
        <f>+Ethanol!L3+Biodiesel!L3</f>
        <v>10312.676354029061</v>
      </c>
      <c r="M3" s="64">
        <f>+Ethanol!M3+Biodiesel!M3</f>
        <v>9661.9286657859975</v>
      </c>
      <c r="N3" s="64">
        <f>+Ethanol!N3+Biodiesel!N3</f>
        <v>10056</v>
      </c>
      <c r="O3" s="64">
        <f>+Ethanol!O3+Biodiesel!O3</f>
        <v>10770.113606340818</v>
      </c>
      <c r="P3" s="64">
        <f>+Ethanol!P3+Biodiesel!P3</f>
        <v>11093.595772787317</v>
      </c>
      <c r="Q3" s="64">
        <f>+Ethanol!Q3+Biodiesel!Q3</f>
        <v>11295.997357992073</v>
      </c>
      <c r="R3" s="64">
        <f>+Ethanol!R3+Biodiesel!R3</f>
        <v>11565.749009247027</v>
      </c>
      <c r="S3" s="64">
        <f>+Ethanol!S3+Biodiesel!S3</f>
        <v>11816.393659180976</v>
      </c>
      <c r="T3" s="64">
        <f>+Ethanol!T3+Biodiesel!T3</f>
        <v>12121.519154557463</v>
      </c>
      <c r="U3" s="64">
        <f>+Ethanol!U3+Biodiesel!U3</f>
        <v>12386.668428005283</v>
      </c>
      <c r="V3" s="64">
        <f>+Ethanol!V3+Biodiesel!V3</f>
        <v>12652.306472919418</v>
      </c>
      <c r="W3" s="64">
        <f>+Ethanol!W3+Biodiesel!W3</f>
        <v>12902.774108322326</v>
      </c>
      <c r="X3" s="64">
        <f>+Ethanol!X3+Biodiesel!X3</f>
        <v>13157.210039630119</v>
      </c>
      <c r="Y3" s="65">
        <f t="shared" si="0"/>
        <v>18.142876993673113</v>
      </c>
      <c r="Z3" s="65">
        <f t="shared" si="1"/>
        <v>2387.0964332893018</v>
      </c>
      <c r="AA3" s="2" t="s">
        <v>24</v>
      </c>
      <c r="AB3" s="2" t="s">
        <v>25</v>
      </c>
      <c r="AC3" s="10">
        <v>45352</v>
      </c>
    </row>
    <row r="4" spans="1:29" ht="15.75" thickBot="1" x14ac:dyDescent="0.3">
      <c r="A4" s="9" t="s">
        <v>57</v>
      </c>
      <c r="B4" s="64">
        <f>+Ethanol!B4+Biodiesel!B4</f>
        <v>4163.0013210039633</v>
      </c>
      <c r="C4" s="64">
        <f>+Ethanol!C4+Biodiesel!C4</f>
        <v>4350.3751651254952</v>
      </c>
      <c r="D4" s="64">
        <f>+Ethanol!D4+Biodiesel!D4</f>
        <v>4493.0568031704088</v>
      </c>
      <c r="E4" s="64">
        <f>+Ethanol!E4+Biodiesel!E4</f>
        <v>4714.2430647291949</v>
      </c>
      <c r="F4" s="64">
        <f>+Ethanol!F4+Biodiesel!F4</f>
        <v>5250.1532364597097</v>
      </c>
      <c r="G4" s="64">
        <f>+Ethanol!G4+Biodiesel!G4</f>
        <v>5159.9920739762219</v>
      </c>
      <c r="H4" s="64">
        <f>+Ethanol!H4+Biodiesel!H4</f>
        <v>4984.1955085865256</v>
      </c>
      <c r="I4" s="64">
        <f>+Ethanol!I4+Biodiesel!I4</f>
        <v>5441.505944517834</v>
      </c>
      <c r="J4" s="64">
        <f>+Ethanol!J4+Biodiesel!J4</f>
        <v>5584.2140026420075</v>
      </c>
      <c r="K4" s="64">
        <f>+Ethanol!K4+Biodiesel!K4</f>
        <v>5790.1690885072649</v>
      </c>
      <c r="L4" s="64">
        <f>+Ethanol!L4+Biodiesel!L4</f>
        <v>6104.9114927344781</v>
      </c>
      <c r="M4" s="64">
        <f>+Ethanol!M4+Biodiesel!M4</f>
        <v>6050.6050198150597</v>
      </c>
      <c r="N4" s="64">
        <f>+Ethanol!N4+Biodiesel!N4</f>
        <v>6777.3342140026416</v>
      </c>
      <c r="O4" s="64">
        <f>+Ethanol!O4+Biodiesel!O4</f>
        <v>6275.4610303830905</v>
      </c>
      <c r="P4" s="64">
        <f>+Ethanol!P4+Biodiesel!P4</f>
        <v>6320.3196829590488</v>
      </c>
      <c r="Q4" s="64">
        <f>+Ethanol!Q4+Biodiesel!Q4</f>
        <v>6306.8428005284013</v>
      </c>
      <c r="R4" s="64">
        <f>+Ethanol!R4+Biodiesel!R4</f>
        <v>6352.2034346103028</v>
      </c>
      <c r="S4" s="64">
        <f>+Ethanol!S4+Biodiesel!S4</f>
        <v>6394.9167767503295</v>
      </c>
      <c r="T4" s="64">
        <f>+Ethanol!T4+Biodiesel!T4</f>
        <v>6422.9986789960376</v>
      </c>
      <c r="U4" s="64">
        <f>+Ethanol!U4+Biodiesel!U4</f>
        <v>6437.2417437252307</v>
      </c>
      <c r="V4" s="64">
        <f>+Ethanol!V4+Biodiesel!V4</f>
        <v>6423.5852047556136</v>
      </c>
      <c r="W4" s="64">
        <f>+Ethanol!W4+Biodiesel!W4</f>
        <v>6436.0105680317047</v>
      </c>
      <c r="X4" s="64">
        <f>+Ethanol!X4+Biodiesel!X4</f>
        <v>6488.0211360634084</v>
      </c>
      <c r="Y4" s="65">
        <f t="shared" si="0"/>
        <v>3.2761931754323528</v>
      </c>
      <c r="Z4" s="65">
        <f t="shared" si="1"/>
        <v>212.56010568031797</v>
      </c>
      <c r="AA4" s="2" t="s">
        <v>24</v>
      </c>
      <c r="AB4" s="2" t="s">
        <v>25</v>
      </c>
      <c r="AC4" s="10">
        <v>45352</v>
      </c>
    </row>
    <row r="5" spans="1:29" ht="15.75" thickBot="1" x14ac:dyDescent="0.3">
      <c r="A5" s="9" t="s">
        <v>58</v>
      </c>
      <c r="B5" s="64">
        <f>+Ethanol!B5+Biodiesel!B5</f>
        <v>405.54821664464993</v>
      </c>
      <c r="C5" s="64">
        <f>+Ethanol!C5+Biodiesel!C5</f>
        <v>512.54953764861295</v>
      </c>
      <c r="D5" s="64">
        <f>+Ethanol!D5+Biodiesel!D5</f>
        <v>511.22853368560106</v>
      </c>
      <c r="E5" s="64">
        <f>+Ethanol!E5+Biodiesel!E5</f>
        <v>575.16512549537651</v>
      </c>
      <c r="F5" s="64">
        <f>+Ethanol!F5+Biodiesel!F5</f>
        <v>565.38969616908844</v>
      </c>
      <c r="G5" s="64">
        <f>+Ethanol!G5+Biodiesel!G5</f>
        <v>574.10832232496693</v>
      </c>
      <c r="H5" s="64">
        <f>+Ethanol!H5+Biodiesel!H5</f>
        <v>571.99471598414789</v>
      </c>
      <c r="I5" s="64">
        <f>+Ethanol!I5+Biodiesel!I5</f>
        <v>573.31571994715978</v>
      </c>
      <c r="J5" s="64">
        <f>+Ethanol!J5+Biodiesel!J5</f>
        <v>581.24174372523112</v>
      </c>
      <c r="K5" s="64">
        <f>+Ethanol!K5+Biodiesel!K5</f>
        <v>656.53896961690873</v>
      </c>
      <c r="L5" s="64">
        <f>+Ethanol!L5+Biodiesel!L5</f>
        <v>598.33553500660503</v>
      </c>
      <c r="M5" s="64">
        <f>+Ethanol!M5+Biodiesel!M5</f>
        <v>609.31043593130778</v>
      </c>
      <c r="N5" s="64">
        <f>+Ethanol!N5+Biodiesel!N5</f>
        <v>627.69088507265519</v>
      </c>
      <c r="O5" s="64">
        <f>+Ethanol!O5+Biodiesel!O5</f>
        <v>647.57727873183626</v>
      </c>
      <c r="P5" s="64">
        <f>+Ethanol!P5+Biodiesel!P5</f>
        <v>666.2430647291942</v>
      </c>
      <c r="Q5" s="64">
        <f>+Ethanol!Q5+Biodiesel!Q5</f>
        <v>683.54293262879787</v>
      </c>
      <c r="R5" s="64">
        <f>+Ethanol!R5+Biodiesel!R5</f>
        <v>701.81505944517835</v>
      </c>
      <c r="S5" s="64">
        <f>+Ethanol!S5+Biodiesel!S5</f>
        <v>717.80449141347412</v>
      </c>
      <c r="T5" s="64">
        <f>+Ethanol!T5+Biodiesel!T5</f>
        <v>737.16776750330246</v>
      </c>
      <c r="U5" s="64">
        <f>+Ethanol!U5+Biodiesel!U5</f>
        <v>756.58652575957728</v>
      </c>
      <c r="V5" s="64">
        <f>+Ethanol!V5+Biodiesel!V5</f>
        <v>776.50198150594451</v>
      </c>
      <c r="W5" s="64">
        <f>+Ethanol!W5+Biodiesel!W5</f>
        <v>796.88243064729181</v>
      </c>
      <c r="X5" s="64">
        <f>+Ethanol!X5+Biodiesel!X5</f>
        <v>817.57727873183615</v>
      </c>
      <c r="Y5" s="65">
        <f t="shared" si="0"/>
        <v>20.793141446358561</v>
      </c>
      <c r="Z5" s="65">
        <f t="shared" si="1"/>
        <v>169.99999999999989</v>
      </c>
      <c r="AA5" s="2" t="s">
        <v>24</v>
      </c>
      <c r="AB5" s="2" t="s">
        <v>25</v>
      </c>
      <c r="AC5" s="10">
        <v>45352</v>
      </c>
    </row>
    <row r="6" spans="1:29" ht="15.75" thickBot="1" x14ac:dyDescent="0.3">
      <c r="A6" s="11" t="s">
        <v>0</v>
      </c>
      <c r="B6" s="64">
        <f>+Ethanol!B6+Biodiesel!B6</f>
        <v>2332.3645970937914</v>
      </c>
      <c r="C6" s="64">
        <f>+Ethanol!C6+Biodiesel!C6</f>
        <v>2398.4147952443859</v>
      </c>
      <c r="D6" s="64">
        <f>+Ethanol!D6+Biodiesel!D6</f>
        <v>2411.3606340819024</v>
      </c>
      <c r="E6" s="64">
        <f>+Ethanol!E6+Biodiesel!E6</f>
        <v>2693.2628797886396</v>
      </c>
      <c r="F6" s="64">
        <f>+Ethanol!F6+Biodiesel!F6</f>
        <v>2888.5072655217964</v>
      </c>
      <c r="G6" s="64">
        <f>+Ethanol!G6+Biodiesel!G6</f>
        <v>2761.4266842800525</v>
      </c>
      <c r="H6" s="64">
        <f>+Ethanol!H6+Biodiesel!H6</f>
        <v>2697.225891677675</v>
      </c>
      <c r="I6" s="64">
        <f>+Ethanol!I6+Biodiesel!I6</f>
        <v>2732.6287978863934</v>
      </c>
      <c r="J6" s="64">
        <f>+Ethanol!J6+Biodiesel!J6</f>
        <v>2735.5350066050196</v>
      </c>
      <c r="K6" s="64">
        <f>+Ethanol!K6+Biodiesel!K6</f>
        <v>2837.2523117569353</v>
      </c>
      <c r="L6" s="64">
        <f>+Ethanol!L6+Biodiesel!L6</f>
        <v>2815.0594451783354</v>
      </c>
      <c r="M6" s="64">
        <f>+Ethanol!M6+Biodiesel!M6</f>
        <v>3192.8665785997359</v>
      </c>
      <c r="N6" s="64">
        <f>+Ethanol!N6+Biodiesel!N6</f>
        <v>3323.5165125495378</v>
      </c>
      <c r="O6" s="64">
        <f>+Ethanol!O6+Biodiesel!O6</f>
        <v>3301.0488771466312</v>
      </c>
      <c r="P6" s="64">
        <f>+Ethanol!P6+Biodiesel!P6</f>
        <v>3296.9299867899599</v>
      </c>
      <c r="Q6" s="64">
        <f>+Ethanol!Q6+Biodiesel!Q6</f>
        <v>3299.5799207397622</v>
      </c>
      <c r="R6" s="64">
        <f>+Ethanol!R6+Biodiesel!R6</f>
        <v>3302.5284015852048</v>
      </c>
      <c r="S6" s="64">
        <f>+Ethanol!S6+Biodiesel!S6</f>
        <v>3296.3593130779391</v>
      </c>
      <c r="T6" s="64">
        <f>+Ethanol!T6+Biodiesel!T6</f>
        <v>3327.3527080581243</v>
      </c>
      <c r="U6" s="64">
        <f>+Ethanol!U6+Biodiesel!U6</f>
        <v>3366.0660501981506</v>
      </c>
      <c r="V6" s="64">
        <f>+Ethanol!V6+Biodiesel!V6</f>
        <v>3400.6657859973575</v>
      </c>
      <c r="W6" s="64">
        <f>+Ethanol!W6+Biodiesel!W6</f>
        <v>3430.1321003963012</v>
      </c>
      <c r="X6" s="64">
        <f>+Ethanol!X6+Biodiesel!X6</f>
        <v>3466.6182298546896</v>
      </c>
      <c r="Y6" s="65">
        <f t="shared" si="0"/>
        <v>4.7761057529256288</v>
      </c>
      <c r="Z6" s="65">
        <f t="shared" si="1"/>
        <v>165.56935270805843</v>
      </c>
      <c r="AA6" s="6" t="s">
        <v>24</v>
      </c>
      <c r="AB6" s="6" t="s">
        <v>25</v>
      </c>
      <c r="AC6" s="30">
        <v>45352</v>
      </c>
    </row>
    <row r="7" spans="1:29" ht="15.75" thickBot="1" x14ac:dyDescent="0.3">
      <c r="A7" s="11" t="s">
        <v>59</v>
      </c>
      <c r="B7" s="64">
        <f>+Ethanol!B7+Biodiesel!B7</f>
        <v>262.58916776750328</v>
      </c>
      <c r="C7" s="64">
        <f>+Ethanol!C7+Biodiesel!C7</f>
        <v>531.17569352708063</v>
      </c>
      <c r="D7" s="64">
        <f>+Ethanol!D7+Biodiesel!D7</f>
        <v>657.96565389696161</v>
      </c>
      <c r="E7" s="64">
        <f>+Ethanol!E7+Biodiesel!E7</f>
        <v>845.01981505944514</v>
      </c>
      <c r="F7" s="64">
        <f>+Ethanol!F7+Biodiesel!F7</f>
        <v>953.2100396301189</v>
      </c>
      <c r="G7" s="64">
        <f>+Ethanol!G7+Biodiesel!G7</f>
        <v>373.13077939233818</v>
      </c>
      <c r="H7" s="64">
        <f>+Ethanol!H7+Biodiesel!H7</f>
        <v>975.08586525759574</v>
      </c>
      <c r="I7" s="64">
        <f>+Ethanol!I7+Biodiesel!I7</f>
        <v>781.0832232496698</v>
      </c>
      <c r="J7" s="64">
        <f>+Ethanol!J7+Biodiesel!J7</f>
        <v>1509.1413474240421</v>
      </c>
      <c r="K7" s="64">
        <f>+Ethanol!K7+Biodiesel!K7</f>
        <v>2074.9801849405549</v>
      </c>
      <c r="L7" s="64">
        <f>+Ethanol!L7+Biodiesel!L7</f>
        <v>2283.2496697490092</v>
      </c>
      <c r="M7" s="64">
        <f>+Ethanol!M7+Biodiesel!M7</f>
        <v>2554.1875825627476</v>
      </c>
      <c r="N7" s="64">
        <f>+Ethanol!N7+Biodiesel!N7</f>
        <v>2768.8771466314402</v>
      </c>
      <c r="O7" s="64">
        <f>+Ethanol!O7+Biodiesel!O7</f>
        <v>2892.0581241743726</v>
      </c>
      <c r="P7" s="64">
        <f>+Ethanol!P7+Biodiesel!P7</f>
        <v>2956.2642007926024</v>
      </c>
      <c r="Q7" s="64">
        <f>+Ethanol!Q7+Biodiesel!Q7</f>
        <v>3005.8203434610305</v>
      </c>
      <c r="R7" s="64">
        <f>+Ethanol!R7+Biodiesel!R7</f>
        <v>3046.6050198150597</v>
      </c>
      <c r="S7" s="64">
        <f>+Ethanol!S7+Biodiesel!S7</f>
        <v>3074.7107001321006</v>
      </c>
      <c r="T7" s="64">
        <f>+Ethanol!T7+Biodiesel!T7</f>
        <v>3132.5997357992073</v>
      </c>
      <c r="U7" s="64">
        <f>+Ethanol!U7+Biodiesel!U7</f>
        <v>3181.3104359313074</v>
      </c>
      <c r="V7" s="64">
        <f>+Ethanol!V7+Biodiesel!V7</f>
        <v>3230.229854689564</v>
      </c>
      <c r="W7" s="64">
        <f>+Ethanol!W7+Biodiesel!W7</f>
        <v>3279.770145310436</v>
      </c>
      <c r="X7" s="64">
        <f>+Ethanol!X7+Biodiesel!X7</f>
        <v>3330.2457067371197</v>
      </c>
      <c r="Y7" s="65">
        <f t="shared" si="0"/>
        <v>13.157815403118436</v>
      </c>
      <c r="Z7" s="65">
        <f t="shared" si="1"/>
        <v>438.18758256274714</v>
      </c>
      <c r="AA7" s="6" t="s">
        <v>24</v>
      </c>
      <c r="AB7" s="6" t="s">
        <v>25</v>
      </c>
      <c r="AC7" s="30">
        <v>45352</v>
      </c>
    </row>
    <row r="8" spans="1:29" ht="15.75" thickBot="1" x14ac:dyDescent="0.3">
      <c r="A8" s="9" t="s">
        <v>60</v>
      </c>
      <c r="B8" s="64">
        <f>+Ethanol!B8+Biodiesel!B8</f>
        <v>215.56142668428006</v>
      </c>
      <c r="C8" s="64">
        <f>+Ethanol!C8+Biodiesel!C8</f>
        <v>200.68692206076616</v>
      </c>
      <c r="D8" s="64">
        <f>+Ethanol!D8+Biodiesel!D8</f>
        <v>195.53500660501982</v>
      </c>
      <c r="E8" s="64">
        <f>+Ethanol!E8+Biodiesel!E8</f>
        <v>210.83223249669749</v>
      </c>
      <c r="F8" s="64">
        <f>+Ethanol!F8+Biodiesel!F8</f>
        <v>280.92470277410831</v>
      </c>
      <c r="G8" s="64">
        <f>+Ethanol!G8+Biodiesel!G8</f>
        <v>232.28533685601056</v>
      </c>
      <c r="H8" s="64">
        <f>+Ethanol!H8+Biodiesel!H8</f>
        <v>327.26816380449139</v>
      </c>
      <c r="I8" s="64">
        <f>+Ethanol!I8+Biodiesel!I8</f>
        <v>375.01188903566714</v>
      </c>
      <c r="J8" s="64">
        <f>+Ethanol!J8+Biodiesel!J8</f>
        <v>375.16248348745046</v>
      </c>
      <c r="K8" s="64">
        <f>+Ethanol!K8+Biodiesel!K8</f>
        <v>274.01321003963011</v>
      </c>
      <c r="L8" s="64">
        <f>+Ethanol!L8+Biodiesel!L8</f>
        <v>317.04095112285336</v>
      </c>
      <c r="M8" s="64">
        <f>+Ethanol!M8+Biodiesel!M8</f>
        <v>323.91017173051517</v>
      </c>
      <c r="N8" s="64">
        <f>+Ethanol!N8+Biodiesel!N8</f>
        <v>359.85733157199468</v>
      </c>
      <c r="O8" s="64">
        <f>+Ethanol!O8+Biodiesel!O8</f>
        <v>370.25627476882426</v>
      </c>
      <c r="P8" s="64">
        <f>+Ethanol!P8+Biodiesel!P8</f>
        <v>375.96036988110961</v>
      </c>
      <c r="Q8" s="64">
        <f>+Ethanol!Q8+Biodiesel!Q8</f>
        <v>378.93791281373842</v>
      </c>
      <c r="R8" s="64">
        <f>+Ethanol!R8+Biodiesel!R8</f>
        <v>377.9498018494055</v>
      </c>
      <c r="S8" s="64">
        <f>+Ethanol!S8+Biodiesel!S8</f>
        <v>377.20475561426684</v>
      </c>
      <c r="T8" s="64">
        <f>+Ethanol!T8+Biodiesel!T8</f>
        <v>384.35138705416114</v>
      </c>
      <c r="U8" s="64">
        <f>+Ethanol!U8+Biodiesel!U8</f>
        <v>391.65125495376481</v>
      </c>
      <c r="V8" s="64">
        <f>+Ethanol!V8+Biodiesel!V8</f>
        <v>398.04227212681633</v>
      </c>
      <c r="W8" s="64">
        <f>+Ethanol!W8+Biodiesel!W8</f>
        <v>404.24834874504626</v>
      </c>
      <c r="X8" s="64">
        <f>+Ethanol!X8+Biodiesel!X8</f>
        <v>413.50330250990754</v>
      </c>
      <c r="Y8" s="65">
        <f t="shared" si="0"/>
        <v>10.458689804550495</v>
      </c>
      <c r="Z8" s="65">
        <f t="shared" si="1"/>
        <v>43.247027741083286</v>
      </c>
      <c r="AA8" s="2" t="s">
        <v>24</v>
      </c>
      <c r="AB8" s="2" t="s">
        <v>25</v>
      </c>
      <c r="AC8" s="10">
        <v>45352</v>
      </c>
    </row>
    <row r="9" spans="1:29" ht="15.75" thickBot="1" x14ac:dyDescent="0.3">
      <c r="A9" s="9" t="s">
        <v>81</v>
      </c>
      <c r="B9" s="64">
        <f>+Ethanol!B9+Biodiesel!B9</f>
        <v>3322.6287978863948</v>
      </c>
      <c r="C9" s="64">
        <f>+Ethanol!C9+Biodiesel!C9</f>
        <v>3688.5812417437246</v>
      </c>
      <c r="D9" s="64">
        <f>+Ethanol!D9+Biodiesel!D9</f>
        <v>4083.5825627476906</v>
      </c>
      <c r="E9" s="64">
        <f>+Ethanol!E9+Biodiesel!E9</f>
        <v>4415.8890356671036</v>
      </c>
      <c r="F9" s="64">
        <f>+Ethanol!F9+Biodiesel!F9</f>
        <v>4854.5046235138734</v>
      </c>
      <c r="G9" s="64">
        <f>+Ethanol!G9+Biodiesel!G9</f>
        <v>4828.5891677674999</v>
      </c>
      <c r="H9" s="64">
        <f>+Ethanol!H9+Biodiesel!H9</f>
        <v>5244.6710700132098</v>
      </c>
      <c r="I9" s="64">
        <f>+Ethanol!I9+Biodiesel!I9</f>
        <v>5394.8110964332909</v>
      </c>
      <c r="J9" s="64">
        <f>+Ethanol!J9+Biodiesel!J9</f>
        <v>5757.8335535006609</v>
      </c>
      <c r="K9" s="64">
        <f>+Ethanol!K9+Biodiesel!K9</f>
        <v>6102.9062087186285</v>
      </c>
      <c r="L9" s="64">
        <f>+Ethanol!L9+Biodiesel!L9</f>
        <v>5602.7926023778073</v>
      </c>
      <c r="M9" s="64">
        <f>+Ethanol!M9+Biodiesel!M9</f>
        <v>6228.3830911492751</v>
      </c>
      <c r="N9" s="64">
        <f>+Ethanol!N9+Biodiesel!N9</f>
        <v>6980.5759577278677</v>
      </c>
      <c r="O9" s="64">
        <f>+Ethanol!O9+Biodiesel!O9</f>
        <v>7407.099075297223</v>
      </c>
      <c r="P9" s="64">
        <f>+Ethanol!P9+Biodiesel!P9</f>
        <v>7860.8533685601051</v>
      </c>
      <c r="Q9" s="64">
        <f>+Ethanol!Q9+Biodiesel!Q9</f>
        <v>8202.6842800528411</v>
      </c>
      <c r="R9" s="64">
        <f>+Ethanol!R9+Biodiesel!R9</f>
        <v>8469.7252311756893</v>
      </c>
      <c r="S9" s="64">
        <f>+Ethanol!S9+Biodiesel!S9</f>
        <v>8668.3408190224582</v>
      </c>
      <c r="T9" s="64">
        <f>+Ethanol!T9+Biodiesel!T9</f>
        <v>8853.6591809775455</v>
      </c>
      <c r="U9" s="64">
        <f>+Ethanol!U9+Biodiesel!U9</f>
        <v>9020.7424042272123</v>
      </c>
      <c r="V9" s="64">
        <f>+Ethanol!V9+Biodiesel!V9</f>
        <v>9177.3579920739721</v>
      </c>
      <c r="W9" s="64">
        <f>+Ethanol!W9+Biodiesel!W9</f>
        <v>9325.5984147952458</v>
      </c>
      <c r="X9" s="64">
        <f>+Ethanol!X9+Biodiesel!X9</f>
        <v>9467.1598414795244</v>
      </c>
      <c r="Y9" s="65">
        <f t="shared" si="0"/>
        <v>21.76007166538297</v>
      </c>
      <c r="Z9" s="65">
        <f t="shared" si="1"/>
        <v>2060.0607661823014</v>
      </c>
      <c r="AA9" s="2" t="s">
        <v>24</v>
      </c>
      <c r="AB9" s="2" t="s">
        <v>25</v>
      </c>
      <c r="AC9" s="10">
        <v>45352</v>
      </c>
    </row>
    <row r="10" spans="1:29" ht="15.75" thickBot="1" x14ac:dyDescent="0.3">
      <c r="A10" s="12" t="s">
        <v>82</v>
      </c>
      <c r="B10" s="65">
        <f>+Ethanol!B10+Biodiesel!B10</f>
        <v>32679.899603698814</v>
      </c>
      <c r="C10" s="65">
        <f>+Ethanol!C10+Biodiesel!C10</f>
        <v>33726.729194187581</v>
      </c>
      <c r="D10" s="65">
        <f>+Ethanol!D10+Biodiesel!D10</f>
        <v>33997.484808454421</v>
      </c>
      <c r="E10" s="65">
        <f>+Ethanol!E10+Biodiesel!E10</f>
        <v>36606.512549537649</v>
      </c>
      <c r="F10" s="65">
        <f>+Ethanol!F10+Biodiesel!F10</f>
        <v>39302.266842800527</v>
      </c>
      <c r="G10" s="65">
        <f>+Ethanol!G10+Biodiesel!G10</f>
        <v>39428.250990752975</v>
      </c>
      <c r="H10" s="65">
        <f>+Ethanol!H10+Biodiesel!H10</f>
        <v>40680.491413474236</v>
      </c>
      <c r="I10" s="65">
        <f>+Ethanol!I10+Biodiesel!I10</f>
        <v>41803.682959048878</v>
      </c>
      <c r="J10" s="65">
        <f>+Ethanol!J10+Biodiesel!J10</f>
        <v>45343.24174372523</v>
      </c>
      <c r="K10" s="65">
        <f>+Ethanol!K10+Biodiesel!K10</f>
        <v>46944.163804491407</v>
      </c>
      <c r="L10" s="65">
        <f>+Ethanol!L10+Biodiesel!L10</f>
        <v>44725.394980184938</v>
      </c>
      <c r="M10" s="65">
        <f>+Ethanol!M10+Biodiesel!M10</f>
        <v>46475.204755614264</v>
      </c>
      <c r="N10" s="65">
        <f>+Ethanol!N10+Biodiesel!N10</f>
        <v>49821.939233817699</v>
      </c>
      <c r="O10" s="65">
        <f>+Ethanol!O10+Biodiesel!O10</f>
        <v>50749.891677675027</v>
      </c>
      <c r="P10" s="65">
        <f>+Ethanol!P10+Biodiesel!P10</f>
        <v>52017.41347424042</v>
      </c>
      <c r="Q10" s="65">
        <f>+Ethanol!Q10+Biodiesel!Q10</f>
        <v>52746.752972258924</v>
      </c>
      <c r="R10" s="65">
        <f>+Ethanol!R10+Biodiesel!R10</f>
        <v>53532.634081902244</v>
      </c>
      <c r="S10" s="65">
        <f>+Ethanol!S10+Biodiesel!S10</f>
        <v>54191.72787318362</v>
      </c>
      <c r="T10" s="65">
        <f>+Ethanol!T10+Biodiesel!T10</f>
        <v>54935.833553500663</v>
      </c>
      <c r="U10" s="65">
        <f>+Ethanol!U10+Biodiesel!U10</f>
        <v>55593.44253632761</v>
      </c>
      <c r="V10" s="65">
        <f>+Ethanol!V10+Biodiesel!V10</f>
        <v>56239.706737120207</v>
      </c>
      <c r="W10" s="65">
        <f>+Ethanol!W10+Biodiesel!W10</f>
        <v>56868.528401585208</v>
      </c>
      <c r="X10" s="65">
        <f>+Ethanol!X10+Biodiesel!X10</f>
        <v>57552.710700132098</v>
      </c>
      <c r="Y10" s="65">
        <f>+(X10-O10)/X10*100</f>
        <v>11.82015397659012</v>
      </c>
      <c r="Z10" s="65">
        <f>+X10-O10</f>
        <v>6802.8190224570717</v>
      </c>
      <c r="AA10" s="14" t="s">
        <v>24</v>
      </c>
      <c r="AB10" s="14" t="s">
        <v>25</v>
      </c>
      <c r="AC10" s="15">
        <v>45352</v>
      </c>
    </row>
    <row r="11" spans="1:29" ht="15.75" thickBot="1" x14ac:dyDescent="0.3">
      <c r="A11" s="22" t="s">
        <v>54</v>
      </c>
      <c r="B11" s="23">
        <v>2010</v>
      </c>
      <c r="C11" s="23">
        <v>2011</v>
      </c>
      <c r="D11" s="23">
        <v>2012</v>
      </c>
      <c r="E11" s="23">
        <v>2013</v>
      </c>
      <c r="F11" s="23">
        <v>2014</v>
      </c>
      <c r="G11" s="23">
        <v>2015</v>
      </c>
      <c r="H11" s="23">
        <v>2016</v>
      </c>
      <c r="I11" s="23">
        <v>2017</v>
      </c>
      <c r="J11" s="23">
        <v>2018</v>
      </c>
      <c r="K11" s="23">
        <v>2019</v>
      </c>
      <c r="L11" s="23">
        <v>2020</v>
      </c>
      <c r="M11" s="23">
        <v>2021</v>
      </c>
      <c r="N11" s="23">
        <v>2022</v>
      </c>
      <c r="O11" s="23">
        <v>2023</v>
      </c>
      <c r="P11" s="23">
        <v>2024</v>
      </c>
      <c r="Q11" s="23">
        <v>2025</v>
      </c>
      <c r="R11" s="23">
        <v>2026</v>
      </c>
      <c r="S11" s="23">
        <v>2027</v>
      </c>
      <c r="T11" s="23">
        <v>2028</v>
      </c>
      <c r="U11" s="23">
        <v>2029</v>
      </c>
      <c r="V11" s="23">
        <v>2030</v>
      </c>
      <c r="W11" s="23">
        <v>2031</v>
      </c>
      <c r="X11" s="23">
        <v>2032</v>
      </c>
      <c r="Y11" s="23"/>
      <c r="Z11" s="23"/>
      <c r="AA11" s="23" t="s">
        <v>22</v>
      </c>
      <c r="AB11" s="23" t="s">
        <v>26</v>
      </c>
      <c r="AC11" s="24" t="s">
        <v>23</v>
      </c>
    </row>
    <row r="12" spans="1:29" ht="15.75" thickBot="1" x14ac:dyDescent="0.3">
      <c r="A12" s="20" t="s">
        <v>55</v>
      </c>
      <c r="B12" s="66">
        <f>+Ethanol!B11+Biodiesel!B11</f>
        <v>13506.433289299866</v>
      </c>
      <c r="C12" s="66">
        <f>+Ethanol!C11+Biodiesel!C11</f>
        <v>14564.737120211361</v>
      </c>
      <c r="D12" s="66">
        <f>+Ethanol!D11+Biodiesel!D11</f>
        <v>14481.535006605018</v>
      </c>
      <c r="E12" s="66">
        <f>+Ethanol!E11+Biodiesel!E11</f>
        <v>15458.227212681637</v>
      </c>
      <c r="F12" s="66">
        <f>+Ethanol!F11+Biodiesel!F11</f>
        <v>15788.5178335535</v>
      </c>
      <c r="G12" s="66">
        <f>+Ethanol!G11+Biodiesel!G11</f>
        <v>16279.072655217966</v>
      </c>
      <c r="H12" s="66">
        <f>+Ethanol!H11+Biodiesel!H11</f>
        <v>17339.41347424042</v>
      </c>
      <c r="I12" s="66">
        <f>+Ethanol!I11+Biodiesel!I11</f>
        <v>17342.723910171728</v>
      </c>
      <c r="J12" s="66">
        <f>+Ethanol!J11+Biodiesel!J11</f>
        <v>17325.556142668429</v>
      </c>
      <c r="K12" s="66">
        <f>+Ethanol!K11+Biodiesel!K11</f>
        <v>17534.568031704093</v>
      </c>
      <c r="L12" s="66">
        <f>+Ethanol!L11+Biodiesel!L11</f>
        <v>15887.836195508586</v>
      </c>
      <c r="M12" s="66">
        <f>+Ethanol!M11+Biodiesel!M11</f>
        <v>17425.104359313074</v>
      </c>
      <c r="N12" s="66">
        <f>+Ethanol!N11+Biodiesel!N11</f>
        <v>17919.276089828269</v>
      </c>
      <c r="O12" s="66">
        <f>+Ethanol!O11+Biodiesel!O11</f>
        <v>18155.157199471596</v>
      </c>
      <c r="P12" s="66">
        <f>+Ethanol!P11+Biodiesel!P11</f>
        <v>18353.006605019815</v>
      </c>
      <c r="Q12" s="66">
        <f>+Ethanol!Q11+Biodiesel!Q11</f>
        <v>18400.86393659181</v>
      </c>
      <c r="R12" s="66">
        <f>+Ethanol!R11+Biodiesel!R11</f>
        <v>18487.13606340819</v>
      </c>
      <c r="S12" s="66">
        <f>+Ethanol!S11+Biodiesel!S11</f>
        <v>18561.669749009248</v>
      </c>
      <c r="T12" s="66">
        <f>+Ethanol!T11+Biodiesel!T11</f>
        <v>18642.108322324966</v>
      </c>
      <c r="U12" s="66">
        <f>+Ethanol!U11+Biodiesel!U11</f>
        <v>18716.174372523117</v>
      </c>
      <c r="V12" s="66">
        <f>+Ethanol!V11+Biodiesel!V11</f>
        <v>18808.361955085864</v>
      </c>
      <c r="W12" s="66">
        <f>+Ethanol!W11+Biodiesel!W11</f>
        <v>18871.125495376484</v>
      </c>
      <c r="X12" s="66">
        <f>+Ethanol!X11+Biodiesel!X11</f>
        <v>18941.278731836195</v>
      </c>
      <c r="Y12" s="65">
        <f t="shared" ref="Y12:Y19" si="2">+(X12-O12)/X12*100</f>
        <v>4.1503086644477643</v>
      </c>
      <c r="Z12" s="65">
        <f t="shared" ref="Z12:Z19" si="3">+X12-O12</f>
        <v>786.12153236459926</v>
      </c>
      <c r="AA12" s="8" t="s">
        <v>24</v>
      </c>
      <c r="AB12" s="8" t="s">
        <v>25</v>
      </c>
      <c r="AC12" s="21">
        <v>45352</v>
      </c>
    </row>
    <row r="13" spans="1:29" ht="15.75" thickBot="1" x14ac:dyDescent="0.3">
      <c r="A13" s="9" t="s">
        <v>56</v>
      </c>
      <c r="B13" s="66">
        <f>+Ethanol!B12+Biodiesel!B12</f>
        <v>7302.4359313077939</v>
      </c>
      <c r="C13" s="66">
        <f>+Ethanol!C12+Biodiesel!C12</f>
        <v>6596.1638044914134</v>
      </c>
      <c r="D13" s="66">
        <f>+Ethanol!D12+Biodiesel!D12</f>
        <v>6091.0752972258924</v>
      </c>
      <c r="E13" s="66">
        <f>+Ethanol!E12+Biodiesel!E12</f>
        <v>7126.594451783355</v>
      </c>
      <c r="F13" s="66">
        <f>+Ethanol!F12+Biodiesel!F12</f>
        <v>7974.9484808454426</v>
      </c>
      <c r="G13" s="66">
        <f>+Ethanol!G12+Biodiesel!G12</f>
        <v>9326.3936591809761</v>
      </c>
      <c r="H13" s="66">
        <f>+Ethanol!H12+Biodiesel!H12</f>
        <v>8586.7899603698806</v>
      </c>
      <c r="I13" s="66">
        <f>+Ethanol!I12+Biodiesel!I12</f>
        <v>8555.8969616908853</v>
      </c>
      <c r="J13" s="66">
        <f>+Ethanol!J12+Biodiesel!J12</f>
        <v>9964.8877146631439</v>
      </c>
      <c r="K13" s="66">
        <f>+Ethanol!K12+Biodiesel!K12</f>
        <v>10894.068692206078</v>
      </c>
      <c r="L13" s="66">
        <f>+Ethanol!L12+Biodiesel!L12</f>
        <v>9713.8177014531029</v>
      </c>
      <c r="M13" s="66">
        <f>+Ethanol!M12+Biodiesel!M12</f>
        <v>9350.3276089828269</v>
      </c>
      <c r="N13" s="66">
        <f>+Ethanol!N12+Biodiesel!N12</f>
        <v>9591.3342140026416</v>
      </c>
      <c r="O13" s="66">
        <f>+Ethanol!O12+Biodiesel!O12</f>
        <v>10295.875825627476</v>
      </c>
      <c r="P13" s="66">
        <f>+Ethanol!P12+Biodiesel!P12</f>
        <v>10661.719947159841</v>
      </c>
      <c r="Q13" s="66">
        <f>+Ethanol!Q12+Biodiesel!Q12</f>
        <v>10929.524438573315</v>
      </c>
      <c r="R13" s="66">
        <f>+Ethanol!R12+Biodiesel!R12</f>
        <v>11191.904887714662</v>
      </c>
      <c r="S13" s="66">
        <f>+Ethanol!S12+Biodiesel!S12</f>
        <v>11434.393659180978</v>
      </c>
      <c r="T13" s="66">
        <f>+Ethanol!T12+Biodiesel!T12</f>
        <v>11713.249669749008</v>
      </c>
      <c r="U13" s="66">
        <f>+Ethanol!U12+Biodiesel!U12</f>
        <v>11974.343461030385</v>
      </c>
      <c r="V13" s="66">
        <f>+Ethanol!V12+Biodiesel!V12</f>
        <v>12241.297225891676</v>
      </c>
      <c r="W13" s="66">
        <f>+Ethanol!W12+Biodiesel!W12</f>
        <v>12499.075297225892</v>
      </c>
      <c r="X13" s="66">
        <f>+Ethanol!X12+Biodiesel!X12</f>
        <v>12760.430647291942</v>
      </c>
      <c r="Y13" s="65">
        <f t="shared" si="2"/>
        <v>19.314041114964258</v>
      </c>
      <c r="Z13" s="65">
        <f t="shared" si="3"/>
        <v>2464.5548216644656</v>
      </c>
      <c r="AA13" s="2" t="s">
        <v>24</v>
      </c>
      <c r="AB13" s="2" t="s">
        <v>25</v>
      </c>
      <c r="AC13" s="10">
        <v>45352</v>
      </c>
    </row>
    <row r="14" spans="1:29" ht="15.75" thickBot="1" x14ac:dyDescent="0.3">
      <c r="A14" s="9" t="s">
        <v>57</v>
      </c>
      <c r="B14" s="66">
        <f>+Ethanol!B13+Biodiesel!B13</f>
        <v>4737.5455746367243</v>
      </c>
      <c r="C14" s="66">
        <f>+Ethanol!C13+Biodiesel!C13</f>
        <v>4847.7146631439891</v>
      </c>
      <c r="D14" s="66">
        <f>+Ethanol!D13+Biodiesel!D13</f>
        <v>5173.8652575957722</v>
      </c>
      <c r="E14" s="66">
        <f>+Ethanol!E13+Biodiesel!E13</f>
        <v>4932.3566710700134</v>
      </c>
      <c r="F14" s="66">
        <f>+Ethanol!F13+Biodiesel!F13</f>
        <v>5278.1162483487451</v>
      </c>
      <c r="G14" s="66">
        <f>+Ethanol!G13+Biodiesel!G13</f>
        <v>5151.2391017173049</v>
      </c>
      <c r="H14" s="66">
        <f>+Ethanol!H13+Biodiesel!H13</f>
        <v>5326.6023778071331</v>
      </c>
      <c r="I14" s="66">
        <f>+Ethanol!I13+Biodiesel!I13</f>
        <v>5818.0686922060768</v>
      </c>
      <c r="J14" s="66">
        <f>+Ethanol!J13+Biodiesel!J13</f>
        <v>6329.7727873183621</v>
      </c>
      <c r="K14" s="66">
        <f>+Ethanol!K13+Biodiesel!K13</f>
        <v>6704.1241743725232</v>
      </c>
      <c r="L14" s="66">
        <f>+Ethanol!L13+Biodiesel!L13</f>
        <v>6830.5284015852048</v>
      </c>
      <c r="M14" s="66">
        <f>+Ethanol!M13+Biodiesel!M13</f>
        <v>7052.7661822985465</v>
      </c>
      <c r="N14" s="66">
        <f>+Ethanol!N13+Biodiesel!N13</f>
        <v>7047.849405548217</v>
      </c>
      <c r="O14" s="66">
        <f>+Ethanol!O13+Biodiesel!O13</f>
        <v>7059.9180977542928</v>
      </c>
      <c r="P14" s="66">
        <f>+Ethanol!P13+Biodiesel!P13</f>
        <v>7099.3236459709378</v>
      </c>
      <c r="Q14" s="66">
        <f>+Ethanol!Q13+Biodiesel!Q13</f>
        <v>7082.5759577278732</v>
      </c>
      <c r="R14" s="66">
        <f>+Ethanol!R13+Biodiesel!R13</f>
        <v>7123.4504623513867</v>
      </c>
      <c r="S14" s="66">
        <f>+Ethanol!S13+Biodiesel!S13</f>
        <v>7167.003963011889</v>
      </c>
      <c r="T14" s="66">
        <f>+Ethanol!T13+Biodiesel!T13</f>
        <v>7187.9233817701443</v>
      </c>
      <c r="U14" s="66">
        <f>+Ethanol!U13+Biodiesel!U13</f>
        <v>7189.1704095112282</v>
      </c>
      <c r="V14" s="66">
        <f>+Ethanol!V13+Biodiesel!V13</f>
        <v>7150.5733157199465</v>
      </c>
      <c r="W14" s="66">
        <f>+Ethanol!W13+Biodiesel!W13</f>
        <v>7137.2734478203438</v>
      </c>
      <c r="X14" s="66">
        <f>+Ethanol!X13+Biodiesel!X13</f>
        <v>7166.4174372523112</v>
      </c>
      <c r="Y14" s="65">
        <f t="shared" si="2"/>
        <v>1.4860889758446927</v>
      </c>
      <c r="Z14" s="65">
        <f t="shared" si="3"/>
        <v>106.49933949801834</v>
      </c>
      <c r="AA14" s="2" t="s">
        <v>24</v>
      </c>
      <c r="AB14" s="2" t="s">
        <v>25</v>
      </c>
      <c r="AC14" s="10">
        <v>45352</v>
      </c>
    </row>
    <row r="15" spans="1:29" ht="15.75" thickBot="1" x14ac:dyDescent="0.3">
      <c r="A15" s="9" t="s">
        <v>58</v>
      </c>
      <c r="B15" s="66">
        <f>+Ethanol!B14+Biodiesel!B14</f>
        <v>29.326287978863935</v>
      </c>
      <c r="C15" s="66">
        <f>+Ethanol!C14+Biodiesel!C14</f>
        <v>42.27212681638045</v>
      </c>
      <c r="D15" s="66">
        <f>+Ethanol!D14+Biodiesel!D14</f>
        <v>733.15719947159846</v>
      </c>
      <c r="E15" s="66">
        <f>+Ethanol!E14+Biodiesel!E14</f>
        <v>870.80581241743721</v>
      </c>
      <c r="F15" s="66">
        <f>+Ethanol!F14+Biodiesel!F14</f>
        <v>899.60369881109636</v>
      </c>
      <c r="G15" s="66">
        <f>+Ethanol!G14+Biodiesel!G14</f>
        <v>955.08586525759574</v>
      </c>
      <c r="H15" s="66">
        <f>+Ethanol!H14+Biodiesel!H14</f>
        <v>952.70805812417427</v>
      </c>
      <c r="I15" s="66">
        <f>+Ethanol!I14+Biodiesel!I14</f>
        <v>967.50330250990748</v>
      </c>
      <c r="J15" s="66">
        <f>+Ethanol!J14+Biodiesel!J14</f>
        <v>965.8388375165124</v>
      </c>
      <c r="K15" s="66">
        <f>+Ethanol!K14+Biodiesel!K14</f>
        <v>1021.4874504623513</v>
      </c>
      <c r="L15" s="66">
        <f>+Ethanol!L14+Biodiesel!L14</f>
        <v>931.66182298546892</v>
      </c>
      <c r="M15" s="66">
        <f>+Ethanol!M14+Biodiesel!M14</f>
        <v>966.22457067371192</v>
      </c>
      <c r="N15" s="66">
        <f>+Ethanol!N14+Biodiesel!N14</f>
        <v>1053.3210039630119</v>
      </c>
      <c r="O15" s="66">
        <f>+Ethanol!O14+Biodiesel!O14</f>
        <v>1131.0515191545574</v>
      </c>
      <c r="P15" s="66">
        <f>+Ethanol!P14+Biodiesel!P14</f>
        <v>1206.2853368560104</v>
      </c>
      <c r="Q15" s="66">
        <f>+Ethanol!Q14+Biodiesel!Q14</f>
        <v>1276.6129458388375</v>
      </c>
      <c r="R15" s="66">
        <f>+Ethanol!R14+Biodiesel!R14</f>
        <v>1343.799207397622</v>
      </c>
      <c r="S15" s="66">
        <f>+Ethanol!S14+Biodiesel!S14</f>
        <v>1406.2192866578598</v>
      </c>
      <c r="T15" s="66">
        <f>+Ethanol!T14+Biodiesel!T14</f>
        <v>1472.8718626155876</v>
      </c>
      <c r="U15" s="66">
        <f>+Ethanol!U14+Biodiesel!U14</f>
        <v>1537.6459709379128</v>
      </c>
      <c r="V15" s="66">
        <f>+Ethanol!V14+Biodiesel!V14</f>
        <v>1602.8190224570671</v>
      </c>
      <c r="W15" s="66">
        <f>+Ethanol!W14+Biodiesel!W14</f>
        <v>1669.2206076618231</v>
      </c>
      <c r="X15" s="66">
        <f>+Ethanol!X14+Biodiesel!X14</f>
        <v>1738.0766182298546</v>
      </c>
      <c r="Y15" s="65">
        <f>+(X15-O15)/X15*100</f>
        <v>34.925105873268258</v>
      </c>
      <c r="Z15" s="65">
        <f t="shared" si="3"/>
        <v>607.02509907529725</v>
      </c>
      <c r="AA15" s="2" t="s">
        <v>24</v>
      </c>
      <c r="AB15" s="2" t="s">
        <v>25</v>
      </c>
      <c r="AC15" s="10">
        <v>45352</v>
      </c>
    </row>
    <row r="16" spans="1:29" ht="15.75" thickBot="1" x14ac:dyDescent="0.3">
      <c r="A16" s="11" t="s">
        <v>0</v>
      </c>
      <c r="B16" s="66">
        <f>+Ethanol!B15+Biodiesel!B15</f>
        <v>2290.0924702774109</v>
      </c>
      <c r="C16" s="66">
        <f>+Ethanol!C15+Biodiesel!C15</f>
        <v>2374.5548216644652</v>
      </c>
      <c r="D16" s="66">
        <f>+Ethanol!D15+Biodiesel!D15</f>
        <v>2437.5957727873179</v>
      </c>
      <c r="E16" s="66">
        <f>+Ethanol!E15+Biodiesel!E15</f>
        <v>2896.6974900924702</v>
      </c>
      <c r="F16" s="66">
        <f>+Ethanol!F15+Biodiesel!F15</f>
        <v>3135.5350066050196</v>
      </c>
      <c r="G16" s="66">
        <f>+Ethanol!G15+Biodiesel!G15</f>
        <v>2877.9392338177013</v>
      </c>
      <c r="H16" s="66">
        <f>+Ethanol!H15+Biodiesel!H15</f>
        <v>2890.6208718626158</v>
      </c>
      <c r="I16" s="66">
        <f>+Ethanol!I15+Biodiesel!I15</f>
        <v>2738.9696169088506</v>
      </c>
      <c r="J16" s="66">
        <f>+Ethanol!J15+Biodiesel!J15</f>
        <v>3046.2351387054159</v>
      </c>
      <c r="K16" s="66">
        <f>+Ethanol!K15+Biodiesel!K15</f>
        <v>2969.6169088507268</v>
      </c>
      <c r="L16" s="66">
        <f>+Ethanol!L15+Biodiesel!L15</f>
        <v>2542.1400264200793</v>
      </c>
      <c r="M16" s="66">
        <f>+Ethanol!M15+Biodiesel!M15</f>
        <v>2975.9577278731836</v>
      </c>
      <c r="N16" s="66">
        <f>+Ethanol!N15+Biodiesel!N15</f>
        <v>2874.1902245706738</v>
      </c>
      <c r="O16" s="66">
        <f>+Ethanol!O15+Biodiesel!O15</f>
        <v>2918.1558784676354</v>
      </c>
      <c r="P16" s="66">
        <f>+Ethanol!P15+Biodiesel!P15</f>
        <v>2949.0885072655215</v>
      </c>
      <c r="Q16" s="66">
        <f>+Ethanol!Q15+Biodiesel!Q15</f>
        <v>2994.7688243064727</v>
      </c>
      <c r="R16" s="66">
        <f>+Ethanol!R15+Biodiesel!R15</f>
        <v>3035.3368560105678</v>
      </c>
      <c r="S16" s="66">
        <f>+Ethanol!S15+Biodiesel!S15</f>
        <v>3067.017173051519</v>
      </c>
      <c r="T16" s="66">
        <f>+Ethanol!T15+Biodiesel!T15</f>
        <v>3104.050198150594</v>
      </c>
      <c r="U16" s="66">
        <f>+Ethanol!U15+Biodiesel!U15</f>
        <v>3136.8956406869215</v>
      </c>
      <c r="V16" s="66">
        <f>+Ethanol!V15+Biodiesel!V15</f>
        <v>3171.8150594451781</v>
      </c>
      <c r="W16" s="66">
        <f>+Ethanol!W15+Biodiesel!W15</f>
        <v>3204.4174372523116</v>
      </c>
      <c r="X16" s="66">
        <f>+Ethanol!X15+Biodiesel!X15</f>
        <v>3237.770145310436</v>
      </c>
      <c r="Y16" s="65">
        <f t="shared" si="2"/>
        <v>9.8714316488997138</v>
      </c>
      <c r="Z16" s="65">
        <f t="shared" si="3"/>
        <v>319.61426684280059</v>
      </c>
      <c r="AA16" s="2" t="s">
        <v>24</v>
      </c>
      <c r="AB16" s="2" t="s">
        <v>25</v>
      </c>
      <c r="AC16" s="10">
        <v>45352</v>
      </c>
    </row>
    <row r="17" spans="1:29" ht="15.75" thickBot="1" x14ac:dyDescent="0.3">
      <c r="A17" s="11" t="s">
        <v>59</v>
      </c>
      <c r="B17" s="66">
        <f>+Ethanol!B16+Biodiesel!B16</f>
        <v>100.66050198150594</v>
      </c>
      <c r="C17" s="66">
        <f>+Ethanol!C16+Biodiesel!C16</f>
        <v>133.1571994715984</v>
      </c>
      <c r="D17" s="66">
        <f>+Ethanol!D16+Biodiesel!D16</f>
        <v>217.96565389696167</v>
      </c>
      <c r="E17" s="66">
        <f>+Ethanol!E16+Biodiesel!E16</f>
        <v>308.05812417437249</v>
      </c>
      <c r="F17" s="66">
        <f>+Ethanol!F16+Biodiesel!F16</f>
        <v>517.04095112285336</v>
      </c>
      <c r="G17" s="66">
        <f>+Ethanol!G16+Biodiesel!G16</f>
        <v>268.69220607661822</v>
      </c>
      <c r="H17" s="66">
        <f>+Ethanol!H16+Biodiesel!H16</f>
        <v>831.70409511228536</v>
      </c>
      <c r="I17" s="66">
        <f>+Ethanol!I16+Biodiesel!I16</f>
        <v>715.45574636723916</v>
      </c>
      <c r="J17" s="66">
        <f>+Ethanol!J16+Biodiesel!J16</f>
        <v>1024.5706737120211</v>
      </c>
      <c r="K17" s="66">
        <f>+Ethanol!K16+Biodiesel!K16</f>
        <v>1720.211360634082</v>
      </c>
      <c r="L17" s="66">
        <f>+Ethanol!L16+Biodiesel!L16</f>
        <v>2268.9564068692202</v>
      </c>
      <c r="M17" s="66">
        <f>+Ethanol!M16+Biodiesel!M16</f>
        <v>2496.9616908850726</v>
      </c>
      <c r="N17" s="66">
        <f>+Ethanol!N16+Biodiesel!N16</f>
        <v>2707.0013210039629</v>
      </c>
      <c r="O17" s="66">
        <f>+Ethanol!O16+Biodiesel!O16</f>
        <v>2825.978863936592</v>
      </c>
      <c r="P17" s="66">
        <f>+Ethanol!P16+Biodiesel!P16</f>
        <v>2892.0343461030384</v>
      </c>
      <c r="Q17" s="66">
        <f>+Ethanol!Q16+Biodiesel!Q16</f>
        <v>2937.1651254953763</v>
      </c>
      <c r="R17" s="66">
        <f>+Ethanol!R16+Biodiesel!R16</f>
        <v>2976.0845442536329</v>
      </c>
      <c r="S17" s="66">
        <f>+Ethanol!S16+Biodiesel!S16</f>
        <v>3002.208718626156</v>
      </c>
      <c r="T17" s="66">
        <f>+Ethanol!T16+Biodiesel!T16</f>
        <v>3058.8718626155878</v>
      </c>
      <c r="U17" s="66">
        <f>+Ethanol!U16+Biodiesel!U16</f>
        <v>3104.7318361955085</v>
      </c>
      <c r="V17" s="66">
        <f>+Ethanol!V16+Biodiesel!V16</f>
        <v>3151.326287978864</v>
      </c>
      <c r="W17" s="66">
        <f>+Ethanol!W16+Biodiesel!W16</f>
        <v>3198.6763540290622</v>
      </c>
      <c r="X17" s="66">
        <f>+Ethanol!X16+Biodiesel!X16</f>
        <v>3246.7978863936592</v>
      </c>
      <c r="Y17" s="65">
        <f t="shared" si="2"/>
        <v>12.961047690113126</v>
      </c>
      <c r="Z17" s="65">
        <f t="shared" si="3"/>
        <v>420.81902245706715</v>
      </c>
      <c r="AA17" s="6" t="s">
        <v>24</v>
      </c>
      <c r="AB17" s="6" t="s">
        <v>25</v>
      </c>
      <c r="AC17" s="30">
        <v>45352</v>
      </c>
    </row>
    <row r="18" spans="1:29" ht="15.75" thickBot="1" x14ac:dyDescent="0.3">
      <c r="A18" s="9" t="s">
        <v>60</v>
      </c>
      <c r="B18" s="66">
        <f>+Ethanol!B17+Biodiesel!B17</f>
        <v>422.85601056803171</v>
      </c>
      <c r="C18" s="66">
        <f>+Ethanol!C17+Biodiesel!C17</f>
        <v>370.05812417437249</v>
      </c>
      <c r="D18" s="66">
        <f>+Ethanol!D17+Biodiesel!D17</f>
        <v>397.74108322324963</v>
      </c>
      <c r="E18" s="66">
        <f>+Ethanol!E17+Biodiesel!E17</f>
        <v>422.23249669749009</v>
      </c>
      <c r="F18" s="66">
        <f>+Ethanol!F17+Biodiesel!F17</f>
        <v>399.4557463672391</v>
      </c>
      <c r="G18" s="66">
        <f>+Ethanol!G17+Biodiesel!G17</f>
        <v>365.90488771466312</v>
      </c>
      <c r="H18" s="66">
        <f>+Ethanol!H17+Biodiesel!H17</f>
        <v>421.03566710700125</v>
      </c>
      <c r="I18" s="66">
        <f>+Ethanol!I17+Biodiesel!I17</f>
        <v>418.80052840158515</v>
      </c>
      <c r="J18" s="66">
        <f>+Ethanol!J17+Biodiesel!J17</f>
        <v>572.61558784676356</v>
      </c>
      <c r="K18" s="66">
        <f>+Ethanol!K17+Biodiesel!K17</f>
        <v>711.2100396301189</v>
      </c>
      <c r="L18" s="66">
        <f>+Ethanol!L17+Biodiesel!L17</f>
        <v>711.93659180977534</v>
      </c>
      <c r="M18" s="66">
        <f>+Ethanol!M17+Biodiesel!M17</f>
        <v>576.22721268163809</v>
      </c>
      <c r="N18" s="66">
        <f>+Ethanol!N17+Biodiesel!N17</f>
        <v>784.57859973579923</v>
      </c>
      <c r="O18" s="66">
        <f>+Ethanol!O17+Biodiesel!O17</f>
        <v>651.15719947159835</v>
      </c>
      <c r="P18" s="66">
        <f>+Ethanol!P17+Biodiesel!P17</f>
        <v>657.82034346103046</v>
      </c>
      <c r="Q18" s="66">
        <f>+Ethanol!Q17+Biodiesel!Q17</f>
        <v>665.15719947159835</v>
      </c>
      <c r="R18" s="66">
        <f>+Ethanol!R17+Biodiesel!R17</f>
        <v>668.37252311756924</v>
      </c>
      <c r="S18" s="66">
        <f>+Ethanol!S17+Biodiesel!S17</f>
        <v>673.69352708058125</v>
      </c>
      <c r="T18" s="66">
        <f>+Ethanol!T17+Biodiesel!T17</f>
        <v>686.23778071334209</v>
      </c>
      <c r="U18" s="66">
        <f>+Ethanol!U17+Biodiesel!U17</f>
        <v>699.91017173051523</v>
      </c>
      <c r="V18" s="66">
        <f>+Ethanol!V17+Biodiesel!V17</f>
        <v>712.43328929986797</v>
      </c>
      <c r="W18" s="66">
        <f>+Ethanol!W17+Biodiesel!W17</f>
        <v>725.34742404227211</v>
      </c>
      <c r="X18" s="66">
        <f>+Ethanol!X17+Biodiesel!X17</f>
        <v>737.51651254953765</v>
      </c>
      <c r="Y18" s="65">
        <f t="shared" si="2"/>
        <v>11.709475192548819</v>
      </c>
      <c r="Z18" s="65">
        <f t="shared" si="3"/>
        <v>86.359313077939305</v>
      </c>
      <c r="AA18" s="2" t="s">
        <v>24</v>
      </c>
      <c r="AB18" s="2" t="s">
        <v>25</v>
      </c>
      <c r="AC18" s="10">
        <v>45352</v>
      </c>
    </row>
    <row r="19" spans="1:29" ht="15.75" thickBot="1" x14ac:dyDescent="0.3">
      <c r="A19" s="9" t="s">
        <v>81</v>
      </c>
      <c r="B19" s="66">
        <f>+Ethanol!B18+Biodiesel!B18</f>
        <v>3200.8137384412166</v>
      </c>
      <c r="C19" s="66">
        <f>+Ethanol!C18+Biodiesel!C18</f>
        <v>3476.1162483487451</v>
      </c>
      <c r="D19" s="66">
        <f>+Ethanol!D18+Biodiesel!D18</f>
        <v>3757.0885072655192</v>
      </c>
      <c r="E19" s="66">
        <f>+Ethanol!E18+Biodiesel!E18</f>
        <v>4103.413474240424</v>
      </c>
      <c r="F19" s="66">
        <f>+Ethanol!F18+Biodiesel!F18</f>
        <v>4596.6261558784627</v>
      </c>
      <c r="G19" s="66">
        <f>+Ethanol!G18+Biodiesel!G18</f>
        <v>4916.1717305151915</v>
      </c>
      <c r="H19" s="66">
        <f>+Ethanol!H18+Biodiesel!H18</f>
        <v>5208.8216644649965</v>
      </c>
      <c r="I19" s="66">
        <f>+Ethanol!I18+Biodiesel!I18</f>
        <v>5444.2351387054132</v>
      </c>
      <c r="J19" s="66">
        <f>+Ethanol!J18+Biodiesel!J18</f>
        <v>5832.3566710700088</v>
      </c>
      <c r="K19" s="66">
        <f>+Ethanol!K18+Biodiesel!K18</f>
        <v>6286.504623513867</v>
      </c>
      <c r="L19" s="66">
        <f>+Ethanol!L18+Biodiesel!L18</f>
        <v>6212.346103038306</v>
      </c>
      <c r="M19" s="66">
        <f>+Ethanol!M18+Biodiesel!M18</f>
        <v>6495.0118890356589</v>
      </c>
      <c r="N19" s="66">
        <f>+Ethanol!N18+Biodiesel!N18</f>
        <v>7255.9445178335445</v>
      </c>
      <c r="O19" s="66">
        <f>+Ethanol!O18+Biodiesel!O18</f>
        <v>7730.0739762219328</v>
      </c>
      <c r="P19" s="66">
        <f>+Ethanol!P18+Biodiesel!P18</f>
        <v>8194.4095112285358</v>
      </c>
      <c r="Q19" s="66">
        <f>+Ethanol!Q18+Biodiesel!Q18</f>
        <v>8519.910171730513</v>
      </c>
      <c r="R19" s="66">
        <f>+Ethanol!R18+Biodiesel!R18</f>
        <v>8774.4887714663109</v>
      </c>
      <c r="S19" s="66">
        <f>+Ethanol!S18+Biodiesel!S18</f>
        <v>8961.3289299867902</v>
      </c>
      <c r="T19" s="66">
        <f>+Ethanol!T18+Biodiesel!T18</f>
        <v>9145.3844121532456</v>
      </c>
      <c r="U19" s="66">
        <f>+Ethanol!U18+Biodiesel!U18</f>
        <v>9309.0726552179585</v>
      </c>
      <c r="V19" s="66">
        <f>+Ethanol!V18+Biodiesel!V18</f>
        <v>9462.412153236457</v>
      </c>
      <c r="W19" s="66">
        <f>+Ethanol!W18+Biodiesel!W18</f>
        <v>9607.8361955085857</v>
      </c>
      <c r="X19" s="66">
        <f>+Ethanol!X18+Biodiesel!X18</f>
        <v>9746.7318361955149</v>
      </c>
      <c r="Y19" s="65">
        <f t="shared" si="2"/>
        <v>20.690605772947514</v>
      </c>
      <c r="Z19" s="65">
        <f t="shared" si="3"/>
        <v>2016.6578599735822</v>
      </c>
      <c r="AA19" s="2" t="s">
        <v>24</v>
      </c>
      <c r="AB19" s="2" t="s">
        <v>25</v>
      </c>
      <c r="AC19" s="10">
        <v>45352</v>
      </c>
    </row>
    <row r="20" spans="1:29" ht="15.75" thickBot="1" x14ac:dyDescent="0.3">
      <c r="A20" s="12" t="s">
        <v>82</v>
      </c>
      <c r="B20" s="66">
        <f>+Ethanol!B19+Biodiesel!B19</f>
        <v>31590.163804491411</v>
      </c>
      <c r="C20" s="66">
        <f>+Ethanol!C19+Biodiesel!C19</f>
        <v>32404.774108322323</v>
      </c>
      <c r="D20" s="66">
        <f>+Ethanol!D19+Biodiesel!D19</f>
        <v>33290.023778071329</v>
      </c>
      <c r="E20" s="66">
        <f>+Ethanol!E19+Biodiesel!E19</f>
        <v>36118.3857331572</v>
      </c>
      <c r="F20" s="66">
        <f>+Ethanol!F19+Biodiesel!F19</f>
        <v>38589.844121532362</v>
      </c>
      <c r="G20" s="66">
        <f>+Ethanol!G19+Biodiesel!G19</f>
        <v>40140.499339498019</v>
      </c>
      <c r="H20" s="66">
        <f>+Ethanol!H19+Biodiesel!H19</f>
        <v>41557.696169088507</v>
      </c>
      <c r="I20" s="66">
        <f>+Ethanol!I19+Biodiesel!I19</f>
        <v>42001.653896961689</v>
      </c>
      <c r="J20" s="66">
        <f>+Ethanol!J19+Biodiesel!J19</f>
        <v>45061.833553500655</v>
      </c>
      <c r="K20" s="66">
        <f>+Ethanol!K19+Biodiesel!K19</f>
        <v>47841.791281373837</v>
      </c>
      <c r="L20" s="66">
        <f>+Ethanol!L19+Biodiesel!L19</f>
        <v>45099.223249669747</v>
      </c>
      <c r="M20" s="66">
        <f>+Ethanol!M19+Biodiesel!M19</f>
        <v>47338.581241743719</v>
      </c>
      <c r="N20" s="66">
        <f>+Ethanol!N19+Biodiesel!N19</f>
        <v>49233.495376486127</v>
      </c>
      <c r="O20" s="66">
        <f>+Ethanol!O19+Biodiesel!O19</f>
        <v>50767.368560105679</v>
      </c>
      <c r="P20" s="66">
        <f>+Ethanol!P19+Biodiesel!P19</f>
        <v>52013.688243064724</v>
      </c>
      <c r="Q20" s="66">
        <f>+Ethanol!Q19+Biodiesel!Q19</f>
        <v>52806.578599735796</v>
      </c>
      <c r="R20" s="66">
        <f>+Ethanol!R19+Biodiesel!R19</f>
        <v>53600.573315719943</v>
      </c>
      <c r="S20" s="66">
        <f>+Ethanol!S19+Biodiesel!S19</f>
        <v>54273.535006605016</v>
      </c>
      <c r="T20" s="66">
        <f>+Ethanol!T19+Biodiesel!T19</f>
        <v>55010.697490092469</v>
      </c>
      <c r="U20" s="66">
        <f>+Ethanol!U19+Biodiesel!U19</f>
        <v>55667.944517833545</v>
      </c>
      <c r="V20" s="66">
        <f>+Ethanol!V19+Biodiesel!V19</f>
        <v>56301.03830911492</v>
      </c>
      <c r="W20" s="66">
        <f>+Ethanol!W19+Biodiesel!W19</f>
        <v>56912.97225891678</v>
      </c>
      <c r="X20" s="66">
        <f>+Ethanol!X19+Biodiesel!X19</f>
        <v>57575.019815059452</v>
      </c>
      <c r="Y20" s="65">
        <f>+(X20-O20)/X20*100</f>
        <v>11.823966846769801</v>
      </c>
      <c r="Z20" s="65">
        <f>+X20-O20</f>
        <v>6807.6512549537729</v>
      </c>
      <c r="AA20" s="14" t="s">
        <v>24</v>
      </c>
      <c r="AB20" s="14" t="s">
        <v>25</v>
      </c>
      <c r="AC20" s="15">
        <v>45352</v>
      </c>
    </row>
    <row r="21" spans="1:29" ht="15.75" thickBot="1" x14ac:dyDescent="0.3">
      <c r="A21" s="22" t="s">
        <v>61</v>
      </c>
      <c r="B21" s="23">
        <v>2010</v>
      </c>
      <c r="C21" s="23">
        <v>2011</v>
      </c>
      <c r="D21" s="23">
        <v>2012</v>
      </c>
      <c r="E21" s="23">
        <v>2013</v>
      </c>
      <c r="F21" s="23">
        <v>2014</v>
      </c>
      <c r="G21" s="23">
        <v>2015</v>
      </c>
      <c r="H21" s="23">
        <v>2016</v>
      </c>
      <c r="I21" s="23">
        <v>2017</v>
      </c>
      <c r="J21" s="23">
        <v>2018</v>
      </c>
      <c r="K21" s="23">
        <v>2019</v>
      </c>
      <c r="L21" s="23">
        <v>2020</v>
      </c>
      <c r="M21" s="23">
        <v>2021</v>
      </c>
      <c r="N21" s="23">
        <v>2022</v>
      </c>
      <c r="O21" s="23">
        <v>2023</v>
      </c>
      <c r="P21" s="23">
        <v>2024</v>
      </c>
      <c r="Q21" s="23">
        <v>2025</v>
      </c>
      <c r="R21" s="23">
        <v>2026</v>
      </c>
      <c r="S21" s="23">
        <v>2027</v>
      </c>
      <c r="T21" s="23">
        <v>2028</v>
      </c>
      <c r="U21" s="23">
        <v>2029</v>
      </c>
      <c r="V21" s="23">
        <v>2030</v>
      </c>
      <c r="W21" s="23">
        <v>2031</v>
      </c>
      <c r="X21" s="23">
        <v>2032</v>
      </c>
      <c r="Y21" s="23" t="s">
        <v>566</v>
      </c>
      <c r="Z21" s="23"/>
      <c r="AA21" s="23" t="s">
        <v>22</v>
      </c>
      <c r="AB21" s="23" t="s">
        <v>26</v>
      </c>
      <c r="AC21" s="24" t="s">
        <v>23</v>
      </c>
    </row>
    <row r="22" spans="1:29" ht="15.75" thickBot="1" x14ac:dyDescent="0.3">
      <c r="A22" s="20" t="s">
        <v>55</v>
      </c>
      <c r="B22" s="66">
        <f>+Ethanol!B21+Biodiesel!B21</f>
        <v>175.60634081902245</v>
      </c>
      <c r="C22" s="66">
        <f>+Ethanol!C21+Biodiesel!C21</f>
        <v>342.70277410832227</v>
      </c>
      <c r="D22" s="66">
        <f>+Ethanol!D21+Biodiesel!D21</f>
        <v>701.09643328929974</v>
      </c>
      <c r="E22" s="66">
        <f>+Ethanol!E21+Biodiesel!E21</f>
        <v>1017.125495376486</v>
      </c>
      <c r="F22" s="66">
        <f>+Ethanol!F21+Biodiesel!F21</f>
        <v>548.19550858652576</v>
      </c>
      <c r="G22" s="66">
        <f>+Ethanol!G21+Biodiesel!G21</f>
        <v>866.16380449141343</v>
      </c>
      <c r="H22" s="66">
        <f>+Ethanol!H21+Biodiesel!H21</f>
        <v>1095.9418758256274</v>
      </c>
      <c r="I22" s="66">
        <f>+Ethanol!I21+Biodiesel!I21</f>
        <v>853.70409511228536</v>
      </c>
      <c r="J22" s="66">
        <f>+Ethanol!J21+Biodiesel!J21</f>
        <v>530.75561426684271</v>
      </c>
      <c r="K22" s="66">
        <f>+Ethanol!K21+Biodiesel!K21</f>
        <v>660.76354029062088</v>
      </c>
      <c r="L22" s="66">
        <f>+Ethanol!L21+Biodiesel!L21</f>
        <v>781.51122853368554</v>
      </c>
      <c r="M22" s="66">
        <f>+Ethanol!M21+Biodiesel!M21</f>
        <v>952.10039630118899</v>
      </c>
      <c r="N22" s="66">
        <f>+Ethanol!N21+Biodiesel!N21</f>
        <v>694.7450462351386</v>
      </c>
      <c r="O22" s="66">
        <f>+Ethanol!O21+Biodiesel!O21</f>
        <v>676.30383091149281</v>
      </c>
      <c r="P22" s="66">
        <f>+Ethanol!P21+Biodiesel!P21</f>
        <v>654.8401585204756</v>
      </c>
      <c r="Q22" s="66">
        <f>+Ethanol!Q21+Biodiesel!Q21</f>
        <v>629.83619550858657</v>
      </c>
      <c r="R22" s="66">
        <f>+Ethanol!R21+Biodiesel!R21</f>
        <v>605.34742404227211</v>
      </c>
      <c r="S22" s="66">
        <f>+Ethanol!S21+Biodiesel!S21</f>
        <v>581.96829590488767</v>
      </c>
      <c r="T22" s="66">
        <f>+Ethanol!T21+Biodiesel!T21</f>
        <v>586.03963011889027</v>
      </c>
      <c r="U22" s="66">
        <f>+Ethanol!U21+Biodiesel!U21</f>
        <v>602.68428005284011</v>
      </c>
      <c r="V22" s="66">
        <f>+Ethanol!V21+Biodiesel!V21</f>
        <v>610.23778071334209</v>
      </c>
      <c r="W22" s="66">
        <f>+Ethanol!W21+Biodiesel!W21</f>
        <v>614.06340819022455</v>
      </c>
      <c r="X22" s="66">
        <f>+Ethanol!X21+Biodiesel!X21</f>
        <v>618.1770145310436</v>
      </c>
      <c r="Y22" s="65">
        <f t="shared" ref="Y22:Y29" si="4">+(X22-O22)/X22*100</f>
        <v>-9.4029404222583235</v>
      </c>
      <c r="Z22" s="65">
        <f t="shared" ref="Z22:Z29" si="5">+X22-O22</f>
        <v>-58.126816380449213</v>
      </c>
      <c r="AA22" s="8" t="s">
        <v>24</v>
      </c>
      <c r="AB22" s="8" t="s">
        <v>25</v>
      </c>
      <c r="AC22" s="21">
        <v>45352</v>
      </c>
    </row>
    <row r="23" spans="1:29" ht="15.75" thickBot="1" x14ac:dyDescent="0.3">
      <c r="A23" s="9" t="s">
        <v>56</v>
      </c>
      <c r="B23" s="66">
        <f>+Ethanol!B22+Biodiesel!B22</f>
        <v>22.552179656538968</v>
      </c>
      <c r="C23" s="66">
        <f>+Ethanol!C22+Biodiesel!C22</f>
        <v>308.6155878467635</v>
      </c>
      <c r="D23" s="66">
        <f>+Ethanol!D22+Biodiesel!D22</f>
        <v>144.14795244385732</v>
      </c>
      <c r="E23" s="66">
        <f>+Ethanol!E22+Biodiesel!E22</f>
        <v>34.797886393659184</v>
      </c>
      <c r="F23" s="66">
        <f>+Ethanol!F22+Biodiesel!F22</f>
        <v>119.41875825627477</v>
      </c>
      <c r="G23" s="66">
        <f>+Ethanol!G22+Biodiesel!G22</f>
        <v>135.49537648612946</v>
      </c>
      <c r="H23" s="66">
        <f>+Ethanol!H22+Biodiesel!H22</f>
        <v>220.5125495376486</v>
      </c>
      <c r="I23" s="66">
        <f>+Ethanol!I22+Biodiesel!I22</f>
        <v>482.33553500660503</v>
      </c>
      <c r="J23" s="66">
        <f>+Ethanol!J22+Biodiesel!J22</f>
        <v>469.04359313077936</v>
      </c>
      <c r="K23" s="66">
        <f>+Ethanol!K22+Biodiesel!K22</f>
        <v>385.09907529722585</v>
      </c>
      <c r="L23" s="66">
        <f>+Ethanol!L22+Biodiesel!L22</f>
        <v>266.79788639365916</v>
      </c>
      <c r="M23" s="66">
        <f>+Ethanol!M22+Biodiesel!M22</f>
        <v>114.20343461030383</v>
      </c>
      <c r="N23" s="66">
        <f>+Ethanol!N22+Biodiesel!N22</f>
        <v>67.812417437252307</v>
      </c>
      <c r="O23" s="66">
        <f>+Ethanol!O22+Biodiesel!O22</f>
        <v>61.896961690885071</v>
      </c>
      <c r="P23" s="66">
        <f>+Ethanol!P22+Biodiesel!P22</f>
        <v>68.60501981505945</v>
      </c>
      <c r="Q23" s="66">
        <f>+Ethanol!Q22+Biodiesel!Q22</f>
        <v>73.402906208718619</v>
      </c>
      <c r="R23" s="66">
        <f>+Ethanol!R22+Biodiesel!R22</f>
        <v>74.850726552179651</v>
      </c>
      <c r="S23" s="66">
        <f>+Ethanol!S22+Biodiesel!S22</f>
        <v>72.78467635402906</v>
      </c>
      <c r="T23" s="66">
        <f>+Ethanol!T22+Biodiesel!T22</f>
        <v>70.412153236459702</v>
      </c>
      <c r="U23" s="66">
        <f>+Ethanol!U22+Biodiesel!U22</f>
        <v>69.582562747688243</v>
      </c>
      <c r="V23" s="66">
        <f>+Ethanol!V22+Biodiesel!V22</f>
        <v>70.290620871862615</v>
      </c>
      <c r="W23" s="66">
        <f>+Ethanol!W22+Biodiesel!W22</f>
        <v>71.569352708058119</v>
      </c>
      <c r="X23" s="66">
        <f>+Ethanol!X22+Biodiesel!X22</f>
        <v>72.549537648612954</v>
      </c>
      <c r="Y23" s="65">
        <f t="shared" si="4"/>
        <v>14.683175528040799</v>
      </c>
      <c r="Z23" s="65">
        <f t="shared" si="5"/>
        <v>10.652575957727883</v>
      </c>
      <c r="AA23" s="2" t="s">
        <v>24</v>
      </c>
      <c r="AB23" s="2" t="s">
        <v>25</v>
      </c>
      <c r="AC23" s="10">
        <v>45352</v>
      </c>
    </row>
    <row r="24" spans="1:29" ht="15.75" thickBot="1" x14ac:dyDescent="0.3">
      <c r="A24" s="9" t="s">
        <v>57</v>
      </c>
      <c r="B24" s="66">
        <f>+Ethanol!B23+Biodiesel!B23</f>
        <v>705.97093791281372</v>
      </c>
      <c r="C24" s="66">
        <f>+Ethanol!C23+Biodiesel!C23</f>
        <v>989.09907529722591</v>
      </c>
      <c r="D24" s="66">
        <f>+Ethanol!D23+Biodiesel!D23</f>
        <v>989.45046235138705</v>
      </c>
      <c r="E24" s="66">
        <f>+Ethanol!E23+Biodiesel!E23</f>
        <v>660.33553500660491</v>
      </c>
      <c r="F24" s="66">
        <f>+Ethanol!F23+Biodiesel!F23</f>
        <v>474.22721268163798</v>
      </c>
      <c r="G24" s="66">
        <f>+Ethanol!G23+Biodiesel!G23</f>
        <v>459.26287978863934</v>
      </c>
      <c r="H24" s="66">
        <f>+Ethanol!H23+Biodiesel!H23</f>
        <v>528.27741083223259</v>
      </c>
      <c r="I24" s="66">
        <f>+Ethanol!I23+Biodiesel!I23</f>
        <v>715.00924702774103</v>
      </c>
      <c r="J24" s="66">
        <f>+Ethanol!J23+Biodiesel!J23</f>
        <v>1333.8097754293262</v>
      </c>
      <c r="K24" s="66">
        <f>+Ethanol!K23+Biodiesel!K23</f>
        <v>1474.3038309114925</v>
      </c>
      <c r="L24" s="66">
        <f>+Ethanol!L23+Biodiesel!L23</f>
        <v>1393.8678996036988</v>
      </c>
      <c r="M24" s="66">
        <f>+Ethanol!M23+Biodiesel!M23</f>
        <v>1206.9696169088506</v>
      </c>
      <c r="N24" s="66">
        <f>+Ethanol!N23+Biodiesel!N23</f>
        <v>1393.6274768824305</v>
      </c>
      <c r="O24" s="66">
        <f>+Ethanol!O23+Biodiesel!O23</f>
        <v>1110.7899603698811</v>
      </c>
      <c r="P24" s="66">
        <f>+Ethanol!P23+Biodiesel!P23</f>
        <v>1097.4134742404226</v>
      </c>
      <c r="Q24" s="66">
        <f>+Ethanol!Q23+Biodiesel!Q23</f>
        <v>1058.2959048877144</v>
      </c>
      <c r="R24" s="66">
        <f>+Ethanol!R23+Biodiesel!R23</f>
        <v>1059.0620871862616</v>
      </c>
      <c r="S24" s="66">
        <f>+Ethanol!S23+Biodiesel!S23</f>
        <v>1063.3527080581241</v>
      </c>
      <c r="T24" s="66">
        <f>+Ethanol!T23+Biodiesel!T23</f>
        <v>1066.2589167767503</v>
      </c>
      <c r="U24" s="66">
        <f>+Ethanol!U23+Biodiesel!U23</f>
        <v>1067.9867899603698</v>
      </c>
      <c r="V24" s="66">
        <f>+Ethanol!V23+Biodiesel!V23</f>
        <v>1069.9577278731836</v>
      </c>
      <c r="W24" s="66">
        <f>+Ethanol!W23+Biodiesel!W23</f>
        <v>1071.5746367239103</v>
      </c>
      <c r="X24" s="66">
        <f>+Ethanol!X23+Biodiesel!X23</f>
        <v>1073.5402906208717</v>
      </c>
      <c r="Y24" s="65">
        <f t="shared" si="4"/>
        <v>-3.4697970886091674</v>
      </c>
      <c r="Z24" s="65">
        <f t="shared" si="5"/>
        <v>-37.249669749009399</v>
      </c>
      <c r="AA24" s="2" t="s">
        <v>24</v>
      </c>
      <c r="AB24" s="2" t="s">
        <v>25</v>
      </c>
      <c r="AC24" s="10">
        <v>45352</v>
      </c>
    </row>
    <row r="25" spans="1:29" ht="15.75" thickBot="1" x14ac:dyDescent="0.3">
      <c r="A25" s="9" t="s">
        <v>58</v>
      </c>
      <c r="B25" s="66">
        <f>+Ethanol!B24+Biodiesel!B24</f>
        <v>185.73315719947158</v>
      </c>
      <c r="C25" s="66">
        <f>+Ethanol!C24+Biodiesel!C24</f>
        <v>298.01849405548217</v>
      </c>
      <c r="D25" s="66">
        <f>+Ethanol!D24+Biodiesel!D24</f>
        <v>313.60634081902248</v>
      </c>
      <c r="E25" s="66">
        <f>+Ethanol!E24+Biodiesel!E24</f>
        <v>350.06605019815061</v>
      </c>
      <c r="F25" s="66">
        <f>+Ethanol!F24+Biodiesel!F24</f>
        <v>430.64729194187584</v>
      </c>
      <c r="G25" s="66">
        <f>+Ethanol!G24+Biodiesel!G24</f>
        <v>462.08718626155877</v>
      </c>
      <c r="H25" s="66">
        <f>+Ethanol!H24+Biodiesel!H24</f>
        <v>496.69749009247028</v>
      </c>
      <c r="I25" s="66">
        <f>+Ethanol!I24+Biodiesel!I24</f>
        <v>518.09775429326282</v>
      </c>
      <c r="J25" s="66">
        <f>+Ethanol!J24+Biodiesel!J24</f>
        <v>469.32628797886395</v>
      </c>
      <c r="K25" s="66">
        <f>+Ethanol!K24+Biodiesel!K24</f>
        <v>436.81109643328926</v>
      </c>
      <c r="L25" s="66">
        <f>+Ethanol!L24+Biodiesel!L24</f>
        <v>439.02245706737119</v>
      </c>
      <c r="M25" s="66">
        <f>+Ethanol!M24+Biodiesel!M24</f>
        <v>462.69220607661828</v>
      </c>
      <c r="N25" s="66">
        <f>+Ethanol!N24+Biodiesel!N24</f>
        <v>533.13870541611618</v>
      </c>
      <c r="O25" s="66">
        <f>+Ethanol!O24+Biodiesel!O24</f>
        <v>593.85204755614268</v>
      </c>
      <c r="P25" s="66">
        <f>+Ethanol!P24+Biodiesel!P24</f>
        <v>655.53236459709376</v>
      </c>
      <c r="Q25" s="66">
        <f>+Ethanol!Q24+Biodiesel!Q24</f>
        <v>711.23910171730518</v>
      </c>
      <c r="R25" s="66">
        <f>+Ethanol!R24+Biodiesel!R24</f>
        <v>763.65125495376481</v>
      </c>
      <c r="S25" s="66">
        <f>+Ethanol!S24+Biodiesel!S24</f>
        <v>813.39233817701449</v>
      </c>
      <c r="T25" s="66">
        <f>+Ethanol!T24+Biodiesel!T24</f>
        <v>864.48877146631446</v>
      </c>
      <c r="U25" s="66">
        <f>+Ethanol!U24+Biodiesel!U24</f>
        <v>913.26816380449134</v>
      </c>
      <c r="V25" s="66">
        <f>+Ethanol!V24+Biodiesel!V24</f>
        <v>961.9498018494055</v>
      </c>
      <c r="W25" s="66">
        <f>+Ethanol!W24+Biodiesel!W24</f>
        <v>1011.5165125495375</v>
      </c>
      <c r="X25" s="66">
        <f>+Ethanol!X24+Biodiesel!X24</f>
        <v>1063.2734478203433</v>
      </c>
      <c r="Y25" s="65">
        <f t="shared" si="4"/>
        <v>44.148699586779934</v>
      </c>
      <c r="Z25" s="65">
        <f t="shared" si="5"/>
        <v>469.42140026420066</v>
      </c>
      <c r="AA25" s="2" t="s">
        <v>24</v>
      </c>
      <c r="AB25" s="2" t="s">
        <v>25</v>
      </c>
      <c r="AC25" s="10">
        <v>45352</v>
      </c>
    </row>
    <row r="26" spans="1:29" ht="15.75" thickBot="1" x14ac:dyDescent="0.3">
      <c r="A26" s="11" t="s">
        <v>0</v>
      </c>
      <c r="B26" s="66">
        <f>+Ethanol!B25+Biodiesel!B25</f>
        <v>0.95640686922060769</v>
      </c>
      <c r="C26" s="66">
        <f>+Ethanol!C25+Biodiesel!C25</f>
        <v>1.321003963011889</v>
      </c>
      <c r="D26" s="66">
        <f>+Ethanol!D25+Biodiesel!D25</f>
        <v>16.908850726552178</v>
      </c>
      <c r="E26" s="66">
        <f>+Ethanol!E25+Biodiesel!E25</f>
        <v>236.45970937912813</v>
      </c>
      <c r="F26" s="66">
        <f>+Ethanol!F25+Biodiesel!F25</f>
        <v>278.65257595772783</v>
      </c>
      <c r="G26" s="66">
        <f>+Ethanol!G25+Biodiesel!G25</f>
        <v>190.22457067371201</v>
      </c>
      <c r="H26" s="66">
        <f>+Ethanol!H25+Biodiesel!H25</f>
        <v>237.25231175693526</v>
      </c>
      <c r="I26" s="66">
        <f>+Ethanol!I25+Biodiesel!I25</f>
        <v>11.360634081902246</v>
      </c>
      <c r="J26" s="66">
        <f>+Ethanol!J25+Biodiesel!J25</f>
        <v>498.81109643328932</v>
      </c>
      <c r="K26" s="66">
        <f>+Ethanol!K25+Biodiesel!K25</f>
        <v>279.26023778071334</v>
      </c>
      <c r="L26" s="66">
        <f>+Ethanol!L25+Biodiesel!L25</f>
        <v>45.099075297225895</v>
      </c>
      <c r="M26" s="66">
        <f>+Ethanol!M25+Biodiesel!M25</f>
        <v>274.31968295904886</v>
      </c>
      <c r="N26" s="66">
        <f>+Ethanol!N25+Biodiesel!N25</f>
        <v>79.260237780713339</v>
      </c>
      <c r="O26" s="66">
        <f>+Ethanol!O25+Biodiesel!O25</f>
        <v>174.48084544253632</v>
      </c>
      <c r="P26" s="66">
        <f>+Ethanol!P25+Biodiesel!P25</f>
        <v>180.07661822985469</v>
      </c>
      <c r="Q26" s="66">
        <f>+Ethanol!Q25+Biodiesel!Q25</f>
        <v>178.62087186261559</v>
      </c>
      <c r="R26" s="66">
        <f>+Ethanol!R25+Biodiesel!R25</f>
        <v>179.01453104359314</v>
      </c>
      <c r="S26" s="66">
        <f>+Ethanol!S25+Biodiesel!S25</f>
        <v>180.22721268163804</v>
      </c>
      <c r="T26" s="66">
        <f>+Ethanol!T25+Biodiesel!T25</f>
        <v>181.09379128137385</v>
      </c>
      <c r="U26" s="66">
        <f>+Ethanol!U25+Biodiesel!U25</f>
        <v>183.43461030383091</v>
      </c>
      <c r="V26" s="66">
        <f>+Ethanol!V25+Biodiesel!V25</f>
        <v>183.99471598414794</v>
      </c>
      <c r="W26" s="66">
        <f>+Ethanol!W25+Biodiesel!W25</f>
        <v>184.94848084544253</v>
      </c>
      <c r="X26" s="66">
        <f>+Ethanol!X25+Biodiesel!X25</f>
        <v>185.77807133421396</v>
      </c>
      <c r="Y26" s="65">
        <f t="shared" si="4"/>
        <v>6.081033036107895</v>
      </c>
      <c r="Z26" s="65">
        <f t="shared" si="5"/>
        <v>11.297225891677641</v>
      </c>
      <c r="AA26" s="2" t="s">
        <v>24</v>
      </c>
      <c r="AB26" s="2" t="s">
        <v>25</v>
      </c>
      <c r="AC26" s="10">
        <v>45352</v>
      </c>
    </row>
    <row r="27" spans="1:29" ht="15.75" thickBot="1" x14ac:dyDescent="0.3">
      <c r="A27" s="11" t="s">
        <v>59</v>
      </c>
      <c r="B27" s="66">
        <f>+Ethanol!B26+Biodiesel!B26</f>
        <v>7.9260237780713338E-2</v>
      </c>
      <c r="C27" s="66">
        <f>+Ethanol!C26+Biodiesel!C26</f>
        <v>0.18494055482166444</v>
      </c>
      <c r="D27" s="66">
        <f>+Ethanol!D26+Biodiesel!D26</f>
        <v>0.8190224570673712</v>
      </c>
      <c r="E27" s="66">
        <f>+Ethanol!E26+Biodiesel!E26</f>
        <v>0.13210039630118889</v>
      </c>
      <c r="F27" s="66">
        <f>+Ethanol!F26+Biodiesel!F26</f>
        <v>0.26420079260237778</v>
      </c>
      <c r="G27" s="66">
        <f>+Ethanol!G26+Biodiesel!G26</f>
        <v>0.10568031704095113</v>
      </c>
      <c r="H27" s="66">
        <f>+Ethanol!H26+Biodiesel!H26</f>
        <v>0.58124174372523119</v>
      </c>
      <c r="I27" s="66">
        <f>+Ethanol!I26+Biodiesel!I26</f>
        <v>1.2681638044914134</v>
      </c>
      <c r="J27" s="66">
        <f>+Ethanol!J26+Biodiesel!J26</f>
        <v>25.284015852047556</v>
      </c>
      <c r="K27" s="66">
        <f>+Ethanol!K26+Biodiesel!K26</f>
        <v>0.21136063408190225</v>
      </c>
      <c r="L27" s="66">
        <f>+Ethanol!L26+Biodiesel!L26</f>
        <v>7.5033025099075292</v>
      </c>
      <c r="M27" s="66">
        <f>+Ethanol!M26+Biodiesel!M26</f>
        <v>14.187582562747689</v>
      </c>
      <c r="N27" s="66">
        <f>+Ethanol!N26+Biodiesel!N26</f>
        <v>8.9299867899603687</v>
      </c>
      <c r="O27" s="66">
        <f>+Ethanol!O26+Biodiesel!O26</f>
        <v>8.9299867899603687</v>
      </c>
      <c r="P27" s="66">
        <f>+Ethanol!P26+Biodiesel!P26</f>
        <v>8.9299867899603687</v>
      </c>
      <c r="Q27" s="66">
        <f>+Ethanol!Q26+Biodiesel!Q26</f>
        <v>8.9299867899603687</v>
      </c>
      <c r="R27" s="66">
        <f>+Ethanol!R26+Biodiesel!R26</f>
        <v>8.9299867899603687</v>
      </c>
      <c r="S27" s="66">
        <f>+Ethanol!S26+Biodiesel!S26</f>
        <v>8.9299867899603687</v>
      </c>
      <c r="T27" s="66">
        <f>+Ethanol!T26+Biodiesel!T26</f>
        <v>8.9299867899603687</v>
      </c>
      <c r="U27" s="66">
        <f>+Ethanol!U26+Biodiesel!U26</f>
        <v>8.9299867899603687</v>
      </c>
      <c r="V27" s="66">
        <f>+Ethanol!V26+Biodiesel!V26</f>
        <v>8.9299867899603687</v>
      </c>
      <c r="W27" s="66">
        <f>+Ethanol!W26+Biodiesel!W26</f>
        <v>8.9299867899603687</v>
      </c>
      <c r="X27" s="66">
        <f>+Ethanol!X26+Biodiesel!X26</f>
        <v>8.9299867899603687</v>
      </c>
      <c r="Y27" s="65">
        <f t="shared" si="4"/>
        <v>0</v>
      </c>
      <c r="Z27" s="65">
        <f t="shared" si="5"/>
        <v>0</v>
      </c>
      <c r="AA27" s="6" t="s">
        <v>24</v>
      </c>
      <c r="AB27" s="6" t="s">
        <v>25</v>
      </c>
      <c r="AC27" s="30">
        <v>45352</v>
      </c>
    </row>
    <row r="28" spans="1:29" ht="15.75" thickBot="1" x14ac:dyDescent="0.3">
      <c r="A28" s="9" t="s">
        <v>60</v>
      </c>
      <c r="B28" s="66">
        <f>+Ethanol!B27+Biodiesel!B27</f>
        <v>257.65125495376486</v>
      </c>
      <c r="C28" s="66">
        <f>+Ethanol!C27+Biodiesel!C27</f>
        <v>217.07265521796566</v>
      </c>
      <c r="D28" s="66">
        <f>+Ethanol!D27+Biodiesel!D27</f>
        <v>238.46763540290621</v>
      </c>
      <c r="E28" s="66">
        <f>+Ethanol!E27+Biodiesel!E27</f>
        <v>264.77146631439894</v>
      </c>
      <c r="F28" s="66">
        <f>+Ethanol!F27+Biodiesel!F27</f>
        <v>199.36856010568033</v>
      </c>
      <c r="G28" s="66">
        <f>+Ethanol!G27+Biodiesel!G27</f>
        <v>218.29062087186259</v>
      </c>
      <c r="H28" s="66">
        <f>+Ethanol!H27+Biodiesel!H27</f>
        <v>214.25363276089826</v>
      </c>
      <c r="I28" s="66">
        <f>+Ethanol!I27+Biodiesel!I27</f>
        <v>216.72655217965655</v>
      </c>
      <c r="J28" s="66">
        <f>+Ethanol!J27+Biodiesel!J27</f>
        <v>330.59445178335534</v>
      </c>
      <c r="K28" s="66">
        <f>+Ethanol!K27+Biodiesel!K27</f>
        <v>508.29590488771464</v>
      </c>
      <c r="L28" s="66">
        <f>+Ethanol!L27+Biodiesel!L27</f>
        <v>446.35931307793925</v>
      </c>
      <c r="M28" s="66">
        <f>+Ethanol!M27+Biodiesel!M27</f>
        <v>405.53764861294587</v>
      </c>
      <c r="N28" s="66">
        <f>+Ethanol!N27+Biodiesel!N27</f>
        <v>604.44121532364602</v>
      </c>
      <c r="O28" s="66">
        <f>+Ethanol!O27+Biodiesel!O27</f>
        <v>372.20871862615587</v>
      </c>
      <c r="P28" s="66">
        <f>+Ethanol!P27+Biodiesel!P27</f>
        <v>374.30911492734475</v>
      </c>
      <c r="Q28" s="66">
        <f>+Ethanol!Q27+Biodiesel!Q27</f>
        <v>379.16776750330246</v>
      </c>
      <c r="R28" s="66">
        <f>+Ethanol!R27+Biodiesel!R27</f>
        <v>384.1215323645971</v>
      </c>
      <c r="S28" s="66">
        <f>+Ethanol!S27+Biodiesel!S27</f>
        <v>390.89035667106998</v>
      </c>
      <c r="T28" s="66">
        <f>+Ethanol!T27+Biodiesel!T27</f>
        <v>397.13870541611624</v>
      </c>
      <c r="U28" s="66">
        <f>+Ethanol!U27+Biodiesel!U27</f>
        <v>404.27476882430648</v>
      </c>
      <c r="V28" s="66">
        <f>+Ethanol!V27+Biodiesel!V27</f>
        <v>411.19154557463673</v>
      </c>
      <c r="W28" s="66">
        <f>+Ethanol!W27+Biodiesel!W27</f>
        <v>418.99867899603697</v>
      </c>
      <c r="X28" s="66">
        <f>+Ethanol!X27+Biodiesel!X27</f>
        <v>422.76882430647288</v>
      </c>
      <c r="Y28" s="65">
        <f t="shared" si="4"/>
        <v>11.959279581047126</v>
      </c>
      <c r="Z28" s="65">
        <f t="shared" si="5"/>
        <v>50.560105680317008</v>
      </c>
      <c r="AA28" s="2" t="s">
        <v>24</v>
      </c>
      <c r="AB28" s="2" t="s">
        <v>25</v>
      </c>
      <c r="AC28" s="10">
        <v>45352</v>
      </c>
    </row>
    <row r="29" spans="1:29" ht="15.75" thickBot="1" x14ac:dyDescent="0.3">
      <c r="A29" s="9" t="s">
        <v>81</v>
      </c>
      <c r="B29" s="66">
        <f>+Ethanol!B28+Biodiesel!B28</f>
        <v>812.44649933949802</v>
      </c>
      <c r="C29" s="66">
        <f>+Ethanol!C28+Biodiesel!C28</f>
        <v>811.17569352708074</v>
      </c>
      <c r="D29" s="66">
        <f>+Ethanol!D28+Biodiesel!D28</f>
        <v>956.30647291941909</v>
      </c>
      <c r="E29" s="66">
        <f>+Ethanol!E28+Biodiesel!E28</f>
        <v>1034.6050198150594</v>
      </c>
      <c r="F29" s="66">
        <f>+Ethanol!F28+Biodiesel!F28</f>
        <v>1125.4583883751652</v>
      </c>
      <c r="G29" s="66">
        <f>+Ethanol!G28+Biodiesel!G28</f>
        <v>1179.1254953764865</v>
      </c>
      <c r="H29" s="66">
        <f>+Ethanol!H28+Biodiesel!H28</f>
        <v>1294.7212681638048</v>
      </c>
      <c r="I29" s="66">
        <f>+Ethanol!I28+Biodiesel!I28</f>
        <v>1423.8546895640691</v>
      </c>
      <c r="J29" s="66">
        <f>+Ethanol!J28+Biodiesel!J28</f>
        <v>1416.8665785997357</v>
      </c>
      <c r="K29" s="66">
        <f>+Ethanol!K28+Biodiesel!K28</f>
        <v>1550.8877146631439</v>
      </c>
      <c r="L29" s="66">
        <f>+Ethanol!L28+Biodiesel!L28</f>
        <v>1730.1558784676354</v>
      </c>
      <c r="M29" s="66">
        <f>+Ethanol!M28+Biodiesel!M28</f>
        <v>1551.5429326287979</v>
      </c>
      <c r="N29" s="66">
        <f>+Ethanol!N28+Biodiesel!N28</f>
        <v>1617.4214002642009</v>
      </c>
      <c r="O29" s="66">
        <f>+Ethanol!O28+Biodiesel!O28</f>
        <v>1619.0700132100396</v>
      </c>
      <c r="P29" s="66">
        <f>+Ethanol!P28+Biodiesel!P28</f>
        <v>1624.6023778071335</v>
      </c>
      <c r="Q29" s="66">
        <f>+Ethanol!Q28+Biodiesel!Q28</f>
        <v>1615.4504623513867</v>
      </c>
      <c r="R29" s="66">
        <f>+Ethanol!R28+Biodiesel!R28</f>
        <v>1609.8177014531043</v>
      </c>
      <c r="S29" s="66">
        <f>+Ethanol!S28+Biodiesel!S28</f>
        <v>1608.1426684280052</v>
      </c>
      <c r="T29" s="66">
        <f>+Ethanol!T28+Biodiesel!T28</f>
        <v>1610.1955085865256</v>
      </c>
      <c r="U29" s="66">
        <f>+Ethanol!U28+Biodiesel!U28</f>
        <v>1610.2721268163805</v>
      </c>
      <c r="V29" s="66">
        <f>+Ethanol!V28+Biodiesel!V28</f>
        <v>1609.5033025099069</v>
      </c>
      <c r="W29" s="66">
        <f>+Ethanol!W28+Biodiesel!W28</f>
        <v>1609.0805812417436</v>
      </c>
      <c r="X29" s="66">
        <f>+Ethanol!X28+Biodiesel!X28</f>
        <v>1608.9643328929985</v>
      </c>
      <c r="Y29" s="65">
        <f t="shared" si="4"/>
        <v>-0.62808603711373678</v>
      </c>
      <c r="Z29" s="65">
        <f t="shared" si="5"/>
        <v>-10.105680317041106</v>
      </c>
      <c r="AA29" s="2" t="s">
        <v>24</v>
      </c>
      <c r="AB29" s="2" t="s">
        <v>25</v>
      </c>
      <c r="AC29" s="10">
        <v>45352</v>
      </c>
    </row>
    <row r="30" spans="1:29" ht="15.75" thickBot="1" x14ac:dyDescent="0.3">
      <c r="A30" s="12" t="s">
        <v>82</v>
      </c>
      <c r="B30" s="66">
        <f>+Ethanol!B29+Biodiesel!B29</f>
        <v>2160.996036988111</v>
      </c>
      <c r="C30" s="66">
        <f>+Ethanol!C29+Biodiesel!C29</f>
        <v>2968.1902245706733</v>
      </c>
      <c r="D30" s="66">
        <f>+Ethanol!D29+Biodiesel!D29</f>
        <v>3360.8031704095115</v>
      </c>
      <c r="E30" s="66">
        <f>+Ethanol!E29+Biodiesel!E29</f>
        <v>3598.2932628797885</v>
      </c>
      <c r="F30" s="66">
        <f>+Ethanol!F29+Biodiesel!F29</f>
        <v>3176.2324966974902</v>
      </c>
      <c r="G30" s="66">
        <f>+Ethanol!G29+Biodiesel!G29</f>
        <v>3510.7556142668427</v>
      </c>
      <c r="H30" s="66">
        <f>+Ethanol!H29+Biodiesel!H29</f>
        <v>4088.2377807133425</v>
      </c>
      <c r="I30" s="66">
        <f>+Ethanol!I29+Biodiesel!I29</f>
        <v>4222.3566710700134</v>
      </c>
      <c r="J30" s="66">
        <f>+Ethanol!J29+Biodiesel!J29</f>
        <v>5074.4914134742403</v>
      </c>
      <c r="K30" s="66">
        <f>+Ethanol!K29+Biodiesel!K29</f>
        <v>5295.6327608982829</v>
      </c>
      <c r="L30" s="66">
        <f>+Ethanol!L29+Biodiesel!L29</f>
        <v>5110.3170409511222</v>
      </c>
      <c r="M30" s="66">
        <f>+Ethanol!M29+Biodiesel!M29</f>
        <v>4981.5535006605023</v>
      </c>
      <c r="N30" s="66">
        <f>+Ethanol!N29+Biodiesel!N29</f>
        <v>4999.3764861294585</v>
      </c>
      <c r="O30" s="66">
        <f>+Ethanol!O29+Biodiesel!O29</f>
        <v>4617.5323645970939</v>
      </c>
      <c r="P30" s="66">
        <f>+Ethanol!P29+Biodiesel!P29</f>
        <v>4664.309114927345</v>
      </c>
      <c r="Q30" s="66">
        <f>+Ethanol!Q29+Biodiesel!Q29</f>
        <v>4654.9431968295903</v>
      </c>
      <c r="R30" s="66">
        <f>+Ethanol!R29+Biodiesel!R29</f>
        <v>4684.795244385733</v>
      </c>
      <c r="S30" s="66">
        <f>+Ethanol!S29+Biodiesel!S29</f>
        <v>4719.6882430647292</v>
      </c>
      <c r="T30" s="66">
        <f>+Ethanol!T29+Biodiesel!T29</f>
        <v>4784.5574636723904</v>
      </c>
      <c r="U30" s="66">
        <f>+Ethanol!U29+Biodiesel!U29</f>
        <v>4860.4332892998682</v>
      </c>
      <c r="V30" s="66">
        <f>+Ethanol!V29+Biodiesel!V29</f>
        <v>4926.0554821664464</v>
      </c>
      <c r="W30" s="66">
        <f>+Ethanol!W29+Biodiesel!W29</f>
        <v>4990.6816380449145</v>
      </c>
      <c r="X30" s="66">
        <f>+Ethanol!X29+Biodiesel!X29</f>
        <v>5053.9815059445173</v>
      </c>
      <c r="Y30" s="65">
        <f>+(X30-O30)/X30*100</f>
        <v>8.6357486831732526</v>
      </c>
      <c r="Z30" s="65">
        <f>+X30-O30</f>
        <v>436.44914134742339</v>
      </c>
      <c r="AA30" s="14" t="s">
        <v>24</v>
      </c>
      <c r="AB30" s="14" t="s">
        <v>25</v>
      </c>
      <c r="AC30" s="15">
        <v>45352</v>
      </c>
    </row>
    <row r="31" spans="1:29" ht="15.75" thickBot="1" x14ac:dyDescent="0.3">
      <c r="A31" s="22" t="s">
        <v>62</v>
      </c>
      <c r="B31" s="23">
        <v>2010</v>
      </c>
      <c r="C31" s="23">
        <v>2011</v>
      </c>
      <c r="D31" s="23">
        <v>2012</v>
      </c>
      <c r="E31" s="23">
        <v>2013</v>
      </c>
      <c r="F31" s="23">
        <v>2014</v>
      </c>
      <c r="G31" s="23">
        <v>2015</v>
      </c>
      <c r="H31" s="23">
        <v>2016</v>
      </c>
      <c r="I31" s="23">
        <v>2017</v>
      </c>
      <c r="J31" s="23">
        <v>2018</v>
      </c>
      <c r="K31" s="23">
        <v>2019</v>
      </c>
      <c r="L31" s="23">
        <v>2020</v>
      </c>
      <c r="M31" s="23">
        <v>2021</v>
      </c>
      <c r="N31" s="23">
        <v>2022</v>
      </c>
      <c r="O31" s="23">
        <v>2023</v>
      </c>
      <c r="P31" s="23">
        <v>2024</v>
      </c>
      <c r="Q31" s="23">
        <v>2025</v>
      </c>
      <c r="R31" s="23">
        <v>2026</v>
      </c>
      <c r="S31" s="23">
        <v>2027</v>
      </c>
      <c r="T31" s="23">
        <v>2028</v>
      </c>
      <c r="U31" s="23">
        <v>2029</v>
      </c>
      <c r="V31" s="23">
        <v>2030</v>
      </c>
      <c r="W31" s="23">
        <v>2031</v>
      </c>
      <c r="X31" s="23">
        <v>2032</v>
      </c>
      <c r="Y31" s="23"/>
      <c r="Z31" s="23"/>
      <c r="AA31" s="23" t="s">
        <v>22</v>
      </c>
      <c r="AB31" s="23" t="s">
        <v>26</v>
      </c>
      <c r="AC31" s="24" t="s">
        <v>23</v>
      </c>
    </row>
    <row r="32" spans="1:29" ht="15.75" thickBot="1" x14ac:dyDescent="0.3">
      <c r="A32" s="20" t="s">
        <v>55</v>
      </c>
      <c r="B32" s="66">
        <f>+Ethanol!B30+Biodiesel!B30</f>
        <v>521.38441215323644</v>
      </c>
      <c r="C32" s="66">
        <f>+Ethanol!C30+Biodiesel!C30</f>
        <v>1269.4980184940555</v>
      </c>
      <c r="D32" s="66">
        <f>+Ethanol!D30+Biodiesel!D30</f>
        <v>855.65389696169086</v>
      </c>
      <c r="E32" s="66">
        <f>+Ethanol!E30+Biodiesel!E30</f>
        <v>806.09511228533677</v>
      </c>
      <c r="F32" s="66">
        <f>+Ethanol!F30+Biodiesel!F30</f>
        <v>922.70805812417427</v>
      </c>
      <c r="G32" s="66">
        <f>+Ethanol!G30+Biodiesel!G30</f>
        <v>1020.7899603698811</v>
      </c>
      <c r="H32" s="66">
        <f>+Ethanol!H30+Biodiesel!H30</f>
        <v>1281.1756935270807</v>
      </c>
      <c r="I32" s="66">
        <f>+Ethanol!I30+Biodiesel!I30</f>
        <v>1536.7133421400263</v>
      </c>
      <c r="J32" s="66">
        <f>+Ethanol!J30+Biodiesel!J30</f>
        <v>1842.4702774108321</v>
      </c>
      <c r="K32" s="66">
        <f>+Ethanol!K30+Biodiesel!K30</f>
        <v>1636.1822985468957</v>
      </c>
      <c r="L32" s="66">
        <f>+Ethanol!L30+Biodiesel!L30</f>
        <v>1508.7397622192866</v>
      </c>
      <c r="M32" s="66">
        <f>+Ethanol!M30+Biodiesel!M30</f>
        <v>1456.2642007926024</v>
      </c>
      <c r="N32" s="66">
        <f>+Ethanol!N30+Biodiesel!N30</f>
        <v>1726.2298546895638</v>
      </c>
      <c r="O32" s="66">
        <f>+Ethanol!O30+Biodiesel!O30</f>
        <v>1617.4583883751652</v>
      </c>
      <c r="P32" s="66">
        <f>+Ethanol!P30+Biodiesel!P30</f>
        <v>1730.3963011889036</v>
      </c>
      <c r="Q32" s="66">
        <f>+Ethanol!Q30+Biodiesel!Q30</f>
        <v>1800.3804491413473</v>
      </c>
      <c r="R32" s="66">
        <f>+Ethanol!R30+Biodiesel!R30</f>
        <v>1831.4002642007927</v>
      </c>
      <c r="S32" s="66">
        <f>+Ethanol!S30+Biodiesel!S30</f>
        <v>1867.7146631439894</v>
      </c>
      <c r="T32" s="66">
        <f>+Ethanol!T30+Biodiesel!T30</f>
        <v>1895.6063408190225</v>
      </c>
      <c r="U32" s="66">
        <f>+Ethanol!U30+Biodiesel!U30</f>
        <v>1937.1598414795244</v>
      </c>
      <c r="V32" s="66">
        <f>+Ethanol!V30+Biodiesel!V30</f>
        <v>1981.7516512549537</v>
      </c>
      <c r="W32" s="66">
        <f>+Ethanol!W30+Biodiesel!W30</f>
        <v>2034.142668428005</v>
      </c>
      <c r="X32" s="66">
        <f>+Ethanol!X30+Biodiesel!X30</f>
        <v>2085.6856010568031</v>
      </c>
      <c r="Y32" s="65">
        <f t="shared" ref="Y32:Y39" si="6">+(X32-O32)/X32*100</f>
        <v>22.449558670031102</v>
      </c>
      <c r="Z32" s="65">
        <f t="shared" ref="Z32:Z39" si="7">+X32-O32</f>
        <v>468.22721268163787</v>
      </c>
      <c r="AA32" s="8" t="s">
        <v>24</v>
      </c>
      <c r="AB32" s="31" t="s">
        <v>25</v>
      </c>
      <c r="AC32" s="21">
        <v>45352</v>
      </c>
    </row>
    <row r="33" spans="1:29" ht="15.75" thickBot="1" x14ac:dyDescent="0.3">
      <c r="A33" s="9" t="s">
        <v>56</v>
      </c>
      <c r="B33" s="66">
        <f>+Ethanol!B31+Biodiesel!B31</f>
        <v>553.13077939233813</v>
      </c>
      <c r="C33" s="66">
        <f>+Ethanol!C31+Biodiesel!C31</f>
        <v>520.46499339498018</v>
      </c>
      <c r="D33" s="66">
        <f>+Ethanol!D31+Biodiesel!D31</f>
        <v>807.2100396301189</v>
      </c>
      <c r="E33" s="66">
        <f>+Ethanol!E31+Biodiesel!E31</f>
        <v>780.86393659180976</v>
      </c>
      <c r="F33" s="66">
        <f>+Ethanol!F31+Biodiesel!F31</f>
        <v>379.89431968295906</v>
      </c>
      <c r="G33" s="66">
        <f>+Ethanol!G31+Biodiesel!G31</f>
        <v>496.4914134742404</v>
      </c>
      <c r="H33" s="66">
        <f>+Ethanol!H31+Biodiesel!H31</f>
        <v>472.65521796565389</v>
      </c>
      <c r="I33" s="66">
        <f>+Ethanol!I31+Biodiesel!I31</f>
        <v>367.2787318361955</v>
      </c>
      <c r="J33" s="66">
        <f>+Ethanol!J31+Biodiesel!J31</f>
        <v>449.09643328929985</v>
      </c>
      <c r="K33" s="66">
        <f>+Ethanol!K31+Biodiesel!K31</f>
        <v>516.15852047556143</v>
      </c>
      <c r="L33" s="66">
        <f>+Ethanol!L31+Biodiesel!L31</f>
        <v>715.19682959048873</v>
      </c>
      <c r="M33" s="66">
        <f>+Ethanol!M31+Biodiesel!M31</f>
        <v>518.45970937912818</v>
      </c>
      <c r="N33" s="66">
        <f>+Ethanol!N31+Biodiesel!N31</f>
        <v>501.67239101717297</v>
      </c>
      <c r="O33" s="66">
        <f>+Ethanol!O31+Biodiesel!O31</f>
        <v>537.00132100396297</v>
      </c>
      <c r="P33" s="66">
        <f>+Ethanol!P31+Biodiesel!P31</f>
        <v>497.80977542932624</v>
      </c>
      <c r="Q33" s="66">
        <f>+Ethanol!Q31+Biodiesel!Q31</f>
        <v>439.6354029062087</v>
      </c>
      <c r="R33" s="66">
        <f>+Ethanol!R31+Biodiesel!R31</f>
        <v>447.59577278731831</v>
      </c>
      <c r="S33" s="66">
        <f>+Ethanol!S31+Biodiesel!S31</f>
        <v>453.27080581241739</v>
      </c>
      <c r="T33" s="66">
        <f>+Ethanol!T31+Biodiesel!T31</f>
        <v>476.59180977542928</v>
      </c>
      <c r="U33" s="66">
        <f>+Ethanol!U31+Biodiesel!U31</f>
        <v>480.96169088507264</v>
      </c>
      <c r="V33" s="66">
        <f>+Ethanol!V31+Biodiesel!V31</f>
        <v>481.17569352708051</v>
      </c>
      <c r="W33" s="66">
        <f>+Ethanol!W31+Biodiesel!W31</f>
        <v>474.9167767503302</v>
      </c>
      <c r="X33" s="66">
        <f>+Ethanol!X31+Biodiesel!X31</f>
        <v>468.32232496697486</v>
      </c>
      <c r="Y33" s="65">
        <f t="shared" si="6"/>
        <v>-14.664899018391065</v>
      </c>
      <c r="Z33" s="65">
        <f t="shared" si="7"/>
        <v>-68.67899603698811</v>
      </c>
      <c r="AA33" s="2" t="s">
        <v>24</v>
      </c>
      <c r="AB33" s="7" t="s">
        <v>25</v>
      </c>
      <c r="AC33" s="10">
        <v>45352</v>
      </c>
    </row>
    <row r="34" spans="1:29" ht="15.75" thickBot="1" x14ac:dyDescent="0.3">
      <c r="A34" s="9" t="s">
        <v>57</v>
      </c>
      <c r="B34" s="66">
        <f>+Ethanol!B32+Biodiesel!B32</f>
        <v>279.336856010568</v>
      </c>
      <c r="C34" s="66">
        <f>+Ethanol!C32+Biodiesel!C32</f>
        <v>266.65521796565389</v>
      </c>
      <c r="D34" s="66">
        <f>+Ethanol!D32+Biodiesel!D32</f>
        <v>217.11228533685599</v>
      </c>
      <c r="E34" s="66">
        <f>+Ethanol!E32+Biodiesel!E32</f>
        <v>391.07265521796563</v>
      </c>
      <c r="F34" s="66">
        <f>+Ethanol!F32+Biodiesel!F32</f>
        <v>384.94583883751648</v>
      </c>
      <c r="G34" s="66">
        <f>+Ethanol!G32+Biodiesel!G32</f>
        <v>387.07265521796558</v>
      </c>
      <c r="H34" s="66">
        <f>+Ethanol!H32+Biodiesel!H32</f>
        <v>417.02509907529719</v>
      </c>
      <c r="I34" s="66">
        <f>+Ethanol!I32+Biodiesel!I32</f>
        <v>444.44914134742402</v>
      </c>
      <c r="J34" s="66">
        <f>+Ethanol!J32+Biodiesel!J32</f>
        <v>577.84940554821662</v>
      </c>
      <c r="K34" s="66">
        <f>+Ethanol!K32+Biodiesel!K32</f>
        <v>757.74372523117563</v>
      </c>
      <c r="L34" s="66">
        <f>+Ethanol!L32+Biodiesel!L32</f>
        <v>645.65389696169086</v>
      </c>
      <c r="M34" s="66">
        <f>+Ethanol!M32+Biodiesel!M32</f>
        <v>416.42800528401585</v>
      </c>
      <c r="N34" s="66">
        <f>+Ethanol!N32+Biodiesel!N32</f>
        <v>297.3896961690885</v>
      </c>
      <c r="O34" s="66">
        <f>+Ethanol!O32+Biodiesel!O32</f>
        <v>331.43196829590488</v>
      </c>
      <c r="P34" s="66">
        <f>+Ethanol!P32+Biodiesel!P32</f>
        <v>338.28797886393659</v>
      </c>
      <c r="Q34" s="66">
        <f>+Ethanol!Q32+Biodiesel!Q32</f>
        <v>344.82694848084543</v>
      </c>
      <c r="R34" s="66">
        <f>+Ethanol!R32+Biodiesel!R32</f>
        <v>359.97886393659178</v>
      </c>
      <c r="S34" s="66">
        <f>+Ethanol!S32+Biodiesel!S32</f>
        <v>372.95376486129453</v>
      </c>
      <c r="T34" s="66">
        <f>+Ethanol!T32+Biodiesel!T32</f>
        <v>383.31836195508583</v>
      </c>
      <c r="U34" s="66">
        <f>+Ethanol!U32+Biodiesel!U32</f>
        <v>394.35402906208719</v>
      </c>
      <c r="V34" s="66">
        <f>+Ethanol!V32+Biodiesel!V32</f>
        <v>405.74900924702774</v>
      </c>
      <c r="W34" s="66">
        <f>+Ethanol!W32+Biodiesel!W32</f>
        <v>417.54821664464987</v>
      </c>
      <c r="X34" s="66">
        <f>+Ethanol!X32+Biodiesel!X32</f>
        <v>422.80052840158521</v>
      </c>
      <c r="Y34" s="65">
        <f t="shared" si="6"/>
        <v>21.610323064425423</v>
      </c>
      <c r="Z34" s="65">
        <f t="shared" si="7"/>
        <v>91.368560105680331</v>
      </c>
      <c r="AA34" s="2" t="s">
        <v>24</v>
      </c>
      <c r="AB34" s="2" t="s">
        <v>25</v>
      </c>
      <c r="AC34" s="10">
        <v>45352</v>
      </c>
    </row>
    <row r="35" spans="1:29" ht="15.75" thickBot="1" x14ac:dyDescent="0.3">
      <c r="A35" s="9" t="s">
        <v>58</v>
      </c>
      <c r="B35" s="66">
        <f>+Ethanol!B33+Biodiesel!B33</f>
        <v>53.896961690885071</v>
      </c>
      <c r="C35" s="66">
        <f>+Ethanol!C33+Biodiesel!C33</f>
        <v>41.479524438573314</v>
      </c>
      <c r="D35" s="66">
        <f>+Ethanol!D33+Biodiesel!D33</f>
        <v>41.21532364597094</v>
      </c>
      <c r="E35" s="66">
        <f>+Ethanol!E33+Biodiesel!E33</f>
        <v>56.538969616908844</v>
      </c>
      <c r="F35" s="66">
        <f>+Ethanol!F33+Biodiesel!F33</f>
        <v>103.03830911492733</v>
      </c>
      <c r="G35" s="66">
        <f>+Ethanol!G33+Biodiesel!G33</f>
        <v>88.507265521796569</v>
      </c>
      <c r="H35" s="66">
        <f>+Ethanol!H33+Biodiesel!H33</f>
        <v>125.75957727873184</v>
      </c>
      <c r="I35" s="66">
        <f>+Ethanol!I33+Biodiesel!I33</f>
        <v>134.21400264200793</v>
      </c>
      <c r="J35" s="66">
        <f>+Ethanol!J33+Biodiesel!J33</f>
        <v>102.77410832232496</v>
      </c>
      <c r="K35" s="66">
        <f>+Ethanol!K33+Biodiesel!K33</f>
        <v>96.433289299867894</v>
      </c>
      <c r="L35" s="66">
        <f>+Ethanol!L33+Biodiesel!L33</f>
        <v>101.9101717305152</v>
      </c>
      <c r="M35" s="66">
        <f>+Ethanol!M33+Biodiesel!M33</f>
        <v>105.778071334214</v>
      </c>
      <c r="N35" s="66">
        <f>+Ethanol!N33+Biodiesel!N33</f>
        <v>107.5112285336856</v>
      </c>
      <c r="O35" s="66">
        <f>+Ethanol!O33+Biodiesel!O33</f>
        <v>111.14927344782033</v>
      </c>
      <c r="P35" s="66">
        <f>+Ethanol!P33+Biodiesel!P33</f>
        <v>114.59180977542933</v>
      </c>
      <c r="Q35" s="66">
        <f>+Ethanol!Q33+Biodiesel!Q33</f>
        <v>118.12417437252311</v>
      </c>
      <c r="R35" s="66">
        <f>+Ethanol!R33+Biodiesel!R33</f>
        <v>121.65918097754292</v>
      </c>
      <c r="S35" s="66">
        <f>+Ethanol!S33+Biodiesel!S33</f>
        <v>125.18361955085865</v>
      </c>
      <c r="T35" s="66">
        <f>+Ethanol!T33+Biodiesel!T33</f>
        <v>128.70277410832233</v>
      </c>
      <c r="U35" s="66">
        <f>+Ethanol!U33+Biodiesel!U33</f>
        <v>132.2113606340819</v>
      </c>
      <c r="V35" s="66">
        <f>+Ethanol!V33+Biodiesel!V33</f>
        <v>135.71994715984147</v>
      </c>
      <c r="W35" s="66">
        <f>+Ethanol!W33+Biodiesel!W33</f>
        <v>139.22853368560104</v>
      </c>
      <c r="X35" s="66">
        <f>+Ethanol!X33+Biodiesel!X33</f>
        <v>142.73712021136063</v>
      </c>
      <c r="Y35" s="65">
        <f t="shared" si="6"/>
        <v>22.130085514381971</v>
      </c>
      <c r="Z35" s="65">
        <f t="shared" si="7"/>
        <v>31.587846763540298</v>
      </c>
      <c r="AA35" s="2" t="s">
        <v>24</v>
      </c>
      <c r="AB35" s="2" t="s">
        <v>25</v>
      </c>
      <c r="AC35" s="10">
        <v>45352</v>
      </c>
    </row>
    <row r="36" spans="1:29" ht="15.75" thickBot="1" x14ac:dyDescent="0.3">
      <c r="A36" s="11" t="s">
        <v>0</v>
      </c>
      <c r="B36" s="66">
        <f>+Ethanol!B34+Biodiesel!B34</f>
        <v>41.223249669749009</v>
      </c>
      <c r="C36" s="66">
        <f>+Ethanol!C34+Biodiesel!C34</f>
        <v>11.450462351387054</v>
      </c>
      <c r="D36" s="66">
        <f>+Ethanol!D34+Biodiesel!D34</f>
        <v>11.889035667107001</v>
      </c>
      <c r="E36" s="66">
        <f>+Ethanol!E34+Biodiesel!E34</f>
        <v>10.568031704095112</v>
      </c>
      <c r="F36" s="66">
        <f>+Ethanol!F34+Biodiesel!F34</f>
        <v>20.079260237780716</v>
      </c>
      <c r="G36" s="66">
        <f>+Ethanol!G34+Biodiesel!G34</f>
        <v>13.738441215323647</v>
      </c>
      <c r="H36" s="66">
        <f>+Ethanol!H34+Biodiesel!H34</f>
        <v>28.982826948480845</v>
      </c>
      <c r="I36" s="66">
        <f>+Ethanol!I34+Biodiesel!I34</f>
        <v>86.393659180977536</v>
      </c>
      <c r="J36" s="66">
        <f>+Ethanol!J34+Biodiesel!J34</f>
        <v>115.27080581241744</v>
      </c>
      <c r="K36" s="66">
        <f>+Ethanol!K34+Biodiesel!K34</f>
        <v>204.22721268163804</v>
      </c>
      <c r="L36" s="66">
        <f>+Ethanol!L34+Biodiesel!L34</f>
        <v>370.43593130779391</v>
      </c>
      <c r="M36" s="66">
        <f>+Ethanol!M34+Biodiesel!M34</f>
        <v>395.8256274768824</v>
      </c>
      <c r="N36" s="66">
        <f>+Ethanol!N34+Biodiesel!N34</f>
        <v>565.38441215323644</v>
      </c>
      <c r="O36" s="66">
        <f>+Ethanol!O34+Biodiesel!O34</f>
        <v>557.68295904887714</v>
      </c>
      <c r="P36" s="66">
        <f>+Ethanol!P34+Biodiesel!P34</f>
        <v>527.47952443857332</v>
      </c>
      <c r="Q36" s="66">
        <f>+Ethanol!Q34+Biodiesel!Q34</f>
        <v>483.48216644649932</v>
      </c>
      <c r="R36" s="66">
        <f>+Ethanol!R34+Biodiesel!R34</f>
        <v>446.21928665785993</v>
      </c>
      <c r="S36" s="66">
        <f>+Ethanol!S34+Biodiesel!S34</f>
        <v>409.69352708058119</v>
      </c>
      <c r="T36" s="66">
        <f>+Ethanol!T34+Biodiesel!T34</f>
        <v>404.33025099075297</v>
      </c>
      <c r="U36" s="66">
        <f>+Ethanol!U34+Biodiesel!U34</f>
        <v>412.60501981505945</v>
      </c>
      <c r="V36" s="66">
        <f>+Ethanol!V34+Biodiesel!V34</f>
        <v>412.87978863936587</v>
      </c>
      <c r="W36" s="66">
        <f>+Ethanol!W34+Biodiesel!W34</f>
        <v>410.68163804491411</v>
      </c>
      <c r="X36" s="66">
        <f>+Ethanol!X34+Biodiesel!X34</f>
        <v>414.59973579920739</v>
      </c>
      <c r="Y36" s="65">
        <f t="shared" si="6"/>
        <v>-34.511170870346533</v>
      </c>
      <c r="Z36" s="65">
        <f t="shared" si="7"/>
        <v>-143.08322324966974</v>
      </c>
      <c r="AA36" s="2" t="s">
        <v>24</v>
      </c>
      <c r="AB36" s="2" t="s">
        <v>25</v>
      </c>
      <c r="AC36" s="10">
        <v>45352</v>
      </c>
    </row>
    <row r="37" spans="1:29" ht="15.75" thickBot="1" x14ac:dyDescent="0.3">
      <c r="A37" s="11" t="s">
        <v>59</v>
      </c>
      <c r="B37" s="66">
        <f>+Ethanol!B35+Biodiesel!B35</f>
        <v>161.95508586525759</v>
      </c>
      <c r="C37" s="66">
        <f>+Ethanol!C35+Biodiesel!C35</f>
        <v>398.15059445178332</v>
      </c>
      <c r="D37" s="66">
        <f>+Ethanol!D35+Biodiesel!D35</f>
        <v>441.32100396301189</v>
      </c>
      <c r="E37" s="66">
        <f>+Ethanol!E35+Biodiesel!E35</f>
        <v>537.19947159841479</v>
      </c>
      <c r="F37" s="66">
        <f>+Ethanol!F35+Biodiesel!F35</f>
        <v>438.1241743725231</v>
      </c>
      <c r="G37" s="66">
        <f>+Ethanol!G35+Biodiesel!G35</f>
        <v>104.67635402906208</v>
      </c>
      <c r="H37" s="66">
        <f>+Ethanol!H35+Biodiesel!H35</f>
        <v>144.46499339498018</v>
      </c>
      <c r="I37" s="66">
        <f>+Ethanol!I35+Biodiesel!I35</f>
        <v>66.287978863936587</v>
      </c>
      <c r="J37" s="66">
        <f>+Ethanol!J35+Biodiesel!J35</f>
        <v>509.37912813738438</v>
      </c>
      <c r="K37" s="66">
        <f>+Ethanol!K35+Biodiesel!K35</f>
        <v>353.87054161162484</v>
      </c>
      <c r="L37" s="66">
        <f>+Ethanol!L35+Biodiesel!L35</f>
        <v>22.747688243064729</v>
      </c>
      <c r="M37" s="66">
        <f>+Ethanol!M35+Biodiesel!M35</f>
        <v>72.523117569352706</v>
      </c>
      <c r="N37" s="66">
        <f>+Ethanol!N35+Biodiesel!N35</f>
        <v>70.700132100396303</v>
      </c>
      <c r="O37" s="66">
        <f>+Ethanol!O35+Biodiesel!O35</f>
        <v>75.009247027741083</v>
      </c>
      <c r="P37" s="66">
        <f>+Ethanol!P35+Biodiesel!P35</f>
        <v>73.162483487450459</v>
      </c>
      <c r="Q37" s="66">
        <f>+Ethanol!Q35+Biodiesel!Q35</f>
        <v>77.587846763540284</v>
      </c>
      <c r="R37" s="66">
        <f>+Ethanol!R35+Biodiesel!R35</f>
        <v>79.450462351387046</v>
      </c>
      <c r="S37" s="66">
        <f>+Ethanol!S35+Biodiesel!S35</f>
        <v>81.431968295904881</v>
      </c>
      <c r="T37" s="66">
        <f>+Ethanol!T35+Biodiesel!T35</f>
        <v>82.657859973579903</v>
      </c>
      <c r="U37" s="66">
        <f>+Ethanol!U35+Biodiesel!U35</f>
        <v>85.511228533685596</v>
      </c>
      <c r="V37" s="66">
        <f>+Ethanol!V35+Biodiesel!V35</f>
        <v>87.8335535006605</v>
      </c>
      <c r="W37" s="66">
        <f>+Ethanol!W35+Biodiesel!W35</f>
        <v>90.023778071334206</v>
      </c>
      <c r="X37" s="66">
        <f>+Ethanol!X35+Biodiesel!X35</f>
        <v>92.377807133421399</v>
      </c>
      <c r="Y37" s="65">
        <f t="shared" si="6"/>
        <v>18.801658801658803</v>
      </c>
      <c r="Z37" s="65">
        <f t="shared" si="7"/>
        <v>17.368560105680316</v>
      </c>
      <c r="AA37" s="6" t="s">
        <v>24</v>
      </c>
      <c r="AB37" s="6" t="s">
        <v>25</v>
      </c>
      <c r="AC37" s="30">
        <v>45352</v>
      </c>
    </row>
    <row r="38" spans="1:29" ht="15.75" thickBot="1" x14ac:dyDescent="0.3">
      <c r="A38" s="9" t="s">
        <v>60</v>
      </c>
      <c r="B38" s="66">
        <f>+Ethanol!B36+Biodiesel!B36</f>
        <v>44.538969616908851</v>
      </c>
      <c r="C38" s="66">
        <f>+Ethanol!C36+Biodiesel!C36</f>
        <v>47.307793923381766</v>
      </c>
      <c r="D38" s="66">
        <f>+Ethanol!D36+Biodiesel!D36</f>
        <v>54.290620871862615</v>
      </c>
      <c r="E38" s="66">
        <f>+Ethanol!E36+Biodiesel!E36</f>
        <v>38.354029062087179</v>
      </c>
      <c r="F38" s="66">
        <f>+Ethanol!F36+Biodiesel!F36</f>
        <v>98.398943196829606</v>
      </c>
      <c r="G38" s="66">
        <f>+Ethanol!G36+Biodiesel!G36</f>
        <v>85.215323645970926</v>
      </c>
      <c r="H38" s="66">
        <f>+Ethanol!H36+Biodiesel!H36</f>
        <v>117.98678996036988</v>
      </c>
      <c r="I38" s="66">
        <f>+Ethanol!I36+Biodiesel!I36</f>
        <v>161.26816380449139</v>
      </c>
      <c r="J38" s="66">
        <f>+Ethanol!J36+Biodiesel!J36</f>
        <v>130.25627476882431</v>
      </c>
      <c r="K38" s="66">
        <f>+Ethanol!K36+Biodiesel!K36</f>
        <v>70.758256274768826</v>
      </c>
      <c r="L38" s="66">
        <f>+Ethanol!L36+Biodiesel!L36</f>
        <v>62.10832232496697</v>
      </c>
      <c r="M38" s="66">
        <f>+Ethanol!M36+Biodiesel!M36</f>
        <v>150.66314398943197</v>
      </c>
      <c r="N38" s="66">
        <f>+Ethanol!N36+Biodiesel!N36</f>
        <v>142.73183619550861</v>
      </c>
      <c r="O38" s="66">
        <f>+Ethanol!O36+Biodiesel!O36</f>
        <v>91.542932628797885</v>
      </c>
      <c r="P38" s="66">
        <f>+Ethanol!P36+Biodiesel!P36</f>
        <v>92.171730515191541</v>
      </c>
      <c r="Q38" s="66">
        <f>+Ethanol!Q36+Biodiesel!Q36</f>
        <v>92.935270805812408</v>
      </c>
      <c r="R38" s="66">
        <f>+Ethanol!R36+Biodiesel!R36</f>
        <v>93.698811096433289</v>
      </c>
      <c r="S38" s="66">
        <f>+Ethanol!S36+Biodiesel!S36</f>
        <v>94.462351387054156</v>
      </c>
      <c r="T38" s="66">
        <f>+Ethanol!T36+Biodiesel!T36</f>
        <v>95.225891677675037</v>
      </c>
      <c r="U38" s="66">
        <f>+Ethanol!U36+Biodiesel!U36</f>
        <v>96.018494055482165</v>
      </c>
      <c r="V38" s="66">
        <f>+Ethanol!V36+Biodiesel!V36</f>
        <v>96.829590488771458</v>
      </c>
      <c r="W38" s="66">
        <f>+Ethanol!W36+Biodiesel!W36</f>
        <v>97.648612945838835</v>
      </c>
      <c r="X38" s="66">
        <f>+Ethanol!X36+Biodiesel!X36</f>
        <v>98.483487450462349</v>
      </c>
      <c r="Y38" s="65">
        <f t="shared" si="6"/>
        <v>7.0474299817576984</v>
      </c>
      <c r="Z38" s="65">
        <f t="shared" si="7"/>
        <v>6.9405548216644632</v>
      </c>
      <c r="AA38" s="2" t="s">
        <v>24</v>
      </c>
      <c r="AB38" s="2" t="s">
        <v>25</v>
      </c>
      <c r="AC38" s="10">
        <v>45352</v>
      </c>
    </row>
    <row r="39" spans="1:29" ht="15.75" thickBot="1" x14ac:dyDescent="0.3">
      <c r="A39" s="9" t="s">
        <v>81</v>
      </c>
      <c r="B39" s="66">
        <f>+Ethanol!B37+Biodiesel!B37</f>
        <v>886.90620871862598</v>
      </c>
      <c r="C39" s="66">
        <f>+Ethanol!C37+Biodiesel!C37</f>
        <v>985.4214002642002</v>
      </c>
      <c r="D39" s="66">
        <f>+Ethanol!D37+Biodiesel!D37</f>
        <v>1239.4081902245703</v>
      </c>
      <c r="E39" s="66">
        <f>+Ethanol!E37+Biodiesel!E37</f>
        <v>1307.5323645970934</v>
      </c>
      <c r="F39" s="66">
        <f>+Ethanol!F37+Biodiesel!F37</f>
        <v>1343.2443857331573</v>
      </c>
      <c r="G39" s="66">
        <f>+Ethanol!G37+Biodiesel!G37</f>
        <v>1035.0171730515187</v>
      </c>
      <c r="H39" s="66">
        <f>+Ethanol!H37+Biodiesel!H37</f>
        <v>1283.7833553500657</v>
      </c>
      <c r="I39" s="66">
        <f>+Ethanol!I37+Biodiesel!I37</f>
        <v>1310.4993394980193</v>
      </c>
      <c r="J39" s="66">
        <f>+Ethanol!J37+Biodiesel!J37</f>
        <v>1273.9630118890359</v>
      </c>
      <c r="K39" s="66">
        <f>+Ethanol!K37+Biodiesel!K37</f>
        <v>1288.7054161162482</v>
      </c>
      <c r="L39" s="66">
        <f>+Ethanol!L37+Biodiesel!L37</f>
        <v>1063.6433289299869</v>
      </c>
      <c r="M39" s="66">
        <f>+Ethanol!M37+Biodiesel!M37</f>
        <v>1239.4319682959051</v>
      </c>
      <c r="N39" s="66">
        <f>+Ethanol!N37+Biodiesel!N37</f>
        <v>1287.1360634081905</v>
      </c>
      <c r="O39" s="66">
        <f>+Ethanol!O37+Biodiesel!O37</f>
        <v>1296.2562747688241</v>
      </c>
      <c r="P39" s="66">
        <f>+Ethanol!P37+Biodiesel!P37</f>
        <v>1290.409511228534</v>
      </c>
      <c r="Q39" s="66">
        <f>+Ethanol!Q37+Biodiesel!Q37</f>
        <v>1297.970937912814</v>
      </c>
      <c r="R39" s="66">
        <f>+Ethanol!R37+Biodiesel!R37</f>
        <v>1304.7926023778073</v>
      </c>
      <c r="S39" s="66">
        <f>+Ethanol!S37+Biodiesel!S37</f>
        <v>1314.9775429326289</v>
      </c>
      <c r="T39" s="66">
        <f>+Ethanol!T37+Biodiesel!T37</f>
        <v>1318.1241743725229</v>
      </c>
      <c r="U39" s="66">
        <f>+Ethanol!U37+Biodiesel!U37</f>
        <v>1321.6116248348742</v>
      </c>
      <c r="V39" s="66">
        <f>+Ethanol!V37+Biodiesel!V37</f>
        <v>1324.1162483487446</v>
      </c>
      <c r="W39" s="66">
        <f>+Ethanol!W37+Biodiesel!W37</f>
        <v>1326.4914134742407</v>
      </c>
      <c r="X39" s="66">
        <f>+Ethanol!X37+Biodiesel!X37</f>
        <v>1328.9749009247025</v>
      </c>
      <c r="Y39" s="65">
        <f t="shared" si="6"/>
        <v>2.4619446261259501</v>
      </c>
      <c r="Z39" s="65">
        <f t="shared" si="7"/>
        <v>32.718626155878383</v>
      </c>
      <c r="AA39" s="2" t="s">
        <v>24</v>
      </c>
      <c r="AB39" s="2" t="s">
        <v>25</v>
      </c>
      <c r="AC39" s="10">
        <v>45352</v>
      </c>
    </row>
    <row r="40" spans="1:29" ht="15.75" thickBot="1" x14ac:dyDescent="0.3">
      <c r="A40" s="12" t="s">
        <v>82</v>
      </c>
      <c r="B40" s="66">
        <f>+Ethanol!B38+Biodiesel!B38</f>
        <v>2542.3725231175695</v>
      </c>
      <c r="C40" s="66">
        <f>+Ethanol!C38+Biodiesel!C38</f>
        <v>3540.4280052840159</v>
      </c>
      <c r="D40" s="66">
        <f>+Ethanol!D38+Biodiesel!D38</f>
        <v>3668.1003963011881</v>
      </c>
      <c r="E40" s="66">
        <f>+Ethanol!E38+Biodiesel!E38</f>
        <v>3928.2245706737112</v>
      </c>
      <c r="F40" s="66">
        <f>+Ethanol!F38+Biodiesel!F38</f>
        <v>3690.4332892998677</v>
      </c>
      <c r="G40" s="66">
        <f>+Ethanol!G38+Biodiesel!G38</f>
        <v>3231.5085865257588</v>
      </c>
      <c r="H40" s="66">
        <f>+Ethanol!H38+Biodiesel!H38</f>
        <v>3871.8335535006604</v>
      </c>
      <c r="I40" s="66">
        <f>+Ethanol!I38+Biodiesel!I38</f>
        <v>4107.104359313078</v>
      </c>
      <c r="J40" s="66">
        <f>+Ethanol!J38+Biodiesel!J38</f>
        <v>5001.0594451783354</v>
      </c>
      <c r="K40" s="66">
        <f>+Ethanol!K38+Biodiesel!K38</f>
        <v>4924.0792602377805</v>
      </c>
      <c r="L40" s="66">
        <f>+Ethanol!L38+Biodiesel!L38</f>
        <v>4490.4359313077939</v>
      </c>
      <c r="M40" s="66">
        <f>+Ethanol!M38+Biodiesel!M38</f>
        <v>4355.3738441215328</v>
      </c>
      <c r="N40" s="66">
        <f>+Ethanol!N38+Biodiesel!N38</f>
        <v>4698.7556142668427</v>
      </c>
      <c r="O40" s="66">
        <f>+Ethanol!O38+Biodiesel!O38</f>
        <v>4617.5323645970939</v>
      </c>
      <c r="P40" s="66">
        <f>+Ethanol!P38+Biodiesel!P38</f>
        <v>4664.309114927345</v>
      </c>
      <c r="Q40" s="66">
        <f>+Ethanol!Q38+Biodiesel!Q38</f>
        <v>4654.9431968295903</v>
      </c>
      <c r="R40" s="66">
        <f>+Ethanol!R38+Biodiesel!R38</f>
        <v>4684.795244385733</v>
      </c>
      <c r="S40" s="66">
        <f>+Ethanol!S38+Biodiesel!S38</f>
        <v>4719.6882430647292</v>
      </c>
      <c r="T40" s="66">
        <f>+Ethanol!T38+Biodiesel!T38</f>
        <v>4784.5574636723904</v>
      </c>
      <c r="U40" s="66">
        <f>+Ethanol!U38+Biodiesel!U38</f>
        <v>4860.4332892998682</v>
      </c>
      <c r="V40" s="66">
        <f>+Ethanol!V38+Biodiesel!V38</f>
        <v>4926.0554821664464</v>
      </c>
      <c r="W40" s="66">
        <f>+Ethanol!W38+Biodiesel!W38</f>
        <v>4990.6816380449145</v>
      </c>
      <c r="X40" s="66">
        <f>+Ethanol!X38+Biodiesel!X38</f>
        <v>5053.9815059445173</v>
      </c>
      <c r="Y40" s="65">
        <f>+(X40-O40)/X40*100</f>
        <v>8.6357486831732526</v>
      </c>
      <c r="Z40" s="65">
        <f>+X40-O40</f>
        <v>436.44914134742339</v>
      </c>
      <c r="AA40" s="14" t="s">
        <v>24</v>
      </c>
      <c r="AB40" s="14" t="s">
        <v>25</v>
      </c>
      <c r="AC40" s="15">
        <v>45352</v>
      </c>
    </row>
    <row r="41" spans="1:29" ht="15.75" thickBot="1" x14ac:dyDescent="0.3">
      <c r="A41" s="22" t="s">
        <v>63</v>
      </c>
      <c r="B41" s="23">
        <v>2010</v>
      </c>
      <c r="C41" s="23">
        <v>2011</v>
      </c>
      <c r="D41" s="23">
        <v>2012</v>
      </c>
      <c r="E41" s="23">
        <v>2013</v>
      </c>
      <c r="F41" s="23">
        <v>2014</v>
      </c>
      <c r="G41" s="23">
        <v>2015</v>
      </c>
      <c r="H41" s="23">
        <v>2016</v>
      </c>
      <c r="I41" s="23">
        <v>2017</v>
      </c>
      <c r="J41" s="23">
        <v>2018</v>
      </c>
      <c r="K41" s="23">
        <v>2019</v>
      </c>
      <c r="L41" s="23">
        <v>2020</v>
      </c>
      <c r="M41" s="23">
        <v>2021</v>
      </c>
      <c r="N41" s="23">
        <v>2022</v>
      </c>
      <c r="O41" s="23">
        <v>2023</v>
      </c>
      <c r="P41" s="23">
        <v>2024</v>
      </c>
      <c r="Q41" s="23">
        <v>2025</v>
      </c>
      <c r="R41" s="23">
        <v>2026</v>
      </c>
      <c r="S41" s="23">
        <v>2027</v>
      </c>
      <c r="T41" s="23">
        <v>2028</v>
      </c>
      <c r="U41" s="23">
        <v>2029</v>
      </c>
      <c r="V41" s="23">
        <v>2030</v>
      </c>
      <c r="W41" s="23">
        <v>2031</v>
      </c>
      <c r="X41" s="23">
        <v>2032</v>
      </c>
      <c r="Y41" s="23"/>
      <c r="Z41" s="23"/>
      <c r="AA41" s="23" t="s">
        <v>22</v>
      </c>
      <c r="AB41" s="23" t="s">
        <v>26</v>
      </c>
      <c r="AC41" s="24" t="s">
        <v>23</v>
      </c>
    </row>
    <row r="42" spans="1:29" x14ac:dyDescent="0.25">
      <c r="A42" s="20" t="s">
        <v>0</v>
      </c>
      <c r="B42" s="61"/>
      <c r="C42" s="61"/>
      <c r="D42" s="8">
        <v>24</v>
      </c>
      <c r="E42" s="8">
        <v>24</v>
      </c>
      <c r="F42" s="8">
        <v>71</v>
      </c>
      <c r="G42" s="8">
        <v>71</v>
      </c>
      <c r="H42" s="8">
        <v>51</v>
      </c>
      <c r="I42" s="8">
        <v>51</v>
      </c>
      <c r="J42" s="8">
        <v>51</v>
      </c>
      <c r="K42" s="8">
        <v>51</v>
      </c>
      <c r="L42" s="8">
        <v>51</v>
      </c>
      <c r="M42" s="8">
        <v>51</v>
      </c>
      <c r="N42" s="67">
        <v>55</v>
      </c>
      <c r="O42" s="93">
        <v>60</v>
      </c>
      <c r="P42" s="101"/>
      <c r="Q42" s="61"/>
      <c r="R42" s="101"/>
      <c r="S42" s="139"/>
      <c r="T42" s="61"/>
      <c r="U42" s="61"/>
      <c r="V42" s="61"/>
      <c r="W42" s="96"/>
      <c r="X42" s="61"/>
      <c r="Y42" s="61"/>
      <c r="Z42" s="61"/>
      <c r="AA42" s="8" t="s">
        <v>37</v>
      </c>
      <c r="AB42" s="31" t="s">
        <v>38</v>
      </c>
      <c r="AC42" s="21">
        <v>45352</v>
      </c>
    </row>
    <row r="43" spans="1:29" x14ac:dyDescent="0.25">
      <c r="A43" s="9" t="s">
        <v>56</v>
      </c>
      <c r="B43" s="60"/>
      <c r="C43" s="60"/>
      <c r="D43" s="2">
        <v>804</v>
      </c>
      <c r="E43" s="2">
        <v>820</v>
      </c>
      <c r="F43" s="2">
        <v>845</v>
      </c>
      <c r="G43" s="2">
        <v>821</v>
      </c>
      <c r="H43" s="2">
        <v>783</v>
      </c>
      <c r="I43" s="2">
        <v>795</v>
      </c>
      <c r="J43" s="2">
        <v>832</v>
      </c>
      <c r="K43" s="2">
        <v>839</v>
      </c>
      <c r="L43" s="2">
        <v>871</v>
      </c>
      <c r="M43" s="2">
        <v>863</v>
      </c>
      <c r="N43" s="29">
        <v>856.15</v>
      </c>
      <c r="O43" s="94">
        <v>994</v>
      </c>
      <c r="P43" s="101"/>
      <c r="Q43" s="61"/>
      <c r="R43" s="97"/>
      <c r="S43" s="140"/>
      <c r="T43" s="60"/>
      <c r="U43" s="60"/>
      <c r="V43" s="60"/>
      <c r="W43" s="98"/>
      <c r="X43" s="60"/>
      <c r="Y43" s="60"/>
      <c r="Z43" s="60"/>
      <c r="AA43" s="2" t="s">
        <v>37</v>
      </c>
      <c r="AB43" s="2" t="s">
        <v>38</v>
      </c>
      <c r="AC43" s="10">
        <v>45352</v>
      </c>
    </row>
    <row r="44" spans="1:29" x14ac:dyDescent="0.25">
      <c r="A44" s="9" t="s">
        <v>55</v>
      </c>
      <c r="B44" s="60"/>
      <c r="C44" s="60"/>
      <c r="D44" s="2">
        <v>217</v>
      </c>
      <c r="E44" s="2">
        <v>236</v>
      </c>
      <c r="F44" s="2">
        <v>282</v>
      </c>
      <c r="G44" s="2">
        <v>277</v>
      </c>
      <c r="H44" s="2">
        <v>283.7</v>
      </c>
      <c r="I44" s="2">
        <v>299</v>
      </c>
      <c r="J44" s="2">
        <v>311</v>
      </c>
      <c r="K44" s="2">
        <v>297</v>
      </c>
      <c r="L44" s="2">
        <v>271</v>
      </c>
      <c r="M44" s="2">
        <v>322.60000000000002</v>
      </c>
      <c r="N44" s="29">
        <v>359.709</v>
      </c>
      <c r="O44" s="94">
        <v>342</v>
      </c>
      <c r="P44" s="101"/>
      <c r="Q44" s="60"/>
      <c r="R44" s="60"/>
      <c r="S44" s="97"/>
      <c r="T44" s="60"/>
      <c r="U44" s="60"/>
      <c r="V44" s="60"/>
      <c r="W44" s="90"/>
      <c r="X44" s="60"/>
      <c r="Y44" s="60"/>
      <c r="Z44" s="60"/>
      <c r="AA44" s="2" t="s">
        <v>37</v>
      </c>
      <c r="AB44" s="2" t="s">
        <v>38</v>
      </c>
      <c r="AC44" s="10">
        <v>45352</v>
      </c>
    </row>
    <row r="45" spans="1:29" x14ac:dyDescent="0.25">
      <c r="A45" s="9" t="s">
        <v>57</v>
      </c>
      <c r="B45" s="60"/>
      <c r="C45" s="60"/>
      <c r="D45" s="2">
        <v>109</v>
      </c>
      <c r="E45" s="2">
        <v>111</v>
      </c>
      <c r="F45" s="2">
        <v>98</v>
      </c>
      <c r="G45" s="2">
        <v>105</v>
      </c>
      <c r="H45" s="2">
        <v>93</v>
      </c>
      <c r="I45" s="2">
        <v>200</v>
      </c>
      <c r="J45" s="2">
        <v>208</v>
      </c>
      <c r="K45" s="2">
        <v>239</v>
      </c>
      <c r="L45" s="2">
        <v>229</v>
      </c>
      <c r="M45" s="2">
        <v>141.6</v>
      </c>
      <c r="N45" s="29">
        <v>148.30000000000001</v>
      </c>
      <c r="O45" s="94">
        <v>150</v>
      </c>
      <c r="P45" s="101"/>
      <c r="Q45" s="60"/>
      <c r="R45" s="136"/>
      <c r="S45" s="137"/>
      <c r="T45" s="60"/>
      <c r="U45" s="60"/>
      <c r="V45" s="60"/>
      <c r="W45" s="90"/>
      <c r="X45" s="60"/>
      <c r="Y45" s="60"/>
      <c r="Z45" s="60"/>
      <c r="AA45" s="2" t="s">
        <v>37</v>
      </c>
      <c r="AB45" s="2" t="s">
        <v>38</v>
      </c>
      <c r="AC45" s="10">
        <v>45352</v>
      </c>
    </row>
    <row r="46" spans="1:29" x14ac:dyDescent="0.25">
      <c r="A46" s="9" t="s">
        <v>59</v>
      </c>
      <c r="B46" s="60"/>
      <c r="C46" s="60"/>
      <c r="D46" s="60"/>
      <c r="E46" s="60"/>
      <c r="F46" s="2">
        <v>223</v>
      </c>
      <c r="G46" s="2">
        <v>94.8</v>
      </c>
      <c r="H46" s="2">
        <v>154.30000000000001</v>
      </c>
      <c r="I46" s="2">
        <v>180</v>
      </c>
      <c r="J46" s="2">
        <v>237</v>
      </c>
      <c r="K46" s="2">
        <v>494.4</v>
      </c>
      <c r="L46" s="2">
        <v>475</v>
      </c>
      <c r="M46" s="2">
        <v>555.9</v>
      </c>
      <c r="N46" s="29">
        <v>619.03</v>
      </c>
      <c r="O46" s="94">
        <v>798.6</v>
      </c>
      <c r="P46" s="101"/>
      <c r="Q46" s="60"/>
      <c r="R46" s="138"/>
      <c r="S46" s="97"/>
      <c r="T46" s="60"/>
      <c r="U46" s="60"/>
      <c r="V46" s="60"/>
      <c r="W46" s="60"/>
      <c r="X46" s="60"/>
      <c r="Y46" s="60"/>
      <c r="Z46" s="60"/>
      <c r="AA46" s="2" t="s">
        <v>37</v>
      </c>
      <c r="AB46" s="2" t="s">
        <v>38</v>
      </c>
      <c r="AC46" s="10">
        <v>45352</v>
      </c>
    </row>
    <row r="47" spans="1:29" x14ac:dyDescent="0.25">
      <c r="A47" s="9" t="s">
        <v>58</v>
      </c>
      <c r="B47" s="60"/>
      <c r="C47" s="60"/>
      <c r="D47" s="60"/>
      <c r="E47" s="60"/>
      <c r="F47" s="60"/>
      <c r="G47" s="60"/>
      <c r="H47" s="60"/>
      <c r="I47" s="60"/>
      <c r="J47" s="60"/>
      <c r="K47" s="60"/>
      <c r="L47" s="60"/>
      <c r="M47" s="60"/>
      <c r="N47" s="29">
        <v>1.3</v>
      </c>
      <c r="O47" s="68"/>
      <c r="P47" s="60"/>
      <c r="Q47" s="60"/>
      <c r="R47" s="60"/>
      <c r="S47" s="97"/>
      <c r="T47" s="60"/>
      <c r="U47" s="60"/>
      <c r="V47" s="60"/>
      <c r="W47" s="90"/>
      <c r="X47" s="60"/>
      <c r="Y47" s="60"/>
      <c r="Z47" s="60"/>
      <c r="AA47" s="2" t="s">
        <v>37</v>
      </c>
      <c r="AB47" s="7" t="s">
        <v>38</v>
      </c>
      <c r="AC47" s="10">
        <v>45352</v>
      </c>
    </row>
    <row r="48" spans="1:29" x14ac:dyDescent="0.25">
      <c r="A48" s="9" t="s">
        <v>60</v>
      </c>
      <c r="B48" s="60"/>
      <c r="C48" s="60"/>
      <c r="D48" s="60"/>
      <c r="E48" s="60"/>
      <c r="F48" s="60"/>
      <c r="G48" s="60"/>
      <c r="H48" s="60"/>
      <c r="I48" s="60"/>
      <c r="J48" s="60"/>
      <c r="K48" s="60"/>
      <c r="L48" s="60"/>
      <c r="M48" s="60"/>
      <c r="N48" s="29">
        <v>13.196</v>
      </c>
      <c r="O48" s="68"/>
      <c r="P48" s="60"/>
      <c r="Q48" s="60"/>
      <c r="R48" s="60"/>
      <c r="S48" s="97"/>
      <c r="T48" s="60"/>
      <c r="U48" s="60"/>
      <c r="V48" s="60"/>
      <c r="W48" s="90"/>
      <c r="X48" s="60"/>
      <c r="Y48" s="60"/>
      <c r="Z48" s="60"/>
      <c r="AA48" s="2" t="s">
        <v>37</v>
      </c>
      <c r="AB48" s="2" t="s">
        <v>38</v>
      </c>
      <c r="AC48" s="10">
        <v>45352</v>
      </c>
    </row>
    <row r="49" spans="1:29" x14ac:dyDescent="0.25">
      <c r="A49" s="9" t="s">
        <v>81</v>
      </c>
      <c r="B49" s="68"/>
      <c r="C49" s="68"/>
      <c r="D49" s="94">
        <f t="shared" ref="D49:L49" si="8">+D50-SUM(D42:D48)</f>
        <v>225</v>
      </c>
      <c r="E49" s="94">
        <f t="shared" si="8"/>
        <v>262</v>
      </c>
      <c r="F49" s="94">
        <f t="shared" si="8"/>
        <v>269</v>
      </c>
      <c r="G49" s="94">
        <f t="shared" si="8"/>
        <v>309.20000000000005</v>
      </c>
      <c r="H49" s="94">
        <f t="shared" si="8"/>
        <v>359</v>
      </c>
      <c r="I49" s="94">
        <f t="shared" si="8"/>
        <v>405</v>
      </c>
      <c r="J49" s="94">
        <f t="shared" si="8"/>
        <v>361</v>
      </c>
      <c r="K49" s="94">
        <f t="shared" si="8"/>
        <v>554.59999999999991</v>
      </c>
      <c r="L49" s="94">
        <f t="shared" si="8"/>
        <v>514</v>
      </c>
      <c r="M49" s="94">
        <f>+M50-SUM(M42:M48)</f>
        <v>486.90000000000009</v>
      </c>
      <c r="N49" s="94">
        <f>+N50-SUM(N42:N48)</f>
        <v>437.31500000000005</v>
      </c>
      <c r="O49" s="94">
        <f>+O50-SUM(O42:O48)</f>
        <v>458.40000000000009</v>
      </c>
      <c r="P49" s="60"/>
      <c r="Q49" s="60"/>
      <c r="R49" s="60"/>
      <c r="S49" s="97"/>
      <c r="T49" s="60"/>
      <c r="U49" s="60"/>
      <c r="V49" s="60"/>
      <c r="W49" s="90"/>
      <c r="X49" s="60"/>
      <c r="Y49" s="60"/>
      <c r="Z49" s="60"/>
      <c r="AA49" s="2" t="s">
        <v>37</v>
      </c>
      <c r="AB49" s="2" t="s">
        <v>38</v>
      </c>
      <c r="AC49" s="10">
        <v>45352</v>
      </c>
    </row>
    <row r="50" spans="1:29" ht="15.75" thickBot="1" x14ac:dyDescent="0.3">
      <c r="A50" s="25" t="s">
        <v>82</v>
      </c>
      <c r="B50" s="62"/>
      <c r="C50" s="62"/>
      <c r="D50" s="92">
        <v>1379</v>
      </c>
      <c r="E50" s="92">
        <v>1453</v>
      </c>
      <c r="F50" s="92">
        <v>1788</v>
      </c>
      <c r="G50" s="92">
        <v>1678</v>
      </c>
      <c r="H50" s="92">
        <v>1724</v>
      </c>
      <c r="I50" s="92">
        <v>1930</v>
      </c>
      <c r="J50" s="92">
        <v>2000</v>
      </c>
      <c r="K50" s="92">
        <v>2475</v>
      </c>
      <c r="L50" s="92">
        <v>2411</v>
      </c>
      <c r="M50" s="92">
        <v>2421</v>
      </c>
      <c r="N50" s="91">
        <v>2490</v>
      </c>
      <c r="O50" s="95">
        <v>2803</v>
      </c>
      <c r="P50" s="62"/>
      <c r="Q50" s="62"/>
      <c r="R50" s="62"/>
      <c r="S50" s="99"/>
      <c r="T50" s="62"/>
      <c r="U50" s="62"/>
      <c r="V50" s="62"/>
      <c r="W50" s="100"/>
      <c r="X50" s="62"/>
      <c r="Y50" s="62"/>
      <c r="Z50" s="62"/>
      <c r="AA50" s="27" t="s">
        <v>37</v>
      </c>
      <c r="AB50" s="27" t="s">
        <v>38</v>
      </c>
      <c r="AC50" s="28">
        <v>45352</v>
      </c>
    </row>
    <row r="51" spans="1:29" ht="15.75" thickBot="1" x14ac:dyDescent="0.3">
      <c r="A51" s="22" t="s">
        <v>529</v>
      </c>
      <c r="B51" s="23">
        <v>2010</v>
      </c>
      <c r="C51" s="23">
        <v>2011</v>
      </c>
      <c r="D51" s="23">
        <v>2012</v>
      </c>
      <c r="E51" s="23">
        <v>2013</v>
      </c>
      <c r="F51" s="23">
        <v>2014</v>
      </c>
      <c r="G51" s="23">
        <v>2015</v>
      </c>
      <c r="H51" s="23">
        <v>2016</v>
      </c>
      <c r="I51" s="23">
        <v>2017</v>
      </c>
      <c r="J51" s="23">
        <v>2018</v>
      </c>
      <c r="K51" s="23">
        <v>2019</v>
      </c>
      <c r="L51" s="23">
        <v>2020</v>
      </c>
      <c r="M51" s="23">
        <v>2021</v>
      </c>
      <c r="N51" s="23">
        <v>2022</v>
      </c>
      <c r="O51" s="23">
        <v>2023</v>
      </c>
      <c r="P51" s="23">
        <v>2024</v>
      </c>
      <c r="Q51" s="23">
        <v>2025</v>
      </c>
      <c r="R51" s="23">
        <v>2026</v>
      </c>
      <c r="S51" s="23">
        <v>2027</v>
      </c>
      <c r="T51" s="23">
        <v>2028</v>
      </c>
      <c r="U51" s="23">
        <v>2029</v>
      </c>
      <c r="V51" s="23">
        <v>2030</v>
      </c>
      <c r="W51" s="23">
        <v>2031</v>
      </c>
      <c r="X51" s="23">
        <v>2032</v>
      </c>
      <c r="Y51" s="23"/>
      <c r="Z51" s="23"/>
      <c r="AA51" s="23" t="s">
        <v>22</v>
      </c>
      <c r="AB51" s="23" t="s">
        <v>26</v>
      </c>
      <c r="AC51" s="24" t="s">
        <v>23</v>
      </c>
    </row>
    <row r="52" spans="1:29" x14ac:dyDescent="0.25">
      <c r="A52" s="20" t="s">
        <v>64</v>
      </c>
      <c r="B52" s="70">
        <v>1.9812849204306286</v>
      </c>
      <c r="C52" s="70">
        <v>2.7735717638508244</v>
      </c>
      <c r="D52" s="70">
        <v>2.4790666686855531</v>
      </c>
      <c r="E52" s="70">
        <v>2.5642384507063576</v>
      </c>
      <c r="F52" s="70">
        <v>2.3795103190345683</v>
      </c>
      <c r="G52" s="70">
        <v>1.7023000166558151</v>
      </c>
      <c r="H52" s="70">
        <v>1.6962433566010024</v>
      </c>
      <c r="I52" s="70">
        <v>1.6527111124570353</v>
      </c>
      <c r="J52" s="70">
        <v>1.491831079751071</v>
      </c>
      <c r="K52" s="70">
        <v>1.5153006374634708</v>
      </c>
      <c r="L52" s="70">
        <v>1.4350498917372014</v>
      </c>
      <c r="M52" s="70">
        <v>2.4571112759868567</v>
      </c>
      <c r="N52" s="70">
        <v>2.6781793679875232</v>
      </c>
      <c r="O52" s="70">
        <v>2.1504928607119602</v>
      </c>
      <c r="P52" s="70">
        <v>1.9778780491497963</v>
      </c>
      <c r="Q52" s="70">
        <v>1.9975621943279378</v>
      </c>
      <c r="R52" s="70">
        <v>2.0221673758006147</v>
      </c>
      <c r="S52" s="70">
        <v>2.041851520978756</v>
      </c>
      <c r="T52" s="70">
        <v>2.0562360886089364</v>
      </c>
      <c r="U52" s="70">
        <v>2.0766773162939298</v>
      </c>
      <c r="V52" s="70">
        <v>2.1024181215268838</v>
      </c>
      <c r="W52" s="70">
        <v>2.1277803855064126</v>
      </c>
      <c r="X52" s="70">
        <v>2.1489786956982573</v>
      </c>
      <c r="Y52" s="70"/>
      <c r="Z52" s="70"/>
      <c r="AA52" s="8" t="s">
        <v>24</v>
      </c>
      <c r="AB52" s="31" t="s">
        <v>25</v>
      </c>
      <c r="AC52" s="21">
        <v>45352</v>
      </c>
    </row>
    <row r="53" spans="1:29" ht="15.75" thickBot="1" x14ac:dyDescent="0.3">
      <c r="A53" s="25" t="s">
        <v>73</v>
      </c>
      <c r="B53" s="71">
        <v>3.5654800660175945</v>
      </c>
      <c r="C53" s="71">
        <v>5.0300561755220077</v>
      </c>
      <c r="D53" s="71">
        <v>4.4705722029586781</v>
      </c>
      <c r="E53" s="71">
        <v>4.2676740911224504</v>
      </c>
      <c r="F53" s="71">
        <v>3.6483806005178443</v>
      </c>
      <c r="G53" s="71">
        <v>2.8969762124676346</v>
      </c>
      <c r="H53" s="71">
        <v>3.0941962055024752</v>
      </c>
      <c r="I53" s="71">
        <v>3.3724240267704375</v>
      </c>
      <c r="J53" s="71">
        <v>3.2444770831125171</v>
      </c>
      <c r="K53" s="71">
        <v>3.123343882016262</v>
      </c>
      <c r="L53" s="71">
        <v>3.2164650303590085</v>
      </c>
      <c r="M53" s="71">
        <v>5.6614629862362396</v>
      </c>
      <c r="N53" s="71">
        <v>7.1078691155762153</v>
      </c>
      <c r="O53" s="71">
        <v>5.6970458640582651</v>
      </c>
      <c r="P53" s="70">
        <v>4.9172508820011203</v>
      </c>
      <c r="Q53" s="70">
        <v>5.0981936011386519</v>
      </c>
      <c r="R53" s="70">
        <v>5.2030495283375977</v>
      </c>
      <c r="S53" s="70">
        <v>5.3393243795708862</v>
      </c>
      <c r="T53" s="70">
        <v>5.4570507093863085</v>
      </c>
      <c r="U53" s="70">
        <v>5.5524431052496102</v>
      </c>
      <c r="V53" s="70">
        <v>5.6671411050376275</v>
      </c>
      <c r="W53" s="70">
        <v>5.783731811092772</v>
      </c>
      <c r="X53" s="70">
        <v>5.9082718834698609</v>
      </c>
      <c r="Y53" s="102"/>
      <c r="Z53" s="102"/>
      <c r="AA53" s="27" t="s">
        <v>24</v>
      </c>
      <c r="AB53" s="27" t="s">
        <v>25</v>
      </c>
      <c r="AC53" s="28">
        <v>45352</v>
      </c>
    </row>
    <row r="54" spans="1:29" ht="15.75" thickBot="1" x14ac:dyDescent="0.3">
      <c r="A54" s="22" t="s">
        <v>67</v>
      </c>
      <c r="B54" s="23">
        <v>2010</v>
      </c>
      <c r="C54" s="23">
        <v>2011</v>
      </c>
      <c r="D54" s="23">
        <v>2012</v>
      </c>
      <c r="E54" s="23">
        <v>2013</v>
      </c>
      <c r="F54" s="23">
        <v>2014</v>
      </c>
      <c r="G54" s="23">
        <v>2015</v>
      </c>
      <c r="H54" s="23">
        <v>2016</v>
      </c>
      <c r="I54" s="23">
        <v>2017</v>
      </c>
      <c r="J54" s="23">
        <v>2018</v>
      </c>
      <c r="K54" s="23">
        <v>2019</v>
      </c>
      <c r="L54" s="23">
        <v>2020</v>
      </c>
      <c r="M54" s="23">
        <v>2021</v>
      </c>
      <c r="N54" s="23">
        <v>2022</v>
      </c>
      <c r="O54" s="23">
        <v>2023</v>
      </c>
      <c r="P54" s="83">
        <v>2024</v>
      </c>
      <c r="Q54" s="83">
        <v>2025</v>
      </c>
      <c r="R54" s="83">
        <v>2026</v>
      </c>
      <c r="S54" s="83">
        <v>2027</v>
      </c>
      <c r="T54" s="83">
        <v>2028</v>
      </c>
      <c r="U54" s="83">
        <v>2029</v>
      </c>
      <c r="V54" s="83">
        <v>2030</v>
      </c>
      <c r="W54" s="83">
        <v>2031</v>
      </c>
      <c r="X54" s="83">
        <v>2032</v>
      </c>
      <c r="Y54" s="83"/>
      <c r="Z54" s="83"/>
      <c r="AA54" s="23" t="s">
        <v>22</v>
      </c>
      <c r="AB54" s="23" t="s">
        <v>26</v>
      </c>
      <c r="AC54" s="24" t="s">
        <v>23</v>
      </c>
    </row>
    <row r="55" spans="1:29" x14ac:dyDescent="0.25">
      <c r="A55" s="20" t="s">
        <v>64</v>
      </c>
      <c r="B55" s="61"/>
      <c r="C55" s="61"/>
      <c r="D55" s="61"/>
      <c r="E55" s="61"/>
      <c r="F55" s="61"/>
      <c r="G55" s="61"/>
      <c r="H55" s="8">
        <v>97.8</v>
      </c>
      <c r="I55" s="8">
        <v>99.8</v>
      </c>
      <c r="J55" s="8">
        <v>104.6</v>
      </c>
      <c r="K55" s="8">
        <v>109.6</v>
      </c>
      <c r="L55" s="8">
        <v>98</v>
      </c>
      <c r="M55" s="8">
        <v>103.6</v>
      </c>
      <c r="N55" s="8">
        <v>105.7</v>
      </c>
      <c r="O55" s="8">
        <v>108.2</v>
      </c>
      <c r="P55" s="2">
        <v>110.9</v>
      </c>
      <c r="Q55" s="2">
        <v>112.3</v>
      </c>
      <c r="R55" s="2">
        <v>114.1</v>
      </c>
      <c r="S55" s="2">
        <v>115.5</v>
      </c>
      <c r="T55" s="2">
        <v>117.5</v>
      </c>
      <c r="U55" s="60"/>
      <c r="V55" s="97"/>
      <c r="W55" s="97"/>
      <c r="X55" s="60"/>
      <c r="Y55" s="61"/>
      <c r="Z55" s="61"/>
      <c r="AA55" s="8" t="s">
        <v>74</v>
      </c>
      <c r="AB55" s="31" t="s">
        <v>75</v>
      </c>
      <c r="AC55" s="21">
        <v>45352</v>
      </c>
    </row>
    <row r="56" spans="1:29" x14ac:dyDescent="0.25">
      <c r="A56" s="9" t="s">
        <v>65</v>
      </c>
      <c r="B56" s="60"/>
      <c r="C56" s="60"/>
      <c r="D56" s="60"/>
      <c r="E56" s="60"/>
      <c r="F56" s="60"/>
      <c r="G56" s="60"/>
      <c r="H56" s="2">
        <v>33.299999999999997</v>
      </c>
      <c r="I56" s="2">
        <v>34</v>
      </c>
      <c r="J56" s="2">
        <v>38.299999999999997</v>
      </c>
      <c r="K56" s="2">
        <v>42.9</v>
      </c>
      <c r="L56" s="2">
        <v>45.1</v>
      </c>
      <c r="M56" s="2">
        <v>44.2</v>
      </c>
      <c r="N56" s="2">
        <v>45.1</v>
      </c>
      <c r="O56" s="2">
        <v>48</v>
      </c>
      <c r="P56" s="2">
        <v>50.2</v>
      </c>
      <c r="Q56" s="2">
        <v>52</v>
      </c>
      <c r="R56" s="2">
        <v>52.3</v>
      </c>
      <c r="S56" s="2">
        <v>52.5</v>
      </c>
      <c r="T56" s="2">
        <v>52.9</v>
      </c>
      <c r="U56" s="60"/>
      <c r="V56" s="97"/>
      <c r="W56" s="97"/>
      <c r="X56" s="60"/>
      <c r="Y56" s="60"/>
      <c r="Z56" s="60"/>
      <c r="AA56" s="2" t="s">
        <v>74</v>
      </c>
      <c r="AB56" s="2" t="s">
        <v>75</v>
      </c>
      <c r="AC56" s="21">
        <v>45352</v>
      </c>
    </row>
    <row r="57" spans="1:29" x14ac:dyDescent="0.25">
      <c r="A57" s="9" t="s">
        <v>564</v>
      </c>
      <c r="B57" s="60"/>
      <c r="C57" s="60"/>
      <c r="D57" s="60"/>
      <c r="E57" s="60"/>
      <c r="F57" s="60"/>
      <c r="G57" s="60"/>
      <c r="H57" s="2">
        <v>4</v>
      </c>
      <c r="I57" s="2">
        <v>4.9000000000000004</v>
      </c>
      <c r="J57" s="2">
        <v>4.8</v>
      </c>
      <c r="K57" s="2">
        <v>6</v>
      </c>
      <c r="L57" s="2">
        <v>7.1</v>
      </c>
      <c r="M57" s="2">
        <v>10.199999999999999</v>
      </c>
      <c r="N57" s="2">
        <v>13.3</v>
      </c>
      <c r="O57" s="2">
        <v>18.600000000000001</v>
      </c>
      <c r="P57" s="2">
        <v>18.899999999999999</v>
      </c>
      <c r="Q57" s="2">
        <v>21.7</v>
      </c>
      <c r="R57" s="2">
        <v>23.2</v>
      </c>
      <c r="S57" s="2">
        <v>25.1</v>
      </c>
      <c r="T57" s="2">
        <v>26.4</v>
      </c>
      <c r="U57" s="60"/>
      <c r="V57" s="97"/>
      <c r="W57" s="97"/>
      <c r="X57" s="60"/>
      <c r="Y57" s="60"/>
      <c r="Z57" s="60"/>
      <c r="AA57" s="2" t="s">
        <v>74</v>
      </c>
      <c r="AB57" s="2" t="s">
        <v>75</v>
      </c>
      <c r="AC57" s="21">
        <v>45352</v>
      </c>
    </row>
    <row r="58" spans="1:29" ht="15.75" thickBot="1" x14ac:dyDescent="0.3">
      <c r="A58" s="25" t="s">
        <v>66</v>
      </c>
      <c r="B58" s="62"/>
      <c r="C58" s="62"/>
      <c r="D58" s="62"/>
      <c r="E58" s="62"/>
      <c r="F58" s="62"/>
      <c r="G58" s="62"/>
      <c r="H58" s="27">
        <v>0</v>
      </c>
      <c r="I58" s="27">
        <v>0</v>
      </c>
      <c r="J58" s="27">
        <v>0</v>
      </c>
      <c r="K58" s="27">
        <v>0</v>
      </c>
      <c r="L58" s="27">
        <v>0</v>
      </c>
      <c r="M58" s="27">
        <v>0</v>
      </c>
      <c r="N58" s="27">
        <v>0.2</v>
      </c>
      <c r="O58" s="27">
        <v>0.6</v>
      </c>
      <c r="P58" s="2">
        <v>1.8</v>
      </c>
      <c r="Q58" s="2">
        <v>2.7</v>
      </c>
      <c r="R58" s="2">
        <v>3.5</v>
      </c>
      <c r="S58" s="2">
        <v>4.4000000000000004</v>
      </c>
      <c r="T58" s="2">
        <v>5.2</v>
      </c>
      <c r="U58" s="60"/>
      <c r="V58" s="97"/>
      <c r="W58" s="97"/>
      <c r="X58" s="60"/>
      <c r="Y58" s="62"/>
      <c r="Z58" s="62"/>
      <c r="AA58" s="27" t="s">
        <v>74</v>
      </c>
      <c r="AB58" s="27" t="s">
        <v>75</v>
      </c>
      <c r="AC58" s="72">
        <v>45352</v>
      </c>
    </row>
    <row r="59" spans="1:29" ht="15.75" thickBot="1" x14ac:dyDescent="0.3">
      <c r="A59" s="22" t="s">
        <v>67</v>
      </c>
      <c r="B59" s="73"/>
      <c r="C59" s="73"/>
      <c r="D59" s="73"/>
      <c r="E59" s="73"/>
      <c r="F59" s="73"/>
      <c r="G59" s="73"/>
      <c r="H59" s="73"/>
      <c r="I59" s="73"/>
      <c r="J59" s="73"/>
      <c r="K59" s="73"/>
      <c r="L59" s="73"/>
      <c r="M59" s="73"/>
      <c r="N59" s="23" t="s">
        <v>68</v>
      </c>
      <c r="O59" s="23">
        <v>2023</v>
      </c>
      <c r="P59" s="89">
        <v>2024</v>
      </c>
      <c r="Q59" s="89">
        <v>2025</v>
      </c>
      <c r="R59" s="89">
        <v>2026</v>
      </c>
      <c r="S59" s="89">
        <v>2027</v>
      </c>
      <c r="T59" s="89" t="s">
        <v>565</v>
      </c>
      <c r="U59" s="89">
        <v>2029</v>
      </c>
      <c r="V59" s="89">
        <v>2030</v>
      </c>
      <c r="W59" s="89">
        <v>2031</v>
      </c>
      <c r="X59" s="89">
        <v>2032</v>
      </c>
      <c r="Y59" s="89"/>
      <c r="Z59" s="89"/>
      <c r="AA59" s="23" t="s">
        <v>22</v>
      </c>
      <c r="AB59" s="23" t="s">
        <v>26</v>
      </c>
      <c r="AC59" s="24" t="s">
        <v>23</v>
      </c>
    </row>
    <row r="60" spans="1:29" x14ac:dyDescent="0.25">
      <c r="A60" s="20" t="s">
        <v>39</v>
      </c>
      <c r="B60" s="61"/>
      <c r="C60" s="61"/>
      <c r="D60" s="61"/>
      <c r="E60" s="61"/>
      <c r="F60" s="61"/>
      <c r="G60" s="61"/>
      <c r="H60" s="61"/>
      <c r="I60" s="61"/>
      <c r="J60" s="61"/>
      <c r="K60" s="61"/>
      <c r="L60" s="61"/>
      <c r="M60" s="61"/>
      <c r="N60" s="8">
        <v>9</v>
      </c>
      <c r="O60" s="61"/>
      <c r="P60" s="61"/>
      <c r="Q60" s="61"/>
      <c r="R60" s="61"/>
      <c r="S60" s="61"/>
      <c r="T60" s="8">
        <v>4.5999999999999996</v>
      </c>
      <c r="U60" s="61"/>
      <c r="V60" s="61"/>
      <c r="W60" s="61"/>
      <c r="X60" s="61"/>
      <c r="Y60" s="61"/>
      <c r="Z60" s="61"/>
      <c r="AA60" s="8" t="s">
        <v>74</v>
      </c>
      <c r="AB60" s="31" t="s">
        <v>75</v>
      </c>
      <c r="AC60" s="21">
        <v>45352</v>
      </c>
    </row>
    <row r="61" spans="1:29" x14ac:dyDescent="0.25">
      <c r="A61" s="9" t="s">
        <v>55</v>
      </c>
      <c r="B61" s="60"/>
      <c r="C61" s="60"/>
      <c r="D61" s="60"/>
      <c r="E61" s="60"/>
      <c r="F61" s="60"/>
      <c r="G61" s="60"/>
      <c r="H61" s="60"/>
      <c r="I61" s="60"/>
      <c r="J61" s="60"/>
      <c r="K61" s="60"/>
      <c r="L61" s="60"/>
      <c r="M61" s="60"/>
      <c r="N61" s="2">
        <v>1.5</v>
      </c>
      <c r="O61" s="60"/>
      <c r="P61" s="60"/>
      <c r="Q61" s="60"/>
      <c r="R61" s="60"/>
      <c r="S61" s="60"/>
      <c r="T61" s="2">
        <v>4.3</v>
      </c>
      <c r="U61" s="60"/>
      <c r="V61" s="60"/>
      <c r="W61" s="60"/>
      <c r="X61" s="60"/>
      <c r="Y61" s="60"/>
      <c r="Z61" s="60"/>
      <c r="AA61" s="2" t="s">
        <v>74</v>
      </c>
      <c r="AB61" s="2" t="s">
        <v>75</v>
      </c>
      <c r="AC61" s="10">
        <v>45352</v>
      </c>
    </row>
    <row r="62" spans="1:29" x14ac:dyDescent="0.25">
      <c r="A62" s="9" t="s">
        <v>71</v>
      </c>
      <c r="B62" s="60"/>
      <c r="C62" s="60"/>
      <c r="D62" s="60"/>
      <c r="E62" s="60"/>
      <c r="F62" s="60"/>
      <c r="G62" s="60"/>
      <c r="H62" s="60"/>
      <c r="I62" s="60"/>
      <c r="J62" s="60"/>
      <c r="K62" s="60"/>
      <c r="L62" s="60"/>
      <c r="M62" s="60"/>
      <c r="N62" s="2">
        <v>0.8</v>
      </c>
      <c r="O62" s="60"/>
      <c r="P62" s="141">
        <f>+P52-N52</f>
        <v>-0.70030131883772695</v>
      </c>
      <c r="Q62" s="60">
        <f>+P62/N52</f>
        <v>-0.26148409893992935</v>
      </c>
      <c r="R62" s="60"/>
      <c r="S62" s="60"/>
      <c r="T62" s="2">
        <v>2.2000000000000002</v>
      </c>
      <c r="U62" s="60"/>
      <c r="V62" s="60"/>
      <c r="W62" s="60"/>
      <c r="X62" s="60"/>
      <c r="Y62" s="60"/>
      <c r="Z62" s="60"/>
      <c r="AA62" s="2" t="s">
        <v>74</v>
      </c>
      <c r="AB62" s="2" t="s">
        <v>75</v>
      </c>
      <c r="AC62" s="10">
        <v>45352</v>
      </c>
    </row>
    <row r="63" spans="1:29" x14ac:dyDescent="0.25">
      <c r="A63" s="9" t="s">
        <v>56</v>
      </c>
      <c r="B63" s="60"/>
      <c r="C63" s="60"/>
      <c r="D63" s="60"/>
      <c r="E63" s="60"/>
      <c r="F63" s="60"/>
      <c r="G63" s="60"/>
      <c r="H63" s="60"/>
      <c r="I63" s="60"/>
      <c r="J63" s="60"/>
      <c r="K63" s="60"/>
      <c r="L63" s="60"/>
      <c r="M63" s="60"/>
      <c r="N63" s="2">
        <v>3.3</v>
      </c>
      <c r="O63" s="60"/>
      <c r="P63" s="141">
        <f>+P53-N53</f>
        <v>-2.190618233575095</v>
      </c>
      <c r="Q63" s="60">
        <f>+P63/N53</f>
        <v>-0.30819619747563509</v>
      </c>
      <c r="R63" s="60"/>
      <c r="S63" s="60"/>
      <c r="T63" s="2">
        <v>15.7</v>
      </c>
      <c r="U63" s="60"/>
      <c r="V63" s="60"/>
      <c r="W63" s="60"/>
      <c r="X63" s="60"/>
      <c r="Y63" s="60"/>
      <c r="Z63" s="60"/>
      <c r="AA63" s="2" t="s">
        <v>74</v>
      </c>
      <c r="AB63" s="2" t="s">
        <v>75</v>
      </c>
      <c r="AC63" s="10">
        <v>45352</v>
      </c>
    </row>
    <row r="64" spans="1:29" x14ac:dyDescent="0.25">
      <c r="A64" s="9" t="s">
        <v>59</v>
      </c>
      <c r="B64" s="60"/>
      <c r="C64" s="60"/>
      <c r="D64" s="60"/>
      <c r="E64" s="60"/>
      <c r="F64" s="60"/>
      <c r="G64" s="60"/>
      <c r="H64" s="60"/>
      <c r="I64" s="60"/>
      <c r="J64" s="60"/>
      <c r="K64" s="60"/>
      <c r="L64" s="60"/>
      <c r="M64" s="60"/>
      <c r="N64" s="2">
        <v>7.8</v>
      </c>
      <c r="O64" s="60"/>
      <c r="P64" s="60"/>
      <c r="Q64" s="60"/>
      <c r="R64" s="60"/>
      <c r="S64" s="60"/>
      <c r="T64" s="2">
        <v>4.0999999999999996</v>
      </c>
      <c r="U64" s="60"/>
      <c r="V64" s="60"/>
      <c r="W64" s="60"/>
      <c r="X64" s="60"/>
      <c r="Y64" s="60"/>
      <c r="Z64" s="60"/>
      <c r="AA64" s="2" t="s">
        <v>74</v>
      </c>
      <c r="AB64" s="2" t="s">
        <v>75</v>
      </c>
      <c r="AC64" s="10">
        <v>45352</v>
      </c>
    </row>
    <row r="65" spans="1:29" x14ac:dyDescent="0.25">
      <c r="A65" s="9" t="s">
        <v>46</v>
      </c>
      <c r="B65" s="60"/>
      <c r="C65" s="60"/>
      <c r="D65" s="60"/>
      <c r="E65" s="60"/>
      <c r="F65" s="60"/>
      <c r="G65" s="60"/>
      <c r="H65" s="60"/>
      <c r="I65" s="60"/>
      <c r="J65" s="60"/>
      <c r="K65" s="60"/>
      <c r="L65" s="60"/>
      <c r="M65" s="60"/>
      <c r="N65" s="2">
        <v>4</v>
      </c>
      <c r="O65" s="60"/>
      <c r="P65" s="60"/>
      <c r="Q65" s="60"/>
      <c r="R65" s="60"/>
      <c r="S65" s="60"/>
      <c r="T65" s="2">
        <v>2.6</v>
      </c>
      <c r="U65" s="60"/>
      <c r="V65" s="60"/>
      <c r="W65" s="60"/>
      <c r="X65" s="60"/>
      <c r="Y65" s="60"/>
      <c r="Z65" s="60"/>
      <c r="AA65" s="2" t="s">
        <v>74</v>
      </c>
      <c r="AB65" s="2" t="s">
        <v>75</v>
      </c>
      <c r="AC65" s="10">
        <v>45352</v>
      </c>
    </row>
    <row r="66" spans="1:29" x14ac:dyDescent="0.25">
      <c r="A66" s="9" t="s">
        <v>72</v>
      </c>
      <c r="B66" s="60"/>
      <c r="C66" s="60"/>
      <c r="D66" s="60"/>
      <c r="E66" s="60"/>
      <c r="F66" s="60"/>
      <c r="G66" s="60"/>
      <c r="H66" s="60"/>
      <c r="I66" s="60"/>
      <c r="J66" s="60"/>
      <c r="K66" s="60"/>
      <c r="L66" s="60"/>
      <c r="M66" s="60"/>
      <c r="N66" s="2">
        <v>2.8</v>
      </c>
      <c r="O66" s="60"/>
      <c r="P66" s="60"/>
      <c r="Q66" s="60"/>
      <c r="R66" s="60"/>
      <c r="S66" s="60"/>
      <c r="T66" s="2">
        <v>4.7</v>
      </c>
      <c r="U66" s="60"/>
      <c r="V66" s="60"/>
      <c r="W66" s="60"/>
      <c r="X66" s="60"/>
      <c r="Y66" s="60"/>
      <c r="Z66" s="60"/>
      <c r="AA66" s="2" t="s">
        <v>74</v>
      </c>
      <c r="AB66" s="2" t="s">
        <v>75</v>
      </c>
      <c r="AC66" s="10">
        <v>45352</v>
      </c>
    </row>
    <row r="67" spans="1:29" x14ac:dyDescent="0.25">
      <c r="A67" s="9" t="s">
        <v>69</v>
      </c>
      <c r="B67" s="60"/>
      <c r="C67" s="60"/>
      <c r="D67" s="60"/>
      <c r="E67" s="60"/>
      <c r="F67" s="60"/>
      <c r="G67" s="60"/>
      <c r="H67" s="60"/>
      <c r="I67" s="60"/>
      <c r="J67" s="60"/>
      <c r="K67" s="60"/>
      <c r="L67" s="60"/>
      <c r="M67" s="60"/>
      <c r="N67" s="2">
        <f>+N60+N61+N62</f>
        <v>11.3</v>
      </c>
      <c r="O67" s="60"/>
      <c r="P67" s="60"/>
      <c r="Q67" s="60"/>
      <c r="R67" s="60"/>
      <c r="S67" s="60"/>
      <c r="T67" s="2">
        <f>+T60+T61+T62</f>
        <v>11.099999999999998</v>
      </c>
      <c r="U67" s="60"/>
      <c r="V67" s="97"/>
      <c r="W67" s="60"/>
      <c r="X67" s="60"/>
      <c r="Y67" s="60"/>
      <c r="Z67" s="60"/>
      <c r="AA67" s="2" t="s">
        <v>74</v>
      </c>
      <c r="AB67" s="2" t="s">
        <v>75</v>
      </c>
      <c r="AC67" s="10">
        <v>45352</v>
      </c>
    </row>
    <row r="68" spans="1:29" ht="15.75" thickBot="1" x14ac:dyDescent="0.3">
      <c r="A68" s="12" t="s">
        <v>70</v>
      </c>
      <c r="B68" s="69"/>
      <c r="C68" s="69"/>
      <c r="D68" s="69"/>
      <c r="E68" s="69"/>
      <c r="F68" s="69"/>
      <c r="G68" s="69"/>
      <c r="H68" s="69"/>
      <c r="I68" s="69"/>
      <c r="J68" s="69"/>
      <c r="K68" s="69"/>
      <c r="L68" s="69"/>
      <c r="M68" s="69"/>
      <c r="N68" s="14">
        <f>+N63+N64+N65+N66</f>
        <v>17.899999999999999</v>
      </c>
      <c r="O68" s="69"/>
      <c r="P68" s="69"/>
      <c r="Q68" s="69"/>
      <c r="R68" s="69"/>
      <c r="S68" s="69"/>
      <c r="T68" s="14">
        <f>+T63+T64+T65+T66</f>
        <v>27.099999999999998</v>
      </c>
      <c r="U68" s="60"/>
      <c r="V68" s="97"/>
      <c r="W68" s="69"/>
      <c r="X68" s="69"/>
      <c r="Y68" s="69"/>
      <c r="Z68" s="69"/>
      <c r="AA68" s="14" t="s">
        <v>74</v>
      </c>
      <c r="AB68" s="14" t="s">
        <v>75</v>
      </c>
      <c r="AC68" s="15">
        <v>45352</v>
      </c>
    </row>
    <row r="113" spans="3:8" x14ac:dyDescent="0.25">
      <c r="C113" s="33"/>
      <c r="D113" s="33"/>
      <c r="E113" s="33"/>
      <c r="F113" s="33"/>
      <c r="G113" s="33"/>
      <c r="H113" s="33"/>
    </row>
    <row r="164" spans="1:13" x14ac:dyDescent="0.25">
      <c r="A164" t="s">
        <v>554</v>
      </c>
      <c r="B164" s="20" t="s">
        <v>39</v>
      </c>
      <c r="C164" s="8">
        <v>9</v>
      </c>
      <c r="D164" s="61"/>
      <c r="E164" s="61"/>
      <c r="F164" s="61"/>
      <c r="G164" s="61"/>
      <c r="H164" s="61"/>
      <c r="I164" s="61"/>
      <c r="J164" s="61"/>
      <c r="K164" s="61"/>
      <c r="L164" s="61"/>
      <c r="M164" s="61"/>
    </row>
    <row r="165" spans="1:13" x14ac:dyDescent="0.25">
      <c r="A165" t="s">
        <v>554</v>
      </c>
      <c r="B165" s="9" t="s">
        <v>55</v>
      </c>
      <c r="C165" s="2">
        <v>1.5</v>
      </c>
      <c r="D165" s="60"/>
      <c r="E165" s="60"/>
      <c r="F165" s="60"/>
      <c r="G165" s="60"/>
      <c r="H165" s="60"/>
      <c r="I165" s="60"/>
      <c r="J165" s="60"/>
      <c r="K165" s="60"/>
      <c r="L165" s="60"/>
      <c r="M165" s="60"/>
    </row>
    <row r="166" spans="1:13" x14ac:dyDescent="0.25">
      <c r="A166" t="s">
        <v>554</v>
      </c>
      <c r="B166" s="9" t="s">
        <v>71</v>
      </c>
      <c r="C166" s="2">
        <v>0.8</v>
      </c>
      <c r="D166" s="60"/>
      <c r="E166" s="60"/>
      <c r="F166" s="60"/>
      <c r="G166" s="60"/>
      <c r="H166" s="60"/>
      <c r="I166" s="60"/>
      <c r="J166" s="60"/>
      <c r="K166" s="60"/>
      <c r="L166" s="60"/>
      <c r="M166" s="60"/>
    </row>
    <row r="167" spans="1:13" x14ac:dyDescent="0.25">
      <c r="A167" t="s">
        <v>555</v>
      </c>
      <c r="B167" s="9" t="s">
        <v>56</v>
      </c>
      <c r="C167" s="2">
        <v>3.3</v>
      </c>
      <c r="D167" s="60"/>
      <c r="E167" s="60"/>
      <c r="F167" s="60"/>
      <c r="G167" s="60"/>
      <c r="H167" s="60"/>
      <c r="I167" s="60"/>
      <c r="J167" s="60"/>
      <c r="K167" s="60"/>
      <c r="L167" s="60"/>
      <c r="M167" s="60"/>
    </row>
    <row r="168" spans="1:13" x14ac:dyDescent="0.25">
      <c r="A168" t="s">
        <v>555</v>
      </c>
      <c r="B168" s="9" t="s">
        <v>59</v>
      </c>
      <c r="C168" s="2">
        <v>7.8</v>
      </c>
      <c r="D168" s="60"/>
      <c r="E168" s="60"/>
      <c r="F168" s="60"/>
      <c r="G168" s="60"/>
      <c r="H168" s="60"/>
      <c r="I168" s="60"/>
      <c r="J168" s="60"/>
      <c r="K168" s="60"/>
      <c r="L168" s="60"/>
      <c r="M168" s="60"/>
    </row>
    <row r="169" spans="1:13" x14ac:dyDescent="0.25">
      <c r="A169" t="s">
        <v>555</v>
      </c>
      <c r="B169" s="9" t="s">
        <v>46</v>
      </c>
      <c r="C169" s="2">
        <v>4</v>
      </c>
      <c r="D169" s="60"/>
      <c r="E169" s="60"/>
      <c r="F169" s="60"/>
      <c r="G169" s="60"/>
      <c r="H169" s="60"/>
      <c r="I169" s="60"/>
      <c r="J169" s="60"/>
      <c r="K169" s="60"/>
      <c r="L169" s="60"/>
      <c r="M169" s="60"/>
    </row>
    <row r="170" spans="1:13" x14ac:dyDescent="0.25">
      <c r="A170" t="s">
        <v>555</v>
      </c>
      <c r="B170" s="9" t="s">
        <v>72</v>
      </c>
      <c r="C170" s="2">
        <v>2.8</v>
      </c>
      <c r="D170" s="60"/>
      <c r="E170" s="60"/>
      <c r="F170" s="60"/>
      <c r="G170" s="60"/>
      <c r="H170" s="60"/>
      <c r="I170" s="60"/>
      <c r="J170" s="60"/>
      <c r="K170" s="60"/>
      <c r="L170" s="60"/>
      <c r="M170" s="60"/>
    </row>
    <row r="173" spans="1:13" x14ac:dyDescent="0.25">
      <c r="B173">
        <v>2023</v>
      </c>
    </row>
    <row r="174" spans="1:13" x14ac:dyDescent="0.25">
      <c r="A174" t="s">
        <v>719</v>
      </c>
      <c r="B174" s="47">
        <f>O2</f>
        <v>19086.27741083223</v>
      </c>
    </row>
    <row r="175" spans="1:13" x14ac:dyDescent="0.25">
      <c r="A175" t="s">
        <v>720</v>
      </c>
      <c r="B175" s="47">
        <f>O10-O2</f>
        <v>31663.614266842796</v>
      </c>
    </row>
    <row r="176" spans="1:13" x14ac:dyDescent="0.25">
      <c r="A176" t="s">
        <v>721</v>
      </c>
      <c r="B176" s="47">
        <f>O12</f>
        <v>18155.157199471596</v>
      </c>
    </row>
    <row r="177" spans="1:2" x14ac:dyDescent="0.25">
      <c r="A177" t="s">
        <v>722</v>
      </c>
      <c r="B177" s="47">
        <f>O20-O12</f>
        <v>32612.211360634083</v>
      </c>
    </row>
    <row r="178" spans="1:2" x14ac:dyDescent="0.25">
      <c r="A178" t="s">
        <v>723</v>
      </c>
      <c r="B178" s="47">
        <f>O32</f>
        <v>1617.4583883751652</v>
      </c>
    </row>
    <row r="179" spans="1:2" x14ac:dyDescent="0.25">
      <c r="A179" t="s">
        <v>724</v>
      </c>
      <c r="B179" s="47">
        <f>O40-O32</f>
        <v>3000.0739762219287</v>
      </c>
    </row>
  </sheetData>
  <hyperlinks>
    <hyperlink ref="AB2" r:id="rId1" xr:uid="{40C2ADB1-E7F6-4CB0-BF65-ABBB6D9EBB81}"/>
    <hyperlink ref="AB42" r:id="rId2" xr:uid="{6A294A75-D5EF-4BD6-8EC0-AC35BEBBB90A}"/>
    <hyperlink ref="AB52" r:id="rId3" xr:uid="{CBB70AF2-C100-4E45-872F-24723F281560}"/>
    <hyperlink ref="AB47" r:id="rId4" xr:uid="{78DB72E4-D92A-4217-9255-F8AB69696468}"/>
    <hyperlink ref="AB55" r:id="rId5" xr:uid="{180D0505-10D1-4228-BF75-86976BE21FB9}"/>
    <hyperlink ref="AB33" r:id="rId6" xr:uid="{0A1F5B22-6790-4657-8DC6-8073B16277DC}"/>
    <hyperlink ref="AB32" r:id="rId7" xr:uid="{C032D1FD-BDC6-4218-B13D-41498B192255}"/>
    <hyperlink ref="AB60" r:id="rId8" xr:uid="{5E906811-535A-435B-9085-B0DD298E740B}"/>
  </hyperlinks>
  <pageMargins left="0.7" right="0.7" top="0.75" bottom="0.75" header="0.3" footer="0.3"/>
  <pageSetup orientation="portrait" horizontalDpi="1200" verticalDpi="1200"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295A1-E07A-4C6A-B4CB-8782D2BFE6DA}">
  <dimension ref="A1:E99"/>
  <sheetViews>
    <sheetView workbookViewId="0">
      <selection activeCell="E2" sqref="E2"/>
    </sheetView>
  </sheetViews>
  <sheetFormatPr defaultRowHeight="15" x14ac:dyDescent="0.25"/>
  <cols>
    <col min="1" max="1" width="12.85546875" bestFit="1" customWidth="1"/>
    <col min="2" max="2" width="14.28515625" bestFit="1" customWidth="1"/>
    <col min="4" max="4" width="11.28515625" bestFit="1" customWidth="1"/>
  </cols>
  <sheetData>
    <row r="1" spans="1:4" x14ac:dyDescent="0.25">
      <c r="A1" t="s">
        <v>709</v>
      </c>
      <c r="B1" t="s">
        <v>710</v>
      </c>
      <c r="C1" t="s">
        <v>711</v>
      </c>
      <c r="D1" t="s">
        <v>712</v>
      </c>
    </row>
    <row r="2" spans="1:4" x14ac:dyDescent="0.25">
      <c r="A2" t="s">
        <v>55</v>
      </c>
      <c r="B2" s="132" t="s">
        <v>58</v>
      </c>
      <c r="C2" s="131">
        <v>625.63199999999995</v>
      </c>
      <c r="D2" t="s">
        <v>64</v>
      </c>
    </row>
    <row r="3" spans="1:4" x14ac:dyDescent="0.25">
      <c r="A3" t="s">
        <v>55</v>
      </c>
      <c r="B3" s="132" t="s">
        <v>534</v>
      </c>
      <c r="C3" s="131">
        <v>160.06200000000001</v>
      </c>
      <c r="D3" t="s">
        <v>64</v>
      </c>
    </row>
    <row r="4" spans="1:4" x14ac:dyDescent="0.25">
      <c r="A4" t="s">
        <v>55</v>
      </c>
      <c r="B4" s="132" t="s">
        <v>699</v>
      </c>
      <c r="C4" s="131">
        <v>114.324</v>
      </c>
      <c r="D4" t="s">
        <v>64</v>
      </c>
    </row>
    <row r="5" spans="1:4" x14ac:dyDescent="0.25">
      <c r="A5" t="s">
        <v>55</v>
      </c>
      <c r="B5" s="132" t="s">
        <v>700</v>
      </c>
      <c r="C5" s="131">
        <v>99.456000000000003</v>
      </c>
      <c r="D5" t="s">
        <v>64</v>
      </c>
    </row>
    <row r="6" spans="1:4" x14ac:dyDescent="0.25">
      <c r="A6" t="s">
        <v>55</v>
      </c>
      <c r="B6" s="132" t="s">
        <v>46</v>
      </c>
      <c r="C6" s="131">
        <v>83.873999999999995</v>
      </c>
      <c r="D6" t="s">
        <v>64</v>
      </c>
    </row>
    <row r="7" spans="1:4" x14ac:dyDescent="0.25">
      <c r="A7" t="s">
        <v>55</v>
      </c>
      <c r="B7" s="132" t="s">
        <v>701</v>
      </c>
      <c r="C7" s="131">
        <v>72.828000000000003</v>
      </c>
      <c r="D7" t="s">
        <v>64</v>
      </c>
    </row>
    <row r="8" spans="1:4" x14ac:dyDescent="0.25">
      <c r="A8" t="s">
        <v>55</v>
      </c>
      <c r="B8" s="132" t="s">
        <v>702</v>
      </c>
      <c r="C8" s="131">
        <v>52.835999999999999</v>
      </c>
      <c r="D8" t="s">
        <v>64</v>
      </c>
    </row>
    <row r="9" spans="1:4" x14ac:dyDescent="0.25">
      <c r="A9" t="s">
        <v>55</v>
      </c>
      <c r="B9" s="132" t="s">
        <v>703</v>
      </c>
      <c r="C9" s="131">
        <v>47.207999999999998</v>
      </c>
      <c r="D9" t="s">
        <v>64</v>
      </c>
    </row>
    <row r="10" spans="1:4" x14ac:dyDescent="0.25">
      <c r="A10" t="s">
        <v>55</v>
      </c>
      <c r="B10" s="132" t="s">
        <v>704</v>
      </c>
      <c r="C10" s="131">
        <v>29.904</v>
      </c>
      <c r="D10" t="s">
        <v>64</v>
      </c>
    </row>
    <row r="11" spans="1:4" x14ac:dyDescent="0.25">
      <c r="A11" t="s">
        <v>55</v>
      </c>
      <c r="B11" s="132" t="s">
        <v>705</v>
      </c>
      <c r="C11" s="131">
        <v>25.788</v>
      </c>
      <c r="D11" t="s">
        <v>64</v>
      </c>
    </row>
    <row r="12" spans="1:4" x14ac:dyDescent="0.25">
      <c r="A12" t="s">
        <v>55</v>
      </c>
      <c r="B12" s="132" t="s">
        <v>81</v>
      </c>
      <c r="C12" s="131">
        <v>96.684000000000012</v>
      </c>
      <c r="D12" t="s">
        <v>64</v>
      </c>
    </row>
    <row r="13" spans="1:4" x14ac:dyDescent="0.25">
      <c r="A13" t="s">
        <v>55</v>
      </c>
      <c r="B13" s="132" t="s">
        <v>58</v>
      </c>
      <c r="C13" s="131">
        <v>230.66399999999999</v>
      </c>
      <c r="D13" t="s">
        <v>65</v>
      </c>
    </row>
    <row r="14" spans="1:4" x14ac:dyDescent="0.25">
      <c r="A14" t="s">
        <v>55</v>
      </c>
      <c r="B14" s="132" t="s">
        <v>703</v>
      </c>
      <c r="C14" s="131">
        <v>26.628</v>
      </c>
      <c r="D14" t="s">
        <v>65</v>
      </c>
    </row>
    <row r="15" spans="1:4" x14ac:dyDescent="0.25">
      <c r="A15" t="s">
        <v>55</v>
      </c>
      <c r="B15" s="132" t="s">
        <v>673</v>
      </c>
      <c r="C15" s="131">
        <v>0.71399999999999997</v>
      </c>
      <c r="D15" t="s">
        <v>65</v>
      </c>
    </row>
    <row r="16" spans="1:4" x14ac:dyDescent="0.25">
      <c r="A16" t="s">
        <v>55</v>
      </c>
      <c r="B16" s="132" t="s">
        <v>706</v>
      </c>
      <c r="C16" s="131">
        <v>0.46200000000000002</v>
      </c>
      <c r="D16" t="s">
        <v>65</v>
      </c>
    </row>
    <row r="17" spans="1:5" x14ac:dyDescent="0.25">
      <c r="A17" t="s">
        <v>55</v>
      </c>
      <c r="B17" s="132" t="s">
        <v>707</v>
      </c>
      <c r="C17" s="131">
        <v>0.16800000000000001</v>
      </c>
      <c r="D17" t="s">
        <v>65</v>
      </c>
    </row>
    <row r="18" spans="1:5" x14ac:dyDescent="0.25">
      <c r="A18" t="s">
        <v>55</v>
      </c>
      <c r="B18" s="132" t="s">
        <v>59</v>
      </c>
      <c r="C18" s="131">
        <v>0.126</v>
      </c>
      <c r="D18" t="s">
        <v>65</v>
      </c>
    </row>
    <row r="19" spans="1:5" x14ac:dyDescent="0.25">
      <c r="A19" t="s">
        <v>55</v>
      </c>
      <c r="B19" s="132" t="s">
        <v>702</v>
      </c>
      <c r="C19" s="131">
        <v>8.4000000000000005E-2</v>
      </c>
      <c r="D19" t="s">
        <v>65</v>
      </c>
    </row>
    <row r="20" spans="1:5" x14ac:dyDescent="0.25">
      <c r="A20" t="s">
        <v>55</v>
      </c>
      <c r="B20" s="132" t="s">
        <v>708</v>
      </c>
      <c r="C20" s="131">
        <v>4.2000000000000003E-2</v>
      </c>
      <c r="D20" t="s">
        <v>65</v>
      </c>
    </row>
    <row r="21" spans="1:5" x14ac:dyDescent="0.25">
      <c r="A21" t="s">
        <v>56</v>
      </c>
      <c r="B21" s="132" t="s">
        <v>713</v>
      </c>
      <c r="C21" s="47">
        <v>216.689988892</v>
      </c>
      <c r="D21" t="s">
        <v>64</v>
      </c>
      <c r="E21" s="131"/>
    </row>
    <row r="22" spans="1:5" x14ac:dyDescent="0.25">
      <c r="A22" t="s">
        <v>56</v>
      </c>
      <c r="B22" s="132" t="s">
        <v>699</v>
      </c>
      <c r="C22" s="47">
        <v>147.43439320000002</v>
      </c>
      <c r="D22" t="s">
        <v>64</v>
      </c>
      <c r="E22" s="131"/>
    </row>
    <row r="23" spans="1:5" x14ac:dyDescent="0.25">
      <c r="A23" t="s">
        <v>56</v>
      </c>
      <c r="B23" s="132" t="s">
        <v>55</v>
      </c>
      <c r="C23" s="47">
        <v>99.34452232000001</v>
      </c>
      <c r="D23" t="s">
        <v>64</v>
      </c>
      <c r="E23" s="131"/>
    </row>
    <row r="24" spans="1:5" x14ac:dyDescent="0.25">
      <c r="A24" t="s">
        <v>56</v>
      </c>
      <c r="B24" s="132" t="s">
        <v>704</v>
      </c>
      <c r="C24" s="47">
        <v>34.057054239999999</v>
      </c>
      <c r="D24" t="s">
        <v>64</v>
      </c>
      <c r="E24" s="131"/>
    </row>
    <row r="25" spans="1:5" x14ac:dyDescent="0.25">
      <c r="A25" t="s">
        <v>56</v>
      </c>
      <c r="B25" s="132" t="s">
        <v>714</v>
      </c>
      <c r="C25" s="47">
        <v>25.456934780000001</v>
      </c>
      <c r="D25" t="s">
        <v>64</v>
      </c>
      <c r="E25" s="131"/>
    </row>
    <row r="26" spans="1:5" x14ac:dyDescent="0.25">
      <c r="A26" t="s">
        <v>56</v>
      </c>
      <c r="B26" s="131" t="s">
        <v>46</v>
      </c>
      <c r="C26" s="47">
        <v>18.98868336</v>
      </c>
      <c r="D26" t="s">
        <v>64</v>
      </c>
      <c r="E26" s="131"/>
    </row>
    <row r="27" spans="1:5" x14ac:dyDescent="0.25">
      <c r="A27" t="s">
        <v>56</v>
      </c>
      <c r="B27" s="132" t="s">
        <v>715</v>
      </c>
      <c r="C27" s="47">
        <v>12.254146564000001</v>
      </c>
      <c r="D27" t="s">
        <v>64</v>
      </c>
      <c r="E27" s="131"/>
    </row>
    <row r="28" spans="1:5" x14ac:dyDescent="0.25">
      <c r="A28" t="s">
        <v>56</v>
      </c>
      <c r="B28" s="132" t="s">
        <v>47</v>
      </c>
      <c r="C28" s="47">
        <v>11.107640084</v>
      </c>
      <c r="D28" t="s">
        <v>64</v>
      </c>
      <c r="E28" s="131"/>
    </row>
    <row r="29" spans="1:5" x14ac:dyDescent="0.25">
      <c r="A29" t="s">
        <v>56</v>
      </c>
      <c r="B29" s="132" t="s">
        <v>716</v>
      </c>
      <c r="C29" s="47">
        <v>8.7625852400000017</v>
      </c>
      <c r="D29" t="s">
        <v>64</v>
      </c>
      <c r="E29" s="131"/>
    </row>
    <row r="30" spans="1:5" x14ac:dyDescent="0.25">
      <c r="A30" t="s">
        <v>56</v>
      </c>
      <c r="B30" s="132" t="s">
        <v>718</v>
      </c>
      <c r="C30" s="47">
        <v>6.0416136400000005</v>
      </c>
      <c r="D30" t="s">
        <v>64</v>
      </c>
      <c r="E30" s="131"/>
    </row>
    <row r="31" spans="1:5" x14ac:dyDescent="0.25">
      <c r="A31" t="s">
        <v>56</v>
      </c>
      <c r="B31" s="132" t="s">
        <v>717</v>
      </c>
      <c r="C31" s="47">
        <v>83.031637148000058</v>
      </c>
      <c r="D31" t="s">
        <v>64</v>
      </c>
      <c r="E31" s="131"/>
    </row>
    <row r="32" spans="1:5" x14ac:dyDescent="0.25">
      <c r="A32" s="130"/>
      <c r="C32" s="47"/>
    </row>
    <row r="33" spans="1:5" x14ac:dyDescent="0.25">
      <c r="E33" s="131"/>
    </row>
    <row r="34" spans="1:5" x14ac:dyDescent="0.25">
      <c r="A34" s="130"/>
    </row>
    <row r="35" spans="1:5" x14ac:dyDescent="0.25">
      <c r="A35" s="130"/>
    </row>
    <row r="36" spans="1:5" x14ac:dyDescent="0.25">
      <c r="A36" s="130"/>
    </row>
    <row r="37" spans="1:5" x14ac:dyDescent="0.25">
      <c r="A37" s="130"/>
    </row>
    <row r="38" spans="1:5" x14ac:dyDescent="0.25">
      <c r="A38" s="130"/>
    </row>
    <row r="39" spans="1:5" x14ac:dyDescent="0.25">
      <c r="A39" s="130"/>
    </row>
    <row r="40" spans="1:5" x14ac:dyDescent="0.25">
      <c r="A40" s="130"/>
    </row>
    <row r="41" spans="1:5" x14ac:dyDescent="0.25">
      <c r="A41" s="130"/>
    </row>
    <row r="42" spans="1:5" x14ac:dyDescent="0.25">
      <c r="A42" s="130"/>
    </row>
    <row r="43" spans="1:5" x14ac:dyDescent="0.25">
      <c r="A43" s="130"/>
    </row>
    <row r="44" spans="1:5" x14ac:dyDescent="0.25">
      <c r="A44" s="130"/>
    </row>
    <row r="45" spans="1:5" x14ac:dyDescent="0.25">
      <c r="A45" s="130"/>
    </row>
    <row r="46" spans="1:5" x14ac:dyDescent="0.25">
      <c r="A46" s="130"/>
    </row>
    <row r="47" spans="1:5" x14ac:dyDescent="0.25">
      <c r="A47" s="130"/>
    </row>
    <row r="48" spans="1:5" x14ac:dyDescent="0.25">
      <c r="A48" s="130"/>
    </row>
    <row r="49" spans="1:1" x14ac:dyDescent="0.25">
      <c r="A49" s="130"/>
    </row>
    <row r="50" spans="1:1" x14ac:dyDescent="0.25">
      <c r="A50" s="130"/>
    </row>
    <row r="51" spans="1:1" x14ac:dyDescent="0.25">
      <c r="A51" s="130"/>
    </row>
    <row r="52" spans="1:1" x14ac:dyDescent="0.25">
      <c r="A52" s="130"/>
    </row>
    <row r="53" spans="1:1" x14ac:dyDescent="0.25">
      <c r="A53" s="130"/>
    </row>
    <row r="54" spans="1:1" x14ac:dyDescent="0.25">
      <c r="A54" s="130"/>
    </row>
    <row r="55" spans="1:1" x14ac:dyDescent="0.25">
      <c r="A55" s="130"/>
    </row>
    <row r="56" spans="1:1" x14ac:dyDescent="0.25">
      <c r="A56" s="130"/>
    </row>
    <row r="57" spans="1:1" x14ac:dyDescent="0.25">
      <c r="A57" s="130"/>
    </row>
    <row r="58" spans="1:1" x14ac:dyDescent="0.25">
      <c r="A58" s="130"/>
    </row>
    <row r="59" spans="1:1" x14ac:dyDescent="0.25">
      <c r="A59" s="130"/>
    </row>
    <row r="60" spans="1:1" x14ac:dyDescent="0.25">
      <c r="A60" s="130"/>
    </row>
    <row r="61" spans="1:1" x14ac:dyDescent="0.25">
      <c r="A61" s="130"/>
    </row>
    <row r="62" spans="1:1" x14ac:dyDescent="0.25">
      <c r="A62" s="130"/>
    </row>
    <row r="63" spans="1:1" x14ac:dyDescent="0.25">
      <c r="A63" s="130"/>
    </row>
    <row r="64" spans="1:1" x14ac:dyDescent="0.25">
      <c r="A64" s="130"/>
    </row>
    <row r="65" spans="1:1" x14ac:dyDescent="0.25">
      <c r="A65" s="130"/>
    </row>
    <row r="66" spans="1:1" x14ac:dyDescent="0.25">
      <c r="A66" s="130"/>
    </row>
    <row r="67" spans="1:1" x14ac:dyDescent="0.25">
      <c r="A67" s="130"/>
    </row>
    <row r="68" spans="1:1" x14ac:dyDescent="0.25">
      <c r="A68" s="130"/>
    </row>
    <row r="69" spans="1:1" x14ac:dyDescent="0.25">
      <c r="A69" s="130"/>
    </row>
    <row r="70" spans="1:1" x14ac:dyDescent="0.25">
      <c r="A70" s="130"/>
    </row>
    <row r="71" spans="1:1" x14ac:dyDescent="0.25">
      <c r="A71" s="130"/>
    </row>
    <row r="72" spans="1:1" x14ac:dyDescent="0.25">
      <c r="A72" s="130"/>
    </row>
    <row r="73" spans="1:1" x14ac:dyDescent="0.25">
      <c r="A73" s="130"/>
    </row>
    <row r="74" spans="1:1" x14ac:dyDescent="0.25">
      <c r="A74" s="130"/>
    </row>
    <row r="75" spans="1:1" x14ac:dyDescent="0.25">
      <c r="A75" s="130"/>
    </row>
    <row r="76" spans="1:1" x14ac:dyDescent="0.25">
      <c r="A76" s="130"/>
    </row>
    <row r="77" spans="1:1" x14ac:dyDescent="0.25">
      <c r="A77" s="130"/>
    </row>
    <row r="78" spans="1:1" x14ac:dyDescent="0.25">
      <c r="A78" s="130"/>
    </row>
    <row r="79" spans="1:1" x14ac:dyDescent="0.25">
      <c r="A79" s="130"/>
    </row>
    <row r="80" spans="1:1" x14ac:dyDescent="0.25">
      <c r="A80" s="130"/>
    </row>
    <row r="81" spans="1:1" x14ac:dyDescent="0.25">
      <c r="A81" s="130"/>
    </row>
    <row r="82" spans="1:1" x14ac:dyDescent="0.25">
      <c r="A82" s="130"/>
    </row>
    <row r="83" spans="1:1" x14ac:dyDescent="0.25">
      <c r="A83" s="130"/>
    </row>
    <row r="84" spans="1:1" x14ac:dyDescent="0.25">
      <c r="A84" s="130"/>
    </row>
    <row r="85" spans="1:1" x14ac:dyDescent="0.25">
      <c r="A85" s="130"/>
    </row>
    <row r="86" spans="1:1" x14ac:dyDescent="0.25">
      <c r="A86" s="130"/>
    </row>
    <row r="87" spans="1:1" x14ac:dyDescent="0.25">
      <c r="A87" s="130"/>
    </row>
    <row r="88" spans="1:1" x14ac:dyDescent="0.25">
      <c r="A88" s="130"/>
    </row>
    <row r="89" spans="1:1" x14ac:dyDescent="0.25">
      <c r="A89" s="130"/>
    </row>
    <row r="90" spans="1:1" x14ac:dyDescent="0.25">
      <c r="A90" s="130"/>
    </row>
    <row r="91" spans="1:1" x14ac:dyDescent="0.25">
      <c r="A91" s="130"/>
    </row>
    <row r="92" spans="1:1" x14ac:dyDescent="0.25">
      <c r="A92" s="130"/>
    </row>
    <row r="93" spans="1:1" x14ac:dyDescent="0.25">
      <c r="A93" s="130"/>
    </row>
    <row r="94" spans="1:1" x14ac:dyDescent="0.25">
      <c r="A94" s="130"/>
    </row>
    <row r="95" spans="1:1" x14ac:dyDescent="0.25">
      <c r="A95" s="130"/>
    </row>
    <row r="96" spans="1:1" x14ac:dyDescent="0.25">
      <c r="A96" s="130"/>
    </row>
    <row r="97" spans="1:1" x14ac:dyDescent="0.25">
      <c r="A97" s="130"/>
    </row>
    <row r="98" spans="1:1" x14ac:dyDescent="0.25">
      <c r="A98" s="130"/>
    </row>
    <row r="99" spans="1:1" x14ac:dyDescent="0.25">
      <c r="A99" s="130"/>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A498-6261-4AF9-8839-86D639D3818A}">
  <dimension ref="A1:P69"/>
  <sheetViews>
    <sheetView topLeftCell="A51" zoomScale="85" zoomScaleNormal="85" workbookViewId="0">
      <selection activeCell="M17" sqref="M17"/>
    </sheetView>
  </sheetViews>
  <sheetFormatPr defaultRowHeight="15" x14ac:dyDescent="0.25"/>
  <cols>
    <col min="1" max="1" width="39.28515625" customWidth="1"/>
    <col min="2" max="3" width="10.42578125" customWidth="1"/>
    <col min="6" max="6" width="12.28515625" bestFit="1" customWidth="1"/>
    <col min="13" max="13" width="26.28515625" bestFit="1" customWidth="1"/>
    <col min="14" max="14" width="28.85546875" bestFit="1" customWidth="1"/>
    <col min="15" max="15" width="26.5703125" customWidth="1"/>
    <col min="16" max="16" width="13.28515625" bestFit="1" customWidth="1"/>
  </cols>
  <sheetData>
    <row r="1" spans="1:16" ht="15.75" thickBot="1" x14ac:dyDescent="0.3">
      <c r="A1" s="1" t="s">
        <v>1</v>
      </c>
      <c r="B1" s="1"/>
    </row>
    <row r="2" spans="1:16" ht="15.75" thickBot="1" x14ac:dyDescent="0.3">
      <c r="A2" s="22" t="s">
        <v>51</v>
      </c>
      <c r="B2" s="35">
        <v>2017</v>
      </c>
      <c r="C2" s="23">
        <v>2018</v>
      </c>
      <c r="D2" s="23">
        <v>2019</v>
      </c>
      <c r="E2" s="23">
        <v>2020</v>
      </c>
      <c r="F2" s="23">
        <v>2021</v>
      </c>
      <c r="G2" s="23">
        <v>2022</v>
      </c>
      <c r="H2" s="23">
        <v>2023</v>
      </c>
      <c r="I2" s="23">
        <v>2024</v>
      </c>
      <c r="J2" s="23">
        <v>2025</v>
      </c>
      <c r="K2" s="23">
        <v>2026</v>
      </c>
      <c r="L2" s="23">
        <v>2027</v>
      </c>
      <c r="M2" s="23" t="s">
        <v>22</v>
      </c>
      <c r="N2" s="74"/>
      <c r="O2" s="23" t="s">
        <v>26</v>
      </c>
      <c r="P2" s="24" t="s">
        <v>23</v>
      </c>
    </row>
    <row r="3" spans="1:16" x14ac:dyDescent="0.25">
      <c r="A3" s="20" t="s">
        <v>40</v>
      </c>
      <c r="B3" s="75"/>
      <c r="C3" s="8">
        <v>19</v>
      </c>
      <c r="D3" s="61"/>
      <c r="E3" s="61"/>
      <c r="F3" s="61"/>
      <c r="G3" s="61"/>
      <c r="H3" s="61"/>
      <c r="I3" s="61"/>
      <c r="J3" s="61"/>
      <c r="K3" s="61"/>
      <c r="L3" s="61"/>
      <c r="M3" s="8" t="s">
        <v>76</v>
      </c>
      <c r="N3" s="61"/>
      <c r="O3" s="31" t="s">
        <v>50</v>
      </c>
      <c r="P3" s="21">
        <v>45352</v>
      </c>
    </row>
    <row r="4" spans="1:16" x14ac:dyDescent="0.25">
      <c r="A4" s="9" t="s">
        <v>43</v>
      </c>
      <c r="B4" s="76"/>
      <c r="C4" s="2">
        <v>4</v>
      </c>
      <c r="D4" s="60"/>
      <c r="E4" s="60"/>
      <c r="F4" s="60"/>
      <c r="G4" s="60"/>
      <c r="H4" s="60"/>
      <c r="I4" s="60"/>
      <c r="J4" s="60"/>
      <c r="K4" s="60"/>
      <c r="L4" s="60"/>
      <c r="M4" s="2" t="s">
        <v>76</v>
      </c>
      <c r="N4" s="60"/>
      <c r="O4" s="7" t="s">
        <v>50</v>
      </c>
      <c r="P4" s="10">
        <v>45352</v>
      </c>
    </row>
    <row r="5" spans="1:16" x14ac:dyDescent="0.25">
      <c r="A5" s="9" t="s">
        <v>44</v>
      </c>
      <c r="B5" s="76"/>
      <c r="C5" s="2">
        <v>19</v>
      </c>
      <c r="D5" s="60"/>
      <c r="E5" s="60"/>
      <c r="F5" s="60"/>
      <c r="G5" s="60"/>
      <c r="H5" s="60"/>
      <c r="I5" s="60"/>
      <c r="J5" s="60"/>
      <c r="K5" s="60"/>
      <c r="L5" s="60"/>
      <c r="M5" s="2" t="s">
        <v>76</v>
      </c>
      <c r="N5" s="60"/>
      <c r="O5" s="7" t="s">
        <v>50</v>
      </c>
      <c r="P5" s="10">
        <v>45352</v>
      </c>
    </row>
    <row r="6" spans="1:16" x14ac:dyDescent="0.25">
      <c r="A6" s="9" t="s">
        <v>45</v>
      </c>
      <c r="B6" s="76"/>
      <c r="C6" s="2">
        <v>3</v>
      </c>
      <c r="D6" s="60"/>
      <c r="E6" s="60"/>
      <c r="F6" s="60"/>
      <c r="G6" s="60"/>
      <c r="H6" s="60"/>
      <c r="I6" s="60"/>
      <c r="J6" s="60"/>
      <c r="K6" s="60"/>
      <c r="L6" s="60"/>
      <c r="M6" s="2" t="s">
        <v>76</v>
      </c>
      <c r="N6" s="60"/>
      <c r="O6" s="7" t="s">
        <v>50</v>
      </c>
      <c r="P6" s="10">
        <v>45352</v>
      </c>
    </row>
    <row r="7" spans="1:16" x14ac:dyDescent="0.25">
      <c r="A7" s="9" t="s">
        <v>42</v>
      </c>
      <c r="B7" s="76"/>
      <c r="C7" s="2">
        <v>5</v>
      </c>
      <c r="D7" s="60"/>
      <c r="E7" s="60"/>
      <c r="F7" s="60"/>
      <c r="G7" s="60"/>
      <c r="H7" s="60"/>
      <c r="I7" s="60"/>
      <c r="J7" s="60"/>
      <c r="K7" s="60"/>
      <c r="L7" s="60"/>
      <c r="M7" s="2" t="s">
        <v>76</v>
      </c>
      <c r="N7" s="60"/>
      <c r="O7" s="7" t="s">
        <v>50</v>
      </c>
      <c r="P7" s="10">
        <v>45352</v>
      </c>
    </row>
    <row r="8" spans="1:16" x14ac:dyDescent="0.25">
      <c r="A8" s="9" t="s">
        <v>41</v>
      </c>
      <c r="B8" s="76"/>
      <c r="C8" s="2">
        <v>2</v>
      </c>
      <c r="D8" s="60"/>
      <c r="E8" s="60"/>
      <c r="F8" s="60"/>
      <c r="G8" s="60"/>
      <c r="H8" s="60"/>
      <c r="I8" s="60"/>
      <c r="J8" s="60"/>
      <c r="K8" s="60"/>
      <c r="L8" s="60"/>
      <c r="M8" s="2" t="s">
        <v>76</v>
      </c>
      <c r="N8" s="60"/>
      <c r="O8" s="7" t="s">
        <v>50</v>
      </c>
      <c r="P8" s="10">
        <v>45352</v>
      </c>
    </row>
    <row r="9" spans="1:16" x14ac:dyDescent="0.25">
      <c r="A9" s="9" t="s">
        <v>46</v>
      </c>
      <c r="B9" s="76"/>
      <c r="C9" s="2">
        <v>9</v>
      </c>
      <c r="D9" s="60"/>
      <c r="E9" s="60"/>
      <c r="F9" s="60"/>
      <c r="G9" s="60"/>
      <c r="H9" s="60"/>
      <c r="I9" s="60"/>
      <c r="J9" s="60"/>
      <c r="K9" s="60"/>
      <c r="L9" s="60"/>
      <c r="M9" s="2" t="s">
        <v>76</v>
      </c>
      <c r="N9" s="60"/>
      <c r="O9" s="7" t="s">
        <v>50</v>
      </c>
      <c r="P9" s="10">
        <v>45352</v>
      </c>
    </row>
    <row r="10" spans="1:16" x14ac:dyDescent="0.25">
      <c r="A10" s="9" t="s">
        <v>0</v>
      </c>
      <c r="B10" s="76"/>
      <c r="C10" s="2">
        <v>28</v>
      </c>
      <c r="D10" s="60"/>
      <c r="E10" s="60"/>
      <c r="F10" s="60"/>
      <c r="G10" s="60"/>
      <c r="H10" s="60"/>
      <c r="I10" s="60"/>
      <c r="J10" s="60"/>
      <c r="K10" s="60"/>
      <c r="L10" s="60"/>
      <c r="M10" s="2" t="s">
        <v>76</v>
      </c>
      <c r="N10" s="60"/>
      <c r="O10" s="7" t="s">
        <v>50</v>
      </c>
      <c r="P10" s="10">
        <v>45352</v>
      </c>
    </row>
    <row r="11" spans="1:16" x14ac:dyDescent="0.25">
      <c r="A11" s="9" t="s">
        <v>47</v>
      </c>
      <c r="B11" s="76"/>
      <c r="C11" s="2">
        <v>4</v>
      </c>
      <c r="D11" s="60"/>
      <c r="E11" s="60"/>
      <c r="F11" s="60"/>
      <c r="G11" s="60"/>
      <c r="H11" s="60"/>
      <c r="I11" s="60"/>
      <c r="J11" s="60"/>
      <c r="K11" s="60"/>
      <c r="L11" s="60"/>
      <c r="M11" s="2" t="s">
        <v>76</v>
      </c>
      <c r="N11" s="60"/>
      <c r="O11" s="7" t="s">
        <v>50</v>
      </c>
      <c r="P11" s="10">
        <v>45352</v>
      </c>
    </row>
    <row r="12" spans="1:16" x14ac:dyDescent="0.25">
      <c r="A12" s="9" t="s">
        <v>48</v>
      </c>
      <c r="B12" s="76"/>
      <c r="C12" s="2">
        <v>8</v>
      </c>
      <c r="D12" s="60"/>
      <c r="E12" s="60"/>
      <c r="F12" s="60"/>
      <c r="G12" s="60"/>
      <c r="H12" s="60"/>
      <c r="I12" s="60"/>
      <c r="J12" s="60"/>
      <c r="K12" s="60"/>
      <c r="L12" s="60"/>
      <c r="M12" s="2" t="s">
        <v>76</v>
      </c>
      <c r="N12" s="60"/>
      <c r="O12" s="7" t="s">
        <v>50</v>
      </c>
      <c r="P12" s="10">
        <v>45352</v>
      </c>
    </row>
    <row r="13" spans="1:16" ht="15.75" thickBot="1" x14ac:dyDescent="0.3">
      <c r="A13" s="25" t="s">
        <v>49</v>
      </c>
      <c r="B13" s="77"/>
      <c r="C13" s="27">
        <v>0.3</v>
      </c>
      <c r="D13" s="62"/>
      <c r="E13" s="62"/>
      <c r="F13" s="62"/>
      <c r="G13" s="62"/>
      <c r="H13" s="62"/>
      <c r="I13" s="62"/>
      <c r="J13" s="62"/>
      <c r="K13" s="62"/>
      <c r="L13" s="62"/>
      <c r="M13" s="27" t="s">
        <v>76</v>
      </c>
      <c r="N13" s="62"/>
      <c r="O13" s="34" t="s">
        <v>50</v>
      </c>
      <c r="P13" s="28">
        <v>45352</v>
      </c>
    </row>
    <row r="14" spans="1:16" ht="15.75" thickBot="1" x14ac:dyDescent="0.3">
      <c r="A14" s="22" t="s">
        <v>52</v>
      </c>
      <c r="B14" s="35">
        <v>2017</v>
      </c>
      <c r="C14" s="23">
        <v>2018</v>
      </c>
      <c r="D14" s="23">
        <v>2019</v>
      </c>
      <c r="E14" s="23">
        <v>2020</v>
      </c>
      <c r="F14" s="23">
        <v>2021</v>
      </c>
      <c r="G14" s="23">
        <v>2022</v>
      </c>
      <c r="H14" s="23">
        <v>2023</v>
      </c>
      <c r="I14" s="23">
        <v>2024</v>
      </c>
      <c r="J14" s="23">
        <v>2025</v>
      </c>
      <c r="K14" s="23">
        <v>2026</v>
      </c>
      <c r="L14" s="23">
        <v>2027</v>
      </c>
      <c r="M14" s="23" t="s">
        <v>22</v>
      </c>
      <c r="N14" s="74"/>
      <c r="O14" s="23" t="s">
        <v>26</v>
      </c>
      <c r="P14" s="24" t="s">
        <v>23</v>
      </c>
    </row>
    <row r="15" spans="1:16" x14ac:dyDescent="0.25">
      <c r="A15" s="20" t="s">
        <v>40</v>
      </c>
      <c r="B15" s="75"/>
      <c r="C15" s="8">
        <v>21</v>
      </c>
      <c r="D15" s="61"/>
      <c r="E15" s="61"/>
      <c r="F15" s="61"/>
      <c r="G15" s="61"/>
      <c r="H15" s="61"/>
      <c r="I15" s="61"/>
      <c r="J15" s="61"/>
      <c r="K15" s="61"/>
      <c r="L15" s="61"/>
      <c r="M15" s="8" t="s">
        <v>76</v>
      </c>
      <c r="N15" s="61"/>
      <c r="O15" s="8" t="s">
        <v>50</v>
      </c>
      <c r="P15" s="21">
        <v>45352</v>
      </c>
    </row>
    <row r="16" spans="1:16" x14ac:dyDescent="0.25">
      <c r="A16" s="9" t="s">
        <v>43</v>
      </c>
      <c r="B16" s="76"/>
      <c r="C16" s="2">
        <v>8</v>
      </c>
      <c r="D16" s="60"/>
      <c r="E16" s="60"/>
      <c r="F16" s="60"/>
      <c r="G16" s="60"/>
      <c r="H16" s="60"/>
      <c r="I16" s="60"/>
      <c r="J16" s="60"/>
      <c r="K16" s="60"/>
      <c r="L16" s="60"/>
      <c r="M16" s="2" t="s">
        <v>76</v>
      </c>
      <c r="N16" s="60"/>
      <c r="O16" s="7" t="s">
        <v>50</v>
      </c>
      <c r="P16" s="10">
        <v>45352</v>
      </c>
    </row>
    <row r="17" spans="1:16" x14ac:dyDescent="0.25">
      <c r="A17" s="9" t="s">
        <v>44</v>
      </c>
      <c r="B17" s="76"/>
      <c r="C17" s="2">
        <v>18</v>
      </c>
      <c r="D17" s="60"/>
      <c r="E17" s="60"/>
      <c r="F17" s="60"/>
      <c r="G17" s="60"/>
      <c r="H17" s="60"/>
      <c r="I17" s="60"/>
      <c r="J17" s="60"/>
      <c r="K17" s="60"/>
      <c r="L17" s="60"/>
      <c r="M17" s="2" t="s">
        <v>76</v>
      </c>
      <c r="N17" s="60"/>
      <c r="O17" s="7" t="s">
        <v>50</v>
      </c>
      <c r="P17" s="10">
        <v>45352</v>
      </c>
    </row>
    <row r="18" spans="1:16" x14ac:dyDescent="0.25">
      <c r="A18" s="9" t="s">
        <v>45</v>
      </c>
      <c r="B18" s="76"/>
      <c r="C18" s="2">
        <v>6</v>
      </c>
      <c r="D18" s="60"/>
      <c r="E18" s="60"/>
      <c r="F18" s="60"/>
      <c r="G18" s="60"/>
      <c r="H18" s="60"/>
      <c r="I18" s="60"/>
      <c r="J18" s="60"/>
      <c r="K18" s="60"/>
      <c r="L18" s="60"/>
      <c r="M18" s="2" t="s">
        <v>76</v>
      </c>
      <c r="N18" s="60"/>
      <c r="O18" s="7" t="s">
        <v>50</v>
      </c>
      <c r="P18" s="10">
        <v>45352</v>
      </c>
    </row>
    <row r="19" spans="1:16" x14ac:dyDescent="0.25">
      <c r="A19" s="9" t="s">
        <v>42</v>
      </c>
      <c r="B19" s="76"/>
      <c r="C19" s="2">
        <v>4</v>
      </c>
      <c r="D19" s="60"/>
      <c r="E19" s="60"/>
      <c r="F19" s="60"/>
      <c r="G19" s="60"/>
      <c r="H19" s="60"/>
      <c r="I19" s="60"/>
      <c r="J19" s="60"/>
      <c r="K19" s="60"/>
      <c r="L19" s="60"/>
      <c r="M19" s="2" t="s">
        <v>76</v>
      </c>
      <c r="N19" s="60"/>
      <c r="O19" s="7" t="s">
        <v>50</v>
      </c>
      <c r="P19" s="10">
        <v>45352</v>
      </c>
    </row>
    <row r="20" spans="1:16" x14ac:dyDescent="0.25">
      <c r="A20" s="9" t="s">
        <v>41</v>
      </c>
      <c r="B20" s="76"/>
      <c r="C20" s="2">
        <v>5</v>
      </c>
      <c r="D20" s="60"/>
      <c r="E20" s="60"/>
      <c r="F20" s="60"/>
      <c r="G20" s="60"/>
      <c r="H20" s="60"/>
      <c r="I20" s="60"/>
      <c r="J20" s="60"/>
      <c r="K20" s="60"/>
      <c r="L20" s="60"/>
      <c r="M20" s="2" t="s">
        <v>76</v>
      </c>
      <c r="N20" s="60"/>
      <c r="O20" s="7" t="s">
        <v>50</v>
      </c>
      <c r="P20" s="10">
        <v>45352</v>
      </c>
    </row>
    <row r="21" spans="1:16" x14ac:dyDescent="0.25">
      <c r="A21" s="9" t="s">
        <v>46</v>
      </c>
      <c r="B21" s="76"/>
      <c r="C21" s="2">
        <v>5</v>
      </c>
      <c r="D21" s="60"/>
      <c r="E21" s="60"/>
      <c r="F21" s="60"/>
      <c r="G21" s="60"/>
      <c r="H21" s="60"/>
      <c r="I21" s="60"/>
      <c r="J21" s="60"/>
      <c r="K21" s="60"/>
      <c r="L21" s="60"/>
      <c r="M21" s="2" t="s">
        <v>76</v>
      </c>
      <c r="N21" s="60"/>
      <c r="O21" s="7" t="s">
        <v>50</v>
      </c>
      <c r="P21" s="10">
        <v>45352</v>
      </c>
    </row>
    <row r="22" spans="1:16" x14ac:dyDescent="0.25">
      <c r="A22" s="9" t="s">
        <v>0</v>
      </c>
      <c r="B22" s="76"/>
      <c r="C22" s="2">
        <v>20</v>
      </c>
      <c r="D22" s="60"/>
      <c r="E22" s="60"/>
      <c r="F22" s="60"/>
      <c r="G22" s="60"/>
      <c r="H22" s="60"/>
      <c r="I22" s="60"/>
      <c r="J22" s="60"/>
      <c r="K22" s="60"/>
      <c r="L22" s="60"/>
      <c r="M22" s="2" t="s">
        <v>76</v>
      </c>
      <c r="N22" s="60"/>
      <c r="O22" s="7" t="s">
        <v>50</v>
      </c>
      <c r="P22" s="10">
        <v>45352</v>
      </c>
    </row>
    <row r="23" spans="1:16" x14ac:dyDescent="0.25">
      <c r="A23" s="9" t="s">
        <v>47</v>
      </c>
      <c r="B23" s="76"/>
      <c r="C23" s="2">
        <v>4</v>
      </c>
      <c r="D23" s="60"/>
      <c r="E23" s="60"/>
      <c r="F23" s="60"/>
      <c r="G23" s="60"/>
      <c r="H23" s="60"/>
      <c r="I23" s="60"/>
      <c r="J23" s="60"/>
      <c r="K23" s="60"/>
      <c r="L23" s="60"/>
      <c r="M23" s="2" t="s">
        <v>76</v>
      </c>
      <c r="N23" s="60"/>
      <c r="O23" s="7" t="s">
        <v>50</v>
      </c>
      <c r="P23" s="10">
        <v>45352</v>
      </c>
    </row>
    <row r="24" spans="1:16" x14ac:dyDescent="0.25">
      <c r="A24" s="9" t="s">
        <v>48</v>
      </c>
      <c r="B24" s="76"/>
      <c r="C24" s="2">
        <v>8</v>
      </c>
      <c r="D24" s="60"/>
      <c r="E24" s="60"/>
      <c r="F24" s="60"/>
      <c r="G24" s="60"/>
      <c r="H24" s="60"/>
      <c r="I24" s="60"/>
      <c r="J24" s="60"/>
      <c r="K24" s="60"/>
      <c r="L24" s="60"/>
      <c r="M24" s="2" t="s">
        <v>76</v>
      </c>
      <c r="N24" s="60"/>
      <c r="O24" s="7" t="s">
        <v>50</v>
      </c>
      <c r="P24" s="10">
        <v>45352</v>
      </c>
    </row>
    <row r="25" spans="1:16" ht="15.75" thickBot="1" x14ac:dyDescent="0.3">
      <c r="A25" s="25" t="s">
        <v>49</v>
      </c>
      <c r="B25" s="77"/>
      <c r="C25" s="27">
        <v>1</v>
      </c>
      <c r="D25" s="62"/>
      <c r="E25" s="62"/>
      <c r="F25" s="62"/>
      <c r="G25" s="62"/>
      <c r="H25" s="62"/>
      <c r="I25" s="62"/>
      <c r="J25" s="62"/>
      <c r="K25" s="62"/>
      <c r="L25" s="62"/>
      <c r="M25" s="27" t="s">
        <v>76</v>
      </c>
      <c r="N25" s="62"/>
      <c r="O25" s="34" t="s">
        <v>50</v>
      </c>
      <c r="P25" s="28">
        <v>45352</v>
      </c>
    </row>
    <row r="26" spans="1:16" ht="15.75" thickBot="1" x14ac:dyDescent="0.3">
      <c r="A26" s="39" t="s">
        <v>530</v>
      </c>
      <c r="B26" s="23">
        <v>2017</v>
      </c>
      <c r="C26" s="23">
        <v>2018</v>
      </c>
      <c r="D26" s="23">
        <v>2019</v>
      </c>
      <c r="E26" s="23">
        <v>2020</v>
      </c>
      <c r="F26" s="23">
        <v>2021</v>
      </c>
      <c r="G26" s="23">
        <v>2022</v>
      </c>
      <c r="H26" s="23">
        <v>2023</v>
      </c>
      <c r="I26" s="23">
        <v>2024</v>
      </c>
      <c r="J26" s="23">
        <v>2025</v>
      </c>
      <c r="K26" s="23">
        <v>2026</v>
      </c>
      <c r="L26" s="23">
        <v>2027</v>
      </c>
      <c r="M26" s="23" t="s">
        <v>22</v>
      </c>
      <c r="N26" s="23" t="s">
        <v>541</v>
      </c>
      <c r="O26" s="23" t="s">
        <v>26</v>
      </c>
      <c r="P26" s="24" t="s">
        <v>23</v>
      </c>
    </row>
    <row r="27" spans="1:16" x14ac:dyDescent="0.25">
      <c r="A27" s="41" t="s">
        <v>55</v>
      </c>
      <c r="B27" s="38">
        <v>162.80000000000001</v>
      </c>
      <c r="C27" s="38">
        <v>184.1</v>
      </c>
      <c r="D27" s="38">
        <v>207</v>
      </c>
      <c r="E27" s="38">
        <v>207.6</v>
      </c>
      <c r="F27" s="38">
        <v>241.8</v>
      </c>
      <c r="G27" s="38">
        <v>278.89999999999998</v>
      </c>
      <c r="H27" s="38">
        <v>321</v>
      </c>
      <c r="I27" s="38">
        <v>367.7</v>
      </c>
      <c r="J27" s="38">
        <v>419.2</v>
      </c>
      <c r="K27" s="38">
        <v>475.3</v>
      </c>
      <c r="L27" s="38">
        <v>535.1</v>
      </c>
      <c r="M27" s="8" t="s">
        <v>740</v>
      </c>
      <c r="N27" s="8" t="s">
        <v>542</v>
      </c>
      <c r="O27" s="48" t="s">
        <v>540</v>
      </c>
      <c r="P27" s="21">
        <v>45352</v>
      </c>
    </row>
    <row r="28" spans="1:16" x14ac:dyDescent="0.25">
      <c r="A28" s="42" t="s">
        <v>57</v>
      </c>
      <c r="B28" s="37">
        <v>284.5</v>
      </c>
      <c r="C28" s="37">
        <v>333.8</v>
      </c>
      <c r="D28" s="37">
        <v>387.8</v>
      </c>
      <c r="E28" s="37">
        <v>387.6</v>
      </c>
      <c r="F28" s="37">
        <v>463.7</v>
      </c>
      <c r="G28" s="37">
        <v>540.9</v>
      </c>
      <c r="H28" s="37">
        <v>622.20000000000005</v>
      </c>
      <c r="I28" s="37">
        <v>711.4</v>
      </c>
      <c r="J28" s="37">
        <v>807.1</v>
      </c>
      <c r="K28" s="37">
        <v>906.8</v>
      </c>
      <c r="L28" s="37">
        <v>1012.7</v>
      </c>
      <c r="M28" s="8" t="s">
        <v>740</v>
      </c>
      <c r="N28" s="2" t="s">
        <v>544</v>
      </c>
      <c r="O28" s="48" t="s">
        <v>543</v>
      </c>
      <c r="P28" s="10">
        <v>45352</v>
      </c>
    </row>
    <row r="29" spans="1:16" x14ac:dyDescent="0.25">
      <c r="A29" s="42" t="s">
        <v>531</v>
      </c>
      <c r="B29" s="37">
        <v>68.400000000000006</v>
      </c>
      <c r="C29" s="37">
        <v>75.5</v>
      </c>
      <c r="D29" s="37">
        <v>82.9</v>
      </c>
      <c r="E29" s="37">
        <v>82.8</v>
      </c>
      <c r="F29" s="37">
        <v>96.1</v>
      </c>
      <c r="G29" s="37">
        <v>110.2</v>
      </c>
      <c r="H29" s="37">
        <v>126.5</v>
      </c>
      <c r="I29" s="37">
        <v>145.1</v>
      </c>
      <c r="J29" s="37">
        <v>166.4</v>
      </c>
      <c r="K29" s="37">
        <v>191</v>
      </c>
      <c r="L29" s="37">
        <v>219.1</v>
      </c>
      <c r="M29" s="8" t="s">
        <v>740</v>
      </c>
      <c r="N29" s="2" t="s">
        <v>546</v>
      </c>
      <c r="O29" s="48" t="s">
        <v>545</v>
      </c>
      <c r="P29" s="10">
        <v>45352</v>
      </c>
    </row>
    <row r="30" spans="1:16" x14ac:dyDescent="0.25">
      <c r="A30" s="42" t="s">
        <v>532</v>
      </c>
      <c r="B30" s="37">
        <v>582.6</v>
      </c>
      <c r="C30" s="37">
        <v>647.29999999999995</v>
      </c>
      <c r="D30" s="37">
        <v>712.5</v>
      </c>
      <c r="E30" s="37">
        <v>714.8</v>
      </c>
      <c r="F30" s="37">
        <v>835.4</v>
      </c>
      <c r="G30" s="37">
        <v>931.2</v>
      </c>
      <c r="H30" s="37">
        <v>1060.7</v>
      </c>
      <c r="I30" s="37">
        <v>1207.4000000000001</v>
      </c>
      <c r="J30" s="37">
        <v>1373.8</v>
      </c>
      <c r="K30" s="37">
        <v>1563.4</v>
      </c>
      <c r="L30" s="37">
        <v>1773.8</v>
      </c>
      <c r="M30" s="8" t="s">
        <v>740</v>
      </c>
      <c r="N30" s="2" t="s">
        <v>547</v>
      </c>
      <c r="O30" s="48" t="s">
        <v>552</v>
      </c>
      <c r="P30" s="10">
        <v>45352</v>
      </c>
    </row>
    <row r="31" spans="1:16" x14ac:dyDescent="0.25">
      <c r="A31" s="42" t="s">
        <v>534</v>
      </c>
      <c r="B31" s="37">
        <v>31.9</v>
      </c>
      <c r="C31" s="37">
        <v>37.299999999999997</v>
      </c>
      <c r="D31" s="37">
        <v>43.2</v>
      </c>
      <c r="E31" s="37">
        <v>43.2</v>
      </c>
      <c r="F31" s="37">
        <v>51.5</v>
      </c>
      <c r="G31" s="37">
        <v>59.8</v>
      </c>
      <c r="H31" s="37">
        <v>68.8</v>
      </c>
      <c r="I31" s="37">
        <v>78.400000000000006</v>
      </c>
      <c r="J31" s="37">
        <v>88.4</v>
      </c>
      <c r="K31" s="37">
        <v>98.2</v>
      </c>
      <c r="L31" s="37">
        <v>107.8</v>
      </c>
      <c r="M31" s="8" t="s">
        <v>740</v>
      </c>
      <c r="N31" s="2" t="s">
        <v>550</v>
      </c>
      <c r="O31" s="48" t="s">
        <v>551</v>
      </c>
      <c r="P31" s="10">
        <v>45352</v>
      </c>
    </row>
    <row r="32" spans="1:16" ht="15.75" thickBot="1" x14ac:dyDescent="0.3">
      <c r="A32" s="49" t="s">
        <v>56</v>
      </c>
      <c r="B32" s="50">
        <v>107.3</v>
      </c>
      <c r="C32" s="50">
        <v>118.4</v>
      </c>
      <c r="D32" s="50">
        <v>128.80000000000001</v>
      </c>
      <c r="E32" s="50">
        <v>128.6</v>
      </c>
      <c r="F32" s="50">
        <v>157.4</v>
      </c>
      <c r="G32" s="50">
        <v>180.2</v>
      </c>
      <c r="H32" s="37">
        <v>198.5</v>
      </c>
      <c r="I32" s="37">
        <v>217.2</v>
      </c>
      <c r="J32" s="37">
        <v>236.6</v>
      </c>
      <c r="K32" s="37">
        <v>257.3</v>
      </c>
      <c r="L32" s="37">
        <v>276.5</v>
      </c>
      <c r="M32" s="8" t="s">
        <v>740</v>
      </c>
      <c r="N32" s="27" t="s">
        <v>548</v>
      </c>
      <c r="O32" s="51" t="s">
        <v>549</v>
      </c>
      <c r="P32" s="28">
        <v>45352</v>
      </c>
    </row>
    <row r="33" spans="1:16" ht="15.75" thickBot="1" x14ac:dyDescent="0.3">
      <c r="A33" s="39" t="s">
        <v>533</v>
      </c>
      <c r="B33" s="23">
        <v>2017</v>
      </c>
      <c r="C33" s="23">
        <v>2018</v>
      </c>
      <c r="D33" s="23">
        <v>2019</v>
      </c>
      <c r="E33" s="23">
        <v>2020</v>
      </c>
      <c r="F33" s="23">
        <v>2021</v>
      </c>
      <c r="G33" s="23">
        <v>2022</v>
      </c>
      <c r="H33" s="23">
        <v>2023</v>
      </c>
      <c r="I33" s="23">
        <v>2024</v>
      </c>
      <c r="J33" s="23">
        <v>2025</v>
      </c>
      <c r="K33" s="23">
        <v>2026</v>
      </c>
      <c r="L33" s="23">
        <v>2027</v>
      </c>
      <c r="M33" s="23" t="s">
        <v>22</v>
      </c>
      <c r="N33" s="23" t="s">
        <v>541</v>
      </c>
      <c r="O33" s="23" t="s">
        <v>26</v>
      </c>
      <c r="P33" s="24" t="s">
        <v>23</v>
      </c>
    </row>
    <row r="34" spans="1:16" x14ac:dyDescent="0.25">
      <c r="A34" s="41" t="s">
        <v>55</v>
      </c>
      <c r="B34" s="44">
        <v>764.2</v>
      </c>
      <c r="C34" s="44">
        <v>862.9</v>
      </c>
      <c r="D34" s="44">
        <v>965.9</v>
      </c>
      <c r="E34" s="44">
        <v>967.5</v>
      </c>
      <c r="F34" s="44">
        <v>1073.3</v>
      </c>
      <c r="G34" s="44">
        <v>1229.4000000000001</v>
      </c>
      <c r="H34" s="44">
        <v>1409.1</v>
      </c>
      <c r="I34" s="44">
        <v>1615.2</v>
      </c>
      <c r="J34" s="44">
        <v>1844.4</v>
      </c>
      <c r="K34" s="44">
        <v>2084.6999999999998</v>
      </c>
      <c r="L34" s="44">
        <v>2343.5</v>
      </c>
      <c r="M34" s="8" t="s">
        <v>740</v>
      </c>
      <c r="N34" s="8" t="s">
        <v>542</v>
      </c>
      <c r="O34" s="48" t="s">
        <v>540</v>
      </c>
      <c r="P34" s="21">
        <v>45352</v>
      </c>
    </row>
    <row r="35" spans="1:16" x14ac:dyDescent="0.25">
      <c r="A35" s="42" t="s">
        <v>57</v>
      </c>
      <c r="B35" s="45">
        <v>1405.5</v>
      </c>
      <c r="C35" s="45">
        <v>1645.8</v>
      </c>
      <c r="D35" s="45">
        <v>1907.7</v>
      </c>
      <c r="E35" s="45">
        <v>1912.8</v>
      </c>
      <c r="F35" s="45">
        <v>2282.5</v>
      </c>
      <c r="G35" s="45">
        <v>2654.8</v>
      </c>
      <c r="H35" s="45">
        <v>3033.6</v>
      </c>
      <c r="I35" s="45">
        <v>3453.2</v>
      </c>
      <c r="J35" s="45">
        <v>3909.2</v>
      </c>
      <c r="K35" s="45">
        <v>4383.7</v>
      </c>
      <c r="L35" s="45">
        <v>4866.3999999999996</v>
      </c>
      <c r="M35" s="8" t="s">
        <v>740</v>
      </c>
      <c r="N35" s="2" t="s">
        <v>544</v>
      </c>
      <c r="O35" s="48" t="s">
        <v>543</v>
      </c>
      <c r="P35" s="10">
        <v>45352</v>
      </c>
    </row>
    <row r="36" spans="1:16" x14ac:dyDescent="0.25">
      <c r="A36" s="42" t="s">
        <v>531</v>
      </c>
      <c r="B36" s="45">
        <v>309</v>
      </c>
      <c r="C36" s="45">
        <v>339</v>
      </c>
      <c r="D36" s="45">
        <v>371.2</v>
      </c>
      <c r="E36" s="45">
        <v>370.6</v>
      </c>
      <c r="F36" s="45">
        <v>408.6</v>
      </c>
      <c r="G36" s="45">
        <v>462.5</v>
      </c>
      <c r="H36" s="45">
        <v>525</v>
      </c>
      <c r="I36" s="45">
        <v>596.70000000000005</v>
      </c>
      <c r="J36" s="45">
        <v>676.1</v>
      </c>
      <c r="K36" s="45">
        <v>766</v>
      </c>
      <c r="L36" s="45">
        <v>869</v>
      </c>
      <c r="M36" s="8" t="s">
        <v>740</v>
      </c>
      <c r="N36" s="2" t="s">
        <v>546</v>
      </c>
      <c r="O36" s="7" t="s">
        <v>545</v>
      </c>
      <c r="P36" s="10">
        <v>45352</v>
      </c>
    </row>
    <row r="37" spans="1:16" x14ac:dyDescent="0.25">
      <c r="A37" s="42" t="s">
        <v>532</v>
      </c>
      <c r="B37" s="45">
        <v>1539.2</v>
      </c>
      <c r="C37" s="45">
        <v>1704.7</v>
      </c>
      <c r="D37" s="45">
        <v>1869.4</v>
      </c>
      <c r="E37" s="45">
        <v>1875.5</v>
      </c>
      <c r="F37" s="45">
        <v>2183.3000000000002</v>
      </c>
      <c r="G37" s="45">
        <v>2422.4</v>
      </c>
      <c r="H37" s="45">
        <v>2755.2</v>
      </c>
      <c r="I37" s="45">
        <v>3132.2</v>
      </c>
      <c r="J37" s="45">
        <v>3553.5</v>
      </c>
      <c r="K37" s="45">
        <v>4026.4</v>
      </c>
      <c r="L37" s="45">
        <v>4558.3999999999996</v>
      </c>
      <c r="M37" s="8" t="s">
        <v>740</v>
      </c>
      <c r="N37" s="2" t="s">
        <v>547</v>
      </c>
      <c r="O37" s="48" t="s">
        <v>552</v>
      </c>
      <c r="P37" s="10">
        <v>45352</v>
      </c>
    </row>
    <row r="38" spans="1:16" x14ac:dyDescent="0.25">
      <c r="A38" s="42" t="s">
        <v>534</v>
      </c>
      <c r="B38" s="45">
        <v>171.3</v>
      </c>
      <c r="C38" s="45">
        <v>199.6</v>
      </c>
      <c r="D38" s="45">
        <v>230.2</v>
      </c>
      <c r="E38" s="45">
        <v>230.4</v>
      </c>
      <c r="F38" s="45">
        <v>273.5</v>
      </c>
      <c r="G38" s="45">
        <v>316.5</v>
      </c>
      <c r="H38" s="45">
        <v>360.2</v>
      </c>
      <c r="I38" s="45">
        <v>408.5</v>
      </c>
      <c r="J38" s="45">
        <v>458.2</v>
      </c>
      <c r="K38" s="45">
        <v>507.3</v>
      </c>
      <c r="L38" s="45">
        <v>554.29999999999995</v>
      </c>
      <c r="M38" s="8" t="s">
        <v>740</v>
      </c>
      <c r="N38" s="2" t="s">
        <v>550</v>
      </c>
      <c r="O38" s="48" t="s">
        <v>551</v>
      </c>
      <c r="P38" s="10">
        <v>45352</v>
      </c>
    </row>
    <row r="39" spans="1:16" ht="15.75" thickBot="1" x14ac:dyDescent="0.3">
      <c r="A39" s="43" t="s">
        <v>56</v>
      </c>
      <c r="B39" s="46">
        <v>321.39999999999998</v>
      </c>
      <c r="C39" s="46">
        <v>353.2</v>
      </c>
      <c r="D39" s="46">
        <v>382.7</v>
      </c>
      <c r="E39" s="46">
        <v>381.9</v>
      </c>
      <c r="F39" s="46">
        <v>465.7</v>
      </c>
      <c r="G39" s="46">
        <v>530.5</v>
      </c>
      <c r="H39" s="46">
        <v>580.29999999999995</v>
      </c>
      <c r="I39" s="46">
        <v>630.79999999999995</v>
      </c>
      <c r="J39" s="46">
        <v>680.8</v>
      </c>
      <c r="K39" s="46">
        <v>733</v>
      </c>
      <c r="L39" s="46">
        <v>779.3</v>
      </c>
      <c r="M39" s="8" t="s">
        <v>740</v>
      </c>
      <c r="N39" s="2" t="s">
        <v>548</v>
      </c>
      <c r="O39" s="48" t="s">
        <v>549</v>
      </c>
      <c r="P39" s="15">
        <v>45352</v>
      </c>
    </row>
    <row r="41" spans="1:16" x14ac:dyDescent="0.25">
      <c r="B41" s="47">
        <f>SUM(B34:B39)</f>
        <v>4510.5999999999995</v>
      </c>
      <c r="C41" s="47">
        <f t="shared" ref="C41:L41" si="0">SUM(C34:C39)</f>
        <v>5105.2</v>
      </c>
      <c r="D41" s="47">
        <f t="shared" si="0"/>
        <v>5727.0999999999995</v>
      </c>
      <c r="E41" s="47">
        <f t="shared" si="0"/>
        <v>5738.6999999999989</v>
      </c>
      <c r="F41" s="47">
        <f t="shared" si="0"/>
        <v>6686.9000000000005</v>
      </c>
      <c r="G41" s="47">
        <f t="shared" si="0"/>
        <v>7616.1</v>
      </c>
      <c r="H41" s="47">
        <f t="shared" si="0"/>
        <v>8663.4</v>
      </c>
      <c r="I41" s="47">
        <f t="shared" si="0"/>
        <v>9836.5999999999985</v>
      </c>
      <c r="J41" s="47">
        <f t="shared" si="0"/>
        <v>11122.2</v>
      </c>
      <c r="K41" s="47">
        <f t="shared" si="0"/>
        <v>12501.099999999999</v>
      </c>
      <c r="L41" s="47">
        <f t="shared" si="0"/>
        <v>13970.899999999998</v>
      </c>
    </row>
    <row r="42" spans="1:16" x14ac:dyDescent="0.25">
      <c r="B42" s="47"/>
      <c r="C42" s="47"/>
      <c r="D42" s="47"/>
      <c r="E42" s="47"/>
      <c r="F42" s="47"/>
      <c r="G42" s="47"/>
      <c r="H42" s="47">
        <f>+H34-B34</f>
        <v>644.89999999999986</v>
      </c>
      <c r="I42">
        <f>+H42/B34</f>
        <v>0.84388903428421858</v>
      </c>
    </row>
    <row r="43" spans="1:16" x14ac:dyDescent="0.25">
      <c r="H43" s="47">
        <f t="shared" ref="H43:H47" si="1">+H35-B35</f>
        <v>1628.1</v>
      </c>
      <c r="I43">
        <f t="shared" ref="I43:I47" si="2">+H43/B35</f>
        <v>1.1583778014941302</v>
      </c>
      <c r="L43" s="47">
        <f>+L41-H41</f>
        <v>5307.4999999999982</v>
      </c>
    </row>
    <row r="44" spans="1:16" x14ac:dyDescent="0.25">
      <c r="H44" s="47">
        <f t="shared" si="1"/>
        <v>216</v>
      </c>
      <c r="I44">
        <f t="shared" si="2"/>
        <v>0.69902912621359226</v>
      </c>
      <c r="L44">
        <f>+L43/H41</f>
        <v>0.61263476233349479</v>
      </c>
    </row>
    <row r="45" spans="1:16" x14ac:dyDescent="0.25">
      <c r="H45" s="47">
        <f t="shared" si="1"/>
        <v>1215.9999999999998</v>
      </c>
      <c r="I45">
        <f>+H45/B37</f>
        <v>0.79002079002078984</v>
      </c>
    </row>
    <row r="46" spans="1:16" x14ac:dyDescent="0.25">
      <c r="H46" s="47">
        <f t="shared" si="1"/>
        <v>188.89999999999998</v>
      </c>
      <c r="I46">
        <f t="shared" si="2"/>
        <v>1.1027437244600116</v>
      </c>
    </row>
    <row r="47" spans="1:16" x14ac:dyDescent="0.25">
      <c r="H47" s="47">
        <f t="shared" si="1"/>
        <v>258.89999999999998</v>
      </c>
      <c r="I47">
        <f t="shared" si="2"/>
        <v>0.80553827006845047</v>
      </c>
    </row>
    <row r="62" spans="1:7" x14ac:dyDescent="0.25">
      <c r="A62" s="52" t="s">
        <v>539</v>
      </c>
    </row>
    <row r="63" spans="1:7" x14ac:dyDescent="0.25">
      <c r="A63" s="40" t="s">
        <v>538</v>
      </c>
      <c r="B63" s="78" t="s">
        <v>553</v>
      </c>
      <c r="C63" s="36"/>
      <c r="D63" s="40"/>
      <c r="E63" s="36"/>
      <c r="F63" s="36"/>
      <c r="G63" s="40"/>
    </row>
    <row r="64" spans="1:7" x14ac:dyDescent="0.25">
      <c r="A64" s="40" t="s">
        <v>537</v>
      </c>
      <c r="B64" s="36" t="s">
        <v>536</v>
      </c>
      <c r="C64" s="36"/>
      <c r="D64" s="40"/>
      <c r="E64" s="36"/>
      <c r="F64" s="36"/>
    </row>
    <row r="65" spans="1:7" x14ac:dyDescent="0.25">
      <c r="A65" s="40" t="s">
        <v>535</v>
      </c>
      <c r="B65" s="36"/>
      <c r="C65" s="36"/>
      <c r="D65" s="36"/>
      <c r="E65" s="36"/>
      <c r="F65" s="36"/>
      <c r="G65" s="36"/>
    </row>
    <row r="69" spans="1:7" x14ac:dyDescent="0.25">
      <c r="A69" s="36"/>
      <c r="B69" s="36"/>
      <c r="C69" s="36"/>
      <c r="D69" s="36"/>
      <c r="E69" s="36"/>
      <c r="F69" s="36"/>
      <c r="G69" s="36"/>
    </row>
  </sheetData>
  <hyperlinks>
    <hyperlink ref="O3" r:id="rId1" xr:uid="{59DDA6EF-3398-441E-8222-9F24C3463486}"/>
    <hyperlink ref="O4" r:id="rId2" xr:uid="{9D419F8A-861C-42C1-A849-F7A0F67002AE}"/>
    <hyperlink ref="O5" r:id="rId3" xr:uid="{1D7C846C-449E-4666-89E5-429428291D8C}"/>
    <hyperlink ref="O6" r:id="rId4" xr:uid="{85C77597-FE1B-4B67-BC19-A4E6690B7CC7}"/>
    <hyperlink ref="O7" r:id="rId5" xr:uid="{EADBA0EB-8171-4175-9213-9220C992DE12}"/>
    <hyperlink ref="O8" r:id="rId6" xr:uid="{14546C7B-419A-42E6-9014-9D78F2C24EFF}"/>
    <hyperlink ref="O9" r:id="rId7" xr:uid="{D7A55283-58D0-4126-BE69-555F07EA6C54}"/>
    <hyperlink ref="O10" r:id="rId8" xr:uid="{A9144159-1545-4653-959D-D587864B2F3B}"/>
    <hyperlink ref="O11" r:id="rId9" xr:uid="{7FA79E5F-118A-4F28-AEBB-6767A5A48F20}"/>
    <hyperlink ref="O12" r:id="rId10" xr:uid="{DEEDE846-E800-4E45-BEDE-7E0D86B55C71}"/>
    <hyperlink ref="O13" r:id="rId11" xr:uid="{72662359-AB5F-4A91-97C0-C534FAEEBA8A}"/>
    <hyperlink ref="O16" r:id="rId12" xr:uid="{95A34074-471B-4689-AC3E-578F0403BD83}"/>
    <hyperlink ref="O17" r:id="rId13" xr:uid="{E0B9E840-FF0C-404A-A47E-0553DA846DBD}"/>
    <hyperlink ref="O18" r:id="rId14" xr:uid="{573ACDEA-B446-4E66-AA1B-50EFC8A1B00A}"/>
    <hyperlink ref="O19" r:id="rId15" xr:uid="{F4357092-23EA-4ACD-BA62-037C12B19FE5}"/>
    <hyperlink ref="O20" r:id="rId16" xr:uid="{041D8B92-F997-4F19-9509-F5FBA2E69ED4}"/>
    <hyperlink ref="O21" r:id="rId17" xr:uid="{2DE2F0F8-008D-4E8F-B58E-9B0AB97DE143}"/>
    <hyperlink ref="O22" r:id="rId18" xr:uid="{58578563-6CBE-42CD-AE19-334AEEE12228}"/>
    <hyperlink ref="O23" r:id="rId19" xr:uid="{7C3F06BF-F874-4739-8CB5-980C2B61B7C2}"/>
    <hyperlink ref="O24" r:id="rId20" xr:uid="{E2DA409F-418B-42FD-9DA5-3CC984C9CB46}"/>
    <hyperlink ref="O25" r:id="rId21" xr:uid="{5A58F7E6-AA3F-4785-A8E5-57C78F60DADB}"/>
    <hyperlink ref="A63" r:id="rId22" xr:uid="{B607A69D-5D08-4631-9ECF-D5478D19FDC5}"/>
    <hyperlink ref="A64" r:id="rId23" xr:uid="{53046BCC-A96C-421A-9D38-F477B183C33A}"/>
    <hyperlink ref="A65" r:id="rId24" xr:uid="{76DBE10A-9E6F-4562-8873-586F86B5DAF2}"/>
    <hyperlink ref="O27" r:id="rId25" xr:uid="{14E641BF-10C8-4D5B-AD5D-C28388AD8F7A}"/>
    <hyperlink ref="O34" r:id="rId26" xr:uid="{C547BC70-6013-4276-8596-1EE2F76A6E3B}"/>
    <hyperlink ref="O36" r:id="rId27" xr:uid="{94328BBD-BC46-4685-86E0-E93E9CCF15FA}"/>
  </hyperlinks>
  <pageMargins left="0.7" right="0.7" top="0.75" bottom="0.75" header="0.3" footer="0.3"/>
  <pageSetup orientation="portrait" horizontalDpi="1200" verticalDpi="1200" r:id="rId28"/>
  <drawing r:id="rId2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C828-C28C-485C-8165-22377B75495D}">
  <dimension ref="A1:J18"/>
  <sheetViews>
    <sheetView topLeftCell="A9" zoomScale="70" zoomScaleNormal="70" workbookViewId="0">
      <selection activeCell="E14" sqref="E14"/>
    </sheetView>
  </sheetViews>
  <sheetFormatPr defaultColWidth="12.5703125" defaultRowHeight="15" x14ac:dyDescent="0.25"/>
  <cols>
    <col min="1" max="1" width="20.5703125" style="107" customWidth="1"/>
    <col min="2" max="2" width="18.140625" style="107" customWidth="1"/>
    <col min="3" max="3" width="94.42578125" style="107" customWidth="1"/>
    <col min="4" max="4" width="50.85546875" style="107" customWidth="1"/>
    <col min="5" max="5" width="18.42578125" style="107" customWidth="1"/>
    <col min="6" max="6" width="47" style="107" customWidth="1"/>
    <col min="7" max="7" width="22.42578125" style="107" customWidth="1"/>
    <col min="8" max="8" width="33.42578125" style="107" customWidth="1"/>
    <col min="9" max="10" width="12.5703125" style="107"/>
  </cols>
  <sheetData>
    <row r="1" spans="1:10" ht="15.75" x14ac:dyDescent="0.3">
      <c r="A1" s="142" t="s">
        <v>567</v>
      </c>
      <c r="B1" s="143"/>
      <c r="C1" s="143"/>
      <c r="D1" s="143"/>
      <c r="E1" s="143"/>
      <c r="F1" s="143"/>
      <c r="G1" s="143"/>
      <c r="H1" s="143"/>
      <c r="I1" s="106"/>
    </row>
    <row r="2" spans="1:10" s="117" customFormat="1" ht="30" x14ac:dyDescent="0.25">
      <c r="A2" s="114" t="s">
        <v>568</v>
      </c>
      <c r="B2" s="115" t="s">
        <v>569</v>
      </c>
      <c r="C2" s="114" t="s">
        <v>623</v>
      </c>
      <c r="D2" s="114" t="s">
        <v>570</v>
      </c>
      <c r="E2" s="114" t="s">
        <v>571</v>
      </c>
      <c r="F2" s="114" t="s">
        <v>572</v>
      </c>
      <c r="G2" s="114" t="s">
        <v>573</v>
      </c>
      <c r="H2" s="114" t="s">
        <v>574</v>
      </c>
      <c r="I2" s="116" t="s">
        <v>575</v>
      </c>
      <c r="J2" s="116"/>
    </row>
    <row r="3" spans="1:10" ht="215.25" x14ac:dyDescent="0.35">
      <c r="A3" s="109" t="s">
        <v>576</v>
      </c>
      <c r="B3" s="106" t="s">
        <v>577</v>
      </c>
      <c r="C3" s="106" t="s">
        <v>578</v>
      </c>
      <c r="D3" s="106" t="s">
        <v>579</v>
      </c>
      <c r="E3" s="106" t="s">
        <v>580</v>
      </c>
      <c r="F3" s="106" t="s">
        <v>581</v>
      </c>
      <c r="G3" s="108" t="s">
        <v>582</v>
      </c>
      <c r="H3" s="108" t="s">
        <v>583</v>
      </c>
      <c r="I3" s="110"/>
    </row>
    <row r="4" spans="1:10" ht="409.6" x14ac:dyDescent="0.35">
      <c r="A4" s="109" t="s">
        <v>584</v>
      </c>
      <c r="B4" s="106" t="s">
        <v>585</v>
      </c>
      <c r="C4" s="106" t="s">
        <v>586</v>
      </c>
      <c r="D4" s="106" t="s">
        <v>587</v>
      </c>
      <c r="E4" s="106" t="s">
        <v>588</v>
      </c>
      <c r="F4" s="106" t="s">
        <v>589</v>
      </c>
      <c r="G4" s="108" t="s">
        <v>590</v>
      </c>
      <c r="H4" s="106"/>
      <c r="I4" s="106"/>
    </row>
    <row r="5" spans="1:10" ht="409.6" x14ac:dyDescent="0.35">
      <c r="A5" s="109" t="s">
        <v>58</v>
      </c>
      <c r="B5" s="106" t="s">
        <v>591</v>
      </c>
      <c r="C5" s="106" t="s">
        <v>592</v>
      </c>
      <c r="D5" s="106" t="s">
        <v>593</v>
      </c>
      <c r="E5" s="106" t="s">
        <v>594</v>
      </c>
      <c r="F5" s="106" t="s">
        <v>595</v>
      </c>
      <c r="G5" s="108" t="s">
        <v>596</v>
      </c>
      <c r="H5" s="106"/>
      <c r="I5" s="106"/>
    </row>
    <row r="6" spans="1:10" ht="346.5" x14ac:dyDescent="0.35">
      <c r="A6" s="109" t="s">
        <v>0</v>
      </c>
      <c r="B6" s="106" t="s">
        <v>597</v>
      </c>
      <c r="C6" s="106" t="s">
        <v>598</v>
      </c>
      <c r="D6" s="106" t="s">
        <v>599</v>
      </c>
      <c r="E6" s="106" t="s">
        <v>600</v>
      </c>
      <c r="F6" s="106" t="s">
        <v>601</v>
      </c>
      <c r="G6" s="111" t="s">
        <v>602</v>
      </c>
      <c r="H6" s="106"/>
      <c r="I6" s="106"/>
    </row>
    <row r="7" spans="1:10" ht="308.25" x14ac:dyDescent="0.35">
      <c r="A7" s="109" t="s">
        <v>60</v>
      </c>
      <c r="B7" s="106" t="s">
        <v>603</v>
      </c>
      <c r="C7" s="106" t="s">
        <v>604</v>
      </c>
      <c r="D7" s="106" t="s">
        <v>605</v>
      </c>
      <c r="E7" s="106" t="s">
        <v>606</v>
      </c>
      <c r="F7" s="106" t="s">
        <v>607</v>
      </c>
      <c r="G7" s="108" t="s">
        <v>608</v>
      </c>
      <c r="H7" s="108" t="s">
        <v>609</v>
      </c>
      <c r="I7" s="106"/>
    </row>
    <row r="8" spans="1:10" ht="409.6" x14ac:dyDescent="0.35">
      <c r="A8" s="109" t="s">
        <v>56</v>
      </c>
      <c r="B8" s="106" t="s">
        <v>610</v>
      </c>
      <c r="C8" s="106" t="s">
        <v>611</v>
      </c>
      <c r="D8" s="106" t="s">
        <v>612</v>
      </c>
      <c r="E8" s="106" t="s">
        <v>613</v>
      </c>
      <c r="F8" s="105" t="s">
        <v>614</v>
      </c>
      <c r="G8" s="108" t="s">
        <v>615</v>
      </c>
      <c r="H8" s="108" t="s">
        <v>616</v>
      </c>
      <c r="I8" s="110" t="s">
        <v>617</v>
      </c>
    </row>
    <row r="9" spans="1:10" ht="257.25" x14ac:dyDescent="0.35">
      <c r="A9" s="112" t="s">
        <v>47</v>
      </c>
      <c r="B9" s="106" t="s">
        <v>618</v>
      </c>
      <c r="C9" s="106" t="s">
        <v>619</v>
      </c>
      <c r="D9" s="106" t="s">
        <v>620</v>
      </c>
      <c r="E9" s="106" t="s">
        <v>621</v>
      </c>
      <c r="F9" s="106" t="s">
        <v>607</v>
      </c>
      <c r="G9" s="110" t="s">
        <v>622</v>
      </c>
      <c r="I9" s="106"/>
    </row>
    <row r="10" spans="1:10" ht="17.25" x14ac:dyDescent="0.3">
      <c r="A10" s="113"/>
      <c r="B10" s="106"/>
      <c r="C10" s="106"/>
      <c r="D10" s="106"/>
      <c r="E10" s="110"/>
      <c r="G10" s="106"/>
      <c r="H10" s="106"/>
      <c r="I10" s="106"/>
    </row>
    <row r="11" spans="1:10" ht="17.25" x14ac:dyDescent="0.3">
      <c r="A11" s="113"/>
      <c r="B11" s="105"/>
      <c r="C11" s="105"/>
      <c r="D11" s="105"/>
      <c r="E11" s="105"/>
      <c r="F11" s="105"/>
      <c r="G11" s="105"/>
    </row>
    <row r="12" spans="1:10" x14ac:dyDescent="0.25">
      <c r="A12" s="105"/>
      <c r="B12" s="105"/>
      <c r="C12" s="105"/>
      <c r="D12" s="105"/>
      <c r="E12" s="105"/>
      <c r="F12" s="105"/>
      <c r="G12" s="105"/>
    </row>
    <row r="13" spans="1:10" x14ac:dyDescent="0.25">
      <c r="A13" s="125" t="s">
        <v>675</v>
      </c>
      <c r="B13" s="125" t="s">
        <v>672</v>
      </c>
      <c r="C13" s="125" t="s">
        <v>676</v>
      </c>
      <c r="D13" s="125" t="s">
        <v>674</v>
      </c>
      <c r="E13" s="125" t="s">
        <v>678</v>
      </c>
      <c r="F13" s="125" t="s">
        <v>684</v>
      </c>
      <c r="G13" s="125" t="s">
        <v>573</v>
      </c>
    </row>
    <row r="14" spans="1:10" ht="204.75" x14ac:dyDescent="0.25">
      <c r="A14" s="122" t="s">
        <v>667</v>
      </c>
      <c r="B14" s="122" t="s">
        <v>673</v>
      </c>
      <c r="C14" s="122">
        <v>72.06</v>
      </c>
      <c r="D14" s="123">
        <v>110302</v>
      </c>
      <c r="E14" s="126" t="s">
        <v>662</v>
      </c>
      <c r="F14" s="122" t="s">
        <v>663</v>
      </c>
      <c r="G14" s="128" t="s">
        <v>664</v>
      </c>
    </row>
    <row r="15" spans="1:10" ht="45" x14ac:dyDescent="0.25">
      <c r="A15" s="122" t="s">
        <v>668</v>
      </c>
      <c r="B15" s="122" t="s">
        <v>56</v>
      </c>
      <c r="C15" s="122">
        <v>13.99</v>
      </c>
      <c r="D15" s="123">
        <v>8000</v>
      </c>
      <c r="E15" t="s">
        <v>687</v>
      </c>
      <c r="F15" s="122"/>
      <c r="G15" s="129" t="s">
        <v>688</v>
      </c>
    </row>
    <row r="16" spans="1:10" ht="15" customHeight="1" x14ac:dyDescent="0.25">
      <c r="A16" s="122" t="s">
        <v>669</v>
      </c>
      <c r="B16" s="122" t="s">
        <v>677</v>
      </c>
      <c r="C16" s="122">
        <v>177</v>
      </c>
      <c r="D16" s="123">
        <v>160000</v>
      </c>
      <c r="E16" t="s">
        <v>691</v>
      </c>
      <c r="F16" s="122"/>
      <c r="G16" s="129" t="s">
        <v>698</v>
      </c>
    </row>
    <row r="17" spans="1:7" ht="30" x14ac:dyDescent="0.25">
      <c r="A17" s="122" t="s">
        <v>670</v>
      </c>
      <c r="B17" s="122" t="s">
        <v>677</v>
      </c>
      <c r="C17" s="122">
        <v>5.8700000000000002E-2</v>
      </c>
      <c r="D17" s="123">
        <v>260</v>
      </c>
      <c r="E17" t="s">
        <v>690</v>
      </c>
      <c r="F17" s="122"/>
      <c r="G17" s="129" t="s">
        <v>689</v>
      </c>
    </row>
    <row r="18" spans="1:7" ht="26.25" x14ac:dyDescent="0.25">
      <c r="A18" s="122" t="s">
        <v>671</v>
      </c>
      <c r="B18" s="122" t="s">
        <v>47</v>
      </c>
      <c r="C18" s="122">
        <v>31.6</v>
      </c>
      <c r="D18" s="123">
        <v>24705</v>
      </c>
      <c r="E18" t="s">
        <v>692</v>
      </c>
      <c r="F18" s="122"/>
      <c r="G18" s="122"/>
    </row>
  </sheetData>
  <mergeCells count="1">
    <mergeCell ref="A1:H1"/>
  </mergeCells>
  <hyperlinks>
    <hyperlink ref="I2" r:id="rId1" xr:uid="{B593A9DC-0603-4AB5-B850-121D79A07783}"/>
    <hyperlink ref="G3" r:id="rId2" xr:uid="{93D10234-25E5-46AD-8D00-473C0616FF00}"/>
    <hyperlink ref="H3" r:id="rId3" xr:uid="{54900F40-EBE9-45C4-A6AC-80D2314F4903}"/>
    <hyperlink ref="G4" r:id="rId4" xr:uid="{C943DA5F-A2CA-452C-8C86-044B3FF46D5F}"/>
    <hyperlink ref="G5" r:id="rId5" xr:uid="{F0499F30-E03A-48CE-A3E4-A8CD6DBC07B9}"/>
    <hyperlink ref="G6" r:id="rId6" xr:uid="{CE871F3A-F743-421C-B251-13DDCC083F2B}"/>
    <hyperlink ref="G7" r:id="rId7" xr:uid="{473FF873-A288-4B9C-95B5-F4CC9625C88D}"/>
    <hyperlink ref="H7" r:id="rId8" xr:uid="{F7D11FE9-BEE4-4152-B3DD-D31222E11D3C}"/>
    <hyperlink ref="G8" r:id="rId9" xr:uid="{2E1E27E1-7249-4CF5-944E-36EBAA6857F7}"/>
    <hyperlink ref="H8" r:id="rId10" xr:uid="{04C2B38D-E8A0-47CC-BB24-1390AC509590}"/>
    <hyperlink ref="I8" r:id="rId11" xr:uid="{D40BA346-216B-49F5-8E7B-A7B877EA98D6}"/>
    <hyperlink ref="G9" r:id="rId12" xr:uid="{13C3D2EC-C714-44DB-A259-F9BFE4812EE4}"/>
    <hyperlink ref="G14" r:id="rId13" xr:uid="{42D57365-BC35-4A00-BA13-0C27E1FDF476}"/>
    <hyperlink ref="G15" r:id="rId14" xr:uid="{EBF78AB9-C9D2-448D-B772-92C84DDF7536}"/>
    <hyperlink ref="G16" r:id="rId15" xr:uid="{C3102F50-2862-4957-A19F-C4343B4FB533}"/>
    <hyperlink ref="G17" r:id="rId16" xr:uid="{954406CF-2D42-4A19-BB90-60A8D63CC52C}"/>
  </hyperlinks>
  <pageMargins left="0.7" right="0.7" top="0.75" bottom="0.75" header="0.3" footer="0.3"/>
  <tableParts count="1">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392D4-F656-408C-AEA4-2E20821D62D5}">
  <dimension ref="A1:I17"/>
  <sheetViews>
    <sheetView topLeftCell="A9" zoomScale="70" zoomScaleNormal="70" workbookViewId="0">
      <selection activeCell="A12" sqref="A12:E17"/>
    </sheetView>
  </sheetViews>
  <sheetFormatPr defaultColWidth="12.5703125" defaultRowHeight="15" x14ac:dyDescent="0.25"/>
  <cols>
    <col min="1" max="1" width="18.7109375" customWidth="1"/>
    <col min="2" max="2" width="18.140625" customWidth="1"/>
    <col min="3" max="3" width="66.85546875" customWidth="1"/>
    <col min="4" max="4" width="27.28515625" customWidth="1"/>
    <col min="5" max="5" width="32" customWidth="1"/>
    <col min="6" max="6" width="22.42578125" customWidth="1"/>
    <col min="7" max="7" width="59.7109375" style="107" customWidth="1"/>
  </cols>
  <sheetData>
    <row r="1" spans="1:9" ht="15.75" x14ac:dyDescent="0.3">
      <c r="A1" s="144" t="s">
        <v>624</v>
      </c>
      <c r="B1" s="145"/>
      <c r="C1" s="145"/>
      <c r="D1" s="145"/>
      <c r="E1" s="145"/>
      <c r="F1" s="145"/>
      <c r="G1" s="145"/>
      <c r="H1" s="36"/>
      <c r="I1" s="36"/>
    </row>
    <row r="2" spans="1:9" s="121" customFormat="1" ht="38.25" x14ac:dyDescent="0.25">
      <c r="A2" s="118" t="s">
        <v>568</v>
      </c>
      <c r="B2" s="118" t="s">
        <v>569</v>
      </c>
      <c r="C2" s="118" t="s">
        <v>625</v>
      </c>
      <c r="D2" s="119" t="s">
        <v>570</v>
      </c>
      <c r="E2" s="119" t="s">
        <v>571</v>
      </c>
      <c r="F2" s="118" t="s">
        <v>572</v>
      </c>
      <c r="G2" s="118" t="s">
        <v>573</v>
      </c>
      <c r="H2" s="120"/>
    </row>
    <row r="3" spans="1:9" ht="295.5" x14ac:dyDescent="0.35">
      <c r="A3" s="109" t="s">
        <v>576</v>
      </c>
      <c r="B3" s="106" t="s">
        <v>626</v>
      </c>
      <c r="C3" s="106" t="s">
        <v>627</v>
      </c>
      <c r="D3" s="106" t="s">
        <v>628</v>
      </c>
      <c r="E3" s="106" t="s">
        <v>629</v>
      </c>
      <c r="F3" s="106" t="s">
        <v>581</v>
      </c>
      <c r="G3" s="108" t="s">
        <v>630</v>
      </c>
      <c r="H3" s="106"/>
      <c r="I3" s="36"/>
    </row>
    <row r="4" spans="1:9" ht="231.75" x14ac:dyDescent="0.35">
      <c r="A4" s="109" t="s">
        <v>584</v>
      </c>
      <c r="B4" s="106" t="s">
        <v>631</v>
      </c>
      <c r="C4" s="106" t="s">
        <v>632</v>
      </c>
      <c r="D4" s="106" t="s">
        <v>633</v>
      </c>
      <c r="E4" s="106" t="s">
        <v>634</v>
      </c>
      <c r="F4" s="106" t="s">
        <v>589</v>
      </c>
      <c r="G4" s="108" t="s">
        <v>635</v>
      </c>
      <c r="H4" s="36"/>
      <c r="I4" s="36"/>
    </row>
    <row r="5" spans="1:9" ht="193.5" x14ac:dyDescent="0.35">
      <c r="A5" s="109" t="s">
        <v>58</v>
      </c>
      <c r="B5" s="106" t="s">
        <v>636</v>
      </c>
      <c r="C5" s="106" t="s">
        <v>637</v>
      </c>
      <c r="D5" s="106" t="s">
        <v>638</v>
      </c>
      <c r="E5" s="106" t="s">
        <v>639</v>
      </c>
      <c r="F5" s="106" t="s">
        <v>607</v>
      </c>
      <c r="G5" s="108" t="s">
        <v>640</v>
      </c>
      <c r="H5" s="36"/>
      <c r="I5" s="36"/>
    </row>
    <row r="6" spans="1:9" ht="231.75" x14ac:dyDescent="0.35">
      <c r="A6" s="109" t="s">
        <v>0</v>
      </c>
      <c r="B6" s="106" t="s">
        <v>641</v>
      </c>
      <c r="C6" s="106" t="s">
        <v>642</v>
      </c>
      <c r="D6" s="106" t="s">
        <v>643</v>
      </c>
      <c r="E6" s="106" t="s">
        <v>644</v>
      </c>
      <c r="F6" s="106" t="s">
        <v>607</v>
      </c>
      <c r="G6" s="108" t="s">
        <v>645</v>
      </c>
      <c r="H6" s="36"/>
      <c r="I6" s="36"/>
    </row>
    <row r="7" spans="1:9" ht="321" x14ac:dyDescent="0.35">
      <c r="A7" s="109" t="s">
        <v>60</v>
      </c>
      <c r="B7" s="106" t="s">
        <v>646</v>
      </c>
      <c r="C7" s="106" t="s">
        <v>647</v>
      </c>
      <c r="D7" s="106" t="s">
        <v>648</v>
      </c>
      <c r="E7" s="106" t="s">
        <v>649</v>
      </c>
      <c r="F7" s="106" t="s">
        <v>607</v>
      </c>
      <c r="G7" s="108" t="s">
        <v>650</v>
      </c>
      <c r="H7" s="36"/>
      <c r="I7" s="36"/>
    </row>
    <row r="8" spans="1:9" ht="219" x14ac:dyDescent="0.35">
      <c r="A8" s="109" t="s">
        <v>56</v>
      </c>
      <c r="B8" s="106" t="s">
        <v>651</v>
      </c>
      <c r="C8" s="106" t="s">
        <v>652</v>
      </c>
      <c r="D8" s="106" t="s">
        <v>653</v>
      </c>
      <c r="E8" s="106" t="s">
        <v>654</v>
      </c>
      <c r="F8" s="106" t="s">
        <v>655</v>
      </c>
      <c r="G8" s="108" t="s">
        <v>656</v>
      </c>
      <c r="H8" s="36"/>
      <c r="I8" s="36"/>
    </row>
    <row r="9" spans="1:9" ht="397.5" x14ac:dyDescent="0.35">
      <c r="A9" s="109" t="s">
        <v>47</v>
      </c>
      <c r="B9" s="106" t="s">
        <v>657</v>
      </c>
      <c r="C9" s="106" t="s">
        <v>658</v>
      </c>
      <c r="D9" s="106" t="s">
        <v>659</v>
      </c>
      <c r="E9" s="106" t="s">
        <v>660</v>
      </c>
      <c r="F9" s="106" t="s">
        <v>607</v>
      </c>
      <c r="G9" s="108" t="s">
        <v>661</v>
      </c>
      <c r="H9" s="36"/>
      <c r="I9" s="36"/>
    </row>
    <row r="10" spans="1:9" x14ac:dyDescent="0.25">
      <c r="E10" s="105"/>
      <c r="F10" s="105"/>
      <c r="G10" s="105"/>
    </row>
    <row r="11" spans="1:9" x14ac:dyDescent="0.25">
      <c r="E11" s="105"/>
      <c r="F11" s="105"/>
      <c r="G11" s="105"/>
    </row>
    <row r="12" spans="1:9" x14ac:dyDescent="0.25">
      <c r="A12" s="125" t="s">
        <v>675</v>
      </c>
      <c r="B12" s="125" t="s">
        <v>672</v>
      </c>
      <c r="C12" s="125" t="s">
        <v>676</v>
      </c>
      <c r="D12" s="125" t="s">
        <v>674</v>
      </c>
      <c r="E12" s="125" t="s">
        <v>678</v>
      </c>
      <c r="F12" s="125" t="s">
        <v>684</v>
      </c>
      <c r="G12" s="125" t="s">
        <v>573</v>
      </c>
    </row>
    <row r="13" spans="1:9" ht="115.5" x14ac:dyDescent="0.25">
      <c r="A13" s="122" t="s">
        <v>667</v>
      </c>
      <c r="B13" s="122" t="s">
        <v>673</v>
      </c>
      <c r="C13" s="122">
        <v>72.06</v>
      </c>
      <c r="D13" s="123">
        <v>110302</v>
      </c>
      <c r="E13" s="126" t="s">
        <v>662</v>
      </c>
      <c r="F13" s="122" t="s">
        <v>663</v>
      </c>
      <c r="G13" s="48" t="s">
        <v>664</v>
      </c>
    </row>
    <row r="14" spans="1:9" ht="26.25" x14ac:dyDescent="0.25">
      <c r="A14" s="122" t="s">
        <v>679</v>
      </c>
      <c r="B14" s="124" t="s">
        <v>677</v>
      </c>
      <c r="C14" s="124">
        <v>9.2100000000000009</v>
      </c>
      <c r="D14" s="123">
        <v>15500</v>
      </c>
      <c r="E14" t="s">
        <v>693</v>
      </c>
      <c r="F14" s="124"/>
      <c r="G14" s="129" t="s">
        <v>694</v>
      </c>
    </row>
    <row r="15" spans="1:9" ht="77.25" x14ac:dyDescent="0.25">
      <c r="A15" s="122" t="s">
        <v>680</v>
      </c>
      <c r="B15" s="124" t="s">
        <v>677</v>
      </c>
      <c r="C15" s="124">
        <v>3.5000000000000003E-2</v>
      </c>
      <c r="D15" s="123">
        <v>245</v>
      </c>
      <c r="E15" s="126" t="s">
        <v>685</v>
      </c>
      <c r="F15" s="126" t="s">
        <v>665</v>
      </c>
      <c r="G15" s="127" t="s">
        <v>666</v>
      </c>
    </row>
    <row r="16" spans="1:9" ht="30" x14ac:dyDescent="0.25">
      <c r="A16" s="124" t="s">
        <v>681</v>
      </c>
      <c r="B16" s="124" t="s">
        <v>47</v>
      </c>
      <c r="C16" s="124">
        <v>1.19</v>
      </c>
      <c r="D16" s="123">
        <v>1980</v>
      </c>
      <c r="E16" s="124" t="s">
        <v>695</v>
      </c>
      <c r="F16" s="124"/>
      <c r="G16" s="129" t="s">
        <v>696</v>
      </c>
    </row>
    <row r="17" spans="1:7" ht="30" x14ac:dyDescent="0.25">
      <c r="A17" s="124" t="s">
        <v>682</v>
      </c>
      <c r="B17" s="124" t="s">
        <v>683</v>
      </c>
      <c r="C17" s="124">
        <v>9.7000000000000003E-3</v>
      </c>
      <c r="D17" s="123">
        <v>33</v>
      </c>
      <c r="E17" s="124" t="s">
        <v>686</v>
      </c>
      <c r="F17" s="124"/>
      <c r="G17" s="129" t="s">
        <v>697</v>
      </c>
    </row>
  </sheetData>
  <mergeCells count="1">
    <mergeCell ref="A1:G1"/>
  </mergeCells>
  <hyperlinks>
    <hyperlink ref="G3" r:id="rId1" xr:uid="{AA4B5A54-5726-4AD3-8594-DAC36E8158C3}"/>
    <hyperlink ref="G4" r:id="rId2" xr:uid="{D0CBD8D9-BD56-440F-A8EE-DFB9EAFEC336}"/>
    <hyperlink ref="G5" r:id="rId3" xr:uid="{79BF456D-A47B-48A3-9A84-F48232E30908}"/>
    <hyperlink ref="G6" r:id="rId4" xr:uid="{52017106-3FEA-47CD-B8AE-A1D638F4D46B}"/>
    <hyperlink ref="G7" r:id="rId5" xr:uid="{274742E4-8EB3-4C57-88EF-4656985E5C68}"/>
    <hyperlink ref="G8" r:id="rId6" location=":~:text=(July%205%2C%202018)%20On,bags%20all%20over%20the%20state." xr:uid="{F40C8C02-94A7-476F-B1A9-4E93026371D8}"/>
    <hyperlink ref="G9" r:id="rId7" xr:uid="{162E7EA6-9939-46B8-A58B-930C3EE5942E}"/>
    <hyperlink ref="G13" r:id="rId8" xr:uid="{E40CFE82-757C-4B37-B059-EEAA5B74E06F}"/>
    <hyperlink ref="G15" r:id="rId9" xr:uid="{889B70CA-10A1-47F9-9754-6211953555E7}"/>
    <hyperlink ref="G14" r:id="rId10" xr:uid="{295E67AB-6748-45EE-8579-C86F8BBE470E}"/>
    <hyperlink ref="G16" r:id="rId11" xr:uid="{6C2BC33D-CEC2-4C88-A787-8FD44213EF85}"/>
    <hyperlink ref="G17" r:id="rId12" xr:uid="{474BF8E6-DF50-45C8-BC8B-EAA4C8DE75EF}"/>
  </hyperlinks>
  <pageMargins left="0.7" right="0.7" top="0.75" bottom="0.75" header="0.3" footer="0.3"/>
  <tableParts count="1">
    <tablePart r:id="rId1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E3C1-CFEB-443E-9C40-B9374B10ABA1}">
  <dimension ref="A1:E9"/>
  <sheetViews>
    <sheetView zoomScale="85" zoomScaleNormal="85" workbookViewId="0">
      <selection activeCell="K37" sqref="K37"/>
    </sheetView>
  </sheetViews>
  <sheetFormatPr defaultRowHeight="15" x14ac:dyDescent="0.25"/>
  <sheetData>
    <row r="1" spans="1:5" x14ac:dyDescent="0.25">
      <c r="B1" t="s">
        <v>65</v>
      </c>
      <c r="C1" t="s">
        <v>64</v>
      </c>
      <c r="D1" t="s">
        <v>732</v>
      </c>
      <c r="E1" t="s">
        <v>731</v>
      </c>
    </row>
    <row r="2" spans="1:5" x14ac:dyDescent="0.25">
      <c r="A2" t="s">
        <v>725</v>
      </c>
      <c r="C2">
        <v>55</v>
      </c>
      <c r="D2">
        <v>49</v>
      </c>
      <c r="E2">
        <f>B2+C2+D2</f>
        <v>104</v>
      </c>
    </row>
    <row r="3" spans="1:5" x14ac:dyDescent="0.25">
      <c r="A3" t="s">
        <v>727</v>
      </c>
      <c r="B3">
        <v>16</v>
      </c>
      <c r="D3">
        <v>31</v>
      </c>
      <c r="E3">
        <f t="shared" ref="E3:E7" si="0">B3+C3+D3</f>
        <v>47</v>
      </c>
    </row>
    <row r="4" spans="1:5" x14ac:dyDescent="0.25">
      <c r="A4" t="s">
        <v>728</v>
      </c>
      <c r="C4">
        <v>2</v>
      </c>
      <c r="D4">
        <v>37</v>
      </c>
      <c r="E4">
        <f t="shared" si="0"/>
        <v>39</v>
      </c>
    </row>
    <row r="5" spans="1:5" x14ac:dyDescent="0.25">
      <c r="A5" t="s">
        <v>729</v>
      </c>
      <c r="D5">
        <v>31</v>
      </c>
      <c r="E5">
        <f t="shared" si="0"/>
        <v>31</v>
      </c>
    </row>
    <row r="6" spans="1:5" x14ac:dyDescent="0.25">
      <c r="A6" t="s">
        <v>730</v>
      </c>
      <c r="D6">
        <v>20</v>
      </c>
      <c r="E6">
        <f t="shared" si="0"/>
        <v>20</v>
      </c>
    </row>
    <row r="7" spans="1:5" x14ac:dyDescent="0.25">
      <c r="A7" t="s">
        <v>726</v>
      </c>
      <c r="D7">
        <v>19</v>
      </c>
      <c r="E7">
        <f t="shared" si="0"/>
        <v>19</v>
      </c>
    </row>
    <row r="8" spans="1:5" x14ac:dyDescent="0.25">
      <c r="B8">
        <f t="shared" ref="B8:D8" si="1">+SUM(B2:B7)</f>
        <v>16</v>
      </c>
      <c r="C8">
        <f t="shared" si="1"/>
        <v>57</v>
      </c>
      <c r="D8">
        <f t="shared" si="1"/>
        <v>187</v>
      </c>
      <c r="E8">
        <f>+SUM(E2:E7)</f>
        <v>260</v>
      </c>
    </row>
    <row r="9" spans="1:5" x14ac:dyDescent="0.25">
      <c r="D9">
        <f>+D8/E8</f>
        <v>0.71923076923076923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2E4F-A981-41A5-B4F9-7DC73C538438}">
  <dimension ref="A1:B8"/>
  <sheetViews>
    <sheetView workbookViewId="0">
      <selection activeCell="L16" sqref="L16"/>
    </sheetView>
  </sheetViews>
  <sheetFormatPr defaultRowHeight="15" x14ac:dyDescent="0.25"/>
  <sheetData>
    <row r="1" spans="1:2" x14ac:dyDescent="0.25">
      <c r="A1" t="s">
        <v>22</v>
      </c>
      <c r="B1" t="s">
        <v>739</v>
      </c>
    </row>
    <row r="2" spans="1:2" x14ac:dyDescent="0.25">
      <c r="A2" t="s">
        <v>733</v>
      </c>
      <c r="B2">
        <v>7</v>
      </c>
    </row>
    <row r="3" spans="1:2" x14ac:dyDescent="0.25">
      <c r="A3" t="s">
        <v>734</v>
      </c>
      <c r="B3">
        <v>6</v>
      </c>
    </row>
    <row r="4" spans="1:2" x14ac:dyDescent="0.25">
      <c r="A4" t="s">
        <v>735</v>
      </c>
      <c r="B4">
        <v>4</v>
      </c>
    </row>
    <row r="5" spans="1:2" x14ac:dyDescent="0.25">
      <c r="A5" t="s">
        <v>736</v>
      </c>
      <c r="B5">
        <v>5</v>
      </c>
    </row>
    <row r="6" spans="1:2" x14ac:dyDescent="0.25">
      <c r="A6" t="s">
        <v>233</v>
      </c>
      <c r="B6">
        <v>3</v>
      </c>
    </row>
    <row r="7" spans="1:2" x14ac:dyDescent="0.25">
      <c r="A7" t="s">
        <v>737</v>
      </c>
      <c r="B7">
        <v>2</v>
      </c>
    </row>
    <row r="8" spans="1:2" x14ac:dyDescent="0.25">
      <c r="A8" t="s">
        <v>738</v>
      </c>
      <c r="B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NEtZero</vt:lpstr>
      <vt:lpstr>NetZeroStates</vt:lpstr>
      <vt:lpstr>Ethanol</vt:lpstr>
      <vt:lpstr>Biodiesel</vt:lpstr>
      <vt:lpstr>Biofuels</vt:lpstr>
      <vt:lpstr>Trade</vt:lpstr>
      <vt:lpstr>Bioplastics</vt:lpstr>
      <vt:lpstr>Biobased Chemicals P</vt:lpstr>
      <vt:lpstr>Bioplastics P</vt:lpstr>
      <vt:lpstr>OilC</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Janire Pascual Gonzalez</dc:creator>
  <cp:lastModifiedBy>Janire Pascual Gonzalez</cp:lastModifiedBy>
  <dcterms:created xsi:type="dcterms:W3CDTF">2024-03-06T16:03:46Z</dcterms:created>
  <dcterms:modified xsi:type="dcterms:W3CDTF">2026-05-13T17:09:50Z</dcterms:modified>
</cp:coreProperties>
</file>