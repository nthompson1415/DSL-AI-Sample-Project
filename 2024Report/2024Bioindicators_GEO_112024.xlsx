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Research/Bioindicators/2024Report/"/>
    </mc:Choice>
  </mc:AlternateContent>
  <xr:revisionPtr revIDLastSave="370" documentId="11_F59731D481921FDD9EFD8C1BBE0BACA94CBCB35D" xr6:coauthVersionLast="47" xr6:coauthVersionMax="47" xr10:uidLastSave="{39708936-4878-4DFA-97D1-C55381C04460}"/>
  <bookViews>
    <workbookView xWindow="-120" yWindow="-120" windowWidth="29040" windowHeight="15840" xr2:uid="{00000000-000D-0000-FFFF-FFFF00000000}"/>
  </bookViews>
  <sheets>
    <sheet name="Table of Contents" sheetId="1" r:id="rId1"/>
    <sheet name="Ethanol" sheetId="2" r:id="rId2"/>
    <sheet name="Biobutanol" sheetId="3" r:id="rId3"/>
    <sheet name="Biodiesel" sheetId="4" r:id="rId4"/>
    <sheet name="Renewable Diesel" sheetId="13" r:id="rId5"/>
    <sheet name="Renewable Jet Fuel" sheetId="12" r:id="rId6"/>
    <sheet name="US Wood Pellets" sheetId="5" r:id="rId7"/>
    <sheet name="World Wood Pellets" sheetId="6" r:id="rId8"/>
    <sheet name="WTE" sheetId="7" r:id="rId9"/>
    <sheet name="Biogas AD" sheetId="8" r:id="rId10"/>
    <sheet name="Biogas Landfill" sheetId="9" r:id="rId11"/>
    <sheet name="Biogas WWT" sheetId="10" r:id="rId12"/>
    <sheet name="Biomethane" sheetId="11" r:id="rId13"/>
  </sheets>
  <definedNames>
    <definedName name="_xlnm._FilterDatabase" localSheetId="3" hidden="1">Biodiesel!$B$1:$B$1017</definedName>
    <definedName name="_xlnm._FilterDatabase" localSheetId="11" hidden="1">'Biogas WWT'!$A$1:$G$1</definedName>
    <definedName name="_xlnm._FilterDatabase" localSheetId="7" hidden="1">'World Wood Pellets'!$A$1:$G$171</definedName>
    <definedName name="_Toc516050947" localSheetId="7">WTE!#REF!</definedName>
    <definedName name="btblfn0015" localSheetId="2">Biobutanol!#REF!</definedName>
    <definedName name="btblfn0020" localSheetId="2">Biobutanol!#REF!</definedName>
    <definedName name="btblfn0025" localSheetId="2">Biobutanol!#REF!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1" l="1"/>
  <c r="Q52" i="11"/>
  <c r="P52" i="11"/>
  <c r="R51" i="11"/>
  <c r="Q51" i="11"/>
  <c r="P51" i="11"/>
  <c r="R50" i="11"/>
  <c r="Q50" i="11"/>
  <c r="P50" i="11"/>
  <c r="R49" i="11"/>
  <c r="Q49" i="11"/>
  <c r="P49" i="11"/>
  <c r="R48" i="11"/>
  <c r="Q48" i="11"/>
  <c r="P48" i="11"/>
  <c r="R47" i="11"/>
  <c r="Q47" i="11"/>
  <c r="P47" i="11"/>
  <c r="R46" i="11"/>
  <c r="Q46" i="11"/>
  <c r="P46" i="11"/>
  <c r="R45" i="11"/>
  <c r="Q45" i="11"/>
  <c r="P45" i="11"/>
  <c r="R44" i="11"/>
  <c r="Q44" i="11"/>
  <c r="P44" i="11"/>
  <c r="R43" i="11"/>
  <c r="Q43" i="11"/>
  <c r="P43" i="11"/>
  <c r="R42" i="11"/>
  <c r="Q42" i="11"/>
  <c r="P42" i="11"/>
  <c r="R41" i="11"/>
  <c r="Q41" i="11"/>
  <c r="P41" i="11"/>
  <c r="R40" i="11"/>
  <c r="Q40" i="11"/>
  <c r="P40" i="11"/>
  <c r="R39" i="11"/>
  <c r="Q39" i="11"/>
  <c r="P39" i="11"/>
  <c r="R38" i="11"/>
  <c r="Q38" i="11"/>
  <c r="P38" i="11"/>
  <c r="R37" i="11"/>
  <c r="Q37" i="11"/>
  <c r="P37" i="11"/>
  <c r="R36" i="11"/>
  <c r="Q36" i="11"/>
  <c r="P36" i="11"/>
  <c r="R35" i="11"/>
  <c r="Q35" i="11"/>
  <c r="P35" i="11"/>
  <c r="R34" i="11"/>
  <c r="Q34" i="11"/>
  <c r="P34" i="11"/>
  <c r="R33" i="11"/>
  <c r="Q33" i="11"/>
  <c r="P33" i="11"/>
  <c r="R32" i="11"/>
  <c r="Q32" i="11"/>
  <c r="P32" i="11"/>
  <c r="R31" i="11"/>
  <c r="Q31" i="11"/>
  <c r="P31" i="11"/>
  <c r="R30" i="11"/>
  <c r="Q30" i="11"/>
  <c r="P30" i="11"/>
  <c r="R29" i="11"/>
  <c r="Q29" i="11"/>
  <c r="P29" i="11"/>
  <c r="R28" i="11"/>
  <c r="Q28" i="11"/>
  <c r="P28" i="11"/>
  <c r="R27" i="11"/>
  <c r="Q27" i="11"/>
  <c r="P27" i="11"/>
  <c r="R26" i="11"/>
  <c r="Q26" i="11"/>
  <c r="P26" i="11"/>
  <c r="R25" i="11"/>
  <c r="Q25" i="11"/>
  <c r="P25" i="11"/>
  <c r="R24" i="11"/>
  <c r="Q24" i="11"/>
  <c r="P24" i="11"/>
  <c r="R23" i="11"/>
  <c r="Q23" i="11"/>
  <c r="P23" i="11"/>
  <c r="R22" i="11"/>
  <c r="Q22" i="11"/>
  <c r="P22" i="11"/>
  <c r="R21" i="11"/>
  <c r="Q21" i="11"/>
  <c r="P21" i="11"/>
  <c r="R20" i="11"/>
  <c r="Q20" i="11"/>
  <c r="P20" i="11"/>
  <c r="R19" i="11"/>
  <c r="Q19" i="11"/>
  <c r="P19" i="11"/>
  <c r="R18" i="11"/>
  <c r="Q18" i="11"/>
  <c r="P18" i="11"/>
  <c r="R17" i="11"/>
  <c r="Q17" i="11"/>
  <c r="P17" i="11"/>
  <c r="R16" i="11"/>
  <c r="Q16" i="11"/>
  <c r="P16" i="11"/>
  <c r="R15" i="11"/>
  <c r="Q15" i="11"/>
  <c r="P15" i="11"/>
  <c r="R14" i="11"/>
  <c r="Q14" i="11"/>
  <c r="P14" i="11"/>
  <c r="R13" i="11"/>
  <c r="Q13" i="11"/>
  <c r="P13" i="11"/>
  <c r="R12" i="11"/>
  <c r="Q12" i="11"/>
  <c r="P12" i="11"/>
  <c r="R11" i="11"/>
  <c r="Q11" i="11"/>
  <c r="P11" i="11"/>
  <c r="R10" i="11"/>
  <c r="Q10" i="11"/>
  <c r="P10" i="11"/>
  <c r="R9" i="11"/>
  <c r="Q9" i="11"/>
  <c r="P9" i="11"/>
  <c r="R8" i="11"/>
  <c r="Q8" i="11"/>
  <c r="P8" i="11"/>
  <c r="R7" i="11"/>
  <c r="Q7" i="11"/>
  <c r="P7" i="11"/>
  <c r="R6" i="11"/>
  <c r="Q6" i="11"/>
  <c r="P6" i="11"/>
  <c r="R5" i="11"/>
  <c r="Q5" i="11"/>
  <c r="P5" i="11"/>
  <c r="R4" i="11"/>
  <c r="Q4" i="11"/>
  <c r="P4" i="11"/>
  <c r="R3" i="11"/>
  <c r="Q3" i="11"/>
  <c r="P3" i="11"/>
  <c r="J52" i="3"/>
  <c r="C52" i="3"/>
  <c r="B52" i="3"/>
  <c r="D51" i="3"/>
  <c r="E51" i="3" s="1"/>
  <c r="F51" i="3" s="1"/>
  <c r="D50" i="3"/>
  <c r="E50" i="3" s="1"/>
  <c r="F50" i="3" s="1"/>
  <c r="D49" i="3"/>
  <c r="E49" i="3" s="1"/>
  <c r="F49" i="3" s="1"/>
  <c r="D48" i="3"/>
  <c r="E48" i="3" s="1"/>
  <c r="F48" i="3" s="1"/>
  <c r="D47" i="3"/>
  <c r="E47" i="3" s="1"/>
  <c r="F47" i="3" s="1"/>
  <c r="D45" i="3"/>
  <c r="E45" i="3" s="1"/>
  <c r="F45" i="3" s="1"/>
  <c r="D44" i="3"/>
  <c r="E44" i="3" s="1"/>
  <c r="F44" i="3" s="1"/>
  <c r="E43" i="3"/>
  <c r="F43" i="3" s="1"/>
  <c r="D43" i="3"/>
  <c r="E42" i="3"/>
  <c r="F42" i="3" s="1"/>
  <c r="D42" i="3"/>
  <c r="E41" i="3"/>
  <c r="F41" i="3" s="1"/>
  <c r="D41" i="3"/>
  <c r="E39" i="3"/>
  <c r="F39" i="3" s="1"/>
  <c r="D39" i="3"/>
  <c r="E38" i="3"/>
  <c r="F38" i="3" s="1"/>
  <c r="D38" i="3"/>
  <c r="D37" i="3"/>
  <c r="E37" i="3" s="1"/>
  <c r="F37" i="3" s="1"/>
  <c r="D36" i="3"/>
  <c r="E36" i="3" s="1"/>
  <c r="F36" i="3" s="1"/>
  <c r="D35" i="3"/>
  <c r="E35" i="3" s="1"/>
  <c r="F35" i="3" s="1"/>
  <c r="D34" i="3"/>
  <c r="E34" i="3" s="1"/>
  <c r="F34" i="3" s="1"/>
  <c r="D33" i="3"/>
  <c r="E33" i="3" s="1"/>
  <c r="F33" i="3" s="1"/>
  <c r="D32" i="3"/>
  <c r="E32" i="3" s="1"/>
  <c r="F32" i="3" s="1"/>
  <c r="D31" i="3"/>
  <c r="E31" i="3" s="1"/>
  <c r="F31" i="3" s="1"/>
  <c r="E28" i="3"/>
  <c r="F28" i="3" s="1"/>
  <c r="D28" i="3"/>
  <c r="E27" i="3"/>
  <c r="F27" i="3" s="1"/>
  <c r="D27" i="3"/>
  <c r="E26" i="3"/>
  <c r="F26" i="3" s="1"/>
  <c r="D26" i="3"/>
  <c r="E25" i="3"/>
  <c r="F25" i="3" s="1"/>
  <c r="D25" i="3"/>
  <c r="E24" i="3"/>
  <c r="F24" i="3" s="1"/>
  <c r="D24" i="3"/>
  <c r="D23" i="3"/>
  <c r="E23" i="3" s="1"/>
  <c r="F23" i="3" s="1"/>
  <c r="D21" i="3"/>
  <c r="E21" i="3" s="1"/>
  <c r="F21" i="3" s="1"/>
  <c r="D19" i="3"/>
  <c r="E19" i="3" s="1"/>
  <c r="F19" i="3" s="1"/>
  <c r="D18" i="3"/>
  <c r="E18" i="3" s="1"/>
  <c r="F18" i="3" s="1"/>
  <c r="D17" i="3"/>
  <c r="E17" i="3" s="1"/>
  <c r="F17" i="3" s="1"/>
  <c r="D16" i="3"/>
  <c r="E16" i="3" s="1"/>
  <c r="F16" i="3" s="1"/>
  <c r="D15" i="3"/>
  <c r="E15" i="3" s="1"/>
  <c r="F15" i="3" s="1"/>
  <c r="E14" i="3"/>
  <c r="F14" i="3" s="1"/>
  <c r="D14" i="3"/>
  <c r="E13" i="3"/>
  <c r="F13" i="3" s="1"/>
  <c r="D13" i="3"/>
  <c r="E11" i="3"/>
  <c r="F11" i="3" s="1"/>
  <c r="D11" i="3"/>
  <c r="D10" i="3"/>
  <c r="E10" i="3" s="1"/>
  <c r="F10" i="3" s="1"/>
  <c r="E9" i="3"/>
  <c r="F9" i="3" s="1"/>
  <c r="D9" i="3"/>
  <c r="D8" i="3"/>
  <c r="E8" i="3" s="1"/>
  <c r="F8" i="3" s="1"/>
  <c r="D7" i="3"/>
  <c r="E7" i="3" s="1"/>
  <c r="F7" i="3" s="1"/>
  <c r="D6" i="3"/>
  <c r="E6" i="3" s="1"/>
  <c r="F6" i="3" s="1"/>
  <c r="D5" i="3"/>
  <c r="E5" i="3" s="1"/>
  <c r="F5" i="3" s="1"/>
  <c r="D4" i="3"/>
  <c r="E4" i="3" s="1"/>
  <c r="F4" i="3" s="1"/>
  <c r="D2" i="3"/>
  <c r="E2" i="3" s="1"/>
  <c r="F2" i="3" s="1"/>
  <c r="E173" i="6" l="1"/>
  <c r="C173" i="6"/>
  <c r="B173" i="6"/>
  <c r="F173" i="6"/>
  <c r="D173" i="6"/>
  <c r="G11" i="3"/>
  <c r="H11" i="3"/>
  <c r="I11" i="3"/>
  <c r="K11" i="3" s="1"/>
  <c r="I19" i="3"/>
  <c r="K19" i="3" s="1"/>
  <c r="G19" i="3"/>
  <c r="H19" i="3"/>
  <c r="H34" i="3"/>
  <c r="G34" i="3"/>
  <c r="I34" i="3" s="1"/>
  <c r="K34" i="3" s="1"/>
  <c r="H39" i="3"/>
  <c r="G39" i="3"/>
  <c r="I39" i="3" s="1"/>
  <c r="K39" i="3" s="1"/>
  <c r="H41" i="3"/>
  <c r="G41" i="3"/>
  <c r="I41" i="3"/>
  <c r="K41" i="3" s="1"/>
  <c r="I13" i="3"/>
  <c r="K13" i="3" s="1"/>
  <c r="H13" i="3"/>
  <c r="G13" i="3"/>
  <c r="H43" i="3"/>
  <c r="G43" i="3"/>
  <c r="I43" i="3" s="1"/>
  <c r="K43" i="3" s="1"/>
  <c r="H28" i="3"/>
  <c r="G28" i="3"/>
  <c r="I28" i="3" s="1"/>
  <c r="K28" i="3" s="1"/>
  <c r="H10" i="3"/>
  <c r="G10" i="3"/>
  <c r="I10" i="3" s="1"/>
  <c r="K10" i="3" s="1"/>
  <c r="I23" i="3"/>
  <c r="K23" i="3" s="1"/>
  <c r="H23" i="3"/>
  <c r="G23" i="3"/>
  <c r="G33" i="3"/>
  <c r="H33" i="3"/>
  <c r="I33" i="3"/>
  <c r="K33" i="3" s="1"/>
  <c r="G35" i="3"/>
  <c r="I35" i="3" s="1"/>
  <c r="K35" i="3" s="1"/>
  <c r="H35" i="3"/>
  <c r="G4" i="3"/>
  <c r="H4" i="3"/>
  <c r="I4" i="3"/>
  <c r="K4" i="3" s="1"/>
  <c r="I25" i="3"/>
  <c r="K25" i="3" s="1"/>
  <c r="H25" i="3"/>
  <c r="G25" i="3"/>
  <c r="H36" i="3"/>
  <c r="G36" i="3"/>
  <c r="I36" i="3" s="1"/>
  <c r="K36" i="3" s="1"/>
  <c r="H44" i="3"/>
  <c r="G44" i="3"/>
  <c r="I44" i="3" s="1"/>
  <c r="K44" i="3" s="1"/>
  <c r="H9" i="3"/>
  <c r="G9" i="3"/>
  <c r="I9" i="3"/>
  <c r="K9" i="3" s="1"/>
  <c r="H2" i="3"/>
  <c r="G2" i="3"/>
  <c r="I2" i="3" s="1"/>
  <c r="K2" i="3" s="1"/>
  <c r="H5" i="3"/>
  <c r="G5" i="3"/>
  <c r="I5" i="3" s="1"/>
  <c r="K5" i="3" s="1"/>
  <c r="I14" i="3"/>
  <c r="K14" i="3" s="1"/>
  <c r="H14" i="3"/>
  <c r="G14" i="3"/>
  <c r="H37" i="3"/>
  <c r="G37" i="3"/>
  <c r="I37" i="3" s="1"/>
  <c r="K37" i="3" s="1"/>
  <c r="H45" i="3"/>
  <c r="G45" i="3"/>
  <c r="I45" i="3" s="1"/>
  <c r="K45" i="3" s="1"/>
  <c r="H50" i="3"/>
  <c r="G50" i="3"/>
  <c r="I50" i="3" s="1"/>
  <c r="K50" i="3" s="1"/>
  <c r="I51" i="3"/>
  <c r="K51" i="3" s="1"/>
  <c r="H51" i="3"/>
  <c r="G51" i="3"/>
  <c r="H21" i="3"/>
  <c r="G21" i="3"/>
  <c r="I21" i="3" s="1"/>
  <c r="K21" i="3" s="1"/>
  <c r="H32" i="3"/>
  <c r="G32" i="3"/>
  <c r="I32" i="3" s="1"/>
  <c r="K32" i="3" s="1"/>
  <c r="H42" i="3"/>
  <c r="G42" i="3"/>
  <c r="I42" i="3" s="1"/>
  <c r="K42" i="3" s="1"/>
  <c r="G6" i="3"/>
  <c r="I6" i="3" s="1"/>
  <c r="K6" i="3" s="1"/>
  <c r="H6" i="3"/>
  <c r="H15" i="3"/>
  <c r="G15" i="3"/>
  <c r="I15" i="3" s="1"/>
  <c r="K15" i="3" s="1"/>
  <c r="H26" i="3"/>
  <c r="G26" i="3"/>
  <c r="I26" i="3"/>
  <c r="K26" i="3" s="1"/>
  <c r="G47" i="3"/>
  <c r="I47" i="3"/>
  <c r="K47" i="3" s="1"/>
  <c r="H47" i="3"/>
  <c r="H24" i="3"/>
  <c r="G24" i="3"/>
  <c r="I24" i="3" s="1"/>
  <c r="K24" i="3" s="1"/>
  <c r="H7" i="3"/>
  <c r="G7" i="3"/>
  <c r="I7" i="3" s="1"/>
  <c r="K7" i="3" s="1"/>
  <c r="H16" i="3"/>
  <c r="G16" i="3"/>
  <c r="I16" i="3" s="1"/>
  <c r="K16" i="3" s="1"/>
  <c r="H38" i="3"/>
  <c r="G38" i="3"/>
  <c r="I38" i="3"/>
  <c r="K38" i="3" s="1"/>
  <c r="I48" i="3"/>
  <c r="K48" i="3" s="1"/>
  <c r="H48" i="3"/>
  <c r="G48" i="3"/>
  <c r="H18" i="3"/>
  <c r="G18" i="3"/>
  <c r="I18" i="3" s="1"/>
  <c r="K18" i="3" s="1"/>
  <c r="H31" i="3"/>
  <c r="G31" i="3"/>
  <c r="I31" i="3" s="1"/>
  <c r="K31" i="3" s="1"/>
  <c r="H8" i="3"/>
  <c r="G8" i="3"/>
  <c r="I8" i="3" s="1"/>
  <c r="K8" i="3" s="1"/>
  <c r="G17" i="3"/>
  <c r="I17" i="3" s="1"/>
  <c r="K17" i="3" s="1"/>
  <c r="H17" i="3"/>
  <c r="H27" i="3"/>
  <c r="G27" i="3"/>
  <c r="I27" i="3" s="1"/>
  <c r="K27" i="3" s="1"/>
  <c r="G49" i="3"/>
  <c r="I49" i="3" s="1"/>
  <c r="K49" i="3" s="1"/>
  <c r="H49" i="3"/>
  <c r="D52" i="3"/>
  <c r="E52" i="3" s="1"/>
  <c r="F52" i="3" s="1"/>
  <c r="H52" i="3" l="1"/>
  <c r="G52" i="3"/>
  <c r="I52" i="3"/>
  <c r="K5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ID#AAABIiDh6y4
hakso    (2024-03-04 15:28:42)
1 Busel of corn = 0.0254 metric tonnes</t>
        </r>
      </text>
    </comment>
    <comment ref="C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ID#AAABIiDh6ys
hakso    (2024-03-04 15:28:42)
0.404686 acre = 1 hectare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ID#AAABIiDh6zA
hakso    (2024-03-04 15:28:42)
Residue collection efficiency = 0.35;
Ground cover factor = 2.7 tonnes per hectare</t>
        </r>
      </text>
    </comment>
    <comment ref="F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======
ID#AAABIiDh6yk
hakso    (2024-03-04 15:28:42)
-20 wt% used for corn moisture content by weight
-Biobutanol overall yield (liter/tonne of dry corn stover) = 156 liter/tonnes</t>
        </r>
      </text>
    </comment>
    <comment ref="G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ID#AAABIiDh6y0
hakso    (2024-03-04 15:28:42)
Butanol volume fraction in blend = 0.16</t>
        </r>
      </text>
    </comment>
    <comment ref="H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ID#AAABIiDh6yo
hakso    (2024-03-04 15:28:42)
Energy ratio = 0.91 liters of gasoline per liter of butanol</t>
        </r>
      </text>
    </comment>
    <comment ref="I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ID#AAABIiDh6y8
hakso    (2024-03-04 15:28:42)
-Butanol volume fraction in blend = 0.16
-Energy ratio = 0.91 liters of gasoline per liter of butanol</t>
        </r>
      </text>
    </comment>
    <comment ref="J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ID#AAABIiDh6yw
hakso    (2024-03-04 15:28:42)
158.987 liters of oil per oil barrel = 
42 gallons per oil barrel * 3.78541 liters per gallon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L/lSbJe0t28QCJHfqnBFP1T5+0Q=="/>
    </ext>
  </extLst>
</comments>
</file>

<file path=xl/sharedStrings.xml><?xml version="1.0" encoding="utf-8"?>
<sst xmlns="http://schemas.openxmlformats.org/spreadsheetml/2006/main" count="12569" uniqueCount="6881">
  <si>
    <t>Bioenergy</t>
  </si>
  <si>
    <t>Indicator</t>
  </si>
  <si>
    <t>Year</t>
  </si>
  <si>
    <t>Detail level</t>
  </si>
  <si>
    <t>Sheet</t>
  </si>
  <si>
    <t>Source Name</t>
  </si>
  <si>
    <t xml:space="preserve">Source URL </t>
  </si>
  <si>
    <t>Comments</t>
  </si>
  <si>
    <t>Ethanol facilities location by capacity (million gallons)</t>
  </si>
  <si>
    <t>Coordinates</t>
  </si>
  <si>
    <t>Ethanol</t>
  </si>
  <si>
    <t>Ethanol producer</t>
  </si>
  <si>
    <t>Retrieved March 2024</t>
  </si>
  <si>
    <t>Biobutanol production estimation (million liters)</t>
  </si>
  <si>
    <t>State</t>
  </si>
  <si>
    <t>Biobutanol</t>
  </si>
  <si>
    <t xml:space="preserve">Research paper
USDA </t>
  </si>
  <si>
    <t>https://www.sciencedirect.com/science/article/pii/S0926669018311063
https://www.nass.usda.gov/</t>
  </si>
  <si>
    <t>Biodiesel facilities location by capacity (million gallons)</t>
  </si>
  <si>
    <t>Biodiesel</t>
  </si>
  <si>
    <t>Retrieved February 2024</t>
  </si>
  <si>
    <t>Wood pellets facilities location by capacity (metric tons)</t>
  </si>
  <si>
    <t>US Wood Pellets</t>
  </si>
  <si>
    <t>Wood pellets production by country (metric tons)</t>
  </si>
  <si>
    <t>Country</t>
  </si>
  <si>
    <t>World Wood Pellets</t>
  </si>
  <si>
    <t>FAOSTAT</t>
  </si>
  <si>
    <t>http://www.fao.org/faostat/en/#data/FO</t>
  </si>
  <si>
    <t>Waste-to-energy facilities location by net generation (MWh)</t>
  </si>
  <si>
    <t>WTE</t>
  </si>
  <si>
    <t>EIA</t>
  </si>
  <si>
    <t>https://www.eia.gov/electricity/data/eia860m/
https://www.eia.gov/electricity/data/eia923/</t>
  </si>
  <si>
    <t>Anaerobic digesters in farms location</t>
  </si>
  <si>
    <t>Biogas AD</t>
  </si>
  <si>
    <t>EPA</t>
  </si>
  <si>
    <t>https://www.epa.gov/agstar/livestock-anaerobic-digester-database</t>
  </si>
  <si>
    <t>Landfills location</t>
  </si>
  <si>
    <t>Biogas Landfill</t>
  </si>
  <si>
    <t>https://www.epa.gov/lmop/project-and-landfill-data-state</t>
  </si>
  <si>
    <t>Wastewater treatment facilities location</t>
  </si>
  <si>
    <t>Biogas WWT</t>
  </si>
  <si>
    <t>Water Environment Federation Biogas Data</t>
  </si>
  <si>
    <t xml:space="preserve">http://www.resourcerecoverydata.org/biogasdata.php </t>
  </si>
  <si>
    <t>Biomethane production (thousand metric tons)</t>
  </si>
  <si>
    <t>Biomethane</t>
  </si>
  <si>
    <t>Biogas Council 
EPA</t>
  </si>
  <si>
    <t>https://americanbiogascouncil.org/resources/why-biogas/
https://www.epa.gov/lmop/project-and-landfill-data-state</t>
  </si>
  <si>
    <t xml:space="preserve">company </t>
  </si>
  <si>
    <t>address</t>
  </si>
  <si>
    <t>city</t>
  </si>
  <si>
    <t>zip</t>
  </si>
  <si>
    <t>Long</t>
  </si>
  <si>
    <t>Lat</t>
  </si>
  <si>
    <t>feedstock</t>
  </si>
  <si>
    <t>RINs</t>
  </si>
  <si>
    <t>Capacity (Mmgal)</t>
  </si>
  <si>
    <t>Status</t>
  </si>
  <si>
    <t>Pinal Energy LLC </t>
  </si>
  <si>
    <t>38585 W Cowtown Road</t>
  </si>
  <si>
    <t>Maricopa</t>
  </si>
  <si>
    <t>AZ</t>
  </si>
  <si>
    <t>Corn </t>
  </si>
  <si>
    <t>Starch</t>
  </si>
  <si>
    <t>D6 </t>
  </si>
  <si>
    <t>Operational</t>
  </si>
  <si>
    <t>Aemetis Advanced Fuels Keyes Inc. </t>
  </si>
  <si>
    <t>Highway 99</t>
  </si>
  <si>
    <t>Keyes</t>
  </si>
  <si>
    <t>CA</t>
  </si>
  <si>
    <t>Corn/Milo </t>
  </si>
  <si>
    <t>D6</t>
  </si>
  <si>
    <t>Pelican Renewables LLC (formerly Alto) </t>
  </si>
  <si>
    <t>3028 Navy Drive</t>
  </si>
  <si>
    <t>Stockton</t>
  </si>
  <si>
    <t>Starch, Cellulosic</t>
  </si>
  <si>
    <t>D6/D5/D3 </t>
  </si>
  <si>
    <t>Parallel Products of California </t>
  </si>
  <si>
    <t>12281 Arrow Route</t>
  </si>
  <si>
    <t>R. Cucamonga</t>
  </si>
  <si>
    <t>Waste Stream </t>
  </si>
  <si>
    <t>D6/D5 </t>
  </si>
  <si>
    <t>Front Range Energy LLC </t>
  </si>
  <si>
    <t>31375 Great Western Drive</t>
  </si>
  <si>
    <t>Windsor</t>
  </si>
  <si>
    <t>CO</t>
  </si>
  <si>
    <t>Sterling Ethanol LLC </t>
  </si>
  <si>
    <t>450 Angus Avenue</t>
  </si>
  <si>
    <t>Sterling</t>
  </si>
  <si>
    <t>Yuma Ethanol LLC </t>
  </si>
  <si>
    <t>38480 County Rd H</t>
  </si>
  <si>
    <t>Yuma</t>
  </si>
  <si>
    <t>CO </t>
  </si>
  <si>
    <t>Non-corn starch</t>
  </si>
  <si>
    <t>LanzaTech Freedom Pines</t>
  </si>
  <si>
    <t>535 Commerce Drive</t>
  </si>
  <si>
    <t>Soperton</t>
  </si>
  <si>
    <t>GA</t>
  </si>
  <si>
    <t>Other Grains </t>
  </si>
  <si>
    <t>D3</t>
  </si>
  <si>
    <t>Absolute Energy, LLC </t>
  </si>
  <si>
    <t>1372 State Line Road</t>
  </si>
  <si>
    <t>St. Ansgar</t>
  </si>
  <si>
    <t>IA</t>
  </si>
  <si>
    <t>Archer Daniels Midland Co. - Cedar Rapids (dry mill) </t>
  </si>
  <si>
    <t>1350 Waconia Drive</t>
  </si>
  <si>
    <t>Cedar Rapids</t>
  </si>
  <si>
    <t>Archer Daniels Midland Co. - Cedar Rapids (wet mill) </t>
  </si>
  <si>
    <t>Archer Daniels Midland Co. - Clinton </t>
  </si>
  <si>
    <t>1251 Beaver Channel Parkway</t>
  </si>
  <si>
    <t>Clinton</t>
  </si>
  <si>
    <t>Big River Resources West Burlington LLC </t>
  </si>
  <si>
    <t>15210 103rd Street</t>
  </si>
  <si>
    <t>W. Burlington</t>
  </si>
  <si>
    <t>Big River United Energy LLC </t>
  </si>
  <si>
    <t>3294 Vine Road</t>
  </si>
  <si>
    <t>Dyersville</t>
  </si>
  <si>
    <t>Cargill Inc. - Fort Dodge </t>
  </si>
  <si>
    <t>1950 Harvest Avenue</t>
  </si>
  <si>
    <t>Ft. Dodge, IA</t>
  </si>
  <si>
    <t>Cargill Inc. - Eddyville </t>
  </si>
  <si>
    <t>1 Cargill Drive</t>
  </si>
  <si>
    <t>Eddyville</t>
  </si>
  <si>
    <t>52553-5000</t>
  </si>
  <si>
    <t>Corn LP </t>
  </si>
  <si>
    <t>1303 Hwy 3 East</t>
  </si>
  <si>
    <t>Goldfield</t>
  </si>
  <si>
    <t>Elite Octane LLC </t>
  </si>
  <si>
    <t>60502 Glacier Rd</t>
  </si>
  <si>
    <t>Atlantic</t>
  </si>
  <si>
    <t>Golden Grain Energy LLC </t>
  </si>
  <si>
    <t>1822 43rd Street SW</t>
  </si>
  <si>
    <t>Mason City</t>
  </si>
  <si>
    <t>Grain Processing Corp. - Muscatine (wet mill) </t>
  </si>
  <si>
    <t>1600 Oregon Street</t>
  </si>
  <si>
    <t>Muscatine</t>
  </si>
  <si>
    <t>Green Plains - Shenandoah </t>
  </si>
  <si>
    <t>4124 Airport Road</t>
  </si>
  <si>
    <t>Shenandoah</t>
  </si>
  <si>
    <t>Green Plains - Superior </t>
  </si>
  <si>
    <t>1495 320th Avenue</t>
  </si>
  <si>
    <t>Superior</t>
  </si>
  <si>
    <t>Homeland Energy Solutions LLC </t>
  </si>
  <si>
    <t>2779 IA Hwy 24</t>
  </si>
  <si>
    <t>Lawler</t>
  </si>
  <si>
    <t>Ingredion</t>
  </si>
  <si>
    <t>1st St SW</t>
  </si>
  <si>
    <t>Lincolnway Energy LLC </t>
  </si>
  <si>
    <t>59511 West Lincoln Hwy</t>
  </si>
  <si>
    <t>Nevada</t>
  </si>
  <si>
    <t>Little Sioux Corn Processors LP </t>
  </si>
  <si>
    <t>4808 F Avenue</t>
  </si>
  <si>
    <t>Marcus</t>
  </si>
  <si>
    <t>D6/D3 </t>
  </si>
  <si>
    <t>Louis Dreyfus Company - Grand Junction </t>
  </si>
  <si>
    <t>1149 U Ave.</t>
  </si>
  <si>
    <t>Grand Junction</t>
  </si>
  <si>
    <t>Pine Lake Corn Processors LP </t>
  </si>
  <si>
    <t>33371 170th Street</t>
  </si>
  <si>
    <t>Steamboat Rock</t>
  </si>
  <si>
    <t>POET Biorefining - Arthur </t>
  </si>
  <si>
    <t>2585 Quail Ave</t>
  </si>
  <si>
    <t>Arthur</t>
  </si>
  <si>
    <t>IA </t>
  </si>
  <si>
    <t>POET Biorefining - Ashton </t>
  </si>
  <si>
    <t>4970 260th St</t>
  </si>
  <si>
    <t>Ashoton</t>
  </si>
  <si>
    <t>POET Biorefining - Coon Rapids </t>
  </si>
  <si>
    <t>1015 Grant Ave</t>
  </si>
  <si>
    <t>Coon Rapids</t>
  </si>
  <si>
    <t>POET Biorefining - Corning </t>
  </si>
  <si>
    <t>1680 Brooks Rd</t>
  </si>
  <si>
    <t>Corning</t>
  </si>
  <si>
    <t>POET Biorefining - Fairbank </t>
  </si>
  <si>
    <t>1277 102nd St</t>
  </si>
  <si>
    <t>Fairbank</t>
  </si>
  <si>
    <t>POET Biorefining - Gowrie </t>
  </si>
  <si>
    <t>1562 320th St</t>
  </si>
  <si>
    <t>Gowrie</t>
  </si>
  <si>
    <t>POET Biorefining - Hanlontown </t>
  </si>
  <si>
    <t>3638 Fir Ave</t>
  </si>
  <si>
    <t>Hanlontown</t>
  </si>
  <si>
    <t>POET Biorefining - Iowa Falls </t>
  </si>
  <si>
    <t>21050 140th St</t>
  </si>
  <si>
    <t>Iowa Falls</t>
  </si>
  <si>
    <t>POET Biorefining - Jewell </t>
  </si>
  <si>
    <t>2601 320th St</t>
  </si>
  <si>
    <t>Jewell</t>
  </si>
  <si>
    <t>POET Biorefining - Menlo </t>
  </si>
  <si>
    <t>3363 Talon Ave</t>
  </si>
  <si>
    <t>Menlo</t>
  </si>
  <si>
    <t>POET Biorefining - Shell Rock </t>
  </si>
  <si>
    <t>30750 212th St</t>
  </si>
  <si>
    <t>Shell Rock</t>
  </si>
  <si>
    <t>Quad County Corn Processors </t>
  </si>
  <si>
    <t>6059 159th Street</t>
  </si>
  <si>
    <t>Galva</t>
  </si>
  <si>
    <t>Siouxland Energy Cooperative </t>
  </si>
  <si>
    <t>3890 Garfield Avenue</t>
  </si>
  <si>
    <t>Sioux Center</t>
  </si>
  <si>
    <t>Southwest Iowa Renewable Energy LLC </t>
  </si>
  <si>
    <t>10868 189th St.</t>
  </si>
  <si>
    <t>Council Bluffs, IA</t>
  </si>
  <si>
    <t>The Andersons - Denison Ethanol LLC </t>
  </si>
  <si>
    <t>2404 Hwy 30 W</t>
  </si>
  <si>
    <t>Denison</t>
  </si>
  <si>
    <t>Valero Renewable Fuels - Albert City </t>
  </si>
  <si>
    <t>2356 510th Street</t>
  </si>
  <si>
    <t>Albert City</t>
  </si>
  <si>
    <t>Valero Renewable Fuels - Charles City </t>
  </si>
  <si>
    <t>1787 Quarry Road</t>
  </si>
  <si>
    <t>Charles City</t>
  </si>
  <si>
    <t>Valero Renewable Fuels - Fort Dodge </t>
  </si>
  <si>
    <t>1930 Hayes Avenue</t>
  </si>
  <si>
    <t>Fort Dodge</t>
  </si>
  <si>
    <t>Valero Renewable Fuels - Hartley </t>
  </si>
  <si>
    <t>3260 Van Buren Avenue</t>
  </si>
  <si>
    <t>Hartley</t>
  </si>
  <si>
    <t>Valero Renewable Fuels - Lakota </t>
  </si>
  <si>
    <t>1660 428th St</t>
  </si>
  <si>
    <t>Lakota</t>
  </si>
  <si>
    <t>Plymouth Energy LLC </t>
  </si>
  <si>
    <t>22234 K42</t>
  </si>
  <si>
    <t>Merrill</t>
  </si>
  <si>
    <t>Verbio North America Corp.  </t>
  </si>
  <si>
    <t>59219 Lincoln Hwy</t>
  </si>
  <si>
    <t>Alto Ingredients - Magic Valley Inc.  </t>
  </si>
  <si>
    <t>2600 Washington Ave</t>
  </si>
  <si>
    <t>Burley</t>
  </si>
  <si>
    <t>ID </t>
  </si>
  <si>
    <t>Adkins Energy LLC </t>
  </si>
  <si>
    <t>4350 W. Galena Road</t>
  </si>
  <si>
    <t>Lena</t>
  </si>
  <si>
    <t>IL</t>
  </si>
  <si>
    <t>Alto Ingredients - Pekin ICP Inc. </t>
  </si>
  <si>
    <t>1301 S Front St</t>
  </si>
  <si>
    <t>Pekin</t>
  </si>
  <si>
    <t>IL </t>
  </si>
  <si>
    <t>Alto Ingredients - Pekin Inc. (dry mill) </t>
  </si>
  <si>
    <t>1300 S 2nd St</t>
  </si>
  <si>
    <t>Alto Ingredients - Pekin Inc. (wet mill) </t>
  </si>
  <si>
    <t>Archer Daniels Midland Co. - Decatur </t>
  </si>
  <si>
    <t>4666 Faries Parkway</t>
  </si>
  <si>
    <t>Decatur</t>
  </si>
  <si>
    <t>BioUrja Group (formerly ADM Peroria) </t>
  </si>
  <si>
    <t>1 Edmund St</t>
  </si>
  <si>
    <t>Peoria</t>
  </si>
  <si>
    <t>Big River Resources Galva LLC </t>
  </si>
  <si>
    <t>1100 SE 2nd St.</t>
  </si>
  <si>
    <t>CHS Annawan </t>
  </si>
  <si>
    <t>1900 Steward Rd</t>
  </si>
  <si>
    <t>Rochelle</t>
  </si>
  <si>
    <t>CHS Rochelle </t>
  </si>
  <si>
    <t>101 Patriot Way</t>
  </si>
  <si>
    <t>Annawan</t>
  </si>
  <si>
    <t>Green Plains - Madison </t>
  </si>
  <si>
    <t>395 Bissell Street</t>
  </si>
  <si>
    <t>Madison</t>
  </si>
  <si>
    <t>Lincolnland Agri-Energy LLC </t>
  </si>
  <si>
    <t>10406 N. 1725th Street</t>
  </si>
  <si>
    <t>Palestine</t>
  </si>
  <si>
    <t>Marquis Energy LLC </t>
  </si>
  <si>
    <t>11953 ESK Road</t>
  </si>
  <si>
    <t>Hennepin</t>
  </si>
  <si>
    <t>One Earth Energy LLC </t>
  </si>
  <si>
    <t>202 Jordan Dr.</t>
  </si>
  <si>
    <t>Gibson City</t>
  </si>
  <si>
    <t>Cardinal Ethanol LLC </t>
  </si>
  <si>
    <t>1554 N. 600 East</t>
  </si>
  <si>
    <t>Union City</t>
  </si>
  <si>
    <t>IN</t>
  </si>
  <si>
    <t>Central Indiana Ethanol LLC (CIE) </t>
  </si>
  <si>
    <t>2955 W Delphi Pike</t>
  </si>
  <si>
    <t>Marion</t>
  </si>
  <si>
    <t>Grain Processing Corp. - Washington (wet mill) </t>
  </si>
  <si>
    <t>1443 S 300 W</t>
  </si>
  <si>
    <t xml:space="preserve">Washington </t>
  </si>
  <si>
    <t>Green Plains - Mt. Vernon </t>
  </si>
  <si>
    <t>10610 Darnell School Road</t>
  </si>
  <si>
    <t>Mt. Vernon</t>
  </si>
  <si>
    <t>Iroquois Bio-Energy Company LLC </t>
  </si>
  <si>
    <t>Highway 114</t>
  </si>
  <si>
    <t>Rensselaer</t>
  </si>
  <si>
    <t>POET Biorefining - Alexandria </t>
  </si>
  <si>
    <t>13179 N 100 E</t>
  </si>
  <si>
    <t>Alexandria</t>
  </si>
  <si>
    <t>POET Biorefining - Cloverdale </t>
  </si>
  <si>
    <t>2265 E. CR 800 S</t>
  </si>
  <si>
    <t>Cloverdale</t>
  </si>
  <si>
    <t>POET Biorefining - North Manchester </t>
  </si>
  <si>
    <t>868 E. 800 N</t>
  </si>
  <si>
    <t>North Manchester</t>
  </si>
  <si>
    <t>POET Biorefining - Portland </t>
  </si>
  <si>
    <t>1542 S. 200 West</t>
  </si>
  <si>
    <t>Portland</t>
  </si>
  <si>
    <t>POET Biorefining - Shelbyville </t>
  </si>
  <si>
    <t>2373 W 300 N</t>
  </si>
  <si>
    <t xml:space="preserve">Shelbyville </t>
  </si>
  <si>
    <t>South Bend Ethanol LLC </t>
  </si>
  <si>
    <t>3201 W Calvert St</t>
  </si>
  <si>
    <t>South Bend</t>
  </si>
  <si>
    <t>IN </t>
  </si>
  <si>
    <t>The Andersons - Clymers Ethanol LLC </t>
  </si>
  <si>
    <t>3389 W 300 S</t>
  </si>
  <si>
    <t>Clymers</t>
  </si>
  <si>
    <t>Valero Renewable Fuels - Bluffton </t>
  </si>
  <si>
    <t>1441 S Adams St</t>
  </si>
  <si>
    <t>Bluffton</t>
  </si>
  <si>
    <t>Valero Renewable Fuels - Linden </t>
  </si>
  <si>
    <t>203 West CR 1100 North</t>
  </si>
  <si>
    <t>Linden</t>
  </si>
  <si>
    <t>Valero Renewable Fuels - Mount Vernon </t>
  </si>
  <si>
    <t>7201 Port Road</t>
  </si>
  <si>
    <t>Amber Wave</t>
  </si>
  <si>
    <t>1664 E 100 Road</t>
  </si>
  <si>
    <t>Phillipsburg</t>
  </si>
  <si>
    <t>KS</t>
  </si>
  <si>
    <t>Arkalon Energy LLC (Conestoga)  </t>
  </si>
  <si>
    <t>300 N. Lincoln Avenue</t>
  </si>
  <si>
    <t>Liberal</t>
  </si>
  <si>
    <t>Bonanza BioEnergy LLC (Conestoga) </t>
  </si>
  <si>
    <t>2830 U.S. 50</t>
  </si>
  <si>
    <t>Garden City</t>
  </si>
  <si>
    <t>Cardinal Colwich LLC</t>
  </si>
  <si>
    <t>1 N Element Drive</t>
  </si>
  <si>
    <t>Colwich</t>
  </si>
  <si>
    <t>Corn</t>
  </si>
  <si>
    <t>East Kansas Agri-Energy LLC </t>
  </si>
  <si>
    <t>1304 S Main</t>
  </si>
  <si>
    <t>Garnett</t>
  </si>
  <si>
    <t>Kansas Ethanol LLC </t>
  </si>
  <si>
    <t>1630 Avenue Q</t>
  </si>
  <si>
    <t>Lyons</t>
  </si>
  <si>
    <t>MGP Ingradients</t>
  </si>
  <si>
    <t>100 Commercial St</t>
  </si>
  <si>
    <t>Atchison</t>
  </si>
  <si>
    <t>Nesika Energy LLC</t>
  </si>
  <si>
    <t>1020 70 Road</t>
  </si>
  <si>
    <t>Scandia</t>
  </si>
  <si>
    <t>Pratt Energy LLC </t>
  </si>
  <si>
    <t>10333 NE 30th Street</t>
  </si>
  <si>
    <t>Pratt</t>
  </si>
  <si>
    <t>Reeve Agri Energy </t>
  </si>
  <si>
    <t>5665 S. Old Highway 83</t>
  </si>
  <si>
    <t>Seaboard Energy California LLC </t>
  </si>
  <si>
    <t>5701 Stockyards Expy</t>
  </si>
  <si>
    <t>St. Joseph</t>
  </si>
  <si>
    <t>Western Plains Energy LLC </t>
  </si>
  <si>
    <t>3022 County Road 18</t>
  </si>
  <si>
    <t>Campus</t>
  </si>
  <si>
    <t>Commonwealth Agri-Energy LLC </t>
  </si>
  <si>
    <t>4895 Pemboke Road</t>
  </si>
  <si>
    <t>Hopkinsville</t>
  </si>
  <si>
    <t>KY</t>
  </si>
  <si>
    <t>Parallel Products of Kentucky </t>
  </si>
  <si>
    <t>1620 Bernheim Lane</t>
  </si>
  <si>
    <t>Louisville</t>
  </si>
  <si>
    <t>Carbon Green BioEnergy LLC </t>
  </si>
  <si>
    <t>7795 Saddlebag Lake Road</t>
  </si>
  <si>
    <t>Woodbury</t>
  </si>
  <si>
    <t>MI</t>
  </si>
  <si>
    <t>Marysville Ethanol LLC </t>
  </si>
  <si>
    <t>2510 Busha Highway</t>
  </si>
  <si>
    <t>Marysville</t>
  </si>
  <si>
    <t>POET Biorefining - Caro </t>
  </si>
  <si>
    <t>1551 Empire Dr</t>
  </si>
  <si>
    <t>Caro</t>
  </si>
  <si>
    <t>MI </t>
  </si>
  <si>
    <t>The Andersons - Albion Ethanol LLC </t>
  </si>
  <si>
    <t>26250 B Drive North</t>
  </si>
  <si>
    <t>Albion</t>
  </si>
  <si>
    <t>Valero Renewable Fuels - Riga </t>
  </si>
  <si>
    <t>7025 Silberhorn Hwy</t>
  </si>
  <si>
    <t>Blissfield</t>
  </si>
  <si>
    <t>Al-Corn Clean Fuel LLC </t>
  </si>
  <si>
    <t>797 5th Street</t>
  </si>
  <si>
    <t>Claremont</t>
  </si>
  <si>
    <t>MN</t>
  </si>
  <si>
    <t>Archer Daniels Midland Co. - Marshall </t>
  </si>
  <si>
    <t>400 W Erie Road</t>
  </si>
  <si>
    <t>Marshall</t>
  </si>
  <si>
    <t>Bushmills Ethanol Inc. </t>
  </si>
  <si>
    <t>17025 Hwy 12 NE</t>
  </si>
  <si>
    <t>Atwater</t>
  </si>
  <si>
    <t>Chippewa Valley Ethanol Co. </t>
  </si>
  <si>
    <t>270 20th Street NW</t>
  </si>
  <si>
    <t>Benson</t>
  </si>
  <si>
    <t>DENCO II LLC </t>
  </si>
  <si>
    <t>227 South County Road 22</t>
  </si>
  <si>
    <t>Morris</t>
  </si>
  <si>
    <t>Green Plains - Otter Tail </t>
  </si>
  <si>
    <t>24096 170th Avenue</t>
  </si>
  <si>
    <t>Fergus Falls</t>
  </si>
  <si>
    <t>56537-7518</t>
  </si>
  <si>
    <t>Gevo - Agri-Energy LLC </t>
  </si>
  <si>
    <t>502 S Walnut Ave</t>
  </si>
  <si>
    <t>Luverne</t>
  </si>
  <si>
    <t>MN </t>
  </si>
  <si>
    <t>Granite Falls Energy LLC </t>
  </si>
  <si>
    <t>15045 Hwy 23 SE</t>
  </si>
  <si>
    <t>Granite Falls</t>
  </si>
  <si>
    <t>Green Plains - Fairmont </t>
  </si>
  <si>
    <t>1005 N Bixby Rd</t>
  </si>
  <si>
    <t>Fairmont</t>
  </si>
  <si>
    <t>Greenfield Global - Winnebago LLC </t>
  </si>
  <si>
    <t>711 6th Ave SE</t>
  </si>
  <si>
    <t>Winnebago</t>
  </si>
  <si>
    <t>Guardian Energy LLC </t>
  </si>
  <si>
    <t>4745 380th Avenue</t>
  </si>
  <si>
    <t>Janesville, MN</t>
  </si>
  <si>
    <t>Heartland Corn Products </t>
  </si>
  <si>
    <t>53331 State Hwy 19</t>
  </si>
  <si>
    <t>Winthrop</t>
  </si>
  <si>
    <t>Heron Lake BioEnergy LLC </t>
  </si>
  <si>
    <t>91246 390th Avenue</t>
  </si>
  <si>
    <t>Heron Lake</t>
  </si>
  <si>
    <t>Highwater Ethanol LLC </t>
  </si>
  <si>
    <t>24500 U.S. Highway 14</t>
  </si>
  <si>
    <t>Lamberton</t>
  </si>
  <si>
    <t>POET Biorefining - Bingham Lake </t>
  </si>
  <si>
    <t>40212 510th Ave</t>
  </si>
  <si>
    <t>Bingham Lake</t>
  </si>
  <si>
    <t>POET Biorefining - Glenville </t>
  </si>
  <si>
    <t>15300 780th Ave</t>
  </si>
  <si>
    <t>Albert Lea</t>
  </si>
  <si>
    <t>POET Biorefining - Lake Crystal </t>
  </si>
  <si>
    <t>19200 499th Ave</t>
  </si>
  <si>
    <t>Lake Crystal</t>
  </si>
  <si>
    <t>POET Biorefining - Preston </t>
  </si>
  <si>
    <t>701 Industrial Dr</t>
  </si>
  <si>
    <t xml:space="preserve">Preston </t>
  </si>
  <si>
    <t>POET Biorefining - Laddonia </t>
  </si>
  <si>
    <t>809 N Pine St</t>
  </si>
  <si>
    <t>Laddonia</t>
  </si>
  <si>
    <t>MO </t>
  </si>
  <si>
    <t>POET Biorefining - Macon </t>
  </si>
  <si>
    <t>30211 Major Ave</t>
  </si>
  <si>
    <t>Macon</t>
  </si>
  <si>
    <t>Valero Renewable Fuels - Welcome </t>
  </si>
  <si>
    <t>1444 120th Street</t>
  </si>
  <si>
    <t>Welcome</t>
  </si>
  <si>
    <t>Golden Triangle Energy LLC</t>
  </si>
  <si>
    <t>15053 MO-111</t>
  </si>
  <si>
    <t>Craig</t>
  </si>
  <si>
    <t>MO</t>
  </si>
  <si>
    <t>ICM Biofuels LLC </t>
  </si>
  <si>
    <t>2811 S. 11th Street</t>
  </si>
  <si>
    <t>Mid-Missouri Energy LLC </t>
  </si>
  <si>
    <t>15311 N. Saline 65 Hwy</t>
  </si>
  <si>
    <t>Malta Bend</t>
  </si>
  <si>
    <t>Show Me Ethanol LLC </t>
  </si>
  <si>
    <t>26530 E. Highway 24</t>
  </si>
  <si>
    <t>Carrollton</t>
  </si>
  <si>
    <t>Tyton NC Biofuels LLC </t>
  </si>
  <si>
    <t>269 Pate Road</t>
  </si>
  <si>
    <t xml:space="preserve">Raeford </t>
  </si>
  <si>
    <t>NC</t>
  </si>
  <si>
    <t>Blue Flint Ethanol LLC </t>
  </si>
  <si>
    <t>2841 Third Street SW</t>
  </si>
  <si>
    <t>Underwood</t>
  </si>
  <si>
    <t>ND</t>
  </si>
  <si>
    <t>Dakota Spirit Ag Energy LLC </t>
  </si>
  <si>
    <t>3361 93rd Ave Se</t>
  </si>
  <si>
    <t>Spiritwood</t>
  </si>
  <si>
    <t>Guardian Hankinson LLC </t>
  </si>
  <si>
    <t>9230 County Road 1</t>
  </si>
  <si>
    <t>Hankinson</t>
  </si>
  <si>
    <t>Red Trail Energy LLC </t>
  </si>
  <si>
    <t>3682 Hwy 8 South</t>
  </si>
  <si>
    <t>Richardton</t>
  </si>
  <si>
    <t>Tharaldson Ethanol LLC </t>
  </si>
  <si>
    <t>3549 153rd Ave. SE</t>
  </si>
  <si>
    <t>Casselton</t>
  </si>
  <si>
    <t>Archer Daniels Midland Co. - Columbus (wet mill) </t>
  </si>
  <si>
    <t>3000 East 8th St</t>
  </si>
  <si>
    <t>Columbus</t>
  </si>
  <si>
    <t>NE</t>
  </si>
  <si>
    <t>Archer Daniels Midland Co. - Columbus (dry mill) </t>
  </si>
  <si>
    <t>Bridgeport Ethanol LLC </t>
  </si>
  <si>
    <t>9216 County Rd 90</t>
  </si>
  <si>
    <t>Bridgeport</t>
  </si>
  <si>
    <t>Cargill Inc. - Blair </t>
  </si>
  <si>
    <t>650 Industrial Road</t>
  </si>
  <si>
    <t>Blair</t>
  </si>
  <si>
    <t>Chief Ethanol Fuels Inc. - Hastings </t>
  </si>
  <si>
    <t>4225 E. South Street</t>
  </si>
  <si>
    <t>Hastings</t>
  </si>
  <si>
    <t>Chief Ethanol Fuels Inc. - Lexington </t>
  </si>
  <si>
    <t>1111 East Industry Drive</t>
  </si>
  <si>
    <t>Lexington</t>
  </si>
  <si>
    <t xml:space="preserve">CIE - Norfolk </t>
  </si>
  <si>
    <t>3002 N Victory Rd</t>
  </si>
  <si>
    <t>Norfold</t>
  </si>
  <si>
    <t>E Energy Adams LLC </t>
  </si>
  <si>
    <t>13238 East Aspen Road</t>
  </si>
  <si>
    <t>Adams</t>
  </si>
  <si>
    <t>Green Plains - Atkinson </t>
  </si>
  <si>
    <t>87590 Hillcrest Rd.</t>
  </si>
  <si>
    <t>Atkinson</t>
  </si>
  <si>
    <t>Green Plains - Central City </t>
  </si>
  <si>
    <t>214 20th Street</t>
  </si>
  <si>
    <t>Central City</t>
  </si>
  <si>
    <t>GreenAmerica Biofuels Ord LLC </t>
  </si>
  <si>
    <t>48267 Val-E Road</t>
  </si>
  <si>
    <t>Ord</t>
  </si>
  <si>
    <t>Green Plains - Wood River </t>
  </si>
  <si>
    <t>7878 S 140th Rd</t>
  </si>
  <si>
    <t>Wood River</t>
  </si>
  <si>
    <t>Green Plains - York </t>
  </si>
  <si>
    <t>1414 Road O</t>
  </si>
  <si>
    <t>York</t>
  </si>
  <si>
    <t>Husker Ag LLC </t>
  </si>
  <si>
    <t>54048 Hwy 20</t>
  </si>
  <si>
    <t>Plainview</t>
  </si>
  <si>
    <t>KAAPA Ethanol LLC </t>
  </si>
  <si>
    <t>8450 KAAPA Lane</t>
  </si>
  <si>
    <t>Minden</t>
  </si>
  <si>
    <t>KAAPA Ethanol Ravenna LLC </t>
  </si>
  <si>
    <t>35955 Navaho Road</t>
  </si>
  <si>
    <t>Ravenna</t>
  </si>
  <si>
    <t>KAAPA Ethanol Aurora LLC </t>
  </si>
  <si>
    <t>2103 Harvest Drive</t>
  </si>
  <si>
    <t>Aurora</t>
  </si>
  <si>
    <t>Mid America Bio Energy</t>
  </si>
  <si>
    <t>1900 E State Farm Road</t>
  </si>
  <si>
    <t>North Platte</t>
  </si>
  <si>
    <t>Nebraska Corn Processing LLC </t>
  </si>
  <si>
    <t xml:space="preserve">107 Potter St. </t>
  </si>
  <si>
    <t>Cambridge</t>
  </si>
  <si>
    <t>Siouxland Ethanol LLC </t>
  </si>
  <si>
    <t>1501 Knox Blvd.</t>
  </si>
  <si>
    <t>Jackson</t>
  </si>
  <si>
    <t>Trenton Agri Products LLC </t>
  </si>
  <si>
    <t>36638 US Highway 34</t>
  </si>
  <si>
    <t>Trenton</t>
  </si>
  <si>
    <t>Valero Renewable Fuels - Albion </t>
  </si>
  <si>
    <t>2615 260th St</t>
  </si>
  <si>
    <t>Midwest Renewable Energy LLC </t>
  </si>
  <si>
    <t>27532 West Hwy 30</t>
  </si>
  <si>
    <t>Sutherland</t>
  </si>
  <si>
    <t>POET Biorefining - Fairmont </t>
  </si>
  <si>
    <t>1214 Rd G</t>
  </si>
  <si>
    <t>NE </t>
  </si>
  <si>
    <t>Western New York Energy LLC </t>
  </si>
  <si>
    <t>4141 Bates Rd.</t>
  </si>
  <si>
    <t>Medina</t>
  </si>
  <si>
    <t>NY</t>
  </si>
  <si>
    <t>Guardian Lima LLC </t>
  </si>
  <si>
    <t>2485 Houx Parkway</t>
  </si>
  <si>
    <t>Lima</t>
  </si>
  <si>
    <t>OH</t>
  </si>
  <si>
    <t>POET Biorefining - Fostoria </t>
  </si>
  <si>
    <t>2111 Sandusky St.</t>
  </si>
  <si>
    <t>Fostoria</t>
  </si>
  <si>
    <t>POET Biorefining - Leipsic </t>
  </si>
  <si>
    <t>3875 State Route 65</t>
  </si>
  <si>
    <t>Leipsic</t>
  </si>
  <si>
    <t>45856-9231</t>
  </si>
  <si>
    <t>POET Biorefining - Marion </t>
  </si>
  <si>
    <t>1660 Hillman-Ford Rd.</t>
  </si>
  <si>
    <t>The Andersons - Marathon Ethanol LLC </t>
  </si>
  <si>
    <t>5728 Sebring Warner Road N</t>
  </si>
  <si>
    <t>Greenville</t>
  </si>
  <si>
    <t>Three Rivers Energy LLC </t>
  </si>
  <si>
    <t>18137 County Road 271</t>
  </si>
  <si>
    <t>Coshocton</t>
  </si>
  <si>
    <t>Valero Renewable Fuels - Bloomingburg </t>
  </si>
  <si>
    <t>3979 State Route 238 NE</t>
  </si>
  <si>
    <t>Bloomingburg</t>
  </si>
  <si>
    <t>Alto Ingredients - Columbia Inc.  </t>
  </si>
  <si>
    <t>71335 Rail Loop Drive</t>
  </si>
  <si>
    <t>Boardman</t>
  </si>
  <si>
    <t>OR</t>
  </si>
  <si>
    <t>Pennsylvania Grain Processing LLC </t>
  </si>
  <si>
    <t>250 Technology Dr.</t>
  </si>
  <si>
    <t>Clearfield</t>
  </si>
  <si>
    <t>PA</t>
  </si>
  <si>
    <t>Glacial Lakes Energy Huron </t>
  </si>
  <si>
    <t>694 W Park Ave</t>
  </si>
  <si>
    <t>Huron</t>
  </si>
  <si>
    <t>SD </t>
  </si>
  <si>
    <t>Glacial Lakes Energy Aberdeen </t>
  </si>
  <si>
    <t>38469 133rd St</t>
  </si>
  <si>
    <t>Aberdeen</t>
  </si>
  <si>
    <t>Red River Energy LLC </t>
  </si>
  <si>
    <t>473rd Ave</t>
  </si>
  <si>
    <t>Rosholt</t>
  </si>
  <si>
    <t>SD</t>
  </si>
  <si>
    <t>Dakota Ethanol LLC </t>
  </si>
  <si>
    <t>46269 SD HWY 34</t>
  </si>
  <si>
    <t>Wentworth</t>
  </si>
  <si>
    <t>Glacial Lakes Energy LLC-Watertown </t>
  </si>
  <si>
    <t>301 20th Avenue SE</t>
  </si>
  <si>
    <t>Watertown</t>
  </si>
  <si>
    <t>Glacial Lakes Energy LLC-Mina </t>
  </si>
  <si>
    <t>13435 370th Avenue</t>
  </si>
  <si>
    <t>Mina</t>
  </si>
  <si>
    <t>NuGen Energy LLC </t>
  </si>
  <si>
    <t>27283 447th Avenue</t>
  </si>
  <si>
    <t>POET Biorefining - Big Stone </t>
  </si>
  <si>
    <t>48416 144th St</t>
  </si>
  <si>
    <t>Big Stone City</t>
  </si>
  <si>
    <t>POET Biorefining - Chancellor </t>
  </si>
  <si>
    <t>27716 462nd Ave</t>
  </si>
  <si>
    <t>Chancellor</t>
  </si>
  <si>
    <t>POET Biorefining - Groton </t>
  </si>
  <si>
    <t>40425 133rd St</t>
  </si>
  <si>
    <t>Groton</t>
  </si>
  <si>
    <t>POET Biorefining - Hudson </t>
  </si>
  <si>
    <t>29619 Spur Ave</t>
  </si>
  <si>
    <t>Hudson</t>
  </si>
  <si>
    <t>POET Biorefining - Mitchell </t>
  </si>
  <si>
    <t>40509 247th St</t>
  </si>
  <si>
    <t>Mitchell</t>
  </si>
  <si>
    <t>POET Research Center </t>
  </si>
  <si>
    <t>851 Washington St</t>
  </si>
  <si>
    <t>Scotland</t>
  </si>
  <si>
    <t>Redfield Energy LLC </t>
  </si>
  <si>
    <t>38650 171st Street</t>
  </si>
  <si>
    <t>Redfield</t>
  </si>
  <si>
    <t>Valero Renewable Fuels - Aurora </t>
  </si>
  <si>
    <t>One VeraSun Place</t>
  </si>
  <si>
    <t>Green Plains - Obion </t>
  </si>
  <si>
    <t>2098 McDonald Rd.</t>
  </si>
  <si>
    <t>Obion</t>
  </si>
  <si>
    <t>TN</t>
  </si>
  <si>
    <t>Tate &amp; Lyle PLC </t>
  </si>
  <si>
    <t>198 Blair Bend Drive</t>
  </si>
  <si>
    <t>Loudon</t>
  </si>
  <si>
    <t>Diamond Ethanol LLC (Conestoga) </t>
  </si>
  <si>
    <t xml:space="preserve">103 South FM 2646 </t>
  </si>
  <si>
    <t>Levelland</t>
  </si>
  <si>
    <t>TX</t>
  </si>
  <si>
    <t>Hereford Ethanol Partners LP </t>
  </si>
  <si>
    <t>625 N. 25 Mile Ave.</t>
  </si>
  <si>
    <t>Hereford</t>
  </si>
  <si>
    <t>White Energy - Hereford LLC </t>
  </si>
  <si>
    <t>99 S Progressive Road</t>
  </si>
  <si>
    <t>White Energy - Plainview LLC </t>
  </si>
  <si>
    <t>2698 US-70 #70</t>
  </si>
  <si>
    <t>TX </t>
  </si>
  <si>
    <t>Ace Ethanol LLC </t>
  </si>
  <si>
    <t>815 West Maple Street</t>
  </si>
  <si>
    <t>Stanley</t>
  </si>
  <si>
    <t>WI</t>
  </si>
  <si>
    <t>Azatlan Bio LLC</t>
  </si>
  <si>
    <t>Valero Way</t>
  </si>
  <si>
    <t>Johnson Creek</t>
  </si>
  <si>
    <t>Badger State Ethanol LLC </t>
  </si>
  <si>
    <t>820 W. 17th Street</t>
  </si>
  <si>
    <t>Monroe</t>
  </si>
  <si>
    <t>Big River Resources Boyceville LLC </t>
  </si>
  <si>
    <t>N10185 370th Street</t>
  </si>
  <si>
    <t>Boyceville</t>
  </si>
  <si>
    <t>Didion Ethanol LLC </t>
  </si>
  <si>
    <t>501 South Williams Street</t>
  </si>
  <si>
    <t>Cambria</t>
  </si>
  <si>
    <t>Fox River Valley Ethanol </t>
  </si>
  <si>
    <t>4995 State Road 91</t>
  </si>
  <si>
    <t>Oshkosh</t>
  </si>
  <si>
    <t>Marquis Energy - Wisconsin LLC </t>
  </si>
  <si>
    <t>N9585 State Road 80</t>
  </si>
  <si>
    <t>Necedah</t>
  </si>
  <si>
    <t>United Ethanol LLC </t>
  </si>
  <si>
    <t>1250 Chicago Street</t>
  </si>
  <si>
    <t>Milton</t>
  </si>
  <si>
    <t>United Wisconsin Grain Producers LLC </t>
  </si>
  <si>
    <t>W1231 Tessmann Dr.</t>
  </si>
  <si>
    <t>Friesland</t>
  </si>
  <si>
    <t>Corn production in 2023 (1000 t)</t>
  </si>
  <si>
    <t>Area harvested in 2023 (1000 hectares)</t>
  </si>
  <si>
    <t>Residue to product ratio</t>
  </si>
  <si>
    <t>Collectable residue (1000t)</t>
  </si>
  <si>
    <t>Potential Butanol production (million liters , Ml)</t>
  </si>
  <si>
    <t>Potential Bu16 production (Ml)</t>
  </si>
  <si>
    <t>Gasoline Savings (Ml)</t>
  </si>
  <si>
    <t>Gasoline equivalent (Ml)</t>
  </si>
  <si>
    <t>Gasoline consumption (Ml)</t>
  </si>
  <si>
    <t>Percentage of total gasoline consumption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</si>
  <si>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</si>
  <si>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</si>
  <si>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</si>
  <si>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</si>
  <si>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</si>
  <si>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</si>
  <si>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</si>
  <si>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</si>
  <si>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</si>
  <si>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</si>
  <si>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</si>
  <si>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</si>
  <si>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</si>
  <si>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</si>
  <si>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</si>
  <si>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</si>
  <si>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</si>
  <si>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</si>
  <si>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</si>
  <si>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</si>
  <si>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</si>
  <si>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</si>
  <si>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</si>
  <si>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</si>
  <si>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</si>
  <si>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</si>
  <si>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</si>
  <si>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</si>
  <si>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</si>
  <si>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</si>
  <si>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</si>
  <si>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</si>
  <si>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</si>
  <si>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</si>
  <si>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</si>
  <si>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</si>
  <si>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</si>
  <si>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</si>
  <si>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</si>
  <si>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</si>
  <si>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</si>
  <si>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</si>
  <si>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</si>
  <si>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</si>
  <si>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</si>
  <si>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</si>
  <si>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</si>
  <si>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</si>
  <si>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</si>
  <si>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</si>
  <si>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</si>
  <si>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 xml:space="preserve">Operational plant </t>
  </si>
  <si>
    <t>Longitude</t>
  </si>
  <si>
    <t>Latitude</t>
  </si>
  <si>
    <t>AK</t>
  </si>
  <si>
    <t>LA</t>
  </si>
  <si>
    <t>MA</t>
  </si>
  <si>
    <t>ME</t>
  </si>
  <si>
    <t>Ever Cat Fuels LLC</t>
  </si>
  <si>
    <t>Blue Ridge Biofuels LLC</t>
  </si>
  <si>
    <t>NJ</t>
  </si>
  <si>
    <t>Company</t>
  </si>
  <si>
    <t>Feedstock</t>
  </si>
  <si>
    <t>Capacity (metric tons/year)</t>
  </si>
  <si>
    <t>Alabama Pellets- Aliceville</t>
  </si>
  <si>
    <t xml:space="preserve">AL </t>
  </si>
  <si>
    <t xml:space="preserve">Hardwood and Softwood </t>
  </si>
  <si>
    <t>Alabama Pellets- Demopolis</t>
  </si>
  <si>
    <t>Fruitdale Pellets</t>
  </si>
  <si>
    <t>Jackson Pellets</t>
  </si>
  <si>
    <t>Drax- Leola</t>
  </si>
  <si>
    <t xml:space="preserve">AR </t>
  </si>
  <si>
    <t>Drax- Russellville</t>
  </si>
  <si>
    <t xml:space="preserve">Fiber Energy Products AR </t>
  </si>
  <si>
    <t xml:space="preserve">Hardwood </t>
  </si>
  <si>
    <t xml:space="preserve">Highland Pellets LLC-Pine Bluff </t>
  </si>
  <si>
    <t xml:space="preserve">Softwood </t>
  </si>
  <si>
    <t xml:space="preserve">Forest Energy Show Low </t>
  </si>
  <si>
    <t xml:space="preserve">AZ </t>
  </si>
  <si>
    <t>Lignetics Mendocino</t>
  </si>
  <si>
    <t xml:space="preserve">CA </t>
  </si>
  <si>
    <t xml:space="preserve">Mallard Creek Inc. </t>
  </si>
  <si>
    <t>Mesa Verde Pellets</t>
  </si>
  <si>
    <t xml:space="preserve">Enviva Pellets Cottondale LLC </t>
  </si>
  <si>
    <t xml:space="preserve">FL </t>
  </si>
  <si>
    <t>Hardwood</t>
  </si>
  <si>
    <t xml:space="preserve">Appling County Pellets LLC </t>
  </si>
  <si>
    <t xml:space="preserve">GA </t>
  </si>
  <si>
    <t>Douglas Pellets</t>
  </si>
  <si>
    <t>Enviva Pellets Waycross</t>
  </si>
  <si>
    <t>Softwood and hardwood</t>
  </si>
  <si>
    <t xml:space="preserve">Hazlehurst Wood Pellets LLC </t>
  </si>
  <si>
    <t>Ideal Pellets</t>
  </si>
  <si>
    <t xml:space="preserve">LJR Forest Products </t>
  </si>
  <si>
    <t xml:space="preserve">Telfair Forest Products LLC </t>
  </si>
  <si>
    <t xml:space="preserve">Varn Wood Pellets </t>
  </si>
  <si>
    <t xml:space="preserve">WestWind Logistics LLC </t>
  </si>
  <si>
    <t xml:space="preserve">IA </t>
  </si>
  <si>
    <t xml:space="preserve">Woody Biomass </t>
  </si>
  <si>
    <t xml:space="preserve">Jensen Lumber Co. </t>
  </si>
  <si>
    <t xml:space="preserve">ID </t>
  </si>
  <si>
    <t xml:space="preserve">Lemhi Valley Pellets </t>
  </si>
  <si>
    <t xml:space="preserve">Lignetics of Idaho Inc. </t>
  </si>
  <si>
    <t xml:space="preserve">North Idaho Energy Logs-Hauser </t>
  </si>
  <si>
    <t xml:space="preserve">North Idaho Energy Logs-Moyie Springs </t>
  </si>
  <si>
    <t xml:space="preserve">Rocky Canyon Pellet Co. </t>
  </si>
  <si>
    <t>Timberland Pellets- Fruitland</t>
  </si>
  <si>
    <t xml:space="preserve">Easy Heat Wood Pellets-Indianapolis </t>
  </si>
  <si>
    <t xml:space="preserve">IN </t>
  </si>
  <si>
    <t xml:space="preserve">Smith Creek Inc. </t>
  </si>
  <si>
    <t xml:space="preserve">Southern Indiana Hardwoods </t>
  </si>
  <si>
    <t xml:space="preserve">Somerset Pellet Fuel </t>
  </si>
  <si>
    <t xml:space="preserve">KY </t>
  </si>
  <si>
    <t xml:space="preserve">Southern Kentucky Pellet Mill Inc. </t>
  </si>
  <si>
    <t>Amite BioEnergy</t>
  </si>
  <si>
    <t xml:space="preserve">LA </t>
  </si>
  <si>
    <t xml:space="preserve">LaSalle BioEnergy </t>
  </si>
  <si>
    <t xml:space="preserve">Morehouse BioEnergy </t>
  </si>
  <si>
    <t xml:space="preserve">Lignetics of Maine Inc. </t>
  </si>
  <si>
    <t xml:space="preserve">ME </t>
  </si>
  <si>
    <t xml:space="preserve">Maine Woods Pellet Co. </t>
  </si>
  <si>
    <t xml:space="preserve">Northeast Pellets LLC </t>
  </si>
  <si>
    <t xml:space="preserve">T&amp;D Wood Energy </t>
  </si>
  <si>
    <t xml:space="preserve">Fiber By-Products Corp. </t>
  </si>
  <si>
    <t xml:space="preserve">MI </t>
  </si>
  <si>
    <t xml:space="preserve">Michigan Wood Fuels </t>
  </si>
  <si>
    <t xml:space="preserve">Vulcan Wood Products Inc. </t>
  </si>
  <si>
    <t xml:space="preserve">Northland Pallet Inc. </t>
  </si>
  <si>
    <t xml:space="preserve">MN </t>
  </si>
  <si>
    <t>Staggermeyer Stave Wood Pellets</t>
  </si>
  <si>
    <t xml:space="preserve">Ozark Hardwood Products </t>
  </si>
  <si>
    <t xml:space="preserve">MO </t>
  </si>
  <si>
    <t xml:space="preserve">Pennington Seed Inc. </t>
  </si>
  <si>
    <t>Smith Flooring Wood Pellets</t>
  </si>
  <si>
    <t>Brookhaven Pellets</t>
  </si>
  <si>
    <t xml:space="preserve">MS </t>
  </si>
  <si>
    <t>Enviva Pellets Lucedale LLC</t>
  </si>
  <si>
    <t>AWF- Laurinberg</t>
  </si>
  <si>
    <t xml:space="preserve">NC </t>
  </si>
  <si>
    <t xml:space="preserve">Enviva Pellets Ahoskie </t>
  </si>
  <si>
    <t xml:space="preserve">Enviva Pellets Hamlet </t>
  </si>
  <si>
    <t xml:space="preserve">Enviva Pellets Northampton LLC </t>
  </si>
  <si>
    <t xml:space="preserve">Enviva Pellets Sampson </t>
  </si>
  <si>
    <t xml:space="preserve">Timberland Pellets - Lenoir </t>
  </si>
  <si>
    <t xml:space="preserve">Horizon Biofuels Inc. </t>
  </si>
  <si>
    <t xml:space="preserve">NE </t>
  </si>
  <si>
    <t xml:space="preserve">Lignetics of New England-Jaffrey </t>
  </si>
  <si>
    <t xml:space="preserve">NH </t>
  </si>
  <si>
    <t>Mt. Taylor Manufacturing- Milan</t>
  </si>
  <si>
    <t xml:space="preserve">NM </t>
  </si>
  <si>
    <t>Mt. Taylor Machine Pellet Fuel-Albuquerque</t>
  </si>
  <si>
    <t xml:space="preserve">Western Wood Products Inc. </t>
  </si>
  <si>
    <t>BioMaxx-Dry Creek Wood Pellets</t>
  </si>
  <si>
    <t xml:space="preserve">NY </t>
  </si>
  <si>
    <t xml:space="preserve">Curran Renewable Energy LLC </t>
  </si>
  <si>
    <t xml:space="preserve">Hearthside Wood Pellets </t>
  </si>
  <si>
    <t xml:space="preserve">Lignetics of New England-Deposit </t>
  </si>
  <si>
    <t xml:space="preserve">Lignetics of New England-Schuyler </t>
  </si>
  <si>
    <t xml:space="preserve">American Wood Fibers-Circleville </t>
  </si>
  <si>
    <t xml:space="preserve">OH </t>
  </si>
  <si>
    <t xml:space="preserve">Easy Heat Wood Pellets-S. Charleston </t>
  </si>
  <si>
    <t xml:space="preserve">Sugar Creek Shavings </t>
  </si>
  <si>
    <t xml:space="preserve">Blue Mountain Lumber Products </t>
  </si>
  <si>
    <t xml:space="preserve">OR </t>
  </si>
  <si>
    <t xml:space="preserve">Forest Energy Oregon LLC </t>
  </si>
  <si>
    <t xml:space="preserve">Frank Pellets LLC </t>
  </si>
  <si>
    <t xml:space="preserve">Lignetics of Oregon-Brownsville </t>
  </si>
  <si>
    <t xml:space="preserve">Lignetics of Oregon-Cascade Locks </t>
  </si>
  <si>
    <t>Barefoot Pellet Co</t>
  </si>
  <si>
    <t xml:space="preserve">PA </t>
  </si>
  <si>
    <t>BioMaxx- PA Pellets</t>
  </si>
  <si>
    <t xml:space="preserve">C&amp;C Smith Lumber Pellet Plant </t>
  </si>
  <si>
    <t xml:space="preserve">Energex American Inc. </t>
  </si>
  <si>
    <t xml:space="preserve">Greene Team Pellet Fuel Co. </t>
  </si>
  <si>
    <t xml:space="preserve">Ironstone Mills </t>
  </si>
  <si>
    <t xml:space="preserve">Lignetics of New England-Allegheny </t>
  </si>
  <si>
    <t xml:space="preserve">Pellheat Inc. </t>
  </si>
  <si>
    <t xml:space="preserve">Penn Wood Products Inc. </t>
  </si>
  <si>
    <t xml:space="preserve">Enviva Pellets Greenwood LLC </t>
  </si>
  <si>
    <t xml:space="preserve">SC </t>
  </si>
  <si>
    <t>IP Biomass</t>
  </si>
  <si>
    <t xml:space="preserve">Forest Products Distributors </t>
  </si>
  <si>
    <t xml:space="preserve">SD </t>
  </si>
  <si>
    <t xml:space="preserve">Spearfish Pellet Co. </t>
  </si>
  <si>
    <t xml:space="preserve">Hassell &amp; Hughes Lumber Co. </t>
  </si>
  <si>
    <t xml:space="preserve">TN </t>
  </si>
  <si>
    <t xml:space="preserve">Henry County Hardwoods Inc. </t>
  </si>
  <si>
    <t>MRE-Jasper Pellets</t>
  </si>
  <si>
    <t>Huntsville Pellets</t>
  </si>
  <si>
    <t xml:space="preserve">TX </t>
  </si>
  <si>
    <t xml:space="preserve">Patterson Wood Products Inc. </t>
  </si>
  <si>
    <t>Woodville Pellets LLC</t>
  </si>
  <si>
    <t xml:space="preserve">Woodscape of Utah </t>
  </si>
  <si>
    <t xml:space="preserve">UT </t>
  </si>
  <si>
    <t xml:space="preserve">American Wood Fibers-Marion </t>
  </si>
  <si>
    <t xml:space="preserve">VA </t>
  </si>
  <si>
    <t>Wood Fuel Developers LLC</t>
  </si>
  <si>
    <t>EasyPellets Products</t>
  </si>
  <si>
    <t xml:space="preserve">Enviva Pellets Southampton LLC </t>
  </si>
  <si>
    <t>Lignetics of Lake Anna</t>
  </si>
  <si>
    <t xml:space="preserve">Lignetics of Virginia </t>
  </si>
  <si>
    <t xml:space="preserve">O'Malley Wood Pellets </t>
  </si>
  <si>
    <t xml:space="preserve">Turman Hardwood Pellets </t>
  </si>
  <si>
    <t xml:space="preserve">Vermont Wood Pellet Co. LLC </t>
  </si>
  <si>
    <t xml:space="preserve">VT </t>
  </si>
  <si>
    <t>Manke Lumber Co. (MLC Pellets)</t>
  </si>
  <si>
    <t xml:space="preserve">WA </t>
  </si>
  <si>
    <t xml:space="preserve">Pacific Coast Pellets </t>
  </si>
  <si>
    <t xml:space="preserve">Dejno's Inc. </t>
  </si>
  <si>
    <t xml:space="preserve">WI </t>
  </si>
  <si>
    <t xml:space="preserve">Great Lakes Renewable Energy Inc. </t>
  </si>
  <si>
    <t xml:space="preserve">Indeck Energy Ladysmith LLC </t>
  </si>
  <si>
    <t xml:space="preserve">Lignetics of Wisconsin-Marathon </t>
  </si>
  <si>
    <t xml:space="preserve">Lignetics of Wisconsin-Peshtigo </t>
  </si>
  <si>
    <t xml:space="preserve">Snow Timber Pellets LLC </t>
  </si>
  <si>
    <t xml:space="preserve">Appalachian Wood Pellets </t>
  </si>
  <si>
    <t xml:space="preserve">WV </t>
  </si>
  <si>
    <t xml:space="preserve">Hamer Pellet Fuel </t>
  </si>
  <si>
    <t xml:space="preserve">Lignetics of West Virginia Inc. </t>
  </si>
  <si>
    <t>Area</t>
  </si>
  <si>
    <t>Export value (1,000 US$)</t>
  </si>
  <si>
    <t>Import value (1,000 US$)</t>
  </si>
  <si>
    <t>United States of America</t>
  </si>
  <si>
    <t>Canada</t>
  </si>
  <si>
    <t>Viet Nam</t>
  </si>
  <si>
    <t>Germany</t>
  </si>
  <si>
    <t>Russian Federation</t>
  </si>
  <si>
    <t>Latvia</t>
  </si>
  <si>
    <t>Sweden</t>
  </si>
  <si>
    <t>France</t>
  </si>
  <si>
    <t>Estonia</t>
  </si>
  <si>
    <t>Austria</t>
  </si>
  <si>
    <t>Poland</t>
  </si>
  <si>
    <t>China, mainland</t>
  </si>
  <si>
    <t>Portugal</t>
  </si>
  <si>
    <t>Belgium</t>
  </si>
  <si>
    <t>Malaysia</t>
  </si>
  <si>
    <t>Lithuania</t>
  </si>
  <si>
    <t>Spain</t>
  </si>
  <si>
    <t>Belarus</t>
  </si>
  <si>
    <t>Romania</t>
  </si>
  <si>
    <t>Ukraine</t>
  </si>
  <si>
    <t>Brazil</t>
  </si>
  <si>
    <t>Czechia</t>
  </si>
  <si>
    <t>Serbia</t>
  </si>
  <si>
    <t>Italy</t>
  </si>
  <si>
    <t>Indonesia</t>
  </si>
  <si>
    <t>Finland</t>
  </si>
  <si>
    <t>Croatia</t>
  </si>
  <si>
    <t>United Kingdom of Great Britain and Northern Ireland</t>
  </si>
  <si>
    <t>Switzerland</t>
  </si>
  <si>
    <t>Bulgaria</t>
  </si>
  <si>
    <t>Republic of Korea</t>
  </si>
  <si>
    <t>Slovakia</t>
  </si>
  <si>
    <t>Denmark</t>
  </si>
  <si>
    <t>Bosnia and Herzegovina</t>
  </si>
  <si>
    <t>Slovenia</t>
  </si>
  <si>
    <t>Japan</t>
  </si>
  <si>
    <t>Chile</t>
  </si>
  <si>
    <t>Argentina</t>
  </si>
  <si>
    <t>Montenegro</t>
  </si>
  <si>
    <t>Australia</t>
  </si>
  <si>
    <t>New Zealand</t>
  </si>
  <si>
    <t>Luxembourg</t>
  </si>
  <si>
    <t>Thailand</t>
  </si>
  <si>
    <t>Greece</t>
  </si>
  <si>
    <t>Norway</t>
  </si>
  <si>
    <t>Albania</t>
  </si>
  <si>
    <t>Ireland</t>
  </si>
  <si>
    <t>Zambia</t>
  </si>
  <si>
    <t>Egypt</t>
  </si>
  <si>
    <t>Republic of Moldova</t>
  </si>
  <si>
    <t>Costa Rica</t>
  </si>
  <si>
    <t>Türkiye</t>
  </si>
  <si>
    <t>Hungary</t>
  </si>
  <si>
    <t>Tunisia</t>
  </si>
  <si>
    <t>Bolivia (Plurinational State of)</t>
  </si>
  <si>
    <t>South Africa</t>
  </si>
  <si>
    <t>Honduras</t>
  </si>
  <si>
    <t>Mongolia</t>
  </si>
  <si>
    <t>Mexico</t>
  </si>
  <si>
    <t>Azerbaijan</t>
  </si>
  <si>
    <t>Armenia</t>
  </si>
  <si>
    <t>Brunei Darussalam</t>
  </si>
  <si>
    <t>Cyprus</t>
  </si>
  <si>
    <t>Iceland</t>
  </si>
  <si>
    <t>Kazakhstan</t>
  </si>
  <si>
    <t>Kenya</t>
  </si>
  <si>
    <t>Kyrgyzstan</t>
  </si>
  <si>
    <t>Liechtenstein</t>
  </si>
  <si>
    <t>Malta</t>
  </si>
  <si>
    <t>Mauritius</t>
  </si>
  <si>
    <t>North Macedonia</t>
  </si>
  <si>
    <t>Turkmenistan</t>
  </si>
  <si>
    <t>Uruguay</t>
  </si>
  <si>
    <t>Uzbekistan</t>
  </si>
  <si>
    <t>Andorra</t>
  </si>
  <si>
    <t>Angola</t>
  </si>
  <si>
    <t>Aruba</t>
  </si>
  <si>
    <t>Bahamas</t>
  </si>
  <si>
    <t>Bahrain</t>
  </si>
  <si>
    <t>Bangladesh</t>
  </si>
  <si>
    <t>Barbados</t>
  </si>
  <si>
    <t>Belize</t>
  </si>
  <si>
    <t>Bermuda</t>
  </si>
  <si>
    <t>Botswana</t>
  </si>
  <si>
    <t>Burkina Faso</t>
  </si>
  <si>
    <t>Cabo Verde</t>
  </si>
  <si>
    <t>Cambodia</t>
  </si>
  <si>
    <t>Cayman Islands</t>
  </si>
  <si>
    <t>China, Hong Kong SAR</t>
  </si>
  <si>
    <t>China, Taiwan Province of</t>
  </si>
  <si>
    <t>Colombia</t>
  </si>
  <si>
    <t>Côte d'Ivoire</t>
  </si>
  <si>
    <t>Democratic People's Republic of Korea</t>
  </si>
  <si>
    <t>Dominican Republic</t>
  </si>
  <si>
    <t>Ecuador</t>
  </si>
  <si>
    <t>El Salvador</t>
  </si>
  <si>
    <t>Eswatini</t>
  </si>
  <si>
    <t>Ethiopia</t>
  </si>
  <si>
    <t>Faroe Islands</t>
  </si>
  <si>
    <t>Gabon</t>
  </si>
  <si>
    <t>Georgia</t>
  </si>
  <si>
    <t>Ghana</t>
  </si>
  <si>
    <t>Gibraltar</t>
  </si>
  <si>
    <t>Greenland</t>
  </si>
  <si>
    <t>Guatemala</t>
  </si>
  <si>
    <t>India</t>
  </si>
  <si>
    <t>Iraq</t>
  </si>
  <si>
    <t>Israel</t>
  </si>
  <si>
    <t>Jamaica</t>
  </si>
  <si>
    <t>Jordan</t>
  </si>
  <si>
    <t>Kuwait</t>
  </si>
  <si>
    <t>Lao People's Democratic Republic</t>
  </si>
  <si>
    <t>Lebanon</t>
  </si>
  <si>
    <t>Lesotho</t>
  </si>
  <si>
    <t>Liberia</t>
  </si>
  <si>
    <t>Libya</t>
  </si>
  <si>
    <t>Madagascar</t>
  </si>
  <si>
    <t>Malawi</t>
  </si>
  <si>
    <t>Maldives</t>
  </si>
  <si>
    <t>Mali</t>
  </si>
  <si>
    <t>Morocco</t>
  </si>
  <si>
    <t>Mozambique</t>
  </si>
  <si>
    <t>Myanmar</t>
  </si>
  <si>
    <t>Namibia</t>
  </si>
  <si>
    <t>Nepal</t>
  </si>
  <si>
    <t>New Caledonia</t>
  </si>
  <si>
    <t>Nicaragua</t>
  </si>
  <si>
    <t>Nigeria</t>
  </si>
  <si>
    <t>Norfolk Island</t>
  </si>
  <si>
    <t>Oman</t>
  </si>
  <si>
    <t>Pakistan</t>
  </si>
  <si>
    <t>Panama</t>
  </si>
  <si>
    <t>Papua New Guinea</t>
  </si>
  <si>
    <t>Paraguay</t>
  </si>
  <si>
    <t>Peru</t>
  </si>
  <si>
    <t>Philippines</t>
  </si>
  <si>
    <t>Qatar</t>
  </si>
  <si>
    <t>Rwanda</t>
  </si>
  <si>
    <t>Saint Kitts and Nevis</t>
  </si>
  <si>
    <t>Saint Pierre and Miquelon</t>
  </si>
  <si>
    <t>San Marino</t>
  </si>
  <si>
    <t>Saudi Arabia</t>
  </si>
  <si>
    <t>Senegal</t>
  </si>
  <si>
    <t>Seychelles</t>
  </si>
  <si>
    <t>Singapore</t>
  </si>
  <si>
    <t>Sri Lanka</t>
  </si>
  <si>
    <t>Sudan</t>
  </si>
  <si>
    <t>Syrian Arab Republic</t>
  </si>
  <si>
    <t>Tajikistan</t>
  </si>
  <si>
    <t>Timor-Leste</t>
  </si>
  <si>
    <t>United Arab Emirates</t>
  </si>
  <si>
    <t>United Republic of Tanzania</t>
  </si>
  <si>
    <t>Algeria</t>
  </si>
  <si>
    <t>Zimbabwe</t>
  </si>
  <si>
    <t>Plant Name</t>
  </si>
  <si>
    <t>County</t>
  </si>
  <si>
    <t>Nameplate Capacity (MW)</t>
  </si>
  <si>
    <t>Net Summer Capacity (MW)</t>
  </si>
  <si>
    <t>Net Winter Capacity (MW)</t>
  </si>
  <si>
    <t>Minimum load (MW)</t>
  </si>
  <si>
    <t>Net Generation (MWh)</t>
  </si>
  <si>
    <t>Covanta Stanislaus Energy</t>
  </si>
  <si>
    <t>Stanislaus</t>
  </si>
  <si>
    <t>Southeast Resource Recovery</t>
  </si>
  <si>
    <t>Los Angeles</t>
  </si>
  <si>
    <t>Covanta Southeastern Connecticut Company</t>
  </si>
  <si>
    <t>CT</t>
  </si>
  <si>
    <t>New London</t>
  </si>
  <si>
    <t>Covanta Bristol Energy</t>
  </si>
  <si>
    <t>Hartford</t>
  </si>
  <si>
    <t>Wheelabrator Bridgeport</t>
  </si>
  <si>
    <t>Fairfield</t>
  </si>
  <si>
    <t>Wheelabrator Lisbon</t>
  </si>
  <si>
    <t>Miami Dade County Resource Recovery Fac</t>
  </si>
  <si>
    <t>FL</t>
  </si>
  <si>
    <t>Miami Dade</t>
  </si>
  <si>
    <t>Palm Beach Renewable Energy Facility 1</t>
  </si>
  <si>
    <t>Palm Beach</t>
  </si>
  <si>
    <t>Covanta Lake County Energy</t>
  </si>
  <si>
    <t>Lake</t>
  </si>
  <si>
    <t>Pasco Cnty Solid Waste Resource Recovery</t>
  </si>
  <si>
    <t>Pasco</t>
  </si>
  <si>
    <t>Hillsborough County Resource Recovery</t>
  </si>
  <si>
    <t>Hillsborough</t>
  </si>
  <si>
    <t>McKay Bay Facility</t>
  </si>
  <si>
    <t>Pinellas County Resource Recovery</t>
  </si>
  <si>
    <t>Pinellas</t>
  </si>
  <si>
    <t>Wheelabrator South Broward</t>
  </si>
  <si>
    <t>Broward</t>
  </si>
  <si>
    <t>Lee County Solid Waste Energy</t>
  </si>
  <si>
    <t>Lee</t>
  </si>
  <si>
    <t>Palm Beach Renewable Energy Facility 2</t>
  </si>
  <si>
    <t>H Power</t>
  </si>
  <si>
    <t>HI</t>
  </si>
  <si>
    <t>Honolulu</t>
  </si>
  <si>
    <t>Covanta Indianapolis Energy</t>
  </si>
  <si>
    <t>SEMASS Resource Recovery</t>
  </si>
  <si>
    <t>Plymouth</t>
  </si>
  <si>
    <t>Covanta Haverhill</t>
  </si>
  <si>
    <t>Essex</t>
  </si>
  <si>
    <t>Wheelabrator North Andover</t>
  </si>
  <si>
    <t>Wheelabrator Millbury Facility</t>
  </si>
  <si>
    <t>Worcester</t>
  </si>
  <si>
    <t>Wheelabrator Saugus</t>
  </si>
  <si>
    <t>Wheelabrator Baltimore Refuse</t>
  </si>
  <si>
    <t>MD</t>
  </si>
  <si>
    <t>Baltimore City</t>
  </si>
  <si>
    <t>Montgomery County Resource Recovery</t>
  </si>
  <si>
    <t>Montgomery</t>
  </si>
  <si>
    <t>MMWAC Resource Recovery Facility</t>
  </si>
  <si>
    <t>Androscoggin</t>
  </si>
  <si>
    <t>Penobscot Energy Recovery</t>
  </si>
  <si>
    <t>Penobscot</t>
  </si>
  <si>
    <t>Regional Waste Systems</t>
  </si>
  <si>
    <t>Cumberland</t>
  </si>
  <si>
    <t>Kent County Waste to Energy Facility</t>
  </si>
  <si>
    <t>Kent</t>
  </si>
  <si>
    <t>Red Wing</t>
  </si>
  <si>
    <t>Goodhue</t>
  </si>
  <si>
    <t>Wilmarth</t>
  </si>
  <si>
    <t>Blue Earth</t>
  </si>
  <si>
    <t>Covanta Hennepin Energy</t>
  </si>
  <si>
    <t>Olmsted Waste Energy</t>
  </si>
  <si>
    <t>Olmsted</t>
  </si>
  <si>
    <t>Wheelabrator Concord Facility</t>
  </si>
  <si>
    <t>NH</t>
  </si>
  <si>
    <t>Merrimack</t>
  </si>
  <si>
    <t>Camden Resource Recovery Facility</t>
  </si>
  <si>
    <t>Camden</t>
  </si>
  <si>
    <t>Covanta Essex Company</t>
  </si>
  <si>
    <t>Wheelabrator Gloucester LP</t>
  </si>
  <si>
    <t>Gloucester</t>
  </si>
  <si>
    <t>Union County Resource Recovery</t>
  </si>
  <si>
    <t>Union</t>
  </si>
  <si>
    <t>Dutchess Cnty Resource Recovery Facility</t>
  </si>
  <si>
    <t>Dutchess</t>
  </si>
  <si>
    <t>Wheelabrator Hudson Falls</t>
  </si>
  <si>
    <t>Washington</t>
  </si>
  <si>
    <t>Covanta Hempstead</t>
  </si>
  <si>
    <t>Nassau</t>
  </si>
  <si>
    <t>Covanta Niagara I, LLC</t>
  </si>
  <si>
    <t>Niagara</t>
  </si>
  <si>
    <t>Covanta Babylon Inc</t>
  </si>
  <si>
    <t>Suffolk</t>
  </si>
  <si>
    <t>Huntington Resource Recovery Facility</t>
  </si>
  <si>
    <t>Onondaga County Resource Recovery</t>
  </si>
  <si>
    <t>Onondaga</t>
  </si>
  <si>
    <t>Wheelabrator Westchester</t>
  </si>
  <si>
    <t>Westchester</t>
  </si>
  <si>
    <t>Oswego County Energy Recovery</t>
  </si>
  <si>
    <t>Oswego</t>
  </si>
  <si>
    <t>MacArthur Waste to Energy Facility</t>
  </si>
  <si>
    <t>Covanta Tulsa Renewable Energy LLC</t>
  </si>
  <si>
    <t>OK</t>
  </si>
  <si>
    <t>Tulsa</t>
  </si>
  <si>
    <t>Covanta Marion Inc</t>
  </si>
  <si>
    <t>MARION</t>
  </si>
  <si>
    <t>Harrisburg Facility</t>
  </si>
  <si>
    <t>Dauphin</t>
  </si>
  <si>
    <t>Covanta Delaware Valley</t>
  </si>
  <si>
    <t>Delaware</t>
  </si>
  <si>
    <t>York County Resource Recovery</t>
  </si>
  <si>
    <t>Lancaster County Resource Recovery</t>
  </si>
  <si>
    <t>Lancaster</t>
  </si>
  <si>
    <t>Covanta Plymouth Renewable Energy</t>
  </si>
  <si>
    <t>Wheelabrator Falls</t>
  </si>
  <si>
    <t>Bucks</t>
  </si>
  <si>
    <t>Covanta Fairfax Energy</t>
  </si>
  <si>
    <t>VA</t>
  </si>
  <si>
    <t>Fairfax</t>
  </si>
  <si>
    <t>Covanta Alexandria/Arlington Energy</t>
  </si>
  <si>
    <t>Alexandria City</t>
  </si>
  <si>
    <t>Wheelabrator Portsmouth</t>
  </si>
  <si>
    <t>Portsmouth City</t>
  </si>
  <si>
    <t>Spokane Waste to Energy</t>
  </si>
  <si>
    <t>WA</t>
  </si>
  <si>
    <t>Spokane</t>
  </si>
  <si>
    <t>Project Name</t>
  </si>
  <si>
    <t>Project Type</t>
  </si>
  <si>
    <t>City</t>
  </si>
  <si>
    <t>Cargill - Sandy River Farm Digester</t>
  </si>
  <si>
    <t>Farm Scale</t>
  </si>
  <si>
    <t>Morrilton</t>
  </si>
  <si>
    <t>Conway</t>
  </si>
  <si>
    <t>AR</t>
  </si>
  <si>
    <t>Stotz Southern Dairy Digester</t>
  </si>
  <si>
    <t>Buckeye</t>
  </si>
  <si>
    <t>Butterfield RNG Digester</t>
  </si>
  <si>
    <t>Green Gas Partners Stanfield Digester</t>
  </si>
  <si>
    <t>Centralized/Regional</t>
  </si>
  <si>
    <t>Pinal</t>
  </si>
  <si>
    <t>Paloma Dairy Digester</t>
  </si>
  <si>
    <t>Gila Bend</t>
  </si>
  <si>
    <t>Triple G Dairy Digester</t>
  </si>
  <si>
    <t>ABEC Bidart-Old River LLC Digester</t>
  </si>
  <si>
    <t>Bakersfield</t>
  </si>
  <si>
    <t>Kern</t>
  </si>
  <si>
    <t>ABEC Bidart-Stockdale LLC Digester</t>
  </si>
  <si>
    <t>ABEC Carlos Echeverria &amp; Sons Digester</t>
  </si>
  <si>
    <t>ABEC Lakeview Farms Dairy Digester</t>
  </si>
  <si>
    <t>Multiple Farm/Facility</t>
  </si>
  <si>
    <t>ABEC West Star North Dairies Digester</t>
  </si>
  <si>
    <t>Buttonwillow</t>
  </si>
  <si>
    <t>Bar 20 Dairy Digester</t>
  </si>
  <si>
    <t>Kerman</t>
  </si>
  <si>
    <t>Fresno</t>
  </si>
  <si>
    <t>Belonave Dairy Digester</t>
  </si>
  <si>
    <t>Bob Giacomini Dairy Digester</t>
  </si>
  <si>
    <t>Point Reyes Station</t>
  </si>
  <si>
    <t>Marin</t>
  </si>
  <si>
    <t>Bos Farms Dairy Digester</t>
  </si>
  <si>
    <t>Tulare</t>
  </si>
  <si>
    <t>BV Dairy Disgester</t>
  </si>
  <si>
    <t>Bakerfield</t>
  </si>
  <si>
    <t>Castelanelli Bros. Dairy Digester</t>
  </si>
  <si>
    <t>Lodi</t>
  </si>
  <si>
    <t>San Joaquin</t>
  </si>
  <si>
    <t>4K Dairy Digester</t>
  </si>
  <si>
    <t>Pixley</t>
  </si>
  <si>
    <t>Circle A Dairy Digester</t>
  </si>
  <si>
    <t>Cloverdale Dairy Digester</t>
  </si>
  <si>
    <t>Hanford</t>
  </si>
  <si>
    <t>Kings</t>
  </si>
  <si>
    <t>Cornerstone Dairy Digster</t>
  </si>
  <si>
    <t>Tipton</t>
  </si>
  <si>
    <t>Coronado Dairy Farm Digester</t>
  </si>
  <si>
    <t>Costa View Dairy Digester</t>
  </si>
  <si>
    <t>Madera</t>
  </si>
  <si>
    <t>CottonWood Dairy Digester</t>
  </si>
  <si>
    <t>Merced</t>
  </si>
  <si>
    <t>Decade Dairy Digester</t>
  </si>
  <si>
    <t>Dixie Creek Dairy Digester</t>
  </si>
  <si>
    <t>DJ South Dairy Digester</t>
  </si>
  <si>
    <t>Chowchilla</t>
  </si>
  <si>
    <t>Double D Dairy Disgester</t>
  </si>
  <si>
    <t>Ceres</t>
  </si>
  <si>
    <t>Double J Dairy Digester</t>
  </si>
  <si>
    <t>Visalia</t>
  </si>
  <si>
    <t>Double L Dairy Digester</t>
  </si>
  <si>
    <t>Dykstra Dairy Digester</t>
  </si>
  <si>
    <t>El Monte Dairy Digester</t>
  </si>
  <si>
    <t>Elk Creek Dairy Digester</t>
  </si>
  <si>
    <t>Fiscalini Farms Digester</t>
  </si>
  <si>
    <t>Modesto</t>
  </si>
  <si>
    <t>Five H Dairy Digester</t>
  </si>
  <si>
    <t>FM Jerseys Dairy Digester</t>
  </si>
  <si>
    <t>Gerben Leyendekker Dairy Digster</t>
  </si>
  <si>
    <t>Grimmius Cattle Company Digester</t>
  </si>
  <si>
    <t>Hamstra Dairy Digester</t>
  </si>
  <si>
    <t>Hettinga Dairy Digster</t>
  </si>
  <si>
    <t>Hilarides Dairy Digester</t>
  </si>
  <si>
    <t>Lindsay</t>
  </si>
  <si>
    <t>Hollandia Farms Digester</t>
  </si>
  <si>
    <t>Hoogandam Dairy Digester</t>
  </si>
  <si>
    <t>Jacobus De Grooot #2 Dairy Digester</t>
  </si>
  <si>
    <t>Jose Soares Dairy Digester</t>
  </si>
  <si>
    <t>Dos Palos</t>
  </si>
  <si>
    <t>JR Dairy Digester</t>
  </si>
  <si>
    <t>K &amp; M Visser Dairy Digester</t>
  </si>
  <si>
    <t xml:space="preserve">Pixley </t>
  </si>
  <si>
    <t>K&amp;R Blout Dairy Digester</t>
  </si>
  <si>
    <t>Crow Landing</t>
  </si>
  <si>
    <t>Lakeside Dairy Digester</t>
  </si>
  <si>
    <t>Legacy Dairy Digester</t>
  </si>
  <si>
    <t>Little Rock Dairy Digester</t>
  </si>
  <si>
    <t>Lone Oak #1 Dairy Digester</t>
  </si>
  <si>
    <t>Maple Diary Digester</t>
  </si>
  <si>
    <t>McMoo Farms Dairy Digester</t>
  </si>
  <si>
    <t>Meirinho Dairy Digester</t>
  </si>
  <si>
    <t>Mellema Dairy Digester</t>
  </si>
  <si>
    <t>Mineral King Dairy Digester</t>
  </si>
  <si>
    <t>Visilia</t>
  </si>
  <si>
    <t>Moonlight Dairy Digester</t>
  </si>
  <si>
    <t>New Hope Dairy Digester</t>
  </si>
  <si>
    <t>Galt</t>
  </si>
  <si>
    <t>Sacramento</t>
  </si>
  <si>
    <t>Newhouse Dairy Digester</t>
  </si>
  <si>
    <t>Northstar Dairy Digster</t>
  </si>
  <si>
    <t>Open Sky Ranch Dairy Digester</t>
  </si>
  <si>
    <t>Riverdale</t>
  </si>
  <si>
    <t>Pacific Rim Dairy Digester</t>
  </si>
  <si>
    <t>Corcoran</t>
  </si>
  <si>
    <t>Pixley Biogas LLC Digester</t>
  </si>
  <si>
    <t>Rancho Sierra Vista Dairy Digester</t>
  </si>
  <si>
    <t>Rancho Teresita Dairy Digester</t>
  </si>
  <si>
    <t>Red Rock Dairy Digester</t>
  </si>
  <si>
    <t xml:space="preserve">Farm Scale </t>
  </si>
  <si>
    <t>Rib-Arrow Dairy Digester</t>
  </si>
  <si>
    <t>Ribeiro Dairy Digester</t>
  </si>
  <si>
    <t>River Ranch Dairy Digster</t>
  </si>
  <si>
    <t>Riverbend Dairy Digester</t>
  </si>
  <si>
    <t>Riverview Dairy Digester</t>
  </si>
  <si>
    <t>Rob Van Grouw Dairy Digester</t>
  </si>
  <si>
    <t>Robert Vander Eyk Dairy Digester</t>
  </si>
  <si>
    <t>Rockshar Dairy Digester</t>
  </si>
  <si>
    <t xml:space="preserve">S &amp; S (CA) Dairy Digester </t>
  </si>
  <si>
    <t>Scheenstra Dairy Digester</t>
  </si>
  <si>
    <t xml:space="preserve">Schott Dairy Digester </t>
  </si>
  <si>
    <t>Skyview Dairy Digester</t>
  </si>
  <si>
    <t>Shafter</t>
  </si>
  <si>
    <t>Sousa &amp; Sousa Dairy Digester</t>
  </si>
  <si>
    <t>Southern Cross Dairy Digester</t>
  </si>
  <si>
    <t>Still Water Ranch Dairy Digester</t>
  </si>
  <si>
    <t>Straus Family Dairy Digester</t>
  </si>
  <si>
    <t>T &amp; W Dairy Digester</t>
  </si>
  <si>
    <t>Trilogy Dairy Digester</t>
  </si>
  <si>
    <t>Udder Dairy Digester</t>
  </si>
  <si>
    <t>Valadao Dairy Digester</t>
  </si>
  <si>
    <t>Van Beek Brothers Dairy Digester</t>
  </si>
  <si>
    <t>Van der Kooi Dairy Digester</t>
  </si>
  <si>
    <t>Van Steyn Dairy Digester</t>
  </si>
  <si>
    <t>Elk Grove</t>
  </si>
  <si>
    <t>Sacremento</t>
  </si>
  <si>
    <t>Van Warmerdam Dairy Digester</t>
  </si>
  <si>
    <t>Vander Poel Dairy Digester</t>
  </si>
  <si>
    <t xml:space="preserve">Tulare </t>
  </si>
  <si>
    <t>Vander Woude Dairy Digester</t>
  </si>
  <si>
    <t>Verway- Hanford Dairy Digester</t>
  </si>
  <si>
    <t>Verway- Madera Dairy Digester</t>
  </si>
  <si>
    <t>Western Sky Dairy Digester</t>
  </si>
  <si>
    <t>Whiteside Dairy Digester</t>
  </si>
  <si>
    <t>Wasco</t>
  </si>
  <si>
    <t xml:space="preserve">Wreden Ranch Dairy Digester </t>
  </si>
  <si>
    <t xml:space="preserve">Hanford </t>
  </si>
  <si>
    <t>Christensen Farms Digester</t>
  </si>
  <si>
    <t>Lamar</t>
  </si>
  <si>
    <t>Prowers</t>
  </si>
  <si>
    <t>Fort Hill Farms Digester</t>
  </si>
  <si>
    <t>Thompson</t>
  </si>
  <si>
    <t>Freund Farm Digester</t>
  </si>
  <si>
    <t>East Cannan</t>
  </si>
  <si>
    <t>Litchfield</t>
  </si>
  <si>
    <t>Alliance Dairy Digester</t>
  </si>
  <si>
    <t>Gilchrist</t>
  </si>
  <si>
    <t>Southern Cross Dairy (FL) Digester</t>
  </si>
  <si>
    <t>O'Brien</t>
  </si>
  <si>
    <t>Suwannee</t>
  </si>
  <si>
    <t>University of Florida Dairy Research Unit Digester</t>
  </si>
  <si>
    <t>Research</t>
  </si>
  <si>
    <t>Hague</t>
  </si>
  <si>
    <t>Alachua</t>
  </si>
  <si>
    <t>UGA Double Bridge Farm Digester</t>
  </si>
  <si>
    <t>Athens</t>
  </si>
  <si>
    <t>Oglethorpe</t>
  </si>
  <si>
    <t>AgriReNew, Sievers Family Farms Digester</t>
  </si>
  <si>
    <t>New Liberty</t>
  </si>
  <si>
    <t>Scott</t>
  </si>
  <si>
    <t>Amana Farms, Inc. Digester</t>
  </si>
  <si>
    <t>Amana</t>
  </si>
  <si>
    <t>Iowa</t>
  </si>
  <si>
    <t>Boland Farm Digester</t>
  </si>
  <si>
    <t>Williamsburg</t>
  </si>
  <si>
    <t>Meadowvale Dairy Digester</t>
  </si>
  <si>
    <t>Rock Valley</t>
  </si>
  <si>
    <t>Sioux</t>
  </si>
  <si>
    <t>Rock River Jerseys Digester</t>
  </si>
  <si>
    <t>Doon</t>
  </si>
  <si>
    <t>Lyon</t>
  </si>
  <si>
    <t>Top Deck Holsteins Digester</t>
  </si>
  <si>
    <t>Westgate</t>
  </si>
  <si>
    <t>Fayette</t>
  </si>
  <si>
    <t>Winding Meadows Dairy Digester</t>
  </si>
  <si>
    <t>AgPower Jerome LLC- Double A Dairy Digester</t>
  </si>
  <si>
    <t>Jerome</t>
  </si>
  <si>
    <t>ID</t>
  </si>
  <si>
    <t>Bettencourt - Rock Creek Dairy Complex Digester</t>
  </si>
  <si>
    <t>Filer</t>
  </si>
  <si>
    <t>Twin Falls</t>
  </si>
  <si>
    <t>Bettencourt Dairy B6 Farm Digester</t>
  </si>
  <si>
    <t>Big Sky West Dairy Digester</t>
  </si>
  <si>
    <t>Gooding</t>
  </si>
  <si>
    <t>Dry Creek Dairy Digester</t>
  </si>
  <si>
    <t>Hansen</t>
  </si>
  <si>
    <t>Kettle Butte Dairy Digester</t>
  </si>
  <si>
    <t>Roberts</t>
  </si>
  <si>
    <t>Jefferson</t>
  </si>
  <si>
    <t>Oak Valley Dairy 1 &amp; 4</t>
  </si>
  <si>
    <t>Cassia</t>
  </si>
  <si>
    <t>Oak Valley Dairy 5</t>
  </si>
  <si>
    <t>Apex Pork Digester</t>
  </si>
  <si>
    <t>Rio</t>
  </si>
  <si>
    <t>Knox</t>
  </si>
  <si>
    <t>Hunter Haven Farms, Inc. Digester</t>
  </si>
  <si>
    <t>Pearl City</t>
  </si>
  <si>
    <t>Caroll</t>
  </si>
  <si>
    <t>Bio Town Ag, Inc. Digester</t>
  </si>
  <si>
    <t>Reynolds</t>
  </si>
  <si>
    <t>White</t>
  </si>
  <si>
    <t>Bos Dairy Digester</t>
  </si>
  <si>
    <t>Fair Oaks</t>
  </si>
  <si>
    <t>Jasper</t>
  </si>
  <si>
    <t>Curtiss Creek Diary DIgester 1</t>
  </si>
  <si>
    <t>Curtiss Creek Diary DIgester 2</t>
  </si>
  <si>
    <t>Green Cow Power LLC Digester</t>
  </si>
  <si>
    <t>Goshen</t>
  </si>
  <si>
    <t>Elkhart</t>
  </si>
  <si>
    <t>Herrema Dairy Digester</t>
  </si>
  <si>
    <t>Hidden View Digester</t>
  </si>
  <si>
    <t>Homestead Dairy Digester</t>
  </si>
  <si>
    <t>Reynolds RNG</t>
  </si>
  <si>
    <t>Windy Ridge Dairy Digester</t>
  </si>
  <si>
    <t>Waste No Energy Digester</t>
  </si>
  <si>
    <t>Monticello</t>
  </si>
  <si>
    <t>MAC Farm Digester</t>
  </si>
  <si>
    <t>Campbellsville</t>
  </si>
  <si>
    <t>Taylor</t>
  </si>
  <si>
    <t>Barstow's Longview Farm Digester</t>
  </si>
  <si>
    <t>Hadley</t>
  </si>
  <si>
    <t>Hampshire</t>
  </si>
  <si>
    <t>Barway Farm Digester</t>
  </si>
  <si>
    <t>Deerfield</t>
  </si>
  <si>
    <t>Franklin</t>
  </si>
  <si>
    <t>Crescent Farm Digester</t>
  </si>
  <si>
    <t>Haverhill</t>
  </si>
  <si>
    <t>Jordan Farms / AGreen Energy, LLC Digester</t>
  </si>
  <si>
    <t>Rutland</t>
  </si>
  <si>
    <t>Jordan Farms Heifer Facility Digester</t>
  </si>
  <si>
    <t>Spencer</t>
  </si>
  <si>
    <t>Pine Island Farm Digester</t>
  </si>
  <si>
    <t>Sheffield</t>
  </si>
  <si>
    <t>Berkshire</t>
  </si>
  <si>
    <t>Luther Belden Farms Digester</t>
  </si>
  <si>
    <t>Hatfield</t>
  </si>
  <si>
    <t>Rockwood Farm Digester</t>
  </si>
  <si>
    <t>Granville</t>
  </si>
  <si>
    <t>Hampden</t>
  </si>
  <si>
    <t>Millennium Farms Digester</t>
  </si>
  <si>
    <t>Pocomoke City</t>
  </si>
  <si>
    <t>USDA/ARS Research Facility Digester</t>
  </si>
  <si>
    <t>Beltsville</t>
  </si>
  <si>
    <t>Prince Georges</t>
  </si>
  <si>
    <t>Stonyvale Farm / Exeter Agri-Energy, LLC Digester</t>
  </si>
  <si>
    <t>Exeter</t>
  </si>
  <si>
    <t>Brook View Dairy Digester</t>
  </si>
  <si>
    <t>Freeport</t>
  </si>
  <si>
    <t>Barry</t>
  </si>
  <si>
    <t>den Dulk Dairy Digester</t>
  </si>
  <si>
    <t>Muskegon</t>
  </si>
  <si>
    <t>Geerlings Hillside Farms Digester</t>
  </si>
  <si>
    <t>Hamilton</t>
  </si>
  <si>
    <t>Allegan</t>
  </si>
  <si>
    <t>Green Meadow Dairy Digester</t>
  </si>
  <si>
    <t>Elsie</t>
  </si>
  <si>
    <t>Shiawassee</t>
  </si>
  <si>
    <t>MSU ADREC Digester</t>
  </si>
  <si>
    <t>Lansing</t>
  </si>
  <si>
    <t>Ingham</t>
  </si>
  <si>
    <t>Ravenna Dairy Digester</t>
  </si>
  <si>
    <t>Coopersville</t>
  </si>
  <si>
    <t>Ottawa</t>
  </si>
  <si>
    <t>Scenic View Dairy - Fennville Digester</t>
  </si>
  <si>
    <t>Fennville</t>
  </si>
  <si>
    <t>Willow Point Dairy Digester</t>
  </si>
  <si>
    <t>Orleans</t>
  </si>
  <si>
    <t>Ionia</t>
  </si>
  <si>
    <t>District 45 Dairy Digester - CNG</t>
  </si>
  <si>
    <t>Hancock</t>
  </si>
  <si>
    <t>Stevens</t>
  </si>
  <si>
    <t>Haubenschild Farms Digester</t>
  </si>
  <si>
    <t>Princeton</t>
  </si>
  <si>
    <t>Mille Lacs</t>
  </si>
  <si>
    <t>High Island Dairy Digester</t>
  </si>
  <si>
    <t>Le Sueur</t>
  </si>
  <si>
    <t>Northern Plains Dairy Digester</t>
  </si>
  <si>
    <t>St. Peter</t>
  </si>
  <si>
    <t>Nicollet</t>
  </si>
  <si>
    <t>Riverview Dairy Digester - CNG</t>
  </si>
  <si>
    <t>West River Dairy Digester - CNG</t>
  </si>
  <si>
    <t>Hampton Feed Lot Digester</t>
  </si>
  <si>
    <t>Triplet</t>
  </si>
  <si>
    <t>Chariton</t>
  </si>
  <si>
    <t>Missouri University Campus Digester</t>
  </si>
  <si>
    <t>Columbia</t>
  </si>
  <si>
    <t>Roeslein Alternative Energy - Green Hills Farm Digester</t>
  </si>
  <si>
    <t>Unionville</t>
  </si>
  <si>
    <t>Putnam</t>
  </si>
  <si>
    <t>Roeslein Alternative Energy - Homan Farm Digester</t>
  </si>
  <si>
    <t>King City</t>
  </si>
  <si>
    <t>Gentry</t>
  </si>
  <si>
    <t>Roeslein Alternative Energy - Locust Ridge Farm Digester</t>
  </si>
  <si>
    <t>Harris</t>
  </si>
  <si>
    <t>Sullivan</t>
  </si>
  <si>
    <t>Roeslein Alternative Energy - Ruckman Farm Digester</t>
  </si>
  <si>
    <t>Albany</t>
  </si>
  <si>
    <t>Roeslein Alternative Energy - Somerset Farm Digester</t>
  </si>
  <si>
    <t>Mercer</t>
  </si>
  <si>
    <t>Roeslein Alternative Energy - South Meadows Farm Digester: RNG</t>
  </si>
  <si>
    <t>Browning</t>
  </si>
  <si>
    <t>Roeslein Alternative Energy - Valley View Farm Digester</t>
  </si>
  <si>
    <t>Green City</t>
  </si>
  <si>
    <t>Roeslein Alternative Energy - Whitetail Farm Digester</t>
  </si>
  <si>
    <t>Brinson Farms Digester</t>
  </si>
  <si>
    <t>Prentiss</t>
  </si>
  <si>
    <t>Jefferson Davis</t>
  </si>
  <si>
    <t>MS</t>
  </si>
  <si>
    <t>Jones County Poultry Digester</t>
  </si>
  <si>
    <t>Laurel</t>
  </si>
  <si>
    <t>Jones</t>
  </si>
  <si>
    <t>M&amp;N Nursery Digester</t>
  </si>
  <si>
    <t>Montpelier</t>
  </si>
  <si>
    <t>Clay</t>
  </si>
  <si>
    <t>Mills Dairy Digester</t>
  </si>
  <si>
    <t>Forest</t>
  </si>
  <si>
    <t>Huls Dairy Digester</t>
  </si>
  <si>
    <t>Corvallis</t>
  </si>
  <si>
    <t>Ravalli</t>
  </si>
  <si>
    <t>MT</t>
  </si>
  <si>
    <t>Barham Farms Lagoon Digester</t>
  </si>
  <si>
    <t>Zebulon</t>
  </si>
  <si>
    <t>Johnston</t>
  </si>
  <si>
    <t>Black Farms Digester</t>
  </si>
  <si>
    <t>Lillington</t>
  </si>
  <si>
    <t>Harnett</t>
  </si>
  <si>
    <t>Butler Farms Digester</t>
  </si>
  <si>
    <t>Loyd Ray Farms Digester</t>
  </si>
  <si>
    <t>Boonville</t>
  </si>
  <si>
    <t>Yadkin</t>
  </si>
  <si>
    <t>Murphy Brown LLC - Kenansville Farm #2539 Digester</t>
  </si>
  <si>
    <t>Faison</t>
  </si>
  <si>
    <t>Duplin</t>
  </si>
  <si>
    <t>Optima KV RNG Plant</t>
  </si>
  <si>
    <t>Kenansville</t>
  </si>
  <si>
    <t>RES Ag DM 2 - 1 LLC Digester</t>
  </si>
  <si>
    <t>Magnolia</t>
  </si>
  <si>
    <t>RES Ag DM 4 - 3 LLC Digester</t>
  </si>
  <si>
    <t>Storms Farm Digester</t>
  </si>
  <si>
    <t>Bladenboro</t>
  </si>
  <si>
    <t>Bladen</t>
  </si>
  <si>
    <t>AA Dairy Digester</t>
  </si>
  <si>
    <t>Candor</t>
  </si>
  <si>
    <t>Tioga</t>
  </si>
  <si>
    <t>Adirondack Farms Digester</t>
  </si>
  <si>
    <t>Aurora Ridge Dairy Digester</t>
  </si>
  <si>
    <t>Cayuga</t>
  </si>
  <si>
    <t>Boxler Dairy Digester</t>
  </si>
  <si>
    <t>Varysburg</t>
  </si>
  <si>
    <t>Wyoming</t>
  </si>
  <si>
    <t>Cayuga Regional Digester</t>
  </si>
  <si>
    <t>Auburn</t>
  </si>
  <si>
    <t>Coyne Farm Digester</t>
  </si>
  <si>
    <t>Avon</t>
  </si>
  <si>
    <t>Livingston</t>
  </si>
  <si>
    <t>Creek Acres Farm Digester</t>
  </si>
  <si>
    <t>Amsterdam</t>
  </si>
  <si>
    <t xml:space="preserve">Montgomery </t>
  </si>
  <si>
    <t>Fessenden Family Dairy Digester</t>
  </si>
  <si>
    <t>King Ferry</t>
  </si>
  <si>
    <t>Gardeau Crest Farms Digester</t>
  </si>
  <si>
    <t>Perry</t>
  </si>
  <si>
    <t>Greenwood Dairy Farm Digester</t>
  </si>
  <si>
    <t>Canton</t>
  </si>
  <si>
    <t>St. Lawrence</t>
  </si>
  <si>
    <t>Half Dutch Farm Digester</t>
  </si>
  <si>
    <t>Clifton Springs</t>
  </si>
  <si>
    <t>Ontario</t>
  </si>
  <si>
    <t>Lakeshore Dairy Digester</t>
  </si>
  <si>
    <t>Wilson</t>
  </si>
  <si>
    <t>Niagra</t>
  </si>
  <si>
    <t>Lamb Farms Digester</t>
  </si>
  <si>
    <t>Oakfield</t>
  </si>
  <si>
    <t>Genesee</t>
  </si>
  <si>
    <t>Lawnhurst Farms Digester</t>
  </si>
  <si>
    <t>Noblehurst Farms Digester</t>
  </si>
  <si>
    <t>LINWOOD</t>
  </si>
  <si>
    <t>Ridgecrest Dairy Digester</t>
  </si>
  <si>
    <t>Genoa</t>
  </si>
  <si>
    <t>Ridgeline Farm Digester</t>
  </si>
  <si>
    <t>Clymer</t>
  </si>
  <si>
    <t>Chautauqua</t>
  </si>
  <si>
    <t>Roach Dairy Farm Digester</t>
  </si>
  <si>
    <t>Scipio Center</t>
  </si>
  <si>
    <t>Sheland Farms Digester</t>
  </si>
  <si>
    <t>Spruce Haven Farm Digester</t>
  </si>
  <si>
    <t>Union Springs</t>
  </si>
  <si>
    <t>Sunny Knoll Farm Digester</t>
  </si>
  <si>
    <t>Sunnyside Farms Digester</t>
  </si>
  <si>
    <t>Swiss Valley Farms Digester</t>
  </si>
  <si>
    <t>Warsaw</t>
  </si>
  <si>
    <t>Swiss Valley Farms Digester: Brightmark RNG</t>
  </si>
  <si>
    <t>Synergy Dairy - Covington Digester</t>
  </si>
  <si>
    <t>Covington</t>
  </si>
  <si>
    <t>Twin Birch Dairy Digester</t>
  </si>
  <si>
    <t>Skaneateles</t>
  </si>
  <si>
    <t>Wagner Farms Digester</t>
  </si>
  <si>
    <t>Poestenkill</t>
  </si>
  <si>
    <t>Rensselear</t>
  </si>
  <si>
    <t>Walker Farms LLC Digester</t>
  </si>
  <si>
    <t>Fort Ann</t>
  </si>
  <si>
    <t>Willet Dairy Digester</t>
  </si>
  <si>
    <t>Will-O-Crest Farm Digester</t>
  </si>
  <si>
    <t>Woodcrest Dairy Digester</t>
  </si>
  <si>
    <t>Odensburg</t>
  </si>
  <si>
    <t>Zuber Farms Digester</t>
  </si>
  <si>
    <t>Byron</t>
  </si>
  <si>
    <t>Bridgewater Dairy, LLC Digester</t>
  </si>
  <si>
    <t>Williams</t>
  </si>
  <si>
    <t>Green Top Acres Digester</t>
  </si>
  <si>
    <t>Haviland</t>
  </si>
  <si>
    <t>Paulding</t>
  </si>
  <si>
    <t>Miedema Dairy Digester</t>
  </si>
  <si>
    <t>Circleville</t>
  </si>
  <si>
    <t>Pickaway</t>
  </si>
  <si>
    <t>Mill Creek Dairy Digester</t>
  </si>
  <si>
    <t>West Unity</t>
  </si>
  <si>
    <t>REnergy - Dovetail Energy, LLC Digester</t>
  </si>
  <si>
    <t>Fairborn</t>
  </si>
  <si>
    <t>Greene</t>
  </si>
  <si>
    <t>Renergy - Emerald BioEnergy Digester</t>
  </si>
  <si>
    <t>Cardington</t>
  </si>
  <si>
    <t>Morrow</t>
  </si>
  <si>
    <t>Wenning Poultry Farm Digester</t>
  </si>
  <si>
    <t>Ft Recovery</t>
  </si>
  <si>
    <t>Seaboard Foods Wakefield Farm</t>
  </si>
  <si>
    <t>Turpin</t>
  </si>
  <si>
    <t>Beaver</t>
  </si>
  <si>
    <t>Farm Power Misty Meadow Digester</t>
  </si>
  <si>
    <t>Tillamook</t>
  </si>
  <si>
    <t>Farm Power Tillamook Digester</t>
  </si>
  <si>
    <t>RES Ag Lochmead LLC Digester</t>
  </si>
  <si>
    <t>Junction City</t>
  </si>
  <si>
    <t>Lane</t>
  </si>
  <si>
    <t>RES Ag Oak Lea LLC Digester</t>
  </si>
  <si>
    <t>Aumsville</t>
  </si>
  <si>
    <t>RES Forest Glen Oaks LLC Digester</t>
  </si>
  <si>
    <t>Dayton</t>
  </si>
  <si>
    <t>Yamhill</t>
  </si>
  <si>
    <t>Threemile Canyon Farms Digester</t>
  </si>
  <si>
    <t>Ar-Joy Farm Digester</t>
  </si>
  <si>
    <t>Cochranville</t>
  </si>
  <si>
    <t>Chester</t>
  </si>
  <si>
    <t>Bortnick Dairy Digester</t>
  </si>
  <si>
    <t>Conneautville</t>
  </si>
  <si>
    <t>Crawford</t>
  </si>
  <si>
    <t>Brookside Dairy Digester</t>
  </si>
  <si>
    <t>Homer City</t>
  </si>
  <si>
    <t>Indiana</t>
  </si>
  <si>
    <t>Brubaker Farms Digester</t>
  </si>
  <si>
    <t>Mount Joy</t>
  </si>
  <si>
    <t>David High Digester</t>
  </si>
  <si>
    <t>Selinsgrove</t>
  </si>
  <si>
    <t>Schuykill</t>
  </si>
  <si>
    <t>Dovan Farms Digester</t>
  </si>
  <si>
    <t>Berlin</t>
  </si>
  <si>
    <t>Somerset</t>
  </si>
  <si>
    <t>Four Winds Farm Digester</t>
  </si>
  <si>
    <t>Ulysses</t>
  </si>
  <si>
    <t>Potter</t>
  </si>
  <si>
    <t>Hard Earned Acres Digester</t>
  </si>
  <si>
    <t>Shippensburg</t>
  </si>
  <si>
    <t>Hillcrest Saylors Farm Digester</t>
  </si>
  <si>
    <t>Rockwood</t>
  </si>
  <si>
    <t>Ideal Family Farms Digester</t>
  </si>
  <si>
    <t>Beavertown</t>
  </si>
  <si>
    <t>Snyder</t>
  </si>
  <si>
    <t>Kish-View Farms Digester</t>
  </si>
  <si>
    <t>Belleville</t>
  </si>
  <si>
    <t>Mifflin</t>
  </si>
  <si>
    <t>Kurtz Valley Holsteins Digester</t>
  </si>
  <si>
    <t>Mifflintown</t>
  </si>
  <si>
    <t>Juniata</t>
  </si>
  <si>
    <t>Landyshade Farms Digester</t>
  </si>
  <si>
    <t>Mains Farm Digester</t>
  </si>
  <si>
    <t>Newville</t>
  </si>
  <si>
    <t>Mason Dixon Farms Digester</t>
  </si>
  <si>
    <t>Gettysburg</t>
  </si>
  <si>
    <t>Mor-Dale Farms Digester</t>
  </si>
  <si>
    <t>Bethel</t>
  </si>
  <si>
    <t>Berks</t>
  </si>
  <si>
    <t>Oak Hill Farm Digester</t>
  </si>
  <si>
    <t>Nottingham</t>
  </si>
  <si>
    <t>Oregon Dairy Farm Digester</t>
  </si>
  <si>
    <t>Manheim</t>
  </si>
  <si>
    <t>Penn England Farm Digester</t>
  </si>
  <si>
    <t>Pennwood Farms Digester</t>
  </si>
  <si>
    <t>Pine Hurst Acres Digester</t>
  </si>
  <si>
    <t>Danville</t>
  </si>
  <si>
    <t>Northumberland</t>
  </si>
  <si>
    <t>Reinford Farms Digester - New genset</t>
  </si>
  <si>
    <t>Reinford-Frymoyer Farm Digester</t>
  </si>
  <si>
    <t>Remley Farms Digester</t>
  </si>
  <si>
    <t>Roaring Branch</t>
  </si>
  <si>
    <t>S &amp; A Kreider Farms Digester</t>
  </si>
  <si>
    <t>Quarryville</t>
  </si>
  <si>
    <t>Schrack Farms Digester</t>
  </si>
  <si>
    <t>Loganton</t>
  </si>
  <si>
    <t>Sensenig Farm Digester</t>
  </si>
  <si>
    <t>Kirkwood</t>
  </si>
  <si>
    <t>Slate Ridge Farm Digester</t>
  </si>
  <si>
    <t>St. Thomas</t>
  </si>
  <si>
    <t>Wanner's Pride-N-Joy Farm Digester</t>
  </si>
  <si>
    <t>Narvon</t>
  </si>
  <si>
    <t>Yippee! Farms Digester</t>
  </si>
  <si>
    <t>Burrows Hall Farm Digester</t>
  </si>
  <si>
    <t>Nesmith</t>
  </si>
  <si>
    <t>SC</t>
  </si>
  <si>
    <t>Collins Chick Farm Digester</t>
  </si>
  <si>
    <t>Darlingon</t>
  </si>
  <si>
    <t>Pilgrim's Pride Sumter Digester</t>
  </si>
  <si>
    <t>Sumter</t>
  </si>
  <si>
    <t>Midwest Dairy Institute Digester</t>
  </si>
  <si>
    <t>Milbank</t>
  </si>
  <si>
    <t>Grant</t>
  </si>
  <si>
    <t>Etter Dairy Digester</t>
  </si>
  <si>
    <t>Dumas</t>
  </si>
  <si>
    <t>Moore</t>
  </si>
  <si>
    <t>Exum Dairy Digester</t>
  </si>
  <si>
    <t>Dalhart</t>
  </si>
  <si>
    <t>JBS Dalhart Digester</t>
  </si>
  <si>
    <t>Dallam</t>
  </si>
  <si>
    <t>Premium Standard - High Plains S-5 Digester</t>
  </si>
  <si>
    <t>Premium Standard - High Plains W-F Digester</t>
  </si>
  <si>
    <t>Westside Dairy Digester</t>
  </si>
  <si>
    <t>Ballard Hog Farm Digester</t>
  </si>
  <si>
    <t>Cache</t>
  </si>
  <si>
    <t>UT</t>
  </si>
  <si>
    <t>Smithfield Hog Production/Align RNG - Milford Digesters</t>
  </si>
  <si>
    <t>Milford</t>
  </si>
  <si>
    <t>Sunderland Dairy Digester</t>
  </si>
  <si>
    <t>Sanpete</t>
  </si>
  <si>
    <t>Wadeland Dairy Digester</t>
  </si>
  <si>
    <t>West Weber</t>
  </si>
  <si>
    <t>Weber</t>
  </si>
  <si>
    <t>Dairy Energy, Inc. (Van der Hyde Dairy) Digester</t>
  </si>
  <si>
    <t>Chatham</t>
  </si>
  <si>
    <t>Pittsylvania</t>
  </si>
  <si>
    <t>Blue Spruce Farm, Inc. / Audet's Cow Power Digester</t>
  </si>
  <si>
    <t>Bridport</t>
  </si>
  <si>
    <t>Addison</t>
  </si>
  <si>
    <t>VT</t>
  </si>
  <si>
    <t>Chaput Family Farms Digester</t>
  </si>
  <si>
    <t>North Troy</t>
  </si>
  <si>
    <t>Dubois Farm Digester</t>
  </si>
  <si>
    <t>Vergennes</t>
  </si>
  <si>
    <t>Four Hills Farm Digester</t>
  </si>
  <si>
    <t>Bristol</t>
  </si>
  <si>
    <t>Gervais Family Farm Digester</t>
  </si>
  <si>
    <t>Goodrich Family Farm Digester</t>
  </si>
  <si>
    <t>Salisbury</t>
  </si>
  <si>
    <t>Green Mountain Dairy, LLC Digester</t>
  </si>
  <si>
    <t>Sheldon</t>
  </si>
  <si>
    <t>Frankin</t>
  </si>
  <si>
    <t>Kane's Scenic River Farms Digester</t>
  </si>
  <si>
    <t>Enosburg Falls</t>
  </si>
  <si>
    <t>Maxwell Farm / Neighborhood Energy, LLC Digester</t>
  </si>
  <si>
    <t>Coventry</t>
  </si>
  <si>
    <t>Monument Farms Digester</t>
  </si>
  <si>
    <t>Weybridge</t>
  </si>
  <si>
    <t>Nelson Boys Dairy, LLC Digester</t>
  </si>
  <si>
    <t>Swanton</t>
  </si>
  <si>
    <t>Pleasant Valley Farms - Berkshire Cow Power, LLC Digester</t>
  </si>
  <si>
    <t>Westminster Farms Digester</t>
  </si>
  <si>
    <t>Putney</t>
  </si>
  <si>
    <t>Windham</t>
  </si>
  <si>
    <t>Edaleen Cow Power, LLC Digester</t>
  </si>
  <si>
    <t>Lynden</t>
  </si>
  <si>
    <t>Whatcom</t>
  </si>
  <si>
    <t>Farm Power Lynden Digester</t>
  </si>
  <si>
    <t>Farm Power Rexville Digester</t>
  </si>
  <si>
    <t>Mount Vernon</t>
  </si>
  <si>
    <t>Skagit</t>
  </si>
  <si>
    <t>G DeRuyter &amp; Sons Dairy Digester</t>
  </si>
  <si>
    <t>Outlook</t>
  </si>
  <si>
    <t>Yakima</t>
  </si>
  <si>
    <t>Qualco Energy Digester</t>
  </si>
  <si>
    <t>Snohomish</t>
  </si>
  <si>
    <t>Rainier Biogas Digester</t>
  </si>
  <si>
    <t>Enumclaw</t>
  </si>
  <si>
    <t>King</t>
  </si>
  <si>
    <t>Van Dyk Dairy Digester</t>
  </si>
  <si>
    <t>Vander Haak Dairy Digester</t>
  </si>
  <si>
    <t>Bach Digester, LLC Digester</t>
  </si>
  <si>
    <t>Dorchester</t>
  </si>
  <si>
    <t>Clark</t>
  </si>
  <si>
    <t>Bach Digester, LLC II Digester</t>
  </si>
  <si>
    <t>Baldwin Dairy Digester</t>
  </si>
  <si>
    <t>Baldwin</t>
  </si>
  <si>
    <t>Saint Croix</t>
  </si>
  <si>
    <t>Central Sands Dairy, LLC Digester</t>
  </si>
  <si>
    <t>Nekoosa</t>
  </si>
  <si>
    <t>Wood</t>
  </si>
  <si>
    <t>Crave Brothers Farm Digester</t>
  </si>
  <si>
    <t>Waterloo</t>
  </si>
  <si>
    <t>Dodge</t>
  </si>
  <si>
    <t>Clover Hill Dairy, LLC Digester</t>
  </si>
  <si>
    <t>Campbellsport</t>
  </si>
  <si>
    <t>Fond du Lac</t>
  </si>
  <si>
    <t>Dairy Dreams Digester - pipeline injection</t>
  </si>
  <si>
    <t>Casco</t>
  </si>
  <si>
    <t>Kewaunee</t>
  </si>
  <si>
    <t>Dairyland Digester</t>
  </si>
  <si>
    <t>Dallmann East River Dairy Digester</t>
  </si>
  <si>
    <t>Brillion</t>
  </si>
  <si>
    <t>Calumet</t>
  </si>
  <si>
    <t>Dane Country Digester - Springfield Digester</t>
  </si>
  <si>
    <t>Middleton</t>
  </si>
  <si>
    <t>Dane</t>
  </si>
  <si>
    <t>Dane Country Digester - Vienna Digester</t>
  </si>
  <si>
    <t>Vienna</t>
  </si>
  <si>
    <t>Deer Run Dairy Digester</t>
  </si>
  <si>
    <t>Five Star Diary Farm Digester</t>
  </si>
  <si>
    <t>Elk Mound</t>
  </si>
  <si>
    <t>Dunn</t>
  </si>
  <si>
    <t>Four Cubs Farm Digester</t>
  </si>
  <si>
    <t>Grantsburg</t>
  </si>
  <si>
    <t>Burnett</t>
  </si>
  <si>
    <t>Gordondale Farms - Deer Ridge Digester</t>
  </si>
  <si>
    <t>Nelsonville</t>
  </si>
  <si>
    <t>Portage</t>
  </si>
  <si>
    <t>Green Valley Dairy Digester</t>
  </si>
  <si>
    <t>Krakow</t>
  </si>
  <si>
    <t>Shawano</t>
  </si>
  <si>
    <t>Grotegut Dairy Farms, Inc. Digester</t>
  </si>
  <si>
    <t>Newton</t>
  </si>
  <si>
    <t>Mantiowoc</t>
  </si>
  <si>
    <t>Heller Farms / Cow Poo, LLC Digester</t>
  </si>
  <si>
    <t>Alma Center</t>
  </si>
  <si>
    <t>Holsum Dairy - Elm Road Digester</t>
  </si>
  <si>
    <t>Hilbert</t>
  </si>
  <si>
    <t>Holsum Dairy - Irish Road Digester</t>
  </si>
  <si>
    <t>Majestic Crossing Dairy, LLC Digester</t>
  </si>
  <si>
    <t>Sheboygan Falls</t>
  </si>
  <si>
    <t>Sheboygan</t>
  </si>
  <si>
    <t>Maple Leaf Dairy East Digester</t>
  </si>
  <si>
    <t>Cleveland</t>
  </si>
  <si>
    <t>Manitowoc</t>
  </si>
  <si>
    <t>Maple Leaf Dairy West Digester</t>
  </si>
  <si>
    <t>Maunesha River Dairy Digester</t>
  </si>
  <si>
    <t>Sun Prairie</t>
  </si>
  <si>
    <t>Norm-E-Lane, Inc. (NEL) Digester</t>
  </si>
  <si>
    <t>Chili</t>
  </si>
  <si>
    <t>Pagels Ponderosa Dairy Digester</t>
  </si>
  <si>
    <t>S&amp;S Jerseyland Dairy Digester</t>
  </si>
  <si>
    <t>Sturgeon Bay</t>
  </si>
  <si>
    <t>Door</t>
  </si>
  <si>
    <t>Statz Brothers, Inc. B Digester</t>
  </si>
  <si>
    <t>Statz Brothers, Inc. A Digester</t>
  </si>
  <si>
    <t>Sunrise Dairy (formerly Suring Community Dairy) Digester</t>
  </si>
  <si>
    <t>Suring</t>
  </si>
  <si>
    <t>Oronto</t>
  </si>
  <si>
    <t>UW Oshkosh Foundation, Rosendale Biodigester, LLC Digester</t>
  </si>
  <si>
    <t>Pickett</t>
  </si>
  <si>
    <t>UW Oshkosh Allen Farms Digester</t>
  </si>
  <si>
    <t>Vir-Clar Farms Digester</t>
  </si>
  <si>
    <t>Volm Farms Digester</t>
  </si>
  <si>
    <t>Kewaskum</t>
  </si>
  <si>
    <t>Wakker Dairy Digester</t>
  </si>
  <si>
    <t>Wild Rose Dairy Digester</t>
  </si>
  <si>
    <t>LaFarge</t>
  </si>
  <si>
    <t>Vernon</t>
  </si>
  <si>
    <t>Wyoming Premium Farms 1 Digester</t>
  </si>
  <si>
    <t>Wheatland</t>
  </si>
  <si>
    <t>Platte</t>
  </si>
  <si>
    <t>WY</t>
  </si>
  <si>
    <t>Landfill Name</t>
  </si>
  <si>
    <t>Physical Address</t>
  </si>
  <si>
    <t>Zip Code</t>
  </si>
  <si>
    <t>Anchorage Regional Landfill</t>
  </si>
  <si>
    <t>15500 E. Eagle River Loop Road</t>
  </si>
  <si>
    <t>Eagle River</t>
  </si>
  <si>
    <t>Anchorage</t>
  </si>
  <si>
    <t>99577</t>
  </si>
  <si>
    <t>Cedar Hill Landfill</t>
  </si>
  <si>
    <t>AL</t>
  </si>
  <si>
    <t>1319 N. Business Creek Road</t>
  </si>
  <si>
    <t>Ragland</t>
  </si>
  <si>
    <t>St. Clair</t>
  </si>
  <si>
    <t>35131</t>
  </si>
  <si>
    <t>City of Decatur-Morgan County Regional MSW Landfill</t>
  </si>
  <si>
    <t>500 Landfill Drive</t>
  </si>
  <si>
    <t>Trinity</t>
  </si>
  <si>
    <t>Morgan</t>
  </si>
  <si>
    <t>35673</t>
  </si>
  <si>
    <t>Sand Valley Landfill</t>
  </si>
  <si>
    <t>3345 County Road 209</t>
  </si>
  <si>
    <t>Collinsville</t>
  </si>
  <si>
    <t>DeKalb</t>
  </si>
  <si>
    <t>35961</t>
  </si>
  <si>
    <t>Three Corners Landfill</t>
  </si>
  <si>
    <t>2205 County Road 6</t>
  </si>
  <si>
    <t>Piedmont</t>
  </si>
  <si>
    <t>Cherokee</t>
  </si>
  <si>
    <t>36272</t>
  </si>
  <si>
    <t>City of Glendale Municipal Landfill</t>
  </si>
  <si>
    <t>11480 W Glendale Avenue</t>
  </si>
  <si>
    <t>Glendale</t>
  </si>
  <si>
    <t>85307</t>
  </si>
  <si>
    <t>Northwest Regional MSW Landfill</t>
  </si>
  <si>
    <t>19401 W. Deer Valley Road</t>
  </si>
  <si>
    <t>Surprise</t>
  </si>
  <si>
    <t>85387</t>
  </si>
  <si>
    <t>City of Fort Smith SLF</t>
  </si>
  <si>
    <t>5900 Commerce Road</t>
  </si>
  <si>
    <t>Fort Smith</t>
  </si>
  <si>
    <t>Sebastian</t>
  </si>
  <si>
    <t>72916</t>
  </si>
  <si>
    <t>Eco-Vista Landfill</t>
  </si>
  <si>
    <t>2210 Waste Management Drive</t>
  </si>
  <si>
    <t>Springdale</t>
  </si>
  <si>
    <t>72762</t>
  </si>
  <si>
    <t>Two Pine Landfill</t>
  </si>
  <si>
    <t>100 Two Pine Drive</t>
  </si>
  <si>
    <t>North Little Rock</t>
  </si>
  <si>
    <t>Pulaski</t>
  </si>
  <si>
    <t>72117</t>
  </si>
  <si>
    <t>Acme LF</t>
  </si>
  <si>
    <t>950 Waterbird Way</t>
  </si>
  <si>
    <t>Martinez</t>
  </si>
  <si>
    <t>Contra Costa</t>
  </si>
  <si>
    <t>94553</t>
  </si>
  <si>
    <t>All Purpose Landfill</t>
  </si>
  <si>
    <t>5401 Lafayette Street</t>
  </si>
  <si>
    <t>Santa Clara</t>
  </si>
  <si>
    <t>95054</t>
  </si>
  <si>
    <t>Altamont Landfill &amp; Resource Recovery Facility</t>
  </si>
  <si>
    <t>10840 Altamont Pass Road</t>
  </si>
  <si>
    <t>Livermore</t>
  </si>
  <si>
    <t>Alameda</t>
  </si>
  <si>
    <t>94551</t>
  </si>
  <si>
    <t>BKK Landfill-Phases I &amp; II</t>
  </si>
  <si>
    <t>2210 South Azusa Avenue</t>
  </si>
  <si>
    <t>West Covina</t>
  </si>
  <si>
    <t>91792</t>
  </si>
  <si>
    <t>Buena Vista Drive SLF</t>
  </si>
  <si>
    <t>1231 Buena Vista Drive
150 Rountree Lane</t>
  </si>
  <si>
    <t>Watsonville</t>
  </si>
  <si>
    <t>Santa Cruz</t>
  </si>
  <si>
    <t>95076</t>
  </si>
  <si>
    <t>Burbank LF Site No. 3</t>
  </si>
  <si>
    <t>2500 N. Bel Aire Drive</t>
  </si>
  <si>
    <t>Burbank</t>
  </si>
  <si>
    <t>91504</t>
  </si>
  <si>
    <t>Calabasas SLF</t>
  </si>
  <si>
    <t>5300 Lost Hills Road</t>
  </si>
  <si>
    <t>Agoura Hills</t>
  </si>
  <si>
    <t>91301</t>
  </si>
  <si>
    <t>Chiquita Canyon SLF</t>
  </si>
  <si>
    <t>29201 Henry Mayo Drive</t>
  </si>
  <si>
    <t>Castaic</t>
  </si>
  <si>
    <t>91384</t>
  </si>
  <si>
    <t>City of Santa Cruz SLF</t>
  </si>
  <si>
    <t>605 Dimeo Lane</t>
  </si>
  <si>
    <t>95060</t>
  </si>
  <si>
    <t>Clover Flat Landfill</t>
  </si>
  <si>
    <t>4380 Silverado Trail</t>
  </si>
  <si>
    <t>Calistoga</t>
  </si>
  <si>
    <t>Napa</t>
  </si>
  <si>
    <t>94515</t>
  </si>
  <si>
    <t>Cold Canyon LF Solid Waste Disposal Site</t>
  </si>
  <si>
    <t>2268 Carpenter Canyon Road</t>
  </si>
  <si>
    <t>San Luis Obispo</t>
  </si>
  <si>
    <t>93401</t>
  </si>
  <si>
    <t>Corona Disposal Site</t>
  </si>
  <si>
    <t>1300 Magnolia Avenue</t>
  </si>
  <si>
    <t>Corona</t>
  </si>
  <si>
    <t>Riverside</t>
  </si>
  <si>
    <t>92879</t>
  </si>
  <si>
    <t>Foothill Sanitary Landfill, Inc.</t>
  </si>
  <si>
    <t>6484 North Waverly Road</t>
  </si>
  <si>
    <t>95236</t>
  </si>
  <si>
    <t>Forward Landfill</t>
  </si>
  <si>
    <t>9999 S. Austin Road</t>
  </si>
  <si>
    <t>Manteca</t>
  </si>
  <si>
    <t>95336</t>
  </si>
  <si>
    <t>Frank R. Bowerman SLF</t>
  </si>
  <si>
    <t>11002 Bee Canyon Access Road</t>
  </si>
  <si>
    <t>Irvine</t>
  </si>
  <si>
    <t>Orange</t>
  </si>
  <si>
    <t>92602</t>
  </si>
  <si>
    <t>Johnson Canyon SLF</t>
  </si>
  <si>
    <t>31400 Johnson Canyon Road</t>
  </si>
  <si>
    <t>Gonzales</t>
  </si>
  <si>
    <t>Monterey</t>
  </si>
  <si>
    <t>93926</t>
  </si>
  <si>
    <t>Keller Canyon LF</t>
  </si>
  <si>
    <t>901 Bailey Road</t>
  </si>
  <si>
    <t>Pittsburg</t>
  </si>
  <si>
    <t>94565</t>
  </si>
  <si>
    <t>Kiefer LF</t>
  </si>
  <si>
    <t>12701 Kiefer Boulevard &amp; Grant Line Road</t>
  </si>
  <si>
    <t>Sloughhouse</t>
  </si>
  <si>
    <t>95683</t>
  </si>
  <si>
    <t>Lopez Canyon SLF</t>
  </si>
  <si>
    <t>11950 Lopez Canyon Road</t>
  </si>
  <si>
    <t>Sylmar</t>
  </si>
  <si>
    <t>91342</t>
  </si>
  <si>
    <t>Monterey Peninsula SLF</t>
  </si>
  <si>
    <t>14201 Del Monte Blvd</t>
  </si>
  <si>
    <t>Marina</t>
  </si>
  <si>
    <t>93933</t>
  </si>
  <si>
    <t>Neal Road Recycling and Waste Facility</t>
  </si>
  <si>
    <t>1023 Neal Road</t>
  </si>
  <si>
    <t>Paradise</t>
  </si>
  <si>
    <t>Butte</t>
  </si>
  <si>
    <t>95969</t>
  </si>
  <si>
    <t>North Miramar SLF</t>
  </si>
  <si>
    <t>5180 Convoy Street</t>
  </si>
  <si>
    <t>San Diego</t>
  </si>
  <si>
    <t>92111</t>
  </si>
  <si>
    <t>Olinda Alpha SLF</t>
  </si>
  <si>
    <t>1942 N. Valencia Avenue</t>
  </si>
  <si>
    <t>Brea</t>
  </si>
  <si>
    <t>92823</t>
  </si>
  <si>
    <t>Operating Industries, Inc. LF (OII)</t>
  </si>
  <si>
    <t>900 Potrero Grande Drive
End of Greenwood Avenue</t>
  </si>
  <si>
    <t>Monterey Park</t>
  </si>
  <si>
    <t>91754</t>
  </si>
  <si>
    <t>Orange Avenue Disposal Inc.</t>
  </si>
  <si>
    <t>3280 South Orange Avenue</t>
  </si>
  <si>
    <t>93725</t>
  </si>
  <si>
    <t>Ox Mountain SLF</t>
  </si>
  <si>
    <t>12310 San Mateo Road</t>
  </si>
  <si>
    <t>Half Moon Bay</t>
  </si>
  <si>
    <t>San Mateo</t>
  </si>
  <si>
    <t>94019</t>
  </si>
  <si>
    <t>Puente Hills LF</t>
  </si>
  <si>
    <t>2800 S. Workman Mill Road</t>
  </si>
  <si>
    <t>Whittier</t>
  </si>
  <si>
    <t>90601</t>
  </si>
  <si>
    <t>Recology Hay Road LF</t>
  </si>
  <si>
    <t>6426 Hay Road</t>
  </si>
  <si>
    <t>Vacaville</t>
  </si>
  <si>
    <t>Solano</t>
  </si>
  <si>
    <t>95687</t>
  </si>
  <si>
    <t>Recology Ostrom Road LF</t>
  </si>
  <si>
    <t>5900 Ostrom Road</t>
  </si>
  <si>
    <t>Yuba</t>
  </si>
  <si>
    <t>95692</t>
  </si>
  <si>
    <t>Redwood SLF</t>
  </si>
  <si>
    <t>8950 Redwood Highway</t>
  </si>
  <si>
    <t>Novato</t>
  </si>
  <si>
    <t>94945</t>
  </si>
  <si>
    <t>San Marcos LF</t>
  </si>
  <si>
    <t>1595 San Elijo Road</t>
  </si>
  <si>
    <t>San Marcos</t>
  </si>
  <si>
    <t>Santa Maria Regional Landfill</t>
  </si>
  <si>
    <t>2065 E. Main Street</t>
  </si>
  <si>
    <t>Santa Maria</t>
  </si>
  <si>
    <t>Santa Barbara</t>
  </si>
  <si>
    <t>93454</t>
  </si>
  <si>
    <t>Savage Canyon LF</t>
  </si>
  <si>
    <t>13919 East Penn Street</t>
  </si>
  <si>
    <t>90602</t>
  </si>
  <si>
    <t>Sonoma County Central Disposal Site</t>
  </si>
  <si>
    <t>500 Mecham Road</t>
  </si>
  <si>
    <t>Petaluma</t>
  </si>
  <si>
    <t>Sonoma</t>
  </si>
  <si>
    <t>94952</t>
  </si>
  <si>
    <t>Sunnyvale LF</t>
  </si>
  <si>
    <t>301 Carl Road</t>
  </si>
  <si>
    <t>Sunnyvale</t>
  </si>
  <si>
    <t>94089</t>
  </si>
  <si>
    <t>Sunshine Canyon Landfill</t>
  </si>
  <si>
    <t>14747 San Fernando Road</t>
  </si>
  <si>
    <t>Sycamore SLF</t>
  </si>
  <si>
    <t>8514 Mast Boulevard</t>
  </si>
  <si>
    <t>Santee</t>
  </si>
  <si>
    <t>92071</t>
  </si>
  <si>
    <t>Tajiguas SLF</t>
  </si>
  <si>
    <t>14470 Calle Real</t>
  </si>
  <si>
    <t>Gaviota</t>
  </si>
  <si>
    <t>93117</t>
  </si>
  <si>
    <t>Toyon Canyon Landfill</t>
  </si>
  <si>
    <t>5050 Mt Hollywood Drive</t>
  </si>
  <si>
    <t>Union Mine Disposal Site</t>
  </si>
  <si>
    <t>5700 Union Mine Road</t>
  </si>
  <si>
    <t>El Dorado</t>
  </si>
  <si>
    <t>95623</t>
  </si>
  <si>
    <t>University of California at Davis SLF</t>
  </si>
  <si>
    <t>West End Of UCD Campus On County Road 98</t>
  </si>
  <si>
    <t>Davis</t>
  </si>
  <si>
    <t>Yolo</t>
  </si>
  <si>
    <t>95616</t>
  </si>
  <si>
    <t>Vasco Road SLF</t>
  </si>
  <si>
    <t>4001 North Vasco Road</t>
  </si>
  <si>
    <t>94550</t>
  </si>
  <si>
    <t>West Contra Costa SLF</t>
  </si>
  <si>
    <t>1 Parr Boulevard</t>
  </si>
  <si>
    <t>Richmond</t>
  </si>
  <si>
    <t>94801</t>
  </si>
  <si>
    <t>West Miramar SLF</t>
  </si>
  <si>
    <t>Western Regional SLF</t>
  </si>
  <si>
    <t>3195 Athens Avenue</t>
  </si>
  <si>
    <t>Lincoln</t>
  </si>
  <si>
    <t>Placer</t>
  </si>
  <si>
    <t>Yolo County Central LF</t>
  </si>
  <si>
    <t>44090 County Road 28H</t>
  </si>
  <si>
    <t>Woodland</t>
  </si>
  <si>
    <t>95776</t>
  </si>
  <si>
    <t>Denver Arapahoe Disposal Site (DADS)</t>
  </si>
  <si>
    <t>3500 South Gun Club Road</t>
  </si>
  <si>
    <t>Arapahoe</t>
  </si>
  <si>
    <t>80018</t>
  </si>
  <si>
    <t>Denver Regional Landfill (North)</t>
  </si>
  <si>
    <t>1441 Weld County Road 6</t>
  </si>
  <si>
    <t>Erie</t>
  </si>
  <si>
    <t>Weld</t>
  </si>
  <si>
    <t>80516</t>
  </si>
  <si>
    <t>Denver Regional Landfill (South)</t>
  </si>
  <si>
    <t>Front Range Landfill</t>
  </si>
  <si>
    <t>1830 Weld County Road 5</t>
  </si>
  <si>
    <t>East Windsor LF</t>
  </si>
  <si>
    <t>Wapping Road</t>
  </si>
  <si>
    <t>Broad Brook</t>
  </si>
  <si>
    <t>06016</t>
  </si>
  <si>
    <t>New Milford LF</t>
  </si>
  <si>
    <t>182-2 Danbury Road</t>
  </si>
  <si>
    <t>New Milford</t>
  </si>
  <si>
    <t>06776</t>
  </si>
  <si>
    <t>Cherry Island Landfill</t>
  </si>
  <si>
    <t>DE</t>
  </si>
  <si>
    <t>1706 E. 12th Street</t>
  </si>
  <si>
    <t>Wilmington</t>
  </si>
  <si>
    <t>New Castle</t>
  </si>
  <si>
    <t>19809</t>
  </si>
  <si>
    <t>Jones Crossroads Landfill</t>
  </si>
  <si>
    <t>28560 Landfill Lane</t>
  </si>
  <si>
    <t>Georgetown</t>
  </si>
  <si>
    <t>Sussex</t>
  </si>
  <si>
    <t>19947</t>
  </si>
  <si>
    <t>Sandtown Landfill</t>
  </si>
  <si>
    <t>1107 Willow Grove Road</t>
  </si>
  <si>
    <t>Felton</t>
  </si>
  <si>
    <t>19943</t>
  </si>
  <si>
    <t>Baseline Landfill</t>
  </si>
  <si>
    <t>5601 SE 66th Street</t>
  </si>
  <si>
    <t>Ocala</t>
  </si>
  <si>
    <t>Brevard County Central Disposal Facility</t>
  </si>
  <si>
    <t>2250 W. Adamson Road</t>
  </si>
  <si>
    <t>Cocoa</t>
  </si>
  <si>
    <t>Brevard</t>
  </si>
  <si>
    <t>Central County Solid Waste Disposal Complex</t>
  </si>
  <si>
    <t>4000 Knights Trail Road</t>
  </si>
  <si>
    <t>Nokomis</t>
  </si>
  <si>
    <t>Sarasota</t>
  </si>
  <si>
    <t xml:space="preserve">Collier County Landfill </t>
  </si>
  <si>
    <t>3750 White Lake Boulevard</t>
  </si>
  <si>
    <t>Naples</t>
  </si>
  <si>
    <t>Collier</t>
  </si>
  <si>
    <t>Hernando County Northwest Landfill</t>
  </si>
  <si>
    <t>14450 Landfill Road</t>
  </si>
  <si>
    <t>Brooksville</t>
  </si>
  <si>
    <t>Hernando</t>
  </si>
  <si>
    <t>34614</t>
  </si>
  <si>
    <t>Highlands County Solid Waste Management Center</t>
  </si>
  <si>
    <t>12700 Arbuckle Creek Road</t>
  </si>
  <si>
    <t>Sebring</t>
  </si>
  <si>
    <t>Highlands</t>
  </si>
  <si>
    <t>33870</t>
  </si>
  <si>
    <t>Indian River County LF Class I</t>
  </si>
  <si>
    <t>1325 74th Avenue SW</t>
  </si>
  <si>
    <t>Vero Beach</t>
  </si>
  <si>
    <t>Indian River</t>
  </si>
  <si>
    <t>J.E.D. Solid Waste Management Facility</t>
  </si>
  <si>
    <t>1501 Omni Way</t>
  </si>
  <si>
    <t>St. Cloud</t>
  </si>
  <si>
    <t>Osceola</t>
  </si>
  <si>
    <t>34773</t>
  </si>
  <si>
    <t>Lena Road Class I Landfill</t>
  </si>
  <si>
    <t>3333 Lena Road
S. of SR-64 &amp; Lena Road INT</t>
  </si>
  <si>
    <t>Bradenton</t>
  </si>
  <si>
    <t>Manatee</t>
  </si>
  <si>
    <t>34211</t>
  </si>
  <si>
    <t>Monarch Hill Landfill</t>
  </si>
  <si>
    <t>2700 NW 48th Street
(2700 Wiles Road)</t>
  </si>
  <si>
    <t>Pompano Beach</t>
  </si>
  <si>
    <t>33073</t>
  </si>
  <si>
    <t>New River Regional LF</t>
  </si>
  <si>
    <t>24276 NE 157th Street</t>
  </si>
  <si>
    <t>Raiford</t>
  </si>
  <si>
    <t>Orange County SLF</t>
  </si>
  <si>
    <t>12100 Young Pine Road</t>
  </si>
  <si>
    <t>Orlando</t>
  </si>
  <si>
    <t>32829</t>
  </si>
  <si>
    <t>Osceola Landfill</t>
  </si>
  <si>
    <t>1930 E. Osceola Road</t>
  </si>
  <si>
    <t>Geneva</t>
  </si>
  <si>
    <t>Seminole</t>
  </si>
  <si>
    <t>32732</t>
  </si>
  <si>
    <t>PBCSWA RRF Site #7</t>
  </si>
  <si>
    <t>7501 N. Jog Road</t>
  </si>
  <si>
    <t>West Palm Beach</t>
  </si>
  <si>
    <t>33412</t>
  </si>
  <si>
    <t>Perdido LF</t>
  </si>
  <si>
    <t>13009 Beulah Road</t>
  </si>
  <si>
    <t>Cantonment</t>
  </si>
  <si>
    <t>Escambia</t>
  </si>
  <si>
    <t>32533</t>
  </si>
  <si>
    <t>Southeast Hillsborough Country LF</t>
  </si>
  <si>
    <t>15960 County Road 672</t>
  </si>
  <si>
    <t>Lithia</t>
  </si>
  <si>
    <t>Springhill Regional Landfill</t>
  </si>
  <si>
    <t>4945 W State Hwy 273</t>
  </si>
  <si>
    <t>Campbellton</t>
  </si>
  <si>
    <t>32426</t>
  </si>
  <si>
    <t>St. Lucie County Baling and Recycling Facility</t>
  </si>
  <si>
    <t>6120 Glades Cutoff Road</t>
  </si>
  <si>
    <t>Fort Pierce</t>
  </si>
  <si>
    <t>St. Lucie</t>
  </si>
  <si>
    <t>34981</t>
  </si>
  <si>
    <t>Trail Ridge Landfill Inc.</t>
  </si>
  <si>
    <t>5110 U.S. Highway 301 S</t>
  </si>
  <si>
    <t>Duval</t>
  </si>
  <si>
    <t>32234</t>
  </si>
  <si>
    <t>Zemel Road Landfill</t>
  </si>
  <si>
    <t>29751 Zemel Road</t>
  </si>
  <si>
    <t>Punta Gorda</t>
  </si>
  <si>
    <t>Charlotte</t>
  </si>
  <si>
    <t>33955</t>
  </si>
  <si>
    <t>Athens-Clarke County Landfill</t>
  </si>
  <si>
    <t>5700 Lexington Road</t>
  </si>
  <si>
    <t>Winterville</t>
  </si>
  <si>
    <t>Clarke</t>
  </si>
  <si>
    <t>30683</t>
  </si>
  <si>
    <t>Catoosa County MSW LF</t>
  </si>
  <si>
    <t>912 Shope Ridge Road</t>
  </si>
  <si>
    <t>Ringgold</t>
  </si>
  <si>
    <t>Catoosa</t>
  </si>
  <si>
    <t>30736</t>
  </si>
  <si>
    <t>Clayton County SR 3 Lovejoy Landfill</t>
  </si>
  <si>
    <t>11678 Hastings Bridge Road</t>
  </si>
  <si>
    <t>Lovejoy</t>
  </si>
  <si>
    <t>Clayton</t>
  </si>
  <si>
    <t>30250</t>
  </si>
  <si>
    <t>Deans Bridge Road MSWLF</t>
  </si>
  <si>
    <t>4330 Deans Bridge Road</t>
  </si>
  <si>
    <t>Blythe</t>
  </si>
  <si>
    <t>30805</t>
  </si>
  <si>
    <t>Dougherty County Fleming/Gaissert Road LF</t>
  </si>
  <si>
    <t>900 Gaissert Road</t>
  </si>
  <si>
    <t>Dougherty</t>
  </si>
  <si>
    <t>31705</t>
  </si>
  <si>
    <t>Evergreen Landfill, Inc.</t>
  </si>
  <si>
    <t>2995 Wetherington Lane</t>
  </si>
  <si>
    <t>Valdosta</t>
  </si>
  <si>
    <t>Lowndes</t>
  </si>
  <si>
    <t>31601</t>
  </si>
  <si>
    <t>Hickory Ridge Landfill</t>
  </si>
  <si>
    <t>3330 Moreland Avenue</t>
  </si>
  <si>
    <t>Conley</t>
  </si>
  <si>
    <t>30288</t>
  </si>
  <si>
    <t>Live Oak LF</t>
  </si>
  <si>
    <t>1189 Henrico Road</t>
  </si>
  <si>
    <t>Macon Bibb Walker Road MSWL</t>
  </si>
  <si>
    <t>920 11th Street</t>
  </si>
  <si>
    <t>Bibb</t>
  </si>
  <si>
    <t>31201</t>
  </si>
  <si>
    <t>Oak Grove Landfill</t>
  </si>
  <si>
    <t>967 Carl Bethlehem Road
3 mi SW of Winder, off SR 324</t>
  </si>
  <si>
    <t>Winder</t>
  </si>
  <si>
    <t>Barrow</t>
  </si>
  <si>
    <t>30680</t>
  </si>
  <si>
    <t>Old Dixie Highway MSW Landfill</t>
  </si>
  <si>
    <t>4189 Old Dixie Highway S.E.</t>
  </si>
  <si>
    <t>Dalton</t>
  </si>
  <si>
    <t>Whitfield</t>
  </si>
  <si>
    <t>30721</t>
  </si>
  <si>
    <t>Pine Ridge Landfill</t>
  </si>
  <si>
    <t>105 Bailey Jester Road</t>
  </si>
  <si>
    <t>Griffin</t>
  </si>
  <si>
    <t>Butts</t>
  </si>
  <si>
    <t>30223</t>
  </si>
  <si>
    <t>Richland Creek Road Landfill</t>
  </si>
  <si>
    <t>5691 South Richland Creek Road</t>
  </si>
  <si>
    <t>Buford</t>
  </si>
  <si>
    <t>Gwinnett</t>
  </si>
  <si>
    <t>30518</t>
  </si>
  <si>
    <t>Seminole Road MSW Landfill</t>
  </si>
  <si>
    <t>4203 Clevemont Road</t>
  </si>
  <si>
    <t>Ellenwood</t>
  </si>
  <si>
    <t>30294</t>
  </si>
  <si>
    <t>SR247 MSW Landfill</t>
  </si>
  <si>
    <t>2080 GA Hwy 247</t>
  </si>
  <si>
    <t>Kathleen</t>
  </si>
  <si>
    <t>Houston</t>
  </si>
  <si>
    <t>31047</t>
  </si>
  <si>
    <t>Superior Landfill &amp; Recycling Center</t>
  </si>
  <si>
    <t>3001 Little Neck Road</t>
  </si>
  <si>
    <t>Savannah</t>
  </si>
  <si>
    <t>31419</t>
  </si>
  <si>
    <t>WI Taylor County Disposal, LLC</t>
  </si>
  <si>
    <t>33 Stewart Road</t>
  </si>
  <si>
    <t>Mauk</t>
  </si>
  <si>
    <t>31058</t>
  </si>
  <si>
    <t>Wolf Creek Landfill, LLC</t>
  </si>
  <si>
    <t>911 Landfill Road
off Hwy 80 (Jeffersonville Road)</t>
  </si>
  <si>
    <t>Dry Branch</t>
  </si>
  <si>
    <t>Twiggs</t>
  </si>
  <si>
    <t>31020</t>
  </si>
  <si>
    <t>Ada County Landfill</t>
  </si>
  <si>
    <t>10300 Seamans Gulch Road</t>
  </si>
  <si>
    <t>Boise</t>
  </si>
  <si>
    <t>Ada</t>
  </si>
  <si>
    <t>83714</t>
  </si>
  <si>
    <t>Fighting Creek Farm Landfill</t>
  </si>
  <si>
    <t>22089 U.S. 95</t>
  </si>
  <si>
    <t>Coeur d' Alene</t>
  </si>
  <si>
    <t>Kootenai</t>
  </si>
  <si>
    <t>83814</t>
  </si>
  <si>
    <t>Fort Hall Mine Landfill</t>
  </si>
  <si>
    <t>1500 N. Fort Hall Mine Road</t>
  </si>
  <si>
    <t>Pocatello</t>
  </si>
  <si>
    <t>Bannock</t>
  </si>
  <si>
    <t>83204</t>
  </si>
  <si>
    <t>Milner Butte Landfill</t>
  </si>
  <si>
    <t>1050 West 400 South</t>
  </si>
  <si>
    <t>83318</t>
  </si>
  <si>
    <t>ADS/McLean County LF #2</t>
  </si>
  <si>
    <t>2105 W. Oakland Avenue</t>
  </si>
  <si>
    <t>Bloomington</t>
  </si>
  <si>
    <t>McLean</t>
  </si>
  <si>
    <t>Beecher Landfill</t>
  </si>
  <si>
    <t>1055 W. Goodenow Road</t>
  </si>
  <si>
    <t>Beecher</t>
  </si>
  <si>
    <t>Will</t>
  </si>
  <si>
    <t>60401</t>
  </si>
  <si>
    <t>CDT LF</t>
  </si>
  <si>
    <t>2851 Mound Road</t>
  </si>
  <si>
    <t>Rockdale</t>
  </si>
  <si>
    <t>60436</t>
  </si>
  <si>
    <t>CID Recycling and Disposal Facility</t>
  </si>
  <si>
    <t>13707 S. Jeffery Avenue</t>
  </si>
  <si>
    <t>Chicago</t>
  </si>
  <si>
    <t>Cook</t>
  </si>
  <si>
    <t>60633</t>
  </si>
  <si>
    <t>Clinton Landfill Inc.</t>
  </si>
  <si>
    <t>9550 Heritage Road</t>
  </si>
  <si>
    <t>De Witt</t>
  </si>
  <si>
    <t>61727</t>
  </si>
  <si>
    <t>Five Oaks RDF</t>
  </si>
  <si>
    <t>890 E. 1500 North Road</t>
  </si>
  <si>
    <t>Taylorville</t>
  </si>
  <si>
    <t>Christian</t>
  </si>
  <si>
    <t>62568</t>
  </si>
  <si>
    <t>Greene Valley RDF</t>
  </si>
  <si>
    <t>9 S. 610 Greene Road</t>
  </si>
  <si>
    <t>Naperville</t>
  </si>
  <si>
    <t>DuPage</t>
  </si>
  <si>
    <t>60565</t>
  </si>
  <si>
    <t>Lake LF</t>
  </si>
  <si>
    <t>1300 Willow Road</t>
  </si>
  <si>
    <t>Northbrook</t>
  </si>
  <si>
    <t>60062</t>
  </si>
  <si>
    <t>Land &amp; Lakes/Willow Ranch Landfill</t>
  </si>
  <si>
    <t>1371 N. Joliet Road</t>
  </si>
  <si>
    <t>Romeoville</t>
  </si>
  <si>
    <t>60446</t>
  </si>
  <si>
    <t>Livingston LF</t>
  </si>
  <si>
    <t>14206 E. 2100 North Road</t>
  </si>
  <si>
    <t>Pontiac</t>
  </si>
  <si>
    <t>61764</t>
  </si>
  <si>
    <t>Milam Recycling and Disposal Facility</t>
  </si>
  <si>
    <t>601 Madison Road</t>
  </si>
  <si>
    <t>East St. Louis</t>
  </si>
  <si>
    <t>62201</t>
  </si>
  <si>
    <t>Orchard Hills Landfill Inc.</t>
  </si>
  <si>
    <t>8290 N. IL Highway 251</t>
  </si>
  <si>
    <t>Davis Junction</t>
  </si>
  <si>
    <t>Ogle</t>
  </si>
  <si>
    <t>61020</t>
  </si>
  <si>
    <t>Prairie View RDF</t>
  </si>
  <si>
    <t>29755 S. Prairie View Drive</t>
  </si>
  <si>
    <t>Rochelle Municipal #2</t>
  </si>
  <si>
    <t>6513 South Mulford Road</t>
  </si>
  <si>
    <t>61068</t>
  </si>
  <si>
    <t>Settler's Hill Recycling &amp; Disposal Facility</t>
  </si>
  <si>
    <t>1031 E. Fabyan Parkway</t>
  </si>
  <si>
    <t>Batavia</t>
  </si>
  <si>
    <t>Kane</t>
  </si>
  <si>
    <t>60510</t>
  </si>
  <si>
    <t>South Barrington Landfill</t>
  </si>
  <si>
    <t>55 E. Mundhank Road</t>
  </si>
  <si>
    <t>South Barrington</t>
  </si>
  <si>
    <t>60010</t>
  </si>
  <si>
    <t>Tazewell RDF</t>
  </si>
  <si>
    <t>3550 E. Washington Street</t>
  </si>
  <si>
    <t>East Peoria</t>
  </si>
  <si>
    <t>Tazewell</t>
  </si>
  <si>
    <t>61611</t>
  </si>
  <si>
    <t>Woodland RDF</t>
  </si>
  <si>
    <t>7 N. 500 Route 25</t>
  </si>
  <si>
    <t>South Elgin</t>
  </si>
  <si>
    <t>60177</t>
  </si>
  <si>
    <t>Blackfoot Landfill</t>
  </si>
  <si>
    <t>3726 E. State Road 64</t>
  </si>
  <si>
    <t>Winslow</t>
  </si>
  <si>
    <t>Pike</t>
  </si>
  <si>
    <t>47598</t>
  </si>
  <si>
    <t>County Line LF</t>
  </si>
  <si>
    <t>7922 N. Old U.S. Highway 31</t>
  </si>
  <si>
    <t>Argos</t>
  </si>
  <si>
    <t>Fulton</t>
  </si>
  <si>
    <t>46501</t>
  </si>
  <si>
    <t>Deercroft RDF</t>
  </si>
  <si>
    <t>10501 West 300 North</t>
  </si>
  <si>
    <t>Michigan City</t>
  </si>
  <si>
    <t>LaPorte</t>
  </si>
  <si>
    <t>46360</t>
  </si>
  <si>
    <t>Earthmovers LF</t>
  </si>
  <si>
    <t>26488 County Road 26</t>
  </si>
  <si>
    <t>46517</t>
  </si>
  <si>
    <t>Elkhart County Landfill</t>
  </si>
  <si>
    <t>59530 CR 7 S</t>
  </si>
  <si>
    <t>Jay County LF</t>
  </si>
  <si>
    <t>5825 W 400 South</t>
  </si>
  <si>
    <t>Jay</t>
  </si>
  <si>
    <t>47371</t>
  </si>
  <si>
    <t>Laubscher Meadows LF</t>
  </si>
  <si>
    <t>2020 Laubscher Road</t>
  </si>
  <si>
    <t>Evansville</t>
  </si>
  <si>
    <t>Vanderburgh</t>
  </si>
  <si>
    <t>47720</t>
  </si>
  <si>
    <t>Liberty Landfill</t>
  </si>
  <si>
    <t>8635 E. State Road 16
~2 miles east of Buffalo</t>
  </si>
  <si>
    <t>47960</t>
  </si>
  <si>
    <t>Munster LF</t>
  </si>
  <si>
    <t>9751 Calumet Avenue</t>
  </si>
  <si>
    <t>Munster</t>
  </si>
  <si>
    <t>46321</t>
  </si>
  <si>
    <t>National Serv-All LF</t>
  </si>
  <si>
    <t>6231 MacBeth Road</t>
  </si>
  <si>
    <t>Fort Wayne</t>
  </si>
  <si>
    <t>Allen</t>
  </si>
  <si>
    <t>46809</t>
  </si>
  <si>
    <t>Newton County Landfill</t>
  </si>
  <si>
    <t>2266 E. 500 South Road</t>
  </si>
  <si>
    <t>Brook</t>
  </si>
  <si>
    <t>47922</t>
  </si>
  <si>
    <t>Oak Ridge RDF</t>
  </si>
  <si>
    <t>2905 South 150 East</t>
  </si>
  <si>
    <t>Logansport</t>
  </si>
  <si>
    <t>Cass</t>
  </si>
  <si>
    <t>46947</t>
  </si>
  <si>
    <t>15055 Shively Road</t>
  </si>
  <si>
    <t>Bremen</t>
  </si>
  <si>
    <t>46506</t>
  </si>
  <si>
    <t>Randolph Farms LF</t>
  </si>
  <si>
    <t>7256 W CR 600 S</t>
  </si>
  <si>
    <t>Modoc</t>
  </si>
  <si>
    <t>Randolph</t>
  </si>
  <si>
    <t>47358</t>
  </si>
  <si>
    <t>South Side Landfill Inc.</t>
  </si>
  <si>
    <t>2561 Kentucky Avenue</t>
  </si>
  <si>
    <t>Indianapolis</t>
  </si>
  <si>
    <t>46221</t>
  </si>
  <si>
    <t>Sycamore Ridge Landfill &amp; Victory Landfill</t>
  </si>
  <si>
    <t>5621 East Cottom Drive
12247 South Mill Street, Terre Haute</t>
  </si>
  <si>
    <t>Pimento</t>
  </si>
  <si>
    <t>Vigo</t>
  </si>
  <si>
    <t>47866</t>
  </si>
  <si>
    <t>Twin Bridges RDF</t>
  </si>
  <si>
    <t>124 Twin Bridges Road</t>
  </si>
  <si>
    <t>Hendricks</t>
  </si>
  <si>
    <t>46122</t>
  </si>
  <si>
    <t>Cedar Rapids Linn County Solid Waste Landfill #2</t>
  </si>
  <si>
    <t>1954 County Home Road</t>
  </si>
  <si>
    <t>Linn</t>
  </si>
  <si>
    <t>52302</t>
  </si>
  <si>
    <t>Central Disposal Landfill</t>
  </si>
  <si>
    <t>21265 - 430th Street</t>
  </si>
  <si>
    <t>Lake Mills</t>
  </si>
  <si>
    <t>50450</t>
  </si>
  <si>
    <t>Des Moines County Regional Sanitary Landfill</t>
  </si>
  <si>
    <t>13758 Washington Road</t>
  </si>
  <si>
    <t>West Burlington</t>
  </si>
  <si>
    <t>Des Moines</t>
  </si>
  <si>
    <t>52655</t>
  </si>
  <si>
    <t>Dubuque Metropolitan SLF</t>
  </si>
  <si>
    <t>101 Airborne Road</t>
  </si>
  <si>
    <t>Dubuque</t>
  </si>
  <si>
    <t>52003</t>
  </si>
  <si>
    <t>Metro Park East Landfill</t>
  </si>
  <si>
    <t>12181 University Avenue NE
12161 12th Avenue NE</t>
  </si>
  <si>
    <t>Mitchellville</t>
  </si>
  <si>
    <t>Polk</t>
  </si>
  <si>
    <t>50169</t>
  </si>
  <si>
    <t>Allen County LF</t>
  </si>
  <si>
    <t>1170 2800th Street</t>
  </si>
  <si>
    <t>La Harpe</t>
  </si>
  <si>
    <t>66751</t>
  </si>
  <si>
    <t>Hamm SLF</t>
  </si>
  <si>
    <t>16984 3rd Street</t>
  </si>
  <si>
    <t>Lawrence</t>
  </si>
  <si>
    <t>66044</t>
  </si>
  <si>
    <t>Johnson County LF</t>
  </si>
  <si>
    <t>17955 Holiday Drive
18181 W. 53rd</t>
  </si>
  <si>
    <t>Shawnee</t>
  </si>
  <si>
    <t>Johnson</t>
  </si>
  <si>
    <t>66217</t>
  </si>
  <si>
    <t>1150 E 700th Avenue</t>
  </si>
  <si>
    <t>Arcadia</t>
  </si>
  <si>
    <t>66711</t>
  </si>
  <si>
    <t>Rolling Meadows LF</t>
  </si>
  <si>
    <t>7352 NW Highway 75</t>
  </si>
  <si>
    <t>Topeka</t>
  </si>
  <si>
    <t>66618</t>
  </si>
  <si>
    <t>Seward County Landfill</t>
  </si>
  <si>
    <t>1703 E. 8th Street</t>
  </si>
  <si>
    <t>Seward</t>
  </si>
  <si>
    <t>67901</t>
  </si>
  <si>
    <t>Bavarian Trucking Company LF</t>
  </si>
  <si>
    <t>12764 McCoys Fork Road</t>
  </si>
  <si>
    <t>Walton</t>
  </si>
  <si>
    <t>Boone</t>
  </si>
  <si>
    <t>41094</t>
  </si>
  <si>
    <t>Blue Ridge RDF</t>
  </si>
  <si>
    <t>2700 Winchester Road</t>
  </si>
  <si>
    <t>Estill</t>
  </si>
  <si>
    <t>40336</t>
  </si>
  <si>
    <t>Boyd County Sanitary Landfill</t>
  </si>
  <si>
    <t>1837 River Cities Drive</t>
  </si>
  <si>
    <t>Ashland</t>
  </si>
  <si>
    <t>Boyd</t>
  </si>
  <si>
    <t>41102</t>
  </si>
  <si>
    <t>Central Kentucky Landfill</t>
  </si>
  <si>
    <t>493 Double Culvert Road</t>
  </si>
  <si>
    <t>40324</t>
  </si>
  <si>
    <t>Glasgow Regional Landfill</t>
  </si>
  <si>
    <t>400 Glen Garry Road</t>
  </si>
  <si>
    <t>Glasgow</t>
  </si>
  <si>
    <t>Barren</t>
  </si>
  <si>
    <t>42141</t>
  </si>
  <si>
    <t>Green Valley Landfill</t>
  </si>
  <si>
    <t>100 Addington Drive</t>
  </si>
  <si>
    <t>Greenup</t>
  </si>
  <si>
    <t>Hardin County Landfill</t>
  </si>
  <si>
    <t>1620 Audubon Trace</t>
  </si>
  <si>
    <t>Elizabethtown</t>
  </si>
  <si>
    <t>Hardin</t>
  </si>
  <si>
    <t>42701</t>
  </si>
  <si>
    <t>Laurel Ridge Landfill Inc.</t>
  </si>
  <si>
    <t>3612 East Highway 552</t>
  </si>
  <si>
    <t>Lily</t>
  </si>
  <si>
    <t>40740</t>
  </si>
  <si>
    <t>Morehead Landfill Inc.</t>
  </si>
  <si>
    <t>300 Old Phelps Road</t>
  </si>
  <si>
    <t>Morehead</t>
  </si>
  <si>
    <t>Rowan</t>
  </si>
  <si>
    <t>40351</t>
  </si>
  <si>
    <t>Outer Loop RDF</t>
  </si>
  <si>
    <t>2673 Outer Loop</t>
  </si>
  <si>
    <t>40219</t>
  </si>
  <si>
    <t>Rumpke/Pendleton County LF</t>
  </si>
  <si>
    <t>1374 Bryan Griffin Road
6 mi. N. of Falmouth, N. of Rt. 17 &amp; US 27 INTXN</t>
  </si>
  <si>
    <t>Butler</t>
  </si>
  <si>
    <t>Pendleton</t>
  </si>
  <si>
    <t>41006</t>
  </si>
  <si>
    <t>EBR Parish North Landfill</t>
  </si>
  <si>
    <t>16001 Samuels Road</t>
  </si>
  <si>
    <t>Zachary</t>
  </si>
  <si>
    <t>East Baton Rouge</t>
  </si>
  <si>
    <t>70791</t>
  </si>
  <si>
    <t>Jefferson Davis Parish Landfill</t>
  </si>
  <si>
    <t>16547 Landfill Road</t>
  </si>
  <si>
    <t>Welsh</t>
  </si>
  <si>
    <t>70591</t>
  </si>
  <si>
    <t>Jefferson Parish SLF</t>
  </si>
  <si>
    <t>5800 Highway 90 W</t>
  </si>
  <si>
    <t>Avondale</t>
  </si>
  <si>
    <t>70094</t>
  </si>
  <si>
    <t>River Birch Landfill</t>
  </si>
  <si>
    <t>2000 South Kenner Avenue</t>
  </si>
  <si>
    <t>St. Landry Parish LF</t>
  </si>
  <si>
    <t>417 Solid Waste Road</t>
  </si>
  <si>
    <t>St. Landry</t>
  </si>
  <si>
    <t>70589</t>
  </si>
  <si>
    <t>Timberlane Landfill</t>
  </si>
  <si>
    <t>1158 Landfill Road</t>
  </si>
  <si>
    <t>Oakdale</t>
  </si>
  <si>
    <t>71463</t>
  </si>
  <si>
    <t>White Oaks Landfill</t>
  </si>
  <si>
    <t>588 Meadowlark Drive</t>
  </si>
  <si>
    <t>Ouachita</t>
  </si>
  <si>
    <t>71203</t>
  </si>
  <si>
    <t>Woolworth Road Landfill</t>
  </si>
  <si>
    <t>10580 Woolworth Road</t>
  </si>
  <si>
    <t>Keithville</t>
  </si>
  <si>
    <t>Caddo</t>
  </si>
  <si>
    <t>71047</t>
  </si>
  <si>
    <t>Crossroads LF</t>
  </si>
  <si>
    <t>357 Mercer Road</t>
  </si>
  <si>
    <t>Norridgewock</t>
  </si>
  <si>
    <t>04957</t>
  </si>
  <si>
    <t>Hatch Hill LF</t>
  </si>
  <si>
    <t>Hatch Hill Road</t>
  </si>
  <si>
    <t>Augusta</t>
  </si>
  <si>
    <t>Kennebec</t>
  </si>
  <si>
    <t>04330</t>
  </si>
  <si>
    <t>Alpha Ridge SLF</t>
  </si>
  <si>
    <t>2350 Marriottsville Road</t>
  </si>
  <si>
    <t>Marriottsville</t>
  </si>
  <si>
    <t>Howard</t>
  </si>
  <si>
    <t>21104</t>
  </si>
  <si>
    <t>Brown Station Road Sanitary Landfill</t>
  </si>
  <si>
    <t>3500 Brown Station Road</t>
  </si>
  <si>
    <t>Upper Marlboro</t>
  </si>
  <si>
    <t>Prince George's</t>
  </si>
  <si>
    <t>20774</t>
  </si>
  <si>
    <t>Eastern Sanitary Landfill Solid Waste Management Facility (ESL)</t>
  </si>
  <si>
    <t>6257 Days Cove Road</t>
  </si>
  <si>
    <t>White Marsh</t>
  </si>
  <si>
    <t>Baltimore</t>
  </si>
  <si>
    <t>21162</t>
  </si>
  <si>
    <t>Midshore I - Regional Solid Waste Facility</t>
  </si>
  <si>
    <t>7341 Barkers Landing Road</t>
  </si>
  <si>
    <t>Easton</t>
  </si>
  <si>
    <t>Talbot</t>
  </si>
  <si>
    <t>Millersville SLF</t>
  </si>
  <si>
    <t>389 Burns Crossing Road</t>
  </si>
  <si>
    <t>Severn</t>
  </si>
  <si>
    <t>Anne Arundel</t>
  </si>
  <si>
    <t>21144</t>
  </si>
  <si>
    <t>Newland Park SLF</t>
  </si>
  <si>
    <t>6948 Brick Kiln Road</t>
  </si>
  <si>
    <t>Wicomico</t>
  </si>
  <si>
    <t>21801</t>
  </si>
  <si>
    <t>Quarantine Road SLF</t>
  </si>
  <si>
    <t>6100 Quarantine Road</t>
  </si>
  <si>
    <t>Curtis Bay</t>
  </si>
  <si>
    <t>Baltimore city</t>
  </si>
  <si>
    <t>21226</t>
  </si>
  <si>
    <t>Sandy Hill SLF</t>
  </si>
  <si>
    <t>9500 Old Laurel Bowie Road</t>
  </si>
  <si>
    <t>Bowie</t>
  </si>
  <si>
    <t>20720</t>
  </si>
  <si>
    <t>Chicopee Landfill (WMI)</t>
  </si>
  <si>
    <t>161 New Lombard Road</t>
  </si>
  <si>
    <t>Chicopee</t>
  </si>
  <si>
    <t>01020</t>
  </si>
  <si>
    <t>Crapo Hill LF</t>
  </si>
  <si>
    <t>300 Samuel Barnet Boulevard</t>
  </si>
  <si>
    <t>New Bedford</t>
  </si>
  <si>
    <t>02745</t>
  </si>
  <si>
    <t>Fall River Landfill</t>
  </si>
  <si>
    <t>1080 Airport Road</t>
  </si>
  <si>
    <t>Fall River</t>
  </si>
  <si>
    <t>02720</t>
  </si>
  <si>
    <t>Fitchburg-Westminster LF</t>
  </si>
  <si>
    <t>101 Fitchburg Road</t>
  </si>
  <si>
    <t>Westminster</t>
  </si>
  <si>
    <t>01473</t>
  </si>
  <si>
    <t>Granby SLF</t>
  </si>
  <si>
    <t>11 New Ludlow Road</t>
  </si>
  <si>
    <t>Granby</t>
  </si>
  <si>
    <t>01033</t>
  </si>
  <si>
    <t>Plainville LF</t>
  </si>
  <si>
    <t>14 Belcher Street</t>
  </si>
  <si>
    <t>Plainville</t>
  </si>
  <si>
    <t>Norfolk</t>
  </si>
  <si>
    <t>02762</t>
  </si>
  <si>
    <t>Quarry Hills Soils LF</t>
  </si>
  <si>
    <t>Ricciuti Drive</t>
  </si>
  <si>
    <t>Quincy</t>
  </si>
  <si>
    <t>02169</t>
  </si>
  <si>
    <t>Southbridge Recycling &amp; Disposal Park</t>
  </si>
  <si>
    <t>165 Barefoot Road</t>
  </si>
  <si>
    <t>Southbridge</t>
  </si>
  <si>
    <t>01550</t>
  </si>
  <si>
    <t>Taunton SLF</t>
  </si>
  <si>
    <t>340 East Britannia Street</t>
  </si>
  <si>
    <t>Taunton</t>
  </si>
  <si>
    <t>02780</t>
  </si>
  <si>
    <t>West Street Landfill</t>
  </si>
  <si>
    <t>744 West Street</t>
  </si>
  <si>
    <t>Gardner</t>
  </si>
  <si>
    <t>01440</t>
  </si>
  <si>
    <t>Adrian Landfill</t>
  </si>
  <si>
    <t>1970 North Ogden Highway</t>
  </si>
  <si>
    <t>Adrian</t>
  </si>
  <si>
    <t>Lenawee</t>
  </si>
  <si>
    <t>49221</t>
  </si>
  <si>
    <t>Ann Arbor SLF Phase I &amp; II</t>
  </si>
  <si>
    <t>4150 Platt Road</t>
  </si>
  <si>
    <t>Ann Arbor</t>
  </si>
  <si>
    <t>Washtenaw</t>
  </si>
  <si>
    <t>48108</t>
  </si>
  <si>
    <t>Arbor Hills Landfill Inc.</t>
  </si>
  <si>
    <t>10690 W. Six Mile Road</t>
  </si>
  <si>
    <t>Northville</t>
  </si>
  <si>
    <t>48168</t>
  </si>
  <si>
    <t>Autumn Hills Recycling &amp; Disposal Facility</t>
  </si>
  <si>
    <t>700 56th Avenue</t>
  </si>
  <si>
    <t>Zeeland</t>
  </si>
  <si>
    <t>49464</t>
  </si>
  <si>
    <t>Brent Run Landfill</t>
  </si>
  <si>
    <t>8335 Vienna Road</t>
  </si>
  <si>
    <t>Montrose</t>
  </si>
  <si>
    <t>48457</t>
  </si>
  <si>
    <t>C&amp;C Landfill</t>
  </si>
  <si>
    <t>14800 P Drive North</t>
  </si>
  <si>
    <t>Calhoun</t>
  </si>
  <si>
    <t>49068</t>
  </si>
  <si>
    <t>Carleton Farms Landfill</t>
  </si>
  <si>
    <t>28800 Clark Road</t>
  </si>
  <si>
    <t>New Boston</t>
  </si>
  <si>
    <t>Wayne</t>
  </si>
  <si>
    <t>48164</t>
  </si>
  <si>
    <t>Central Sanitary Landfill, Inc.</t>
  </si>
  <si>
    <t>21545 Cannonsville Road</t>
  </si>
  <si>
    <t>Pierson</t>
  </si>
  <si>
    <t>Montcalm</t>
  </si>
  <si>
    <t>49339</t>
  </si>
  <si>
    <t>Citizens Disposal Landfill</t>
  </si>
  <si>
    <t>2361 West Grand Blanc Road</t>
  </si>
  <si>
    <t>Grand Blanc</t>
  </si>
  <si>
    <t>48439</t>
  </si>
  <si>
    <t>City of Midland Sanitary LF</t>
  </si>
  <si>
    <t>4311 East Ashman Street</t>
  </si>
  <si>
    <t>Midland</t>
  </si>
  <si>
    <t>48642</t>
  </si>
  <si>
    <t>Eagle Valley RDF</t>
  </si>
  <si>
    <t>600 West Silverbell Road</t>
  </si>
  <si>
    <t>Lake Orion</t>
  </si>
  <si>
    <t>Oakland</t>
  </si>
  <si>
    <t>48359</t>
  </si>
  <si>
    <t>Glen's Sanitary Landfill Inc.</t>
  </si>
  <si>
    <t>518 East Traverse Highway</t>
  </si>
  <si>
    <t>Maple City</t>
  </si>
  <si>
    <t>Leelanau</t>
  </si>
  <si>
    <t>49664</t>
  </si>
  <si>
    <t>Granger Grand River LF</t>
  </si>
  <si>
    <t>8550 West Grand River Highway</t>
  </si>
  <si>
    <t>Grand Ledge</t>
  </si>
  <si>
    <t>48837</t>
  </si>
  <si>
    <t>Granger Wood Street Landfill</t>
  </si>
  <si>
    <t>16980 Wood Road</t>
  </si>
  <si>
    <t>48906</t>
  </si>
  <si>
    <t>Hastings Sanitary Landfill</t>
  </si>
  <si>
    <t>1899 N. M-43 Highway</t>
  </si>
  <si>
    <t>Kent County - South Kent LF</t>
  </si>
  <si>
    <t>10300 South Kent Drive SW</t>
  </si>
  <si>
    <t>Byron Center</t>
  </si>
  <si>
    <t>49315</t>
  </si>
  <si>
    <t>Muskegon County SWF</t>
  </si>
  <si>
    <t>9366 Apple Avenue</t>
  </si>
  <si>
    <t>49451</t>
  </si>
  <si>
    <t>Northern Oaks Recycling &amp; Disposal Facility</t>
  </si>
  <si>
    <t>513 North County Farm Road</t>
  </si>
  <si>
    <t>Harrison</t>
  </si>
  <si>
    <t>Clare</t>
  </si>
  <si>
    <t>48625</t>
  </si>
  <si>
    <t>Oakland Heights Development Landfill</t>
  </si>
  <si>
    <t>2350 Brown Road</t>
  </si>
  <si>
    <t>Auburn Hills</t>
  </si>
  <si>
    <t>48326</t>
  </si>
  <si>
    <t>Orchard Hill SLF</t>
  </si>
  <si>
    <t>3290 Hennessey Road</t>
  </si>
  <si>
    <t>Watervliet</t>
  </si>
  <si>
    <t>Berrien</t>
  </si>
  <si>
    <t>49098</t>
  </si>
  <si>
    <t>Ottawa County Farms Landfill</t>
  </si>
  <si>
    <t>15550 68th Avenue</t>
  </si>
  <si>
    <t>49404</t>
  </si>
  <si>
    <t>People's Landfill, Inc.</t>
  </si>
  <si>
    <t>4143 Rathbun Road</t>
  </si>
  <si>
    <t>Birch Run</t>
  </si>
  <si>
    <t>Saginaw</t>
  </si>
  <si>
    <t>48415</t>
  </si>
  <si>
    <t>Pine Tree Acres LF Inc.</t>
  </si>
  <si>
    <t>36600 29 Mile Road</t>
  </si>
  <si>
    <t>Lenox</t>
  </si>
  <si>
    <t>Macomb</t>
  </si>
  <si>
    <t>48048</t>
  </si>
  <si>
    <t>Richfield Landfill</t>
  </si>
  <si>
    <t>11417 East Mt. Morris Road</t>
  </si>
  <si>
    <t>Davison</t>
  </si>
  <si>
    <t>48423</t>
  </si>
  <si>
    <t>Riverview Land Preserve</t>
  </si>
  <si>
    <t>20863 Grange Road</t>
  </si>
  <si>
    <t>Riverview</t>
  </si>
  <si>
    <t>48193</t>
  </si>
  <si>
    <t>Sauk Trail Hills Landfill</t>
  </si>
  <si>
    <t>5011 South Lilley Road</t>
  </si>
  <si>
    <t>48188</t>
  </si>
  <si>
    <t>Smiths Creek Landfill</t>
  </si>
  <si>
    <t>6779 Smiths Creek Road</t>
  </si>
  <si>
    <t>Smiths Creek</t>
  </si>
  <si>
    <t>48074</t>
  </si>
  <si>
    <t>Southeast Berrien County Landfill</t>
  </si>
  <si>
    <t>3200 Chamberlain Road</t>
  </si>
  <si>
    <t>Buchanan</t>
  </si>
  <si>
    <t>49107</t>
  </si>
  <si>
    <t>Tay Mouth Landfill</t>
  </si>
  <si>
    <t>4532 East Rathbun Road</t>
  </si>
  <si>
    <t>Venice Park Recycling &amp; Disposal Facility</t>
  </si>
  <si>
    <t>9536 Lennon Road</t>
  </si>
  <si>
    <t>Lennon</t>
  </si>
  <si>
    <t>48449</t>
  </si>
  <si>
    <t>Waters Landfill</t>
  </si>
  <si>
    <t>11375 Sherman Road</t>
  </si>
  <si>
    <t>Frederic</t>
  </si>
  <si>
    <t>49733</t>
  </si>
  <si>
    <t>Wayne Disposal LF</t>
  </si>
  <si>
    <t>49350 N. I-94 Service Drive</t>
  </si>
  <si>
    <t>48111</t>
  </si>
  <si>
    <t>Westside Recycling and Disposal Facility</t>
  </si>
  <si>
    <t>14094 M-60 West</t>
  </si>
  <si>
    <t>Three Rivers</t>
  </si>
  <si>
    <t>49093</t>
  </si>
  <si>
    <t>Whitefeather Landfill</t>
  </si>
  <si>
    <t>2401 East Whitefeather Road</t>
  </si>
  <si>
    <t>Pinconning</t>
  </si>
  <si>
    <t>Bay</t>
  </si>
  <si>
    <t>48650</t>
  </si>
  <si>
    <t>Woodland Meadows Landfill</t>
  </si>
  <si>
    <t>5900 Hannan Road
39900 Van Born Road (Canton)</t>
  </si>
  <si>
    <t>48184</t>
  </si>
  <si>
    <t>Crow Wing County SLF</t>
  </si>
  <si>
    <t>15728 State Highway 210
6 miles NE of Brainerd</t>
  </si>
  <si>
    <t>Brainerd</t>
  </si>
  <si>
    <t>Crow Wing</t>
  </si>
  <si>
    <t>56401</t>
  </si>
  <si>
    <t>East Central SLF (ECSWC)</t>
  </si>
  <si>
    <t>1756 180th Avenue</t>
  </si>
  <si>
    <t>Mora</t>
  </si>
  <si>
    <t>Kanabec</t>
  </si>
  <si>
    <t>55051</t>
  </si>
  <si>
    <t>Pine Bend Landfill</t>
  </si>
  <si>
    <t>2495 East 117th Street</t>
  </si>
  <si>
    <t>Inver Grove Heights</t>
  </si>
  <si>
    <t>Dakota</t>
  </si>
  <si>
    <t>Spruce Ridge Landfill</t>
  </si>
  <si>
    <t>12755 137th Street</t>
  </si>
  <si>
    <t>Glencoe</t>
  </si>
  <si>
    <t>McLeod</t>
  </si>
  <si>
    <t>55336</t>
  </si>
  <si>
    <t>Golden Triangle Regional Landfill</t>
  </si>
  <si>
    <t>2505 Old West Point Road</t>
  </si>
  <si>
    <t>Starkville</t>
  </si>
  <si>
    <t>Oktibbeha</t>
  </si>
  <si>
    <t>39759</t>
  </si>
  <si>
    <t>Northeast Mississippi Regional Landfill</t>
  </si>
  <si>
    <t>2941 County Road 302</t>
  </si>
  <si>
    <t>Walnut</t>
  </si>
  <si>
    <t>Tippah</t>
  </si>
  <si>
    <t>38683</t>
  </si>
  <si>
    <t>Pecan Grove Sanitary Landfill</t>
  </si>
  <si>
    <t>9685 Firetower Road</t>
  </si>
  <si>
    <t>Pass Christian</t>
  </si>
  <si>
    <t>39571</t>
  </si>
  <si>
    <t>Prairie Bluff Sanitary Landfill</t>
  </si>
  <si>
    <t>1649 Highway 15 N</t>
  </si>
  <si>
    <t>Chickasaw</t>
  </si>
  <si>
    <t>38851</t>
  </si>
  <si>
    <t>Three Rivers Regional Landfill</t>
  </si>
  <si>
    <t>1904 Pontotoc Pkwy, West</t>
  </si>
  <si>
    <t>Pontotoc</t>
  </si>
  <si>
    <t>38863</t>
  </si>
  <si>
    <t>Black Oak Landfill</t>
  </si>
  <si>
    <t>5054 Highway HH</t>
  </si>
  <si>
    <t>Hartville</t>
  </si>
  <si>
    <t>Wright</t>
  </si>
  <si>
    <t>65667</t>
  </si>
  <si>
    <t>Champ Landfill</t>
  </si>
  <si>
    <t>2305 Creve Coeur Mill Road</t>
  </si>
  <si>
    <t>Maryland Heights</t>
  </si>
  <si>
    <t>St. Louis</t>
  </si>
  <si>
    <t>63043</t>
  </si>
  <si>
    <t>Columbia SLF</t>
  </si>
  <si>
    <t>5700 Peabody Road</t>
  </si>
  <si>
    <t>65202</t>
  </si>
  <si>
    <t>Courtney Ridge Landfill, LLC</t>
  </si>
  <si>
    <t>2001 N. Courtney Road</t>
  </si>
  <si>
    <t>Sugar Creek</t>
  </si>
  <si>
    <t>64050</t>
  </si>
  <si>
    <t>Fulton SLF</t>
  </si>
  <si>
    <t>6797 County Road 305</t>
  </si>
  <si>
    <t>Callaway</t>
  </si>
  <si>
    <t>65251</t>
  </si>
  <si>
    <t>IESI Timber Ridge Landfill</t>
  </si>
  <si>
    <t>12581 State Highway H</t>
  </si>
  <si>
    <t>Richwoods</t>
  </si>
  <si>
    <t>63071</t>
  </si>
  <si>
    <t>Jefferson City Sanitary Landfill</t>
  </si>
  <si>
    <t>5605 Moreau River Access Road</t>
  </si>
  <si>
    <t>Jefferson City</t>
  </si>
  <si>
    <t>Cole</t>
  </si>
  <si>
    <t>65101</t>
  </si>
  <si>
    <t>Lamar Landfill</t>
  </si>
  <si>
    <t>Hwy 71 &amp; DD</t>
  </si>
  <si>
    <t>Barton</t>
  </si>
  <si>
    <t>64759</t>
  </si>
  <si>
    <t>Prairie View Regional Waste Facility</t>
  </si>
  <si>
    <t>16 East State Highway  Dd</t>
  </si>
  <si>
    <t>Rumble Landfill #2</t>
  </si>
  <si>
    <t>2031 N. Courtney Road W. of Hwy 291</t>
  </si>
  <si>
    <t>Springfield Sanitary Landfill</t>
  </si>
  <si>
    <t>3545 W. Farm Road 34</t>
  </si>
  <si>
    <t>Willard</t>
  </si>
  <si>
    <t>65781</t>
  </si>
  <si>
    <t>St. Joseph City SLF</t>
  </si>
  <si>
    <t>9431 50th Road SE</t>
  </si>
  <si>
    <t>64507</t>
  </si>
  <si>
    <t>Billings City Landfill</t>
  </si>
  <si>
    <t>5240 Jellison Road</t>
  </si>
  <si>
    <t>Billings</t>
  </si>
  <si>
    <t>Yellowstone</t>
  </si>
  <si>
    <t>59101</t>
  </si>
  <si>
    <t>Flathead County Landfill</t>
  </si>
  <si>
    <t>4098 Hwy 93 N</t>
  </si>
  <si>
    <t>Kalispell</t>
  </si>
  <si>
    <t>Flathead</t>
  </si>
  <si>
    <t>59901</t>
  </si>
  <si>
    <t>Bluff Road Landfill</t>
  </si>
  <si>
    <t>6001 Bluff Road</t>
  </si>
  <si>
    <t>68517</t>
  </si>
  <si>
    <t>Butler County Landfill Inc.</t>
  </si>
  <si>
    <t>3588 Road R</t>
  </si>
  <si>
    <t>David City</t>
  </si>
  <si>
    <t>68632</t>
  </si>
  <si>
    <t>Douglas County Landfill</t>
  </si>
  <si>
    <t>12608 State Street</t>
  </si>
  <si>
    <t>Omaha</t>
  </si>
  <si>
    <t>Douglas</t>
  </si>
  <si>
    <t>68142</t>
  </si>
  <si>
    <t>Douglas County Recycling and Disposal Facility LF</t>
  </si>
  <si>
    <t>14320 North 216th Street</t>
  </si>
  <si>
    <t>Bennington</t>
  </si>
  <si>
    <t>68007</t>
  </si>
  <si>
    <t>L.P. Gill LF</t>
  </si>
  <si>
    <t>1402 Highway 20</t>
  </si>
  <si>
    <t>68743</t>
  </si>
  <si>
    <t>Sarpy County SLF</t>
  </si>
  <si>
    <t>14414S. 156th Street</t>
  </si>
  <si>
    <t>Springfield</t>
  </si>
  <si>
    <t>Sarpy</t>
  </si>
  <si>
    <t>68059</t>
  </si>
  <si>
    <t>Apex Regional LF</t>
  </si>
  <si>
    <t>NV</t>
  </si>
  <si>
    <t>13550 US Highway 93 North</t>
  </si>
  <si>
    <t>Las Vegas</t>
  </si>
  <si>
    <t>89165</t>
  </si>
  <si>
    <t>Lockwood Regional LF</t>
  </si>
  <si>
    <t>2700 E. Mustang Road</t>
  </si>
  <si>
    <t>Sparks</t>
  </si>
  <si>
    <t>Storey</t>
  </si>
  <si>
    <t>89434</t>
  </si>
  <si>
    <t>Four Hills Landfill</t>
  </si>
  <si>
    <t>840 West Hollis Street Route 111</t>
  </si>
  <si>
    <t>Nashua</t>
  </si>
  <si>
    <t>03062</t>
  </si>
  <si>
    <t>Turnkey Recycling and Environmental Enterprise (TREE)</t>
  </si>
  <si>
    <t>90 Rochester Neck Road</t>
  </si>
  <si>
    <t>Rochester</t>
  </si>
  <si>
    <t>Strafford</t>
  </si>
  <si>
    <t>03839</t>
  </si>
  <si>
    <t>Burlington County SLF</t>
  </si>
  <si>
    <t>22000 Burlington-Columbus Road</t>
  </si>
  <si>
    <t>Florence</t>
  </si>
  <si>
    <t>Burlington</t>
  </si>
  <si>
    <t>08022</t>
  </si>
  <si>
    <t>Cape May County MUA Secure Landfill</t>
  </si>
  <si>
    <t>Kearney Avenue &amp; 2050 Route 610</t>
  </si>
  <si>
    <t>Woodbine</t>
  </si>
  <si>
    <t>Cape May</t>
  </si>
  <si>
    <t>08270</t>
  </si>
  <si>
    <t>Cumberland County SWC</t>
  </si>
  <si>
    <t>169 Jesse Bridge Road</t>
  </si>
  <si>
    <t>Millville</t>
  </si>
  <si>
    <t>08332</t>
  </si>
  <si>
    <t>Edgeboro LF</t>
  </si>
  <si>
    <t>Edgeboro Road</t>
  </si>
  <si>
    <t>East Brunswick</t>
  </si>
  <si>
    <t>Middlesex</t>
  </si>
  <si>
    <t>08816</t>
  </si>
  <si>
    <t>Edison Township SLF</t>
  </si>
  <si>
    <t>Meadow Road</t>
  </si>
  <si>
    <t>Edison</t>
  </si>
  <si>
    <t>08837</t>
  </si>
  <si>
    <t>Industrial Land Reclaiming (ILR) LF</t>
  </si>
  <si>
    <t>Mill Lane</t>
  </si>
  <si>
    <t>Middlesex County LF</t>
  </si>
  <si>
    <t>53 Edgeboro Road</t>
  </si>
  <si>
    <t>Ocean County LF</t>
  </si>
  <si>
    <t>2498 Route 70</t>
  </si>
  <si>
    <t>Manchester</t>
  </si>
  <si>
    <t>Ocean</t>
  </si>
  <si>
    <t>08759</t>
  </si>
  <si>
    <t>Pennsauken SLF</t>
  </si>
  <si>
    <t>9600 River Road</t>
  </si>
  <si>
    <t>Pennsauken</t>
  </si>
  <si>
    <t>08110</t>
  </si>
  <si>
    <t>Salem County SLF</t>
  </si>
  <si>
    <t>36 McKillip Road</t>
  </si>
  <si>
    <t>Alloway</t>
  </si>
  <si>
    <t>Salem</t>
  </si>
  <si>
    <t>08001</t>
  </si>
  <si>
    <t>Camino Real Landfill</t>
  </si>
  <si>
    <t>NM</t>
  </si>
  <si>
    <t>1000 Camino Real Boulevard</t>
  </si>
  <si>
    <t>Sunland Park</t>
  </si>
  <si>
    <t>Dona Ana</t>
  </si>
  <si>
    <t>88063</t>
  </si>
  <si>
    <t>Cerro Colorado LF</t>
  </si>
  <si>
    <t>18000 Cerro Colorado SW</t>
  </si>
  <si>
    <t>Albuquerque</t>
  </si>
  <si>
    <t>Bernalillo</t>
  </si>
  <si>
    <t>87121</t>
  </si>
  <si>
    <t>Al Turi LF</t>
  </si>
  <si>
    <t>73 Hartley Road</t>
  </si>
  <si>
    <t>10924</t>
  </si>
  <si>
    <t>Albany Landfill</t>
  </si>
  <si>
    <t>525 Rapp Rd N</t>
  </si>
  <si>
    <t>12205</t>
  </si>
  <si>
    <t>Ava Landfill</t>
  </si>
  <si>
    <t>7044 State Route 294</t>
  </si>
  <si>
    <t>Oneida</t>
  </si>
  <si>
    <t>13309</t>
  </si>
  <si>
    <t>Brookhaven LF</t>
  </si>
  <si>
    <t>350 Horseblock Road
(Horseblock &amp; Sunrise Highway)</t>
  </si>
  <si>
    <t>Yaphank</t>
  </si>
  <si>
    <t>11980</t>
  </si>
  <si>
    <t>Broome County Landfill</t>
  </si>
  <si>
    <t>286 Knapp Road</t>
  </si>
  <si>
    <t>Binghamton</t>
  </si>
  <si>
    <t>Broome</t>
  </si>
  <si>
    <t>13905</t>
  </si>
  <si>
    <t>Chaffee LF</t>
  </si>
  <si>
    <t>10860 Olean Road</t>
  </si>
  <si>
    <t>Chaffee</t>
  </si>
  <si>
    <t>14030</t>
  </si>
  <si>
    <t>Chautauqua County Landfill</t>
  </si>
  <si>
    <t>3889 Towerville Road</t>
  </si>
  <si>
    <t>Jamestown</t>
  </si>
  <si>
    <t>14701</t>
  </si>
  <si>
    <t>Clinton County Regional Landfill</t>
  </si>
  <si>
    <t>286 Sand Road</t>
  </si>
  <si>
    <t>Morrisonville</t>
  </si>
  <si>
    <t>12962</t>
  </si>
  <si>
    <t>DANC Solid Waste Management Facility</t>
  </si>
  <si>
    <t>23400 NYS State Route 177</t>
  </si>
  <si>
    <t>Rodman</t>
  </si>
  <si>
    <t>13682-0003</t>
  </si>
  <si>
    <t>Franklin County Regional Landfill</t>
  </si>
  <si>
    <t>828 County Route 20</t>
  </si>
  <si>
    <t>Constable</t>
  </si>
  <si>
    <t>12926</t>
  </si>
  <si>
    <t>Fulton County LF</t>
  </si>
  <si>
    <t>847 Mud Road</t>
  </si>
  <si>
    <t>Johnstown</t>
  </si>
  <si>
    <t>12095</t>
  </si>
  <si>
    <t>High Acres LF and Recycling Center</t>
  </si>
  <si>
    <t>425 Perinton Parkway</t>
  </si>
  <si>
    <t>Fairport</t>
  </si>
  <si>
    <t>14450</t>
  </si>
  <si>
    <t>Hyland LF</t>
  </si>
  <si>
    <t>6653 Herdman Road</t>
  </si>
  <si>
    <t>Angelica</t>
  </si>
  <si>
    <t>Allegany</t>
  </si>
  <si>
    <t>14709</t>
  </si>
  <si>
    <t>Madison County Landfill</t>
  </si>
  <si>
    <t>6663 Buyea Road</t>
  </si>
  <si>
    <t>Canastota</t>
  </si>
  <si>
    <t>13032</t>
  </si>
  <si>
    <t>Mill Seat LF</t>
  </si>
  <si>
    <t>303 Brew Road</t>
  </si>
  <si>
    <t>Bergen</t>
  </si>
  <si>
    <t>14416</t>
  </si>
  <si>
    <t>Modern Landfill Inc</t>
  </si>
  <si>
    <t>1445 Pletcher Road</t>
  </si>
  <si>
    <t>Youngstown</t>
  </si>
  <si>
    <t>14174</t>
  </si>
  <si>
    <t>Ontario County SLF</t>
  </si>
  <si>
    <t>3555 Post Farm Road
1879 State Route 5 &amp; 20</t>
  </si>
  <si>
    <t>14561</t>
  </si>
  <si>
    <t>Saratoga Springs LF</t>
  </si>
  <si>
    <t>Weibel Avenue</t>
  </si>
  <si>
    <t>Saratoga Springs</t>
  </si>
  <si>
    <t>Saratoga</t>
  </si>
  <si>
    <t>12866</t>
  </si>
  <si>
    <t>Seneca Meadows SWMF</t>
  </si>
  <si>
    <t>1786 Salcman Road</t>
  </si>
  <si>
    <t>Seneca</t>
  </si>
  <si>
    <t>13165</t>
  </si>
  <si>
    <t>Town of Colonie SLF</t>
  </si>
  <si>
    <t>4 Arrowhead Lane</t>
  </si>
  <si>
    <t>Cohoes</t>
  </si>
  <si>
    <t>12047</t>
  </si>
  <si>
    <t>Troy SLF</t>
  </si>
  <si>
    <t>Industrial Park Road</t>
  </si>
  <si>
    <t>Troy</t>
  </si>
  <si>
    <t>12180</t>
  </si>
  <si>
    <t>Buncombe County New Landfill</t>
  </si>
  <si>
    <t>85 Panther Branch Road</t>
  </si>
  <si>
    <t>Alexander</t>
  </si>
  <si>
    <t>Buncombe</t>
  </si>
  <si>
    <t>28701</t>
  </si>
  <si>
    <t>Charlotte Motor Speedway Landfill V</t>
  </si>
  <si>
    <t>5105 Morehead Road</t>
  </si>
  <si>
    <t>Concord</t>
  </si>
  <si>
    <t>Cabarrus</t>
  </si>
  <si>
    <t>28027</t>
  </si>
  <si>
    <t>City of Durham SLF</t>
  </si>
  <si>
    <t>2115 E. Club Boulevard</t>
  </si>
  <si>
    <t>Durham</t>
  </si>
  <si>
    <t>27704</t>
  </si>
  <si>
    <t>City of Greensboro White Street Landfill</t>
  </si>
  <si>
    <t>2503 White Street</t>
  </si>
  <si>
    <t>Greensboro</t>
  </si>
  <si>
    <t>Guilford</t>
  </si>
  <si>
    <t>27405</t>
  </si>
  <si>
    <t>Columbus County, ARS</t>
  </si>
  <si>
    <t>354 Landfill Road SR-1428</t>
  </si>
  <si>
    <t>Whiteville</t>
  </si>
  <si>
    <t>28472</t>
  </si>
  <si>
    <t>Cumberland County Ann Street Landfill</t>
  </si>
  <si>
    <t>698 Ann Street</t>
  </si>
  <si>
    <t>Fayetteville</t>
  </si>
  <si>
    <t>28301</t>
  </si>
  <si>
    <t>Davidson County LF</t>
  </si>
  <si>
    <t>1242 Old Highway 29</t>
  </si>
  <si>
    <t>Thomasville</t>
  </si>
  <si>
    <t>Davidson</t>
  </si>
  <si>
    <t>27360</t>
  </si>
  <si>
    <t>Edgecombe County LF</t>
  </si>
  <si>
    <t>2872 Colonial Road</t>
  </si>
  <si>
    <t>Tarboro</t>
  </si>
  <si>
    <t>Edgecombe</t>
  </si>
  <si>
    <t>27886</t>
  </si>
  <si>
    <t>Gaston County LF</t>
  </si>
  <si>
    <t>3155 Philadelphia Church Road</t>
  </si>
  <si>
    <t>Dallas</t>
  </si>
  <si>
    <t>Gaston</t>
  </si>
  <si>
    <t>28034</t>
  </si>
  <si>
    <t>Hanes Mill Road Landfill</t>
  </si>
  <si>
    <t>325 West Hanes Mill Road</t>
  </si>
  <si>
    <t>Winston-Salem</t>
  </si>
  <si>
    <t>Forsyth</t>
  </si>
  <si>
    <t>27105</t>
  </si>
  <si>
    <t>Iredell County LF</t>
  </si>
  <si>
    <t>354 Twin Oaks Road</t>
  </si>
  <si>
    <t>Statesville</t>
  </si>
  <si>
    <t>Iredell</t>
  </si>
  <si>
    <t>28625</t>
  </si>
  <si>
    <t>Jackson County Landfill</t>
  </si>
  <si>
    <t>Dillsboro</t>
  </si>
  <si>
    <t>28779</t>
  </si>
  <si>
    <t>Johnston County MSW LF</t>
  </si>
  <si>
    <t>680 County Home Road</t>
  </si>
  <si>
    <t>Smithfield</t>
  </si>
  <si>
    <t>27577</t>
  </si>
  <si>
    <t>Montgomery County Landfill</t>
  </si>
  <si>
    <t>SR 1137
Landfill Road</t>
  </si>
  <si>
    <t>North Wake County Landfill</t>
  </si>
  <si>
    <t>9300 Deponie Drive</t>
  </si>
  <si>
    <t>Raleigh</t>
  </si>
  <si>
    <t>Wake</t>
  </si>
  <si>
    <t>27614</t>
  </si>
  <si>
    <t>Onslow County LF</t>
  </si>
  <si>
    <t>415 Meadowview Road</t>
  </si>
  <si>
    <t>Jacksonville</t>
  </si>
  <si>
    <t>Onslow</t>
  </si>
  <si>
    <t>28540</t>
  </si>
  <si>
    <t>Piedmont SLF</t>
  </si>
  <si>
    <t>9900 Freeman Road</t>
  </si>
  <si>
    <t>Kernersville</t>
  </si>
  <si>
    <t>27284</t>
  </si>
  <si>
    <t>Robeson County LF</t>
  </si>
  <si>
    <t>246 Landfill Road</t>
  </si>
  <si>
    <t>St. Pauls</t>
  </si>
  <si>
    <t>Robeson</t>
  </si>
  <si>
    <t>28384</t>
  </si>
  <si>
    <t>Sampson County LF</t>
  </si>
  <si>
    <t>7434 Roseboro Highway</t>
  </si>
  <si>
    <t>Roseboro</t>
  </si>
  <si>
    <t>Sampson</t>
  </si>
  <si>
    <t>28382</t>
  </si>
  <si>
    <t>South Wake LF (New)</t>
  </si>
  <si>
    <t>6300 Old Smithfield Road</t>
  </si>
  <si>
    <t>Apex</t>
  </si>
  <si>
    <t>27539-5353</t>
  </si>
  <si>
    <t>Surry County LF 1 &amp; LF 3</t>
  </si>
  <si>
    <t>419 Landfill Road
237 Landfill Road</t>
  </si>
  <si>
    <t>Mt. Airy</t>
  </si>
  <si>
    <t>Surry</t>
  </si>
  <si>
    <t>27030</t>
  </si>
  <si>
    <t>Tuscarora Long-Term Regional Landfill</t>
  </si>
  <si>
    <t>7400 Old Highway 70 West</t>
  </si>
  <si>
    <t>New Bern</t>
  </si>
  <si>
    <t>Craven</t>
  </si>
  <si>
    <t>28562</t>
  </si>
  <si>
    <t>Uwharrie Environmental Regional LF</t>
  </si>
  <si>
    <t>501 Landfill Road</t>
  </si>
  <si>
    <t>Mount Gilead</t>
  </si>
  <si>
    <t>27306</t>
  </si>
  <si>
    <t>Wayne County LF</t>
  </si>
  <si>
    <t>460B South Landfill Road</t>
  </si>
  <si>
    <t>Dudley</t>
  </si>
  <si>
    <t>28333</t>
  </si>
  <si>
    <t>City of Fargo Landfill</t>
  </si>
  <si>
    <t>4501 7th Avenue North</t>
  </si>
  <si>
    <t>Fargo</t>
  </si>
  <si>
    <t>58102</t>
  </si>
  <si>
    <t>American LF</t>
  </si>
  <si>
    <t>7916 Chapel Street SE</t>
  </si>
  <si>
    <t>Waynesburg</t>
  </si>
  <si>
    <t>Stark</t>
  </si>
  <si>
    <t>44688</t>
  </si>
  <si>
    <t>Apex Sanitary Landfill</t>
  </si>
  <si>
    <t>11 County Road 78</t>
  </si>
  <si>
    <t>43903</t>
  </si>
  <si>
    <t>Carbon Limestone LF</t>
  </si>
  <si>
    <t>8100 South Stateline Road</t>
  </si>
  <si>
    <t>Lowellville</t>
  </si>
  <si>
    <t>Mahoning</t>
  </si>
  <si>
    <t>44436</t>
  </si>
  <si>
    <t>Erie County SLF</t>
  </si>
  <si>
    <t>10102 Hoover Road</t>
  </si>
  <si>
    <t>Milan</t>
  </si>
  <si>
    <t>44846</t>
  </si>
  <si>
    <t>Franklin County SLF</t>
  </si>
  <si>
    <t>3851 London-Groveport Road SR-665</t>
  </si>
  <si>
    <t>Grove City</t>
  </si>
  <si>
    <t>43123</t>
  </si>
  <si>
    <t>Geneva Landfill</t>
  </si>
  <si>
    <t>4339 Tuttle Road</t>
  </si>
  <si>
    <t>Ashtabula</t>
  </si>
  <si>
    <t>44041</t>
  </si>
  <si>
    <t>Hancock County Sanitary LF</t>
  </si>
  <si>
    <t>10400 Allen Township Road 107
3763 County Road 140</t>
  </si>
  <si>
    <t>Findlay</t>
  </si>
  <si>
    <t>45840</t>
  </si>
  <si>
    <t>Lorain County Landfill I &amp; II</t>
  </si>
  <si>
    <t>43502 Oberlin-Elyria Road
State Route 511</t>
  </si>
  <si>
    <t>Oberlin</t>
  </si>
  <si>
    <t>Lorain</t>
  </si>
  <si>
    <t>44074</t>
  </si>
  <si>
    <t>Mahoning LF</t>
  </si>
  <si>
    <t>3510 E. Garfield Road</t>
  </si>
  <si>
    <t>New Springfield</t>
  </si>
  <si>
    <t>44443</t>
  </si>
  <si>
    <t>Noble Road LF</t>
  </si>
  <si>
    <t>170 Noble Road East</t>
  </si>
  <si>
    <t>Shiloh</t>
  </si>
  <si>
    <t>Richland</t>
  </si>
  <si>
    <t>44878</t>
  </si>
  <si>
    <t>Ottawa County LF</t>
  </si>
  <si>
    <t>530 North Camp Road</t>
  </si>
  <si>
    <t>Port Clinton</t>
  </si>
  <si>
    <t>43452</t>
  </si>
  <si>
    <t>Rumpke Brown County Landfill</t>
  </si>
  <si>
    <t>9427 Beyers Road</t>
  </si>
  <si>
    <t>Brown</t>
  </si>
  <si>
    <t>45121</t>
  </si>
  <si>
    <t>Rumpke SLF, Inc.</t>
  </si>
  <si>
    <t>10795 Hughes Road
3800 Struble Road</t>
  </si>
  <si>
    <t>Cincinnati</t>
  </si>
  <si>
    <t>45251</t>
  </si>
  <si>
    <t>Stony Hollow Landfill Inc.</t>
  </si>
  <si>
    <t>2460 S Gettysburg Avenue</t>
  </si>
  <si>
    <t>45418</t>
  </si>
  <si>
    <t>Suburban South R&amp;D</t>
  </si>
  <si>
    <t>3415 Township Road 447</t>
  </si>
  <si>
    <t>Glenford</t>
  </si>
  <si>
    <t>43739</t>
  </si>
  <si>
    <t>American Environmental Landfill</t>
  </si>
  <si>
    <t>212 N. 177th W. Avenue</t>
  </si>
  <si>
    <t>Sand Springs</t>
  </si>
  <si>
    <t>Osage</t>
  </si>
  <si>
    <t>74063</t>
  </si>
  <si>
    <t>East Oak SLF</t>
  </si>
  <si>
    <t>3201 Mosley Road</t>
  </si>
  <si>
    <t>Oklahoma City</t>
  </si>
  <si>
    <t>Oklahoma</t>
  </si>
  <si>
    <t>73141</t>
  </si>
  <si>
    <t>Oklahoma City Landfill</t>
  </si>
  <si>
    <t>7600 SW 15th Street</t>
  </si>
  <si>
    <t>73128</t>
  </si>
  <si>
    <t>Sooner Landfill</t>
  </si>
  <si>
    <t>36339 E. West 127</t>
  </si>
  <si>
    <t>Wewoka</t>
  </si>
  <si>
    <t>74884</t>
  </si>
  <si>
    <t>Southeast OKC Landfill</t>
  </si>
  <si>
    <t>7001 S. Bryant Street</t>
  </si>
  <si>
    <t>73149</t>
  </si>
  <si>
    <t>Southern OK Regional Disposal LF</t>
  </si>
  <si>
    <t>31 Sord Drive</t>
  </si>
  <si>
    <t>Ardmore</t>
  </si>
  <si>
    <t>Carter</t>
  </si>
  <si>
    <t>73402</t>
  </si>
  <si>
    <t>Coffin Butte LF</t>
  </si>
  <si>
    <t>28972 Coffin Butte Road</t>
  </si>
  <si>
    <t>Benton</t>
  </si>
  <si>
    <t>97330</t>
  </si>
  <si>
    <t>Columbia Ridge LF</t>
  </si>
  <si>
    <t>18177 Cedar Springs Lane</t>
  </si>
  <si>
    <t>Arlington</t>
  </si>
  <si>
    <t>Gilliam</t>
  </si>
  <si>
    <t>97812</t>
  </si>
  <si>
    <t>Dry Creek Landfill</t>
  </si>
  <si>
    <t>6260 Dry Creek Road</t>
  </si>
  <si>
    <t>Eagle Point</t>
  </si>
  <si>
    <t>97524</t>
  </si>
  <si>
    <t>Finley Buttes Regional Landfill</t>
  </si>
  <si>
    <t>73221 Bombing Range Road</t>
  </si>
  <si>
    <t>97818</t>
  </si>
  <si>
    <t>Riverbend Landfill Company, Inc.</t>
  </si>
  <si>
    <t>13469 SW Highway 18</t>
  </si>
  <si>
    <t>McMinnville</t>
  </si>
  <si>
    <t>97128</t>
  </si>
  <si>
    <t>Roseburg LF</t>
  </si>
  <si>
    <t>376 Roseburg Landfill Road</t>
  </si>
  <si>
    <t>Roseburg</t>
  </si>
  <si>
    <t>97470</t>
  </si>
  <si>
    <t>Short Mountain LF</t>
  </si>
  <si>
    <t>84777 Dillard Access Road</t>
  </si>
  <si>
    <t>Eugene</t>
  </si>
  <si>
    <t>97405</t>
  </si>
  <si>
    <t>Alliance SLF</t>
  </si>
  <si>
    <t>398 South Keyser Avenue</t>
  </si>
  <si>
    <t>Lackawanna</t>
  </si>
  <si>
    <t>18517</t>
  </si>
  <si>
    <t>Arden LF</t>
  </si>
  <si>
    <t>200 Rangos Lane</t>
  </si>
  <si>
    <t>15301</t>
  </si>
  <si>
    <t>Blue Ridge Landfill</t>
  </si>
  <si>
    <t>1660 Orchard Road
3747 White Church Road</t>
  </si>
  <si>
    <t>Chambersburg</t>
  </si>
  <si>
    <t>17202</t>
  </si>
  <si>
    <t>Bradford County Landfill</t>
  </si>
  <si>
    <t>108 Steam Hollow Road
off U.S. Route 6</t>
  </si>
  <si>
    <t>Bradford</t>
  </si>
  <si>
    <t>16947</t>
  </si>
  <si>
    <t>Commonwealth Environmental Systems (CES) LF</t>
  </si>
  <si>
    <t>99 Commonwealth Road
near Route 25 and I-81</t>
  </si>
  <si>
    <t>Hegins</t>
  </si>
  <si>
    <t>Schuylkill</t>
  </si>
  <si>
    <t>17938</t>
  </si>
  <si>
    <t>Conestoga LF</t>
  </si>
  <si>
    <t>420 Quarry Road</t>
  </si>
  <si>
    <t>Morgantown</t>
  </si>
  <si>
    <t>19543</t>
  </si>
  <si>
    <t>Cumberland County LF</t>
  </si>
  <si>
    <t>135 Vaughn Road</t>
  </si>
  <si>
    <t>17257</t>
  </si>
  <si>
    <t>Frey Farm-Creswell LF</t>
  </si>
  <si>
    <t>3049 River Road</t>
  </si>
  <si>
    <t>Conestoga</t>
  </si>
  <si>
    <t>17516</t>
  </si>
  <si>
    <t>Grand Central SLF</t>
  </si>
  <si>
    <t>1963 Pen Argyl Road</t>
  </si>
  <si>
    <t>Pen Argyl</t>
  </si>
  <si>
    <t>Northampton</t>
  </si>
  <si>
    <t>18072</t>
  </si>
  <si>
    <t>Greater Lebanon Refuse Authority LF</t>
  </si>
  <si>
    <t>1610 Russell Road</t>
  </si>
  <si>
    <t>17046-1425</t>
  </si>
  <si>
    <t>Greentree Landfill</t>
  </si>
  <si>
    <t>635 Toby Road</t>
  </si>
  <si>
    <t>Kersey</t>
  </si>
  <si>
    <t>Elk</t>
  </si>
  <si>
    <t>15846</t>
  </si>
  <si>
    <t>Imperial Sanitary Landfill</t>
  </si>
  <si>
    <t>11 Boggs Road</t>
  </si>
  <si>
    <t>Imperial</t>
  </si>
  <si>
    <t>Allegheny</t>
  </si>
  <si>
    <t>15126</t>
  </si>
  <si>
    <t>J.J. Brunner LF</t>
  </si>
  <si>
    <t>211 Brunner Road</t>
  </si>
  <si>
    <t>Zelienople</t>
  </si>
  <si>
    <t>16063</t>
  </si>
  <si>
    <t>Keystone Sanitary Landfill, Inc.</t>
  </si>
  <si>
    <t>249 Dunham Drive</t>
  </si>
  <si>
    <t>Dunmore</t>
  </si>
  <si>
    <t>18512</t>
  </si>
  <si>
    <t>Lake View LF</t>
  </si>
  <si>
    <t>851 Robison Road East</t>
  </si>
  <si>
    <t>16509</t>
  </si>
  <si>
    <t>Lanchester LF</t>
  </si>
  <si>
    <t>7224 Division Highway</t>
  </si>
  <si>
    <t>17555</t>
  </si>
  <si>
    <t>Laurel Highlands LF</t>
  </si>
  <si>
    <t>260 Laurel Ridge Road</t>
  </si>
  <si>
    <t>15909</t>
  </si>
  <si>
    <t>Lycoming County Landfill</t>
  </si>
  <si>
    <t>447 Alexander Drive Route 15</t>
  </si>
  <si>
    <t>Lycoming</t>
  </si>
  <si>
    <t>17752</t>
  </si>
  <si>
    <t>Monroeville LF</t>
  </si>
  <si>
    <t>600 Thomas Street Extension</t>
  </si>
  <si>
    <t>Monroeville</t>
  </si>
  <si>
    <t>15146</t>
  </si>
  <si>
    <t>Mostoller Landfill, Inc.</t>
  </si>
  <si>
    <t>7095 Glades Pike Route 31</t>
  </si>
  <si>
    <t>15501</t>
  </si>
  <si>
    <t>Mountain View Reclamation Landfill</t>
  </si>
  <si>
    <t>9446 Letzburg Road</t>
  </si>
  <si>
    <t>Greencastle</t>
  </si>
  <si>
    <t>17225</t>
  </si>
  <si>
    <t>Pine Grove Landfill Inc.</t>
  </si>
  <si>
    <t>193 Shultz Road</t>
  </si>
  <si>
    <t>Pine Grove</t>
  </si>
  <si>
    <t>17963</t>
  </si>
  <si>
    <t>Pioneer Crossing LF</t>
  </si>
  <si>
    <t>727 Redlane Road</t>
  </si>
  <si>
    <t>Birdsboro</t>
  </si>
  <si>
    <t>19508</t>
  </si>
  <si>
    <t>SECCRA Community Landfill</t>
  </si>
  <si>
    <t>219 Street Road</t>
  </si>
  <si>
    <t>West Grove</t>
  </si>
  <si>
    <t>19390</t>
  </si>
  <si>
    <t>Seneca Landfill Inc.</t>
  </si>
  <si>
    <t>421 Hartmann Road</t>
  </si>
  <si>
    <t>Evans City</t>
  </si>
  <si>
    <t>16033</t>
  </si>
  <si>
    <t>Shade Landfill</t>
  </si>
  <si>
    <t>1176 No. 1 Road</t>
  </si>
  <si>
    <t>Cairnbrook</t>
  </si>
  <si>
    <t>15924</t>
  </si>
  <si>
    <t>Southern Alleghenies LF</t>
  </si>
  <si>
    <t>843 Miller Picking Road</t>
  </si>
  <si>
    <t>Davidsville</t>
  </si>
  <si>
    <t>15928</t>
  </si>
  <si>
    <t>Tullytown LF</t>
  </si>
  <si>
    <t>200 Bordentown Road</t>
  </si>
  <si>
    <t>Tullytown</t>
  </si>
  <si>
    <t>19007</t>
  </si>
  <si>
    <t>Valley LF</t>
  </si>
  <si>
    <t>6015 Pleasant Valley Road</t>
  </si>
  <si>
    <t>Irwin</t>
  </si>
  <si>
    <t>Westmoreland</t>
  </si>
  <si>
    <t>15642</t>
  </si>
  <si>
    <t>Westmoreland Waste SLF LLC</t>
  </si>
  <si>
    <t>900 Tyrol Boulevard
111 Conner Lane</t>
  </si>
  <si>
    <t>Belle Vernon</t>
  </si>
  <si>
    <t>15012</t>
  </si>
  <si>
    <t>Arecibo Landfill</t>
  </si>
  <si>
    <t>PR</t>
  </si>
  <si>
    <t>Carr. PR-682 Interior Sector Garrochales  Bo. Factor II</t>
  </si>
  <si>
    <t>Arecibo</t>
  </si>
  <si>
    <t>00612</t>
  </si>
  <si>
    <t>Fajardo Municipal Landfill</t>
  </si>
  <si>
    <t>Road 982 km 4.9, Bo. Demajagua</t>
  </si>
  <si>
    <t>Fajardo</t>
  </si>
  <si>
    <t>00740</t>
  </si>
  <si>
    <t>Toa Baja LF</t>
  </si>
  <si>
    <t>Road 865, Bo. Candelaria Ward
NW of SR #866 &amp; De Diego Hwy # PR 22</t>
  </si>
  <si>
    <t>Toa Baja</t>
  </si>
  <si>
    <t>00961</t>
  </si>
  <si>
    <t>Central LF</t>
  </si>
  <si>
    <t>RI</t>
  </si>
  <si>
    <t>65 Shun Pike</t>
  </si>
  <si>
    <t>Providence</t>
  </si>
  <si>
    <t>02919</t>
  </si>
  <si>
    <t>Cranston Sanitary Landfill</t>
  </si>
  <si>
    <t>1688 Pontiac Avenue</t>
  </si>
  <si>
    <t>Cranston</t>
  </si>
  <si>
    <t>02920</t>
  </si>
  <si>
    <t>Anderson Regional Landfill</t>
  </si>
  <si>
    <t>203 Landfill Road</t>
  </si>
  <si>
    <t>Belton</t>
  </si>
  <si>
    <t>Anderson</t>
  </si>
  <si>
    <t>29627</t>
  </si>
  <si>
    <t>Berkeley County Subtitle D LF</t>
  </si>
  <si>
    <t>555 Oakley Road</t>
  </si>
  <si>
    <t>Moncks Corner</t>
  </si>
  <si>
    <t>Berkeley</t>
  </si>
  <si>
    <t>29461</t>
  </si>
  <si>
    <t>Enoree Landfill</t>
  </si>
  <si>
    <t>1311 Anderson Ridge Road</t>
  </si>
  <si>
    <t>Greer</t>
  </si>
  <si>
    <t>29651</t>
  </si>
  <si>
    <t>Horry County SWA Landfill</t>
  </si>
  <si>
    <t>1886 S Highway 90
McNeill Street</t>
  </si>
  <si>
    <t>Horry</t>
  </si>
  <si>
    <t>29526</t>
  </si>
  <si>
    <t>Langley Landfill</t>
  </si>
  <si>
    <t>458 Huber Clay Road</t>
  </si>
  <si>
    <t>Langley</t>
  </si>
  <si>
    <t>Aiken</t>
  </si>
  <si>
    <t>29851</t>
  </si>
  <si>
    <t>Lee County LF, LLC</t>
  </si>
  <si>
    <t>1431 Sumter Highway</t>
  </si>
  <si>
    <t>Bishopville</t>
  </si>
  <si>
    <t>29010</t>
  </si>
  <si>
    <t>Oakridge Landfill Inc.</t>
  </si>
  <si>
    <t>2183 Highway 78</t>
  </si>
  <si>
    <t>29437</t>
  </si>
  <si>
    <t>Palmetto Landfill</t>
  </si>
  <si>
    <t>360 New Hope Road</t>
  </si>
  <si>
    <t>Wellford</t>
  </si>
  <si>
    <t>Spartanburg</t>
  </si>
  <si>
    <t>29385</t>
  </si>
  <si>
    <t>Richland County Landfill</t>
  </si>
  <si>
    <t>1047 Highway Church Road</t>
  </si>
  <si>
    <t>Elgin</t>
  </si>
  <si>
    <t>29045</t>
  </si>
  <si>
    <t>Union County Regional MSW Landfill</t>
  </si>
  <si>
    <t>898 Wildcat Road</t>
  </si>
  <si>
    <t>Enoree</t>
  </si>
  <si>
    <t>29335</t>
  </si>
  <si>
    <t>Wellford LF</t>
  </si>
  <si>
    <t>595 Little Mountain Road</t>
  </si>
  <si>
    <t>Rapid City Landfill</t>
  </si>
  <si>
    <t>5555 S. Hwy 79</t>
  </si>
  <si>
    <t>Rapid City</t>
  </si>
  <si>
    <t>Pennington</t>
  </si>
  <si>
    <t>57701</t>
  </si>
  <si>
    <t>Sioux Falls Regional Sanitary Landfill (SFRSL)</t>
  </si>
  <si>
    <t>26750 464th Avenue</t>
  </si>
  <si>
    <t>Minnehaha</t>
  </si>
  <si>
    <t>57033</t>
  </si>
  <si>
    <t>Bi-County LF</t>
  </si>
  <si>
    <t>3212 Dover Road</t>
  </si>
  <si>
    <t>Woodlawn</t>
  </si>
  <si>
    <t>37191</t>
  </si>
  <si>
    <t>Carter Valley Landfill</t>
  </si>
  <si>
    <t>2825 Carters Valley Road</t>
  </si>
  <si>
    <t>Church Hill</t>
  </si>
  <si>
    <t>Hawkins</t>
  </si>
  <si>
    <t>37642</t>
  </si>
  <si>
    <t>Chestnut Ridge LF</t>
  </si>
  <si>
    <t>140 Fleenor Mill Road</t>
  </si>
  <si>
    <t>Heiskell</t>
  </si>
  <si>
    <t>37754</t>
  </si>
  <si>
    <t>Iris Glen Environmental Center</t>
  </si>
  <si>
    <t>1705 E. Main Street</t>
  </si>
  <si>
    <t>Johnson City</t>
  </si>
  <si>
    <t>37601</t>
  </si>
  <si>
    <t>Meadow Branch Landfill</t>
  </si>
  <si>
    <t>233 County Road 166 (Meadow Branch Road)</t>
  </si>
  <si>
    <t>McMinn</t>
  </si>
  <si>
    <t>37303</t>
  </si>
  <si>
    <t>North Shelby Landfill</t>
  </si>
  <si>
    <t>7111 Old Millington Road</t>
  </si>
  <si>
    <t>Millington</t>
  </si>
  <si>
    <t>Shelby</t>
  </si>
  <si>
    <t>38053</t>
  </si>
  <si>
    <t>South Shelby Landfill</t>
  </si>
  <si>
    <t>5494 Malone Road</t>
  </si>
  <si>
    <t>Memphis</t>
  </si>
  <si>
    <t>38118</t>
  </si>
  <si>
    <t>West Camden Sanitary Landfill</t>
  </si>
  <si>
    <t>2410 Highway 70 West</t>
  </si>
  <si>
    <t>38320</t>
  </si>
  <si>
    <t>121 Regional Disposal Facility</t>
  </si>
  <si>
    <t>3820 Sam Rayburn Highway</t>
  </si>
  <si>
    <t>Melissa</t>
  </si>
  <si>
    <t>Collin</t>
  </si>
  <si>
    <t>75454</t>
  </si>
  <si>
    <t>Arlington LF</t>
  </si>
  <si>
    <t>800 Mosier Valley Road</t>
  </si>
  <si>
    <t>Euless</t>
  </si>
  <si>
    <t>Tarrant</t>
  </si>
  <si>
    <t>76040</t>
  </si>
  <si>
    <t>Atascocita RDF</t>
  </si>
  <si>
    <t>3623 Wilson Road</t>
  </si>
  <si>
    <t>Humble</t>
  </si>
  <si>
    <t>77396</t>
  </si>
  <si>
    <t>Austin Community RDF</t>
  </si>
  <si>
    <t>9900 Giles Road
off East 290</t>
  </si>
  <si>
    <t>Austin</t>
  </si>
  <si>
    <t>Travis</t>
  </si>
  <si>
    <t>78754</t>
  </si>
  <si>
    <t>Blue Ridge LF</t>
  </si>
  <si>
    <t>2200 FM 521</t>
  </si>
  <si>
    <t>Fort Bend</t>
  </si>
  <si>
    <t>77545</t>
  </si>
  <si>
    <t>Camelot Landfill</t>
  </si>
  <si>
    <t>580 Huffines Boulevard</t>
  </si>
  <si>
    <t>Lewisville</t>
  </si>
  <si>
    <t>Denton</t>
  </si>
  <si>
    <t>75056</t>
  </si>
  <si>
    <t>Charles M Hinton Jr Regional Landfill</t>
  </si>
  <si>
    <t>3175 Elm Grove Road</t>
  </si>
  <si>
    <t>Rowlett</t>
  </si>
  <si>
    <t>75089</t>
  </si>
  <si>
    <t>City of Edinburg Landfill</t>
  </si>
  <si>
    <t>900 E. Encinitos Road</t>
  </si>
  <si>
    <t>Edinburg</t>
  </si>
  <si>
    <t>Hidalgo</t>
  </si>
  <si>
    <t>78539</t>
  </si>
  <si>
    <t>City of Victoria Landfill</t>
  </si>
  <si>
    <t>18545 FM 1686</t>
  </si>
  <si>
    <t>Victoria</t>
  </si>
  <si>
    <t>77951</t>
  </si>
  <si>
    <t>Coastal Plains RDF</t>
  </si>
  <si>
    <t>21000 E Highway 6
1 mile E of county line, BTWN FM 517 &amp; Hwy 6</t>
  </si>
  <si>
    <t>Alvin</t>
  </si>
  <si>
    <t>Galveston</t>
  </si>
  <si>
    <t>77511</t>
  </si>
  <si>
    <t>Covel Gardens RDF</t>
  </si>
  <si>
    <t>8611 Covel Road</t>
  </si>
  <si>
    <t>San Antonio</t>
  </si>
  <si>
    <t>Bexar</t>
  </si>
  <si>
    <t>78252</t>
  </si>
  <si>
    <t>DFW Recycling &amp; Disposal Facility</t>
  </si>
  <si>
    <t>1600 A South Railroad Street</t>
  </si>
  <si>
    <t>75057</t>
  </si>
  <si>
    <t>Fort Bend Regional Landfill</t>
  </si>
  <si>
    <t>14115 Davis Estate Road</t>
  </si>
  <si>
    <t>Needville</t>
  </si>
  <si>
    <t>77461</t>
  </si>
  <si>
    <t>Galveston County LF</t>
  </si>
  <si>
    <t>3935 Avenue A</t>
  </si>
  <si>
    <t>Alta Loma</t>
  </si>
  <si>
    <t>77510</t>
  </si>
  <si>
    <t>Greenwood Farms Landfill</t>
  </si>
  <si>
    <t>12920 FM 2767</t>
  </si>
  <si>
    <t>Tyler</t>
  </si>
  <si>
    <t>Smith</t>
  </si>
  <si>
    <t>75708</t>
  </si>
  <si>
    <t>McCarty Road LF</t>
  </si>
  <si>
    <t>5757A Oates Road</t>
  </si>
  <si>
    <t>77078</t>
  </si>
  <si>
    <t>McCommas Bluff Landfill</t>
  </si>
  <si>
    <t>5100 Youngblood Road</t>
  </si>
  <si>
    <t>75241</t>
  </si>
  <si>
    <t>Mesquite Creek LF</t>
  </si>
  <si>
    <t>1700 Kohlenberg Road</t>
  </si>
  <si>
    <t>New Braunfels</t>
  </si>
  <si>
    <t>Comal</t>
  </si>
  <si>
    <t>78130</t>
  </si>
  <si>
    <t>Nelson Gardens LF</t>
  </si>
  <si>
    <t>8963 Nelson Road
.8 miles N of FM 2536, 2 miles W of I-410</t>
  </si>
  <si>
    <t>Pine Hill LF</t>
  </si>
  <si>
    <t>1102 Pine Hill Landfill Road</t>
  </si>
  <si>
    <t>Kilgore</t>
  </si>
  <si>
    <t>Gregg</t>
  </si>
  <si>
    <t>75662</t>
  </si>
  <si>
    <t>Seabreeze Environmental Landfill</t>
  </si>
  <si>
    <t>10310 FM 523</t>
  </si>
  <si>
    <t>Angleton</t>
  </si>
  <si>
    <t>Brazoria</t>
  </si>
  <si>
    <t>77515</t>
  </si>
  <si>
    <t>Security Recycling and Disposal LF</t>
  </si>
  <si>
    <t>19248 Highway 105</t>
  </si>
  <si>
    <t>77327</t>
  </si>
  <si>
    <t>Skyline LF</t>
  </si>
  <si>
    <t>1201 N. Central</t>
  </si>
  <si>
    <t>Ferris</t>
  </si>
  <si>
    <t>75125</t>
  </si>
  <si>
    <t>Tessman Road Landfill</t>
  </si>
  <si>
    <t>7000 I-10 East</t>
  </si>
  <si>
    <t>Turkey Creek Landfill</t>
  </si>
  <si>
    <t>9100 South I-35 West</t>
  </si>
  <si>
    <t>Alvarado</t>
  </si>
  <si>
    <t>76009</t>
  </si>
  <si>
    <t>Twin Oaks Landfill</t>
  </si>
  <si>
    <t>2690 State Highway 30</t>
  </si>
  <si>
    <t>Grimes</t>
  </si>
  <si>
    <t>Westside RDF</t>
  </si>
  <si>
    <t>3500 Linkcrest Drive</t>
  </si>
  <si>
    <t>Aledo</t>
  </si>
  <si>
    <t>76008</t>
  </si>
  <si>
    <t>Davis County Landfill</t>
  </si>
  <si>
    <t>1997 E 3500 N
650 East Highway 193</t>
  </si>
  <si>
    <t>Layton</t>
  </si>
  <si>
    <t>84040</t>
  </si>
  <si>
    <t>Salt Lake Valley LF</t>
  </si>
  <si>
    <t>6030 West 1300 South</t>
  </si>
  <si>
    <t>Salt Lake City</t>
  </si>
  <si>
    <t>Salt Lake</t>
  </si>
  <si>
    <t>84104</t>
  </si>
  <si>
    <t>Trans-Jordan LF</t>
  </si>
  <si>
    <t>10473 South Bacchus Highway
U-111</t>
  </si>
  <si>
    <t>South Jordan</t>
  </si>
  <si>
    <t>84009</t>
  </si>
  <si>
    <t>Weber County LF</t>
  </si>
  <si>
    <t>2599 A Avenue</t>
  </si>
  <si>
    <t>Ogden</t>
  </si>
  <si>
    <t>84401</t>
  </si>
  <si>
    <t>Moretown Landfill Inc.</t>
  </si>
  <si>
    <t>19 Kaiser Drive</t>
  </si>
  <si>
    <t>Waterbury</t>
  </si>
  <si>
    <t>05676</t>
  </si>
  <si>
    <t>NEWSVT Landfill</t>
  </si>
  <si>
    <t>21 Landfill Lane
off Airport Road</t>
  </si>
  <si>
    <t>Newport</t>
  </si>
  <si>
    <t>05855</t>
  </si>
  <si>
    <t>Atlantic Waste Disposal Inc.</t>
  </si>
  <si>
    <t>3474 Atlantic Lane</t>
  </si>
  <si>
    <t>Waverly</t>
  </si>
  <si>
    <t>23890</t>
  </si>
  <si>
    <t>Bethel LF</t>
  </si>
  <si>
    <t>100 North Park Lane</t>
  </si>
  <si>
    <t>Hampton</t>
  </si>
  <si>
    <t>Hampton city</t>
  </si>
  <si>
    <t>23666</t>
  </si>
  <si>
    <t>Brunswick Waste Management Facility</t>
  </si>
  <si>
    <t>107 Mallard Crossing Road</t>
  </si>
  <si>
    <t>Lawrenceville</t>
  </si>
  <si>
    <t>Brunswick</t>
  </si>
  <si>
    <t>23868</t>
  </si>
  <si>
    <t>Charles City County SLF</t>
  </si>
  <si>
    <t>8000 Chambers Road</t>
  </si>
  <si>
    <t>23030</t>
  </si>
  <si>
    <t>City of Bristol Virginia Integrated Solid Waste Management Facility</t>
  </si>
  <si>
    <t>2125 Shakesville Road</t>
  </si>
  <si>
    <t>Bristol city</t>
  </si>
  <si>
    <t>24201</t>
  </si>
  <si>
    <t>Concord Turnpike Regional Landfill</t>
  </si>
  <si>
    <t>2525 Concord Turnpike</t>
  </si>
  <si>
    <t>Lynchburg</t>
  </si>
  <si>
    <t>Lynchburg city</t>
  </si>
  <si>
    <t>24504</t>
  </si>
  <si>
    <t>Frederick County Regional Landfill</t>
  </si>
  <si>
    <t>280 Landfill Road
Route 719</t>
  </si>
  <si>
    <t>Winchester</t>
  </si>
  <si>
    <t>Frederick</t>
  </si>
  <si>
    <t>22602</t>
  </si>
  <si>
    <t>Hanover 301 LF</t>
  </si>
  <si>
    <t>7301 Courtland Farm Road</t>
  </si>
  <si>
    <t>Hanover</t>
  </si>
  <si>
    <t>23069</t>
  </si>
  <si>
    <t>I-66 Landfill</t>
  </si>
  <si>
    <t>4618 West Ox Road</t>
  </si>
  <si>
    <t>22030</t>
  </si>
  <si>
    <t>I-95 Landfill</t>
  </si>
  <si>
    <t>9850 Furnace Road</t>
  </si>
  <si>
    <t>Lorton</t>
  </si>
  <si>
    <t>22079</t>
  </si>
  <si>
    <t>King and Queen Landfill</t>
  </si>
  <si>
    <t>1000 Iris Road</t>
  </si>
  <si>
    <t>Little Plymouth</t>
  </si>
  <si>
    <t>King and Queen</t>
  </si>
  <si>
    <t>23091</t>
  </si>
  <si>
    <t>King George Landfill Inc.</t>
  </si>
  <si>
    <t>10376 Bullock Drive</t>
  </si>
  <si>
    <t>King George</t>
  </si>
  <si>
    <t>22485</t>
  </si>
  <si>
    <t>Maplewood Recycling &amp; Waste Disposal</t>
  </si>
  <si>
    <t>20221 Maplewood Road</t>
  </si>
  <si>
    <t>Jetersville</t>
  </si>
  <si>
    <t>Amelia</t>
  </si>
  <si>
    <t>23083</t>
  </si>
  <si>
    <t>Martinsville SLF</t>
  </si>
  <si>
    <t>225 Arden Circle</t>
  </si>
  <si>
    <t>Martinsville</t>
  </si>
  <si>
    <t>Henry</t>
  </si>
  <si>
    <t>24112</t>
  </si>
  <si>
    <t>Middle Peninsula Landfill</t>
  </si>
  <si>
    <t>3714 Waste Management Way</t>
  </si>
  <si>
    <t>Saluda</t>
  </si>
  <si>
    <t>23149</t>
  </si>
  <si>
    <t>New River Resource Authority SWMF</t>
  </si>
  <si>
    <t>7100 Cloyd's Mountain Road</t>
  </si>
  <si>
    <t>Dublin</t>
  </si>
  <si>
    <t>24084</t>
  </si>
  <si>
    <t>Newport News City Landfill No. 2</t>
  </si>
  <si>
    <t>15110 Warwick Boulevard
550 Atkinson Way</t>
  </si>
  <si>
    <t>Newport News</t>
  </si>
  <si>
    <t>Newport News city</t>
  </si>
  <si>
    <t>23608</t>
  </si>
  <si>
    <t>Old Dominion LF</t>
  </si>
  <si>
    <t>2001 Charles City Road</t>
  </si>
  <si>
    <t>Henrico</t>
  </si>
  <si>
    <t>23231</t>
  </si>
  <si>
    <t>Prince William County Sanitary Landfill</t>
  </si>
  <si>
    <t>14811 Dumfries Road</t>
  </si>
  <si>
    <t>Manassas</t>
  </si>
  <si>
    <t>Prince William</t>
  </si>
  <si>
    <t>20112</t>
  </si>
  <si>
    <t>Shoosmith SLF</t>
  </si>
  <si>
    <t>11800 Lewis Road</t>
  </si>
  <si>
    <t>Chesterfield</t>
  </si>
  <si>
    <t>23831</t>
  </si>
  <si>
    <t>Springfield Road LF</t>
  </si>
  <si>
    <t>10600 Fords Country Lane</t>
  </si>
  <si>
    <t>Glen Allen</t>
  </si>
  <si>
    <t>23060</t>
  </si>
  <si>
    <t>SPSA Regional LF</t>
  </si>
  <si>
    <t>1 Bob Foeller Drive</t>
  </si>
  <si>
    <t>Suffolk city</t>
  </si>
  <si>
    <t>23434</t>
  </si>
  <si>
    <t>Stafford County LF</t>
  </si>
  <si>
    <t>489 Eskimo Hill Road</t>
  </si>
  <si>
    <t>Stafford</t>
  </si>
  <si>
    <t>22554</t>
  </si>
  <si>
    <t>Virginia Beach Landfill No. 2</t>
  </si>
  <si>
    <t>1989 Jake Sears Road</t>
  </si>
  <si>
    <t>Virginia Beach</t>
  </si>
  <si>
    <t>Virginia Beach city</t>
  </si>
  <si>
    <t>23464</t>
  </si>
  <si>
    <t>Cedar Hills Regional LF</t>
  </si>
  <si>
    <t>16645 228th Avenue SE</t>
  </si>
  <si>
    <t>Maple Valley</t>
  </si>
  <si>
    <t>98038</t>
  </si>
  <si>
    <t>Centralia LF</t>
  </si>
  <si>
    <t>1313 S. Tower Avenue</t>
  </si>
  <si>
    <t>Centralia</t>
  </si>
  <si>
    <t>Lewis</t>
  </si>
  <si>
    <t>98531</t>
  </si>
  <si>
    <t>Land Recovery Landfill</t>
  </si>
  <si>
    <t>30919 Meridian Street East</t>
  </si>
  <si>
    <t>Graham</t>
  </si>
  <si>
    <t>Pierce</t>
  </si>
  <si>
    <t>98338</t>
  </si>
  <si>
    <t>Roosevelt Regional MSW Landfill</t>
  </si>
  <si>
    <t>500 Roosevelt Grade Road</t>
  </si>
  <si>
    <t>Roosevelt</t>
  </si>
  <si>
    <t>Klickitat</t>
  </si>
  <si>
    <t>99356</t>
  </si>
  <si>
    <t>City of Charleston Landfill</t>
  </si>
  <si>
    <t>WV</t>
  </si>
  <si>
    <t>741 South Park Road</t>
  </si>
  <si>
    <t>Charleston</t>
  </si>
  <si>
    <t>Kanawha</t>
  </si>
  <si>
    <t>25304</t>
  </si>
  <si>
    <t>Raleigh County SWA Landfill</t>
  </si>
  <si>
    <t>200 Fernandez Drive
918 Ragland Road</t>
  </si>
  <si>
    <t>Beckley</t>
  </si>
  <si>
    <t>25801</t>
  </si>
  <si>
    <t>Wetzel County Landfill</t>
  </si>
  <si>
    <t>Cider Run Route 1, Box 156A</t>
  </si>
  <si>
    <t>New Martinsville</t>
  </si>
  <si>
    <t>Wetzel</t>
  </si>
  <si>
    <t>26155</t>
  </si>
  <si>
    <t>Cranberry Creek Landfill LLC</t>
  </si>
  <si>
    <t>2510 Engel Road</t>
  </si>
  <si>
    <t>Wisconsin Rapids</t>
  </si>
  <si>
    <t>54495</t>
  </si>
  <si>
    <t>Dane County LF #1-Verona</t>
  </si>
  <si>
    <t>6718 E. Verona Avenue</t>
  </si>
  <si>
    <t>Verona</t>
  </si>
  <si>
    <t>53593</t>
  </si>
  <si>
    <t>Dane County LF #2-Rodefeld</t>
  </si>
  <si>
    <t>7102 U.S. Highway 12 &amp; 18</t>
  </si>
  <si>
    <t>53718</t>
  </si>
  <si>
    <t>Deer Track Park Landfill</t>
  </si>
  <si>
    <t>N6756 Waldmann Lane</t>
  </si>
  <si>
    <t>53094</t>
  </si>
  <si>
    <t>Emerald Park Landfill LLC</t>
  </si>
  <si>
    <t>W124 S10629 S 124th Street</t>
  </si>
  <si>
    <t>Muskego</t>
  </si>
  <si>
    <t>Waukesha</t>
  </si>
  <si>
    <t>53150</t>
  </si>
  <si>
    <t>Glacier Ridge Landfill LLC</t>
  </si>
  <si>
    <t>N7296 County Road V</t>
  </si>
  <si>
    <t>Horicon</t>
  </si>
  <si>
    <t>53032</t>
  </si>
  <si>
    <t>Hickory Meadows Landfill LLC</t>
  </si>
  <si>
    <t>W3105 Schneider Road</t>
  </si>
  <si>
    <t>54129</t>
  </si>
  <si>
    <t>Janesville City/Rock County Landfill</t>
  </si>
  <si>
    <t>525 Blackbridge Road</t>
  </si>
  <si>
    <t>Janesville</t>
  </si>
  <si>
    <t>Rock</t>
  </si>
  <si>
    <t>53545</t>
  </si>
  <si>
    <t>Kestrel Hawk Landfill</t>
  </si>
  <si>
    <t>1989 Oakes Road</t>
  </si>
  <si>
    <t>Racine</t>
  </si>
  <si>
    <t>53406</t>
  </si>
  <si>
    <t>La Crosse County Landfill</t>
  </si>
  <si>
    <t>3200 Berlin Drive
6500 State Road 16</t>
  </si>
  <si>
    <t>La Crosse</t>
  </si>
  <si>
    <t>54601</t>
  </si>
  <si>
    <t>Marathon County Landfill</t>
  </si>
  <si>
    <t>18500 East Highway 29</t>
  </si>
  <si>
    <t>Ringle</t>
  </si>
  <si>
    <t>Marathon</t>
  </si>
  <si>
    <t>54471</t>
  </si>
  <si>
    <t>Metro RDF</t>
  </si>
  <si>
    <t>10712 South 124th Street</t>
  </si>
  <si>
    <t>Milwaukee</t>
  </si>
  <si>
    <t>53132</t>
  </si>
  <si>
    <t>Orchard Ridge RDF</t>
  </si>
  <si>
    <t>W124 N9355 Boundary Road</t>
  </si>
  <si>
    <t>Menomonee Falls</t>
  </si>
  <si>
    <t>53051</t>
  </si>
  <si>
    <t>Outagamie County LF</t>
  </si>
  <si>
    <t>1419 Holland Road</t>
  </si>
  <si>
    <t>Appleton</t>
  </si>
  <si>
    <t>Outagamie</t>
  </si>
  <si>
    <t>Pheasant Run Recycling and Disposal Facility</t>
  </si>
  <si>
    <t>19414 60th Street</t>
  </si>
  <si>
    <t>Kenosha</t>
  </si>
  <si>
    <t>53104</t>
  </si>
  <si>
    <t>Ridgeview RDF</t>
  </si>
  <si>
    <t>6207 Hempton Lake Road</t>
  </si>
  <si>
    <t>Whitelaw</t>
  </si>
  <si>
    <t>54247</t>
  </si>
  <si>
    <t>Sauk County SLF</t>
  </si>
  <si>
    <t>E8795B Evergreen Lane</t>
  </si>
  <si>
    <t>Baraboo</t>
  </si>
  <si>
    <t>Sauk</t>
  </si>
  <si>
    <t>53913</t>
  </si>
  <si>
    <t>Timberline Trail Recycling &amp; Disposal Facility</t>
  </si>
  <si>
    <t>N4581 N. Hutchinson Road</t>
  </si>
  <si>
    <t>Weyerhaeuser</t>
  </si>
  <si>
    <t>Rusk</t>
  </si>
  <si>
    <t>54895</t>
  </si>
  <si>
    <t>Valley Trail Recycling &amp; Disposal Facility</t>
  </si>
  <si>
    <t>N9101 Willard Road</t>
  </si>
  <si>
    <t>Green Lake</t>
  </si>
  <si>
    <t>54923</t>
  </si>
  <si>
    <t>Winnebago County Sunnyview Landfill</t>
  </si>
  <si>
    <t>100 W County Road Y
Off Highway 76</t>
  </si>
  <si>
    <t>54901</t>
  </si>
  <si>
    <t xml:space="preserve">Wastewater Treatment Plant </t>
  </si>
  <si>
    <t>Zip</t>
  </si>
  <si>
    <t>Eielson AFB Wastewater Treatment Plant</t>
  </si>
  <si>
    <t>Eielson AFB</t>
  </si>
  <si>
    <t>Fairbanks</t>
  </si>
  <si>
    <t>JEFFERSON CO VALLEY CREEK WWTP</t>
  </si>
  <si>
    <t>BESSEMER</t>
  </si>
  <si>
    <t>JEFFERSON</t>
  </si>
  <si>
    <t>JEFFERSON COUNTY VILLAGE CREEK WWTP</t>
  </si>
  <si>
    <t>BIRMINGHAM</t>
  </si>
  <si>
    <t>HUNTSVILLE SPRING BRANCH WWTP</t>
  </si>
  <si>
    <t>HUNTSVILLE</t>
  </si>
  <si>
    <t>MADISON</t>
  </si>
  <si>
    <t>DRY CREEK WWTP</t>
  </si>
  <si>
    <t>DECATUR</t>
  </si>
  <si>
    <t>MORGAN</t>
  </si>
  <si>
    <t>CATOMA WASTEWATER TREATMENT PL</t>
  </si>
  <si>
    <t>MONTGOMERY</t>
  </si>
  <si>
    <t>MOBILE WILLIAMS WWTP</t>
  </si>
  <si>
    <t>MOBILE</t>
  </si>
  <si>
    <t>TUSCALOOSA WWTP</t>
  </si>
  <si>
    <t>TUSCALOOSA</t>
  </si>
  <si>
    <t>MONTGOMERY ECONCHATE</t>
  </si>
  <si>
    <t>JEFFERSON COUNTY FIVE MILE WWTP</t>
  </si>
  <si>
    <t>FULTONDALE</t>
  </si>
  <si>
    <t>MOBILE - SMITH WWTP</t>
  </si>
  <si>
    <t>ALBERTVILLE EASTSIDE WWTP</t>
  </si>
  <si>
    <t>ALBERTVILLE</t>
  </si>
  <si>
    <t>MARSHALL</t>
  </si>
  <si>
    <t>GADSDEN WEST RIVER WWTP</t>
  </si>
  <si>
    <t>GADSDEN</t>
  </si>
  <si>
    <t>ETOWAH</t>
  </si>
  <si>
    <t>CHOCOLOCCO CREEK WWTP</t>
  </si>
  <si>
    <t>OXFORD</t>
  </si>
  <si>
    <t>CALHOUN</t>
  </si>
  <si>
    <t>PHENIX CITY WWTP</t>
  </si>
  <si>
    <t>PHENIX CITY</t>
  </si>
  <si>
    <t>RUSSELL</t>
  </si>
  <si>
    <t>GADSDEN EAST RIVER WWTP</t>
  </si>
  <si>
    <t>BOAZ SLAB CREEK WWTP</t>
  </si>
  <si>
    <t>BOAZ</t>
  </si>
  <si>
    <t>VALLEY CREEK WWTP</t>
  </si>
  <si>
    <t>SELMA</t>
  </si>
  <si>
    <t>DALLAS</t>
  </si>
  <si>
    <t>CULLMAN CITY OF WWTP</t>
  </si>
  <si>
    <t>CULLMAN</t>
  </si>
  <si>
    <t>CALERA NORTHSIDE WWTP - CAMP BRANCH</t>
  </si>
  <si>
    <t>CALERA</t>
  </si>
  <si>
    <t>SHELBY</t>
  </si>
  <si>
    <t>TALLADEGA MAIN WWTP</t>
  </si>
  <si>
    <t>TALLADEGA</t>
  </si>
  <si>
    <t>JACKSONVILLE WWTP (AL)</t>
  </si>
  <si>
    <t>JACKSONVILLE</t>
  </si>
  <si>
    <t>BAYOU LA BATRE UTILITIES</t>
  </si>
  <si>
    <t>BAYOU LA BATRE</t>
  </si>
  <si>
    <t>MONTGOMERY TOWASSA</t>
  </si>
  <si>
    <t>TUSCUMBIA</t>
  </si>
  <si>
    <t>COLBERT</t>
  </si>
  <si>
    <t>LITTLE ROCK - FOURCHE CREEK WWTP</t>
  </si>
  <si>
    <t>LITTLE ROCK</t>
  </si>
  <si>
    <t>PULASKI</t>
  </si>
  <si>
    <t>HOT SPRINGS - REGIONAL WWTP</t>
  </si>
  <si>
    <t>HOT SPRINGS</t>
  </si>
  <si>
    <t>GARLAND</t>
  </si>
  <si>
    <t>FAYETTEVILLE - WESTSIDE WWTP</t>
  </si>
  <si>
    <t>FAYETTEVILLE</t>
  </si>
  <si>
    <t>DECATUR, CITY OF</t>
  </si>
  <si>
    <t>BENTON</t>
  </si>
  <si>
    <t>Stone Dam Creek Wastewater Treatment Plant</t>
  </si>
  <si>
    <t>CONWAY</t>
  </si>
  <si>
    <t>FAULKNER</t>
  </si>
  <si>
    <t>City of Phoenix 23rd Ave. WWTP</t>
  </si>
  <si>
    <t>Phoenix</t>
  </si>
  <si>
    <t>Pima County Regional Wastewater Reclamation Department</t>
  </si>
  <si>
    <t>Tucson</t>
  </si>
  <si>
    <t>Pima</t>
  </si>
  <si>
    <t>CITY OF TOLLESON - WWTP</t>
  </si>
  <si>
    <t>Tolleson</t>
  </si>
  <si>
    <t>MARICOPA</t>
  </si>
  <si>
    <t>WILDCAT HILL WASTEWATER TREATMENT PLANT</t>
  </si>
  <si>
    <t>FLAGSTAFF</t>
  </si>
  <si>
    <t>COCONINO</t>
  </si>
  <si>
    <t>YUMA, CITY OF - FIGUEROA AVE WPCF</t>
  </si>
  <si>
    <t>YUMA</t>
  </si>
  <si>
    <t>Greenfield Water Reclamation Plant</t>
  </si>
  <si>
    <t>Gilbert</t>
  </si>
  <si>
    <t>Hyperion Treatment Plant, City of Los Angeles</t>
  </si>
  <si>
    <t>Playa Del Rey</t>
  </si>
  <si>
    <t>USA</t>
  </si>
  <si>
    <t>Joint Water Pollution Control Plant</t>
  </si>
  <si>
    <t>Carson</t>
  </si>
  <si>
    <t>Los Angele</t>
  </si>
  <si>
    <t>San Diego Metro Biosolids Center (MBC)</t>
  </si>
  <si>
    <t>SAN DIEGO</t>
  </si>
  <si>
    <t>Sacramento Regional County Sanidation District (SRCSD)</t>
  </si>
  <si>
    <t>Orange County Sanitation District Plant #2</t>
  </si>
  <si>
    <t>Huntington Beach</t>
  </si>
  <si>
    <t>San Jose/Santa Clara Water Pollution Control Plant</t>
  </si>
  <si>
    <t>San Jose</t>
  </si>
  <si>
    <t>East Bay Municipal Utility District</t>
  </si>
  <si>
    <t>Alameda County</t>
  </si>
  <si>
    <t>SAN JOSE CREEK WRP</t>
  </si>
  <si>
    <t>WHITTIER</t>
  </si>
  <si>
    <t>LOS ANGELES</t>
  </si>
  <si>
    <t>Southeast Water Pollution Control Plant</t>
  </si>
  <si>
    <t>San Francisco</t>
  </si>
  <si>
    <t>D.C. TILLMAN WRP</t>
  </si>
  <si>
    <t>VAN NUYS</t>
  </si>
  <si>
    <t>STOCKTON REGIONAL WCF</t>
  </si>
  <si>
    <t>STOCKTON</t>
  </si>
  <si>
    <t>SAN JOAQUIN</t>
  </si>
  <si>
    <t>IEUA Regional Plant No. 1</t>
  </si>
  <si>
    <t>San Bernardino</t>
  </si>
  <si>
    <t>LOS COYOTES WRP</t>
  </si>
  <si>
    <t>CERRITOS</t>
  </si>
  <si>
    <t>San Bernardino WRF</t>
  </si>
  <si>
    <t>SAN BERNADINO</t>
  </si>
  <si>
    <t>Union Sanitary District Alvarado Wastewater Treatment Facil</t>
  </si>
  <si>
    <t>OXNARD WWTP</t>
  </si>
  <si>
    <t>OXNARD</t>
  </si>
  <si>
    <t>VENTURA</t>
  </si>
  <si>
    <t>MONTEREY REG. WPCA</t>
  </si>
  <si>
    <t>MARINA</t>
  </si>
  <si>
    <t>MONTEREY</t>
  </si>
  <si>
    <t>South Bayside System Authority</t>
  </si>
  <si>
    <t>Redwood City</t>
  </si>
  <si>
    <t>Modesto WQCF</t>
  </si>
  <si>
    <t>MODESTO</t>
  </si>
  <si>
    <t>STANISLAUS</t>
  </si>
  <si>
    <t>LONG BEACH WRP</t>
  </si>
  <si>
    <t>LONG BEACH</t>
  </si>
  <si>
    <t>SUNNYVALE WPCP</t>
  </si>
  <si>
    <t>SUNNYVALE</t>
  </si>
  <si>
    <t>SANTA CLARA</t>
  </si>
  <si>
    <t>Fairfield-Suisun Sewer District</t>
  </si>
  <si>
    <t>Oceanside Water Pollution Control Plant</t>
  </si>
  <si>
    <t>Laguna Wastewater Reclamation Plant, City of Santa Rosa</t>
  </si>
  <si>
    <t>Santa Rosa</t>
  </si>
  <si>
    <t>City of Santa Cruz Wastewater Treatment Facility</t>
  </si>
  <si>
    <t>ESCONDIDO Hale Ave RRF</t>
  </si>
  <si>
    <t>ESCONDIDO</t>
  </si>
  <si>
    <t>92029-3052</t>
  </si>
  <si>
    <t>Valencia Water Reclamation Plant</t>
  </si>
  <si>
    <t>Valencia</t>
  </si>
  <si>
    <t>VISALIA WCP</t>
  </si>
  <si>
    <t>VISALIA</t>
  </si>
  <si>
    <t>TULARE</t>
  </si>
  <si>
    <t>Dublin San Ramon Services District REgional WWTP</t>
  </si>
  <si>
    <t>Pleasanton</t>
  </si>
  <si>
    <t>WEST COUNTY WASTEWATER DST FAC</t>
  </si>
  <si>
    <t>CONTRA COSTA</t>
  </si>
  <si>
    <t>CALABASAS</t>
  </si>
  <si>
    <t>WHITTIER NARROWS WRP</t>
  </si>
  <si>
    <t>EL MONTE</t>
  </si>
  <si>
    <t>IEUA REGIONAL PLANT NO.5</t>
  </si>
  <si>
    <t>CHINO</t>
  </si>
  <si>
    <t>SAN BERNARDINO</t>
  </si>
  <si>
    <t>L.A.-GLENDALE WRP</t>
  </si>
  <si>
    <t>MICHELSON WRP</t>
  </si>
  <si>
    <t>IRVINE</t>
  </si>
  <si>
    <t>ORANGE</t>
  </si>
  <si>
    <t>CORONA</t>
  </si>
  <si>
    <t>RIVERSIDE</t>
  </si>
  <si>
    <t>Ventura Water Reclamation Facility</t>
  </si>
  <si>
    <t>Ventura</t>
  </si>
  <si>
    <t>Oceanside San Luis Rey WWTP</t>
  </si>
  <si>
    <t>OCEANSIDE</t>
  </si>
  <si>
    <t>City of San Mateo WWTP</t>
  </si>
  <si>
    <t>SOCWA J. B. LATHAM TP</t>
  </si>
  <si>
    <t>DANA POINT</t>
  </si>
  <si>
    <t>South San Francisco - San Bruno WQCP</t>
  </si>
  <si>
    <t>S. SAN FRANCISCO</t>
  </si>
  <si>
    <t>SAN MATEO</t>
  </si>
  <si>
    <t>City of Simi Valley Water Quality Control Plant</t>
  </si>
  <si>
    <t>Simi Valley</t>
  </si>
  <si>
    <t>93065-1642</t>
  </si>
  <si>
    <t>LAKE ELSINORE</t>
  </si>
  <si>
    <t>Hill Canyon Wastewater Treatment Plant</t>
  </si>
  <si>
    <t>Camarillo</t>
  </si>
  <si>
    <t>BURBANK WRP</t>
  </si>
  <si>
    <t>BURBANK</t>
  </si>
  <si>
    <t>El Estero Wastewater Treatment Facility</t>
  </si>
  <si>
    <t>Victor Valley Wastewater Reclamation Authority</t>
  </si>
  <si>
    <t>Victorville</t>
  </si>
  <si>
    <t>San Bernar</t>
  </si>
  <si>
    <t>RIALTO WRF</t>
  </si>
  <si>
    <t>BLOOMINGTON</t>
  </si>
  <si>
    <t>92316-2911</t>
  </si>
  <si>
    <t>IEUA CARBON CANYON WRF</t>
  </si>
  <si>
    <t>VACAVILLE EASTERLY WWTP</t>
  </si>
  <si>
    <t>ELMIRA</t>
  </si>
  <si>
    <t>SOLANO</t>
  </si>
  <si>
    <t>MERCED WWTF</t>
  </si>
  <si>
    <t>MERCED</t>
  </si>
  <si>
    <t>CHICO WWTP</t>
  </si>
  <si>
    <t>Chico</t>
  </si>
  <si>
    <t>GOLETA WWTP</t>
  </si>
  <si>
    <t>GOLETA</t>
  </si>
  <si>
    <t>SANTA BARBARA</t>
  </si>
  <si>
    <t>TRACY WWTP</t>
  </si>
  <si>
    <t>Tracy</t>
  </si>
  <si>
    <t>Redding Clear Creek WWTP</t>
  </si>
  <si>
    <t>Redding</t>
  </si>
  <si>
    <t>SHASTA</t>
  </si>
  <si>
    <t>LIVERMORE WRP</t>
  </si>
  <si>
    <t>LIVERMORE</t>
  </si>
  <si>
    <t>ALAMEDA</t>
  </si>
  <si>
    <t>LODI White Slough WPCF</t>
  </si>
  <si>
    <t>LODI</t>
  </si>
  <si>
    <t>95241-1910</t>
  </si>
  <si>
    <t>COLTON WRF</t>
  </si>
  <si>
    <t>COLTON</t>
  </si>
  <si>
    <t>City of Watsonville WWTP</t>
  </si>
  <si>
    <t>DAVIS WWTP</t>
  </si>
  <si>
    <t>DAVIS</t>
  </si>
  <si>
    <t>YOLO</t>
  </si>
  <si>
    <t>YUBA CITY WTF</t>
  </si>
  <si>
    <t>YUBA CITY</t>
  </si>
  <si>
    <t>SUTTER</t>
  </si>
  <si>
    <t>MANTECA WQCF</t>
  </si>
  <si>
    <t>MANTECA</t>
  </si>
  <si>
    <t>North San Mateo County Sanitation District</t>
  </si>
  <si>
    <t>Daly City</t>
  </si>
  <si>
    <t>Camarillo Water Reclaimation Treatment Plant</t>
  </si>
  <si>
    <t>Petaluma Ellis Creek WRF</t>
  </si>
  <si>
    <t>Novato S.D. Novato WWTP</t>
  </si>
  <si>
    <t>MARIN</t>
  </si>
  <si>
    <t>SAUGUS WRP</t>
  </si>
  <si>
    <t>SAUGUS</t>
  </si>
  <si>
    <t>BRAWLEY WWTP</t>
  </si>
  <si>
    <t>BRAWLEY</t>
  </si>
  <si>
    <t>IMPERIAL</t>
  </si>
  <si>
    <t>ATWATER WWTF</t>
  </si>
  <si>
    <t>ATWATER</t>
  </si>
  <si>
    <t>SOCWA REGIONAL TP</t>
  </si>
  <si>
    <t>LAGUNA NIGUEL</t>
  </si>
  <si>
    <t>EL CENTRO WWTP</t>
  </si>
  <si>
    <t>EL CENTRO</t>
  </si>
  <si>
    <t>SAN ELIJO WRF</t>
  </si>
  <si>
    <t>Cardiff by the Sea</t>
  </si>
  <si>
    <t>City of Eureka Elk River WWTF</t>
  </si>
  <si>
    <t>Eureka</t>
  </si>
  <si>
    <t>Humboldt</t>
  </si>
  <si>
    <t>SAN LUIS OBISPO WRF</t>
  </si>
  <si>
    <t>SAN LUIS OBISPO</t>
  </si>
  <si>
    <t>Lompoc RWRP</t>
  </si>
  <si>
    <t>LOMPOC</t>
  </si>
  <si>
    <t>South San Luis Obispo WWTP</t>
  </si>
  <si>
    <t>OCEANO</t>
  </si>
  <si>
    <t>Shasta Lake WWTP</t>
  </si>
  <si>
    <t>Shasta Lake</t>
  </si>
  <si>
    <t>Shasta</t>
  </si>
  <si>
    <t>CORNING WWTF</t>
  </si>
  <si>
    <t>CORNING</t>
  </si>
  <si>
    <t>TEHAMA</t>
  </si>
  <si>
    <t>ARCATA WWTF</t>
  </si>
  <si>
    <t>ARCATA</t>
  </si>
  <si>
    <t>HUMBOLDT</t>
  </si>
  <si>
    <t>Ukiah WWTP</t>
  </si>
  <si>
    <t>UKIAH</t>
  </si>
  <si>
    <t>MENDOCINO</t>
  </si>
  <si>
    <t>MT. VIEW S.D. WWTP</t>
  </si>
  <si>
    <t>MARTINEZ</t>
  </si>
  <si>
    <t>LAS GALLINAS VALLEY STP</t>
  </si>
  <si>
    <t>San Rafael</t>
  </si>
  <si>
    <t>SAUSALITO-MARIN CITY SD WWTP</t>
  </si>
  <si>
    <t>SAUSALITO</t>
  </si>
  <si>
    <t>BENICIA WWTP</t>
  </si>
  <si>
    <t>BENICIA</t>
  </si>
  <si>
    <t>San Francisco Airport WWTP</t>
  </si>
  <si>
    <t>MORRO BAY / CAYUCOS WWTP</t>
  </si>
  <si>
    <t>MORRO BAY</t>
  </si>
  <si>
    <t>Turlock WQCF</t>
  </si>
  <si>
    <t>TURLOCK</t>
  </si>
  <si>
    <t>Placerville Hangtown Creek WRF</t>
  </si>
  <si>
    <t>PLACERVILLE</t>
  </si>
  <si>
    <t>EL DORADO</t>
  </si>
  <si>
    <t>Roseville Dry Creek WWTP</t>
  </si>
  <si>
    <t>Roseville</t>
  </si>
  <si>
    <t>PLACER</t>
  </si>
  <si>
    <t>LINDA CNTY WATER D. WWTP</t>
  </si>
  <si>
    <t>Olivehurst</t>
  </si>
  <si>
    <t>YUBA</t>
  </si>
  <si>
    <t>GRASS VALLEY WWTP</t>
  </si>
  <si>
    <t>GRASS VALLEY</t>
  </si>
  <si>
    <t>Yucaipa Valley Henry N. Wochholtz WWTP</t>
  </si>
  <si>
    <t>Yucaipa</t>
  </si>
  <si>
    <t>CRESCENT CITY WWTP</t>
  </si>
  <si>
    <t>Crescent City</t>
  </si>
  <si>
    <t>DEL NORTE</t>
  </si>
  <si>
    <t>Healdsburg WRF</t>
  </si>
  <si>
    <t>HEALDSBURG</t>
  </si>
  <si>
    <t>SONOMA</t>
  </si>
  <si>
    <t>City of Millbrae WPCP</t>
  </si>
  <si>
    <t>Millbrae</t>
  </si>
  <si>
    <t>Sewerage Agency of Southern Marin</t>
  </si>
  <si>
    <t>Mill Valley</t>
  </si>
  <si>
    <t>MARIN CO. S.D. NO.5 WWTP</t>
  </si>
  <si>
    <t>TIBURON</t>
  </si>
  <si>
    <t>94920-0227</t>
  </si>
  <si>
    <t>City of Burlingame Wastewater Treatment Facility</t>
  </si>
  <si>
    <t>Burlingame</t>
  </si>
  <si>
    <t>Pinole/Hercules WPCP</t>
  </si>
  <si>
    <t>PINOLE</t>
  </si>
  <si>
    <t>Delta Diablo</t>
  </si>
  <si>
    <t>Antioch</t>
  </si>
  <si>
    <t>Contra costa</t>
  </si>
  <si>
    <t>94509-1373</t>
  </si>
  <si>
    <t>SEWER AUTHORITY_MID COASTSIDE</t>
  </si>
  <si>
    <t>Central Marin Sanitation Agency</t>
  </si>
  <si>
    <t>City of Paso Robles WWTP</t>
  </si>
  <si>
    <t>Paso Robles</t>
  </si>
  <si>
    <t>Carmel Area Wastewater District WWTF</t>
  </si>
  <si>
    <t>Carmel</t>
  </si>
  <si>
    <t>El Dorado Hills Reclamation Plant</t>
  </si>
  <si>
    <t>El Dorado Hills</t>
  </si>
  <si>
    <t>EL PORTAL WWTF</t>
  </si>
  <si>
    <t>EL PORTAL</t>
  </si>
  <si>
    <t>MARIPOSA</t>
  </si>
  <si>
    <t>CALEXICO WPCP</t>
  </si>
  <si>
    <t>CALEXICO</t>
  </si>
  <si>
    <t>IRWD LOS ALISOS WRP</t>
  </si>
  <si>
    <t>LAKE FOREST</t>
  </si>
  <si>
    <t>INLAND EMPIRE UTILITIES PLT 2</t>
  </si>
  <si>
    <t>Camp Pendleton Plant # 1</t>
  </si>
  <si>
    <t>Camp Pendleton</t>
  </si>
  <si>
    <t>BEALE AIR FORCE BASE</t>
  </si>
  <si>
    <t>BEALE AFB</t>
  </si>
  <si>
    <t>95903-1708</t>
  </si>
  <si>
    <t>Oro Loma/Castro Valley Water Pollution Control Facility</t>
  </si>
  <si>
    <t>San Lorenzo</t>
  </si>
  <si>
    <t>SANTA MARGARITA CHIQUITA WRF</t>
  </si>
  <si>
    <t>SAN JUAN CAPISTRANO</t>
  </si>
  <si>
    <t>Camp Pendleton Plant # 2</t>
  </si>
  <si>
    <t>SAN LEANDRO WPCP</t>
  </si>
  <si>
    <t>SAN LEANDRO</t>
  </si>
  <si>
    <t>EnerTech Rialto Biosolids Facility</t>
  </si>
  <si>
    <t>BANNING WWTP</t>
  </si>
  <si>
    <t>BANNING</t>
  </si>
  <si>
    <t>CORCORAN WWTP</t>
  </si>
  <si>
    <t>KINGS</t>
  </si>
  <si>
    <t>DELANO WWTP</t>
  </si>
  <si>
    <t>Delano</t>
  </si>
  <si>
    <t>KERN</t>
  </si>
  <si>
    <t>HANFORD WWTF</t>
  </si>
  <si>
    <t>HANFORD</t>
  </si>
  <si>
    <t>KERN SA MT VERNON WWTP</t>
  </si>
  <si>
    <t>BAKERSFIELD</t>
  </si>
  <si>
    <t>RIDGECREST WWTP</t>
  </si>
  <si>
    <t>RIDGECREST</t>
  </si>
  <si>
    <t>SOCWA 3A WWTP</t>
  </si>
  <si>
    <t>SAN CLEMENTE WRP</t>
  </si>
  <si>
    <t>SAN CLEMENTE</t>
  </si>
  <si>
    <t>TULARE WPCF</t>
  </si>
  <si>
    <t>Holtville WWTP</t>
  </si>
  <si>
    <t>Holtville</t>
  </si>
  <si>
    <t>PORTERVILLE WWTF</t>
  </si>
  <si>
    <t>PORTERVILLE</t>
  </si>
  <si>
    <t>SANTA MARIA WWTP</t>
  </si>
  <si>
    <t>SANTA MARIA</t>
  </si>
  <si>
    <t>Tuolomne U.D. Regional WWTP</t>
  </si>
  <si>
    <t>SONORA</t>
  </si>
  <si>
    <t>TUOLOMNE</t>
  </si>
  <si>
    <t>BAKERSFIELD WWTP 2</t>
  </si>
  <si>
    <t>WASCO WWTP</t>
  </si>
  <si>
    <t>WASCO</t>
  </si>
  <si>
    <t>NORTH OF RIVER S. D. I WWTF</t>
  </si>
  <si>
    <t>BAKERSFIELD WWTP 3</t>
  </si>
  <si>
    <t>CORONA WWTP 1</t>
  </si>
  <si>
    <t>92880-5413</t>
  </si>
  <si>
    <t>SANGER WPCP</t>
  </si>
  <si>
    <t>SANGER</t>
  </si>
  <si>
    <t>FRESNO</t>
  </si>
  <si>
    <t>EMWD - TEMECULA VALLEY RWRF</t>
  </si>
  <si>
    <t>Temecula</t>
  </si>
  <si>
    <t>Laguna CSD WRF</t>
  </si>
  <si>
    <t>Fresno/Clovis Regional Wastewater Reclamation Facility</t>
  </si>
  <si>
    <t>DINUBA WRF</t>
  </si>
  <si>
    <t>DINUBA</t>
  </si>
  <si>
    <t>EMWD - MORENO VALLEY RWRF</t>
  </si>
  <si>
    <t>Moreno Valley</t>
  </si>
  <si>
    <t>EMWD - PERRIS VALLEY RWRF</t>
  </si>
  <si>
    <t>Perris</t>
  </si>
  <si>
    <t>EMWD - SAN JACINTO RWRF</t>
  </si>
  <si>
    <t>Hemet</t>
  </si>
  <si>
    <t>MADERA WWTF</t>
  </si>
  <si>
    <t>MADERA</t>
  </si>
  <si>
    <t>MARYSVILLE WWTP</t>
  </si>
  <si>
    <t>MARYSVILLE</t>
  </si>
  <si>
    <t>PALM SPRINGS WWTP</t>
  </si>
  <si>
    <t>PALM SPRINGS</t>
  </si>
  <si>
    <t>REDLANDS WWTP</t>
  </si>
  <si>
    <t>Redlands</t>
  </si>
  <si>
    <t>TAHOE-TRUCKEE WWTP</t>
  </si>
  <si>
    <t>TRUCKEE</t>
  </si>
  <si>
    <t>Chowchilla WWTP</t>
  </si>
  <si>
    <t>Lancaster Water Reclamation Plant</t>
  </si>
  <si>
    <t>Palmdale Water Reclamation Plant</t>
  </si>
  <si>
    <t>Palmdale</t>
  </si>
  <si>
    <t>Point Loma Wastewater Treatment Plant</t>
  </si>
  <si>
    <t>Metro Wastewater Reclamation District</t>
  </si>
  <si>
    <t>Denver</t>
  </si>
  <si>
    <t>Littleton/Englewood WWTP</t>
  </si>
  <si>
    <t>Englewood</t>
  </si>
  <si>
    <t>James R DiIorio WRF (Pueblo)</t>
  </si>
  <si>
    <t>Pueblo</t>
  </si>
  <si>
    <t>Big Dry Creek WWTP (Westminster)</t>
  </si>
  <si>
    <t>WESTMINSTER</t>
  </si>
  <si>
    <t>ADAMS</t>
  </si>
  <si>
    <t>FORT COLLINS MULBERRY WWTP</t>
  </si>
  <si>
    <t>FORT COLLINS</t>
  </si>
  <si>
    <t>LARIMER</t>
  </si>
  <si>
    <t>City of Loveland WWTP</t>
  </si>
  <si>
    <t>Loveland</t>
  </si>
  <si>
    <t>Larimer</t>
  </si>
  <si>
    <t>SOUTH ADAMS COUNTY WWTP</t>
  </si>
  <si>
    <t>HENDERSON</t>
  </si>
  <si>
    <t>Glenwood Springs WWTF</t>
  </si>
  <si>
    <t>Glenwood Springs</t>
  </si>
  <si>
    <t>Garfield</t>
  </si>
  <si>
    <t>City of Brush WWTP</t>
  </si>
  <si>
    <t>Brush</t>
  </si>
  <si>
    <t>City of La Junta Wastewater Treatment Plant</t>
  </si>
  <si>
    <t>La Junta</t>
  </si>
  <si>
    <t>Otero</t>
  </si>
  <si>
    <t>City of Durango WWTP</t>
  </si>
  <si>
    <t>Durango</t>
  </si>
  <si>
    <t>LaPlata</t>
  </si>
  <si>
    <t>City of Boulder, Colorado WWTF</t>
  </si>
  <si>
    <t>Boulder</t>
  </si>
  <si>
    <t>Broomfield Wastewater Treatment Facility</t>
  </si>
  <si>
    <t>Broomfield</t>
  </si>
  <si>
    <t>80020-2495</t>
  </si>
  <si>
    <t>Persigo (Grand Junction) WWTF</t>
  </si>
  <si>
    <t>Mesa</t>
  </si>
  <si>
    <t>GREELEY WWTP</t>
  </si>
  <si>
    <t>GREELEY</t>
  </si>
  <si>
    <t>WELD</t>
  </si>
  <si>
    <t>City of Salida Wastewater Treatment Facility</t>
  </si>
  <si>
    <t>Salida</t>
  </si>
  <si>
    <t>USAFA WWTP</t>
  </si>
  <si>
    <t>U S A F ACADEMY</t>
  </si>
  <si>
    <t>EL PASO</t>
  </si>
  <si>
    <t>Lafayette Water Reclamation Facility</t>
  </si>
  <si>
    <t>Lafayette</t>
  </si>
  <si>
    <t>City of Longmont</t>
  </si>
  <si>
    <t>Longmont</t>
  </si>
  <si>
    <t>Drake Water Reclamation Facility</t>
  </si>
  <si>
    <t>Fort Collins</t>
  </si>
  <si>
    <t>Danbury WPCF</t>
  </si>
  <si>
    <t>Danbury</t>
  </si>
  <si>
    <t>FAIRFIELD</t>
  </si>
  <si>
    <t>Fairfield WPCF*</t>
  </si>
  <si>
    <t>Norwich Public Utilities WWTF</t>
  </si>
  <si>
    <t>Norwich, CT 06360</t>
  </si>
  <si>
    <t>NEW LONDON</t>
  </si>
  <si>
    <t>Milford (Housatonic) WPCF</t>
  </si>
  <si>
    <t>NEW HAVEN</t>
  </si>
  <si>
    <t>Manchester Hockanum River WPCF</t>
  </si>
  <si>
    <t>HARTFORD</t>
  </si>
  <si>
    <t>Wallingford WPCF*</t>
  </si>
  <si>
    <t>Wallingford</t>
  </si>
  <si>
    <t>Southington WPCF</t>
  </si>
  <si>
    <t>Plantsville</t>
  </si>
  <si>
    <t>Poquonock WPCF</t>
  </si>
  <si>
    <t>North Haven WPCF</t>
  </si>
  <si>
    <t>North Haven</t>
  </si>
  <si>
    <t>Milford (Beaver Brook) WPCF*</t>
  </si>
  <si>
    <t>BLUE PLAINS WASTEWATER TREATMENT PLANT</t>
  </si>
  <si>
    <t>DISTRICT OF C</t>
  </si>
  <si>
    <t>DC</t>
  </si>
  <si>
    <t>WILMINGTON STP</t>
  </si>
  <si>
    <t>NEW CASTLE</t>
  </si>
  <si>
    <t>TAMPA</t>
  </si>
  <si>
    <t>HILLSBOROUGH</t>
  </si>
  <si>
    <t>NORTH REGIONAL WWTP - Pompano Beach</t>
  </si>
  <si>
    <t>POMPANO BEACH</t>
  </si>
  <si>
    <t>BROWARD</t>
  </si>
  <si>
    <t>BUCKMAN Residuals Management Facility and WRF - Jacksonville</t>
  </si>
  <si>
    <t>DUVAL</t>
  </si>
  <si>
    <t>BOCCA RATON WWTF</t>
  </si>
  <si>
    <t>BOCA RATON</t>
  </si>
  <si>
    <t>PALM BEACH</t>
  </si>
  <si>
    <t>City of LAKELAND - GLENDALE WRF</t>
  </si>
  <si>
    <t>LAKELAND</t>
  </si>
  <si>
    <t>POLK</t>
  </si>
  <si>
    <t>JEA DISTRICT II WWTF - Jacksonville</t>
  </si>
  <si>
    <t>City of Clearwater - MARSHALL STREET WRF</t>
  </si>
  <si>
    <t>CLEARWATER</t>
  </si>
  <si>
    <t>PINELLAS</t>
  </si>
  <si>
    <t>DELAND REGIONAL WWTF</t>
  </si>
  <si>
    <t>DELAND</t>
  </si>
  <si>
    <t>VOLUSIA</t>
  </si>
  <si>
    <t>MONTEREY WRF - JEA - Jacksonville</t>
  </si>
  <si>
    <t>JACKSONVILLE HEIGHTS WRF - Jacksonville</t>
  </si>
  <si>
    <t>CENTRAL DISTRICT WWTP Miami Dade</t>
  </si>
  <si>
    <t>Key Biscayne</t>
  </si>
  <si>
    <t>MIAMI-DADE</t>
  </si>
  <si>
    <t>Arlington East WRF - Jacksonville</t>
  </si>
  <si>
    <t>ROYAL LAKES WRF - JEA - Jacksonville</t>
  </si>
  <si>
    <t>PALATKA STP</t>
  </si>
  <si>
    <t>PALATKA</t>
  </si>
  <si>
    <t>PUTNAM</t>
  </si>
  <si>
    <t>SOUTH CROSS BAYOU WRF - St. Petersburg</t>
  </si>
  <si>
    <t>SAINT PETERSBURG</t>
  </si>
  <si>
    <t>City of Clearwater Northeast WRF</t>
  </si>
  <si>
    <t>CITY OF CLEARWATER - master reuse system permit</t>
  </si>
  <si>
    <t>PALM BEACH COUNTY SO REG. WRF - Boynton Beach</t>
  </si>
  <si>
    <t>Boynton Beach</t>
  </si>
  <si>
    <t>SOUTHWEST WRF - JEA - Jacksonville</t>
  </si>
  <si>
    <t>JCP - JEA - Jacksonville</t>
  </si>
  <si>
    <t>SAINT JOHNS</t>
  </si>
  <si>
    <t>REEDY CREEK ENERGY SERVICE</t>
  </si>
  <si>
    <t>lake buena vista</t>
  </si>
  <si>
    <t>Bradenton Manatee County -SOUTHWEST WRF</t>
  </si>
  <si>
    <t>MANATEE</t>
  </si>
  <si>
    <t>PLANTATION REGIONAL WWTP - Plantation</t>
  </si>
  <si>
    <t>Plantation</t>
  </si>
  <si>
    <t>South Cross WWTP</t>
  </si>
  <si>
    <t>ST PETERSBURG</t>
  </si>
  <si>
    <t>MIAMI DADE SOUTH DISTRICT WWTP</t>
  </si>
  <si>
    <t>Miami</t>
  </si>
  <si>
    <t>DADE</t>
  </si>
  <si>
    <t>ORLANDO WATER CONSERV II</t>
  </si>
  <si>
    <t>Central District Wastewater Treatment Plant</t>
  </si>
  <si>
    <t>Miami-Dade</t>
  </si>
  <si>
    <t>South District Wastewater Treatment Plant</t>
  </si>
  <si>
    <t>Goulds</t>
  </si>
  <si>
    <t>St Petersburg</t>
  </si>
  <si>
    <t>Ponte Vedra</t>
  </si>
  <si>
    <t>Ponte Vedra Beach</t>
  </si>
  <si>
    <t>Ponce De Leon WWTF</t>
  </si>
  <si>
    <t>Nassau Regional</t>
  </si>
  <si>
    <t>Fernandina Beach</t>
  </si>
  <si>
    <t>Blacks Ford WWTP - Jacksonville</t>
  </si>
  <si>
    <t>St. Johns</t>
  </si>
  <si>
    <t>South WRF - OCUD - Orlando</t>
  </si>
  <si>
    <t>Thomas P. Smith WRF - Tallahassee</t>
  </si>
  <si>
    <t>Tallahassee</t>
  </si>
  <si>
    <t>Leon</t>
  </si>
  <si>
    <t>City of Miramar WRF</t>
  </si>
  <si>
    <t>Miramar</t>
  </si>
  <si>
    <t>RM CLAYTON WRC - Atlanta</t>
  </si>
  <si>
    <t>ATLANTA</t>
  </si>
  <si>
    <t>FULTON</t>
  </si>
  <si>
    <t>J. B Messerly WPCP- Augusta</t>
  </si>
  <si>
    <t>AUGUSTA</t>
  </si>
  <si>
    <t>RICHMOND</t>
  </si>
  <si>
    <t>South COLUMBUS WRF</t>
  </si>
  <si>
    <t>COLUMBUS</t>
  </si>
  <si>
    <t>MUSCOGEE</t>
  </si>
  <si>
    <t>SOUTH RIVER WRC - Atlanta</t>
  </si>
  <si>
    <t>MACON Water Authority -LOWER POPLAR ST WRCF</t>
  </si>
  <si>
    <t>MACON</t>
  </si>
  <si>
    <t>BIBB</t>
  </si>
  <si>
    <t>ROME WRF</t>
  </si>
  <si>
    <t>ROME</t>
  </si>
  <si>
    <t>FLOYD</t>
  </si>
  <si>
    <t>FORT STEWART WPCF - on Fort Stewart</t>
  </si>
  <si>
    <t>FORT STEWART</t>
  </si>
  <si>
    <t>LIBERTY</t>
  </si>
  <si>
    <t>MILLEDGEVILLE WPCP</t>
  </si>
  <si>
    <t>MILLEDGEVILLE</t>
  </si>
  <si>
    <t>BALDWIN</t>
  </si>
  <si>
    <t>THOMASVILLE WPCP</t>
  </si>
  <si>
    <t>THOMASVILLE</t>
  </si>
  <si>
    <t>THOMAS</t>
  </si>
  <si>
    <t>GRIFFIN-CABIN CREEK WPCP</t>
  </si>
  <si>
    <t>GRIFFIN</t>
  </si>
  <si>
    <t>SPALDING</t>
  </si>
  <si>
    <t>F Wayne Hill WWTP</t>
  </si>
  <si>
    <t>BUFORD</t>
  </si>
  <si>
    <t>GWINNETT</t>
  </si>
  <si>
    <t>MOULTRIE WPCP</t>
  </si>
  <si>
    <t>MOULTRIE</t>
  </si>
  <si>
    <t>COLQUITT</t>
  </si>
  <si>
    <t>DAHLONEGA WPCP</t>
  </si>
  <si>
    <t>DAHLONEGA</t>
  </si>
  <si>
    <t>LUMPKIN</t>
  </si>
  <si>
    <t>GRIFFIN POTATO CREEK WPCP</t>
  </si>
  <si>
    <t>ALBANY WPCP</t>
  </si>
  <si>
    <t>ALBANY</t>
  </si>
  <si>
    <t>DOUGHERTY</t>
  </si>
  <si>
    <t>MONROE Jacks Creek WWTP</t>
  </si>
  <si>
    <t>MONROE</t>
  </si>
  <si>
    <t>WALTON</t>
  </si>
  <si>
    <t>JEKYLL ISLAND WPCP</t>
  </si>
  <si>
    <t>JEKYLL ISLAND</t>
  </si>
  <si>
    <t>GLYNN</t>
  </si>
  <si>
    <t>ALBANY-JOSHUA STREET WPCP</t>
  </si>
  <si>
    <t>FLAT CREEK WRF - Gainesville</t>
  </si>
  <si>
    <t>Gainsville</t>
  </si>
  <si>
    <t>Hall</t>
  </si>
  <si>
    <t>CARTERSVILLE WPCP</t>
  </si>
  <si>
    <t>Cartersville</t>
  </si>
  <si>
    <t>Bartow</t>
  </si>
  <si>
    <t>Sand Island (Honolulu) WWTP / In-Vessel Bioconversion Facility,</t>
  </si>
  <si>
    <t>Honouliuli WWTP</t>
  </si>
  <si>
    <t>Ewa Beach</t>
  </si>
  <si>
    <t>Kailua Regional Wastewater Treatment Plant</t>
  </si>
  <si>
    <t>Kailua</t>
  </si>
  <si>
    <t>Waianae Wastewater Treatment Facility</t>
  </si>
  <si>
    <t>Waianae</t>
  </si>
  <si>
    <t>HILO WWTP</t>
  </si>
  <si>
    <t>Hilo</t>
  </si>
  <si>
    <t>Honolulu Wahiawa WWTP</t>
  </si>
  <si>
    <t>Wahiawa</t>
  </si>
  <si>
    <t>HONOLULU</t>
  </si>
  <si>
    <t>SCHOFIELD BARRACKS WWTP</t>
  </si>
  <si>
    <t>Waimanalo WWTP</t>
  </si>
  <si>
    <t>Waimanalo</t>
  </si>
  <si>
    <t>East Honolulu Wastewater Treatment Plant</t>
  </si>
  <si>
    <t>DES MOINES METRO WRA WWTP</t>
  </si>
  <si>
    <t>CEDAR RAPIDS WWTP</t>
  </si>
  <si>
    <t>LINN</t>
  </si>
  <si>
    <t>SIOUX CITY CITY OF STP</t>
  </si>
  <si>
    <t>SIOUX CITY</t>
  </si>
  <si>
    <t>WOODBURY</t>
  </si>
  <si>
    <t>DAVENPORT WWTP</t>
  </si>
  <si>
    <t>Davenport</t>
  </si>
  <si>
    <t>SCOTT</t>
  </si>
  <si>
    <t>City of Waterloo Waste Management Services</t>
  </si>
  <si>
    <t>WATERLOO</t>
  </si>
  <si>
    <t>BLACK HAWK</t>
  </si>
  <si>
    <t>DUBUQUE Water and Resource Recovery Center</t>
  </si>
  <si>
    <t>DUBUQUE</t>
  </si>
  <si>
    <t>52003-7996</t>
  </si>
  <si>
    <t>MARSHALLTOWN WWTP</t>
  </si>
  <si>
    <t>Marshalltown</t>
  </si>
  <si>
    <t>COUNCIL BLUFFS CITY OF STP</t>
  </si>
  <si>
    <t>COUNCIL BLUFFS</t>
  </si>
  <si>
    <t>POTTAWATTAMIE</t>
  </si>
  <si>
    <t>AMES WATER POLLUTION CONTROL FACILITY</t>
  </si>
  <si>
    <t>AMES</t>
  </si>
  <si>
    <t>STORY</t>
  </si>
  <si>
    <t>CLINTON WWTP (IA)</t>
  </si>
  <si>
    <t>CLINTON</t>
  </si>
  <si>
    <t>BURLINGTON, CITY OF</t>
  </si>
  <si>
    <t>BURLINGTON</t>
  </si>
  <si>
    <t>DES MOINES</t>
  </si>
  <si>
    <t>CEDAR FALLS WWTP</t>
  </si>
  <si>
    <t>CEDAR FALLS</t>
  </si>
  <si>
    <t>MUSCATINE WATER POLLUTION CONTROL PLANT</t>
  </si>
  <si>
    <t>MUSCATINE</t>
  </si>
  <si>
    <t>MASON CITY, CITY OF STP</t>
  </si>
  <si>
    <t>MASON CITY</t>
  </si>
  <si>
    <t>CERRO GORDO</t>
  </si>
  <si>
    <t>OTTUMWA WWTP</t>
  </si>
  <si>
    <t>Ottumwa</t>
  </si>
  <si>
    <t>WAPELLO</t>
  </si>
  <si>
    <t>ESTHERVILLE CITY OF STP</t>
  </si>
  <si>
    <t>ESTHERVILLE</t>
  </si>
  <si>
    <t>EMMET</t>
  </si>
  <si>
    <t>FORT DODGE CITY OF STP</t>
  </si>
  <si>
    <t>FORT DODGE</t>
  </si>
  <si>
    <t>WEBSTER</t>
  </si>
  <si>
    <t>KEOKUK WWTP</t>
  </si>
  <si>
    <t>Keokuk</t>
  </si>
  <si>
    <t>LEE</t>
  </si>
  <si>
    <t>SPENCER CITY OF STP</t>
  </si>
  <si>
    <t>CLAY</t>
  </si>
  <si>
    <t>CRESTON CITY WATER TREATMENT PLANT</t>
  </si>
  <si>
    <t>CRESTON</t>
  </si>
  <si>
    <t>UNION</t>
  </si>
  <si>
    <t>DEWITT CITY OF STP</t>
  </si>
  <si>
    <t>DEWITT</t>
  </si>
  <si>
    <t>IOWA CITY CITY OF SOUTH STP</t>
  </si>
  <si>
    <t>IOWA CITY</t>
  </si>
  <si>
    <t>JOHNSON</t>
  </si>
  <si>
    <t>CARROLL CITY OF STP</t>
  </si>
  <si>
    <t>CARROLL</t>
  </si>
  <si>
    <t>EAGLE GROVE, CITY OF STP</t>
  </si>
  <si>
    <t>EAGLE GROVE</t>
  </si>
  <si>
    <t>WRIGHT</t>
  </si>
  <si>
    <t>GMU WASTEWATER TREATMENT FACILITY</t>
  </si>
  <si>
    <t>GLENWOOD</t>
  </si>
  <si>
    <t>MILLS</t>
  </si>
  <si>
    <t>City of Harlin WWTP</t>
  </si>
  <si>
    <t>HARLAN</t>
  </si>
  <si>
    <t>IOWA GREAT LAKES WWTP</t>
  </si>
  <si>
    <t>DICKINSON</t>
  </si>
  <si>
    <t>KNOXVILLE CITY OF STP</t>
  </si>
  <si>
    <t>KNOXVILLE</t>
  </si>
  <si>
    <t>LEMARS SEWAGE TREATMENT PLANT</t>
  </si>
  <si>
    <t>LE MARS</t>
  </si>
  <si>
    <t>PLYMOUTH</t>
  </si>
  <si>
    <t>WEBSTER CITY CITY OF STP</t>
  </si>
  <si>
    <t>WEBSTER CITY</t>
  </si>
  <si>
    <t>ANAMOSA WATER and SEWER</t>
  </si>
  <si>
    <t>ANAMOSA</t>
  </si>
  <si>
    <t>JONES</t>
  </si>
  <si>
    <t>ALGONA CITY OF STP</t>
  </si>
  <si>
    <t>ALGONA</t>
  </si>
  <si>
    <t>Kossuth</t>
  </si>
  <si>
    <t>BRITT CITY OF STP</t>
  </si>
  <si>
    <t>BRITT</t>
  </si>
  <si>
    <t>CENTERVILLE CITY OF STP (EAST)</t>
  </si>
  <si>
    <t>CENTERVILLE</t>
  </si>
  <si>
    <t>Appanoose</t>
  </si>
  <si>
    <t>CITY OF NEVADA SEWAGE TREATMENT PLANT</t>
  </si>
  <si>
    <t>Story</t>
  </si>
  <si>
    <t>CITY OF OSCEOLA SEWAGE TREATMENT PLANT</t>
  </si>
  <si>
    <t>OSCEOLA</t>
  </si>
  <si>
    <t>SIOUX CENTER WWTP</t>
  </si>
  <si>
    <t>SIOUX CENTER</t>
  </si>
  <si>
    <t>CITY OF WAVERLY</t>
  </si>
  <si>
    <t>WAVERLY</t>
  </si>
  <si>
    <t>Bremer</t>
  </si>
  <si>
    <t>CLARINDA CITY OF STP</t>
  </si>
  <si>
    <t>CLARINDA</t>
  </si>
  <si>
    <t>Page</t>
  </si>
  <si>
    <t>DECORAH CITY OF STP</t>
  </si>
  <si>
    <t>DECORAH</t>
  </si>
  <si>
    <t>Winneshiek</t>
  </si>
  <si>
    <t>Denison Municipal Utilities - WWTP</t>
  </si>
  <si>
    <t>FAIRFIELD CITY OF STP</t>
  </si>
  <si>
    <t>GREENFIELD WASTE WATER PLANT</t>
  </si>
  <si>
    <t>GREENFIELD</t>
  </si>
  <si>
    <t>Adair</t>
  </si>
  <si>
    <t>INDIANOLA CITY OF STP (NORTH)</t>
  </si>
  <si>
    <t>INDIANOLA</t>
  </si>
  <si>
    <t>Warren</t>
  </si>
  <si>
    <t>IOWA FALLS CITY OF STP</t>
  </si>
  <si>
    <t>IOWA FALLS</t>
  </si>
  <si>
    <t>MONTICELLO CITY OF STP</t>
  </si>
  <si>
    <t>MONTICELLO</t>
  </si>
  <si>
    <t>NEW HAMPTON CITY OF STP</t>
  </si>
  <si>
    <t>NEW HAMPTON</t>
  </si>
  <si>
    <t>OSKALOOSA CITY OF STP (SOUTHWE</t>
  </si>
  <si>
    <t>OSKALOOSA</t>
  </si>
  <si>
    <t>Mahaska</t>
  </si>
  <si>
    <t>PELLA CITY OF STP</t>
  </si>
  <si>
    <t>PELLA</t>
  </si>
  <si>
    <t>RED OAK CITY OF STP</t>
  </si>
  <si>
    <t>RED OAK</t>
  </si>
  <si>
    <t>SHENANDOAH CITY OF STP</t>
  </si>
  <si>
    <t>SHENANDOAH</t>
  </si>
  <si>
    <t>Fremont</t>
  </si>
  <si>
    <t>WAUKON CITY OF STP</t>
  </si>
  <si>
    <t>WAUKON</t>
  </si>
  <si>
    <t>Allamkee</t>
  </si>
  <si>
    <t>Centerville West WWTP</t>
  </si>
  <si>
    <t>Centreville</t>
  </si>
  <si>
    <t>West Boise Wastewater Treatment Facility</t>
  </si>
  <si>
    <t>IDAHO FALLS Waste Water Treatment Plant</t>
  </si>
  <si>
    <t>IDAHO FALLS</t>
  </si>
  <si>
    <t>BONNEVILLE</t>
  </si>
  <si>
    <t>Lander Street Wastewater Treatment Facility</t>
  </si>
  <si>
    <t>TWIN FALLS Waste Water Treatment Plant</t>
  </si>
  <si>
    <t>TWIN FALLS</t>
  </si>
  <si>
    <t>NAMPA Waste Water Treatment Plant</t>
  </si>
  <si>
    <t>NAMPA</t>
  </si>
  <si>
    <t>CANYON</t>
  </si>
  <si>
    <t>City of Pocatello WPC facility</t>
  </si>
  <si>
    <t>MERIDIAN STP</t>
  </si>
  <si>
    <t>MERIDIAN</t>
  </si>
  <si>
    <t>ADA</t>
  </si>
  <si>
    <t>CALDWELL SEWAGE TRT FACIL</t>
  </si>
  <si>
    <t>CALDWELL</t>
  </si>
  <si>
    <t>COEUR D ALENE S/T PLANT</t>
  </si>
  <si>
    <t>COEUR D Alene</t>
  </si>
  <si>
    <t>KOOTENAI</t>
  </si>
  <si>
    <t>LEWISTON Waste Water Treatment PLANT</t>
  </si>
  <si>
    <t>LEWISTON</t>
  </si>
  <si>
    <t>NEZ PERCE</t>
  </si>
  <si>
    <t>City of Blackfoot WWTP</t>
  </si>
  <si>
    <t>BLACKFOOT</t>
  </si>
  <si>
    <t>BINGHAM</t>
  </si>
  <si>
    <t>SODA SPRINGS WW TREAT Facility</t>
  </si>
  <si>
    <t>SODA SPRINGS</t>
  </si>
  <si>
    <t>CARIBOU</t>
  </si>
  <si>
    <t>City of Sandpoint Idaho WWTP</t>
  </si>
  <si>
    <t>Sandpoint</t>
  </si>
  <si>
    <t>Bonner</t>
  </si>
  <si>
    <t>STICKNEY WRP, MWRDGC - Cicero</t>
  </si>
  <si>
    <t>CICERO</t>
  </si>
  <si>
    <t>COOK</t>
  </si>
  <si>
    <t>CALUMET WRP - Chicago</t>
  </si>
  <si>
    <t>CHICAGO</t>
  </si>
  <si>
    <t>NORTHSIDE WRP MWRDGC - SKOKIE</t>
  </si>
  <si>
    <t>SKOKIE</t>
  </si>
  <si>
    <t>ROCK RIVER WRD</t>
  </si>
  <si>
    <t>ROCKFORD</t>
  </si>
  <si>
    <t>WINNEBAGO</t>
  </si>
  <si>
    <t>FOX METRO WRD - Oswego</t>
  </si>
  <si>
    <t>OSWEGO</t>
  </si>
  <si>
    <t>KENDALL</t>
  </si>
  <si>
    <t>DECATUR SD STP</t>
  </si>
  <si>
    <t>PEORIA WWTP</t>
  </si>
  <si>
    <t>PEORIA</t>
  </si>
  <si>
    <t>MWRDGC - John E. Egan Water Reclamation Plant</t>
  </si>
  <si>
    <t>Schaumburg</t>
  </si>
  <si>
    <t>FRWRD SOUTH (MAIN) WWTP - Elgin</t>
  </si>
  <si>
    <t>ELGIN</t>
  </si>
  <si>
    <t>KANE</t>
  </si>
  <si>
    <t>KANKAKEE RIVER METROPOLITAN AGENCY</t>
  </si>
  <si>
    <t>KANKAKEE</t>
  </si>
  <si>
    <t>BLOOMINGTON and Normal - WEST WRF</t>
  </si>
  <si>
    <t>MCLEAN</t>
  </si>
  <si>
    <t>SPRING CREEK WWTP - Springfield</t>
  </si>
  <si>
    <t>SPRINGFIELD</t>
  </si>
  <si>
    <t>SANGAMON</t>
  </si>
  <si>
    <t>JOLIET - EASTSIDE WRF</t>
  </si>
  <si>
    <t>JOLIET</t>
  </si>
  <si>
    <t>WILL</t>
  </si>
  <si>
    <t>NORTH SHORE S.D. - CLAVEY RD PLANT - Highland Park</t>
  </si>
  <si>
    <t>HIGHLAND PARK</t>
  </si>
  <si>
    <t>LAKE</t>
  </si>
  <si>
    <t>URBANA CHAMPAIGN SD - NORTHEAST STP</t>
  </si>
  <si>
    <t>URBANA</t>
  </si>
  <si>
    <t>CHAMPAIGN</t>
  </si>
  <si>
    <t>GLENBARD Waste Water Authority - Glen Ellyn</t>
  </si>
  <si>
    <t>GLEN ELLYN</t>
  </si>
  <si>
    <t>DUPAGE</t>
  </si>
  <si>
    <t>DANVILLE Sanitary District</t>
  </si>
  <si>
    <t>DANVILLE</t>
  </si>
  <si>
    <t>VERMILION</t>
  </si>
  <si>
    <t>THORN CREEK BASIN. S.D.WWTP -</t>
  </si>
  <si>
    <t>CHICAGO HEIGHTS</t>
  </si>
  <si>
    <t>JOLIET-WESTSIDE TPSTP</t>
  </si>
  <si>
    <t>FLAGG CREEK WRD</t>
  </si>
  <si>
    <t>BURR RIDGE</t>
  </si>
  <si>
    <t>HANOVER PARK WRP - MWRDGC</t>
  </si>
  <si>
    <t>HANOVER PARK</t>
  </si>
  <si>
    <t>WOODRIDGE Green Valley WWTP</t>
  </si>
  <si>
    <t>WOODRIDGE</t>
  </si>
  <si>
    <t>EAST MOLINE WWTP</t>
  </si>
  <si>
    <t>EAST MOLINE</t>
  </si>
  <si>
    <t>ROCK ISLAND</t>
  </si>
  <si>
    <t>DOWNERS GROVE Sanatary District WRF</t>
  </si>
  <si>
    <t>DOWNERS GROVE</t>
  </si>
  <si>
    <t>GALESBURG Sanitary District WWTP</t>
  </si>
  <si>
    <t>GALESBURG</t>
  </si>
  <si>
    <t>KNOX</t>
  </si>
  <si>
    <t>ALTON WWTP</t>
  </si>
  <si>
    <t>ALTON</t>
  </si>
  <si>
    <t>FOX LAKE NW REGIONAL WRF</t>
  </si>
  <si>
    <t>FOX LAKE</t>
  </si>
  <si>
    <t>MOLINE SOUTH WWTP</t>
  </si>
  <si>
    <t>MOLINE</t>
  </si>
  <si>
    <t>WHEATON SANITARY DISTRICT - STP</t>
  </si>
  <si>
    <t>WHEATON</t>
  </si>
  <si>
    <t>DEKALB SANITARY DISTRICT</t>
  </si>
  <si>
    <t>DEKALB</t>
  </si>
  <si>
    <t>BELLEVILLE STP #1</t>
  </si>
  <si>
    <t>BELLEVILLE</t>
  </si>
  <si>
    <t>ST. CLAIR</t>
  </si>
  <si>
    <t>ELMHURST WRF</t>
  </si>
  <si>
    <t>ELMHURST</t>
  </si>
  <si>
    <t>ROCK ISLAND MAIN STP</t>
  </si>
  <si>
    <t>FRWRD NORTH PLANT - Elgin</t>
  </si>
  <si>
    <t>JACKSONVILLE WWTP (IL)</t>
  </si>
  <si>
    <t>FREEPORT Water and Sewer Commission</t>
  </si>
  <si>
    <t>FREEPORT</t>
  </si>
  <si>
    <t>STEPHENSON</t>
  </si>
  <si>
    <t>BELVIDERE WWTP</t>
  </si>
  <si>
    <t>BELVIDERE</t>
  </si>
  <si>
    <t>BOONE</t>
  </si>
  <si>
    <t>CRYSTAL LAKE WWP #2</t>
  </si>
  <si>
    <t>CRYSTAL LAKE</t>
  </si>
  <si>
    <t>MCHENRY</t>
  </si>
  <si>
    <t>ADDISON WWTP-NORTH</t>
  </si>
  <si>
    <t>ADDISON</t>
  </si>
  <si>
    <t>MATTOON WWTP</t>
  </si>
  <si>
    <t>MATTOON</t>
  </si>
  <si>
    <t>COLES</t>
  </si>
  <si>
    <t>SALT CREEK S.D. WWTF - Villa Park</t>
  </si>
  <si>
    <t>VILLA PARK</t>
  </si>
  <si>
    <t>GENEVA WWTP (IL)</t>
  </si>
  <si>
    <t>GENEVA</t>
  </si>
  <si>
    <t>HARVARD WWTP</t>
  </si>
  <si>
    <t>HARVARD</t>
  </si>
  <si>
    <t>CHARLESTON WWTP (IL)</t>
  </si>
  <si>
    <t>CHARLESTON</t>
  </si>
  <si>
    <t>GENESEO WWTP</t>
  </si>
  <si>
    <t>GENESEO</t>
  </si>
  <si>
    <t>HENRY</t>
  </si>
  <si>
    <t>BENSENVILLE SOUTH STP</t>
  </si>
  <si>
    <t>BENSENVILLE</t>
  </si>
  <si>
    <t>DU PAGE</t>
  </si>
  <si>
    <t>RANTOUL STP</t>
  </si>
  <si>
    <t>RANTOUL</t>
  </si>
  <si>
    <t>WATSEKA STP</t>
  </si>
  <si>
    <t>WATSEKA</t>
  </si>
  <si>
    <t>IROQUOIS</t>
  </si>
  <si>
    <t>BENTON NORTHWEST WWTP</t>
  </si>
  <si>
    <t>FRANKLIN</t>
  </si>
  <si>
    <t>BATAVIA WWTF</t>
  </si>
  <si>
    <t>BATAVIA</t>
  </si>
  <si>
    <t>CARLINVILLE STP</t>
  </si>
  <si>
    <t>CARLINVILLE</t>
  </si>
  <si>
    <t>MACOUPIN</t>
  </si>
  <si>
    <t>ST. CHARLES EASTSIDE WWTP</t>
  </si>
  <si>
    <t>ST CHARLES</t>
  </si>
  <si>
    <t>ALGONQUIN WWTF</t>
  </si>
  <si>
    <t>ALGONQUIN</t>
  </si>
  <si>
    <t>WEST CHICAGO WWTP</t>
  </si>
  <si>
    <t>WEST CHICAGO</t>
  </si>
  <si>
    <t>ADDISON SOUTH-A.J. LAROCCA STP</t>
  </si>
  <si>
    <t>CARBONDALE NORTHWEST WWTP</t>
  </si>
  <si>
    <t>CARBONDALE</t>
  </si>
  <si>
    <t>JACKSON</t>
  </si>
  <si>
    <t>EAST PEORIA, CITY OF STP 1</t>
  </si>
  <si>
    <t>EAST PEORIA</t>
  </si>
  <si>
    <t>TAZEWELL</t>
  </si>
  <si>
    <t>Effingham WWTP</t>
  </si>
  <si>
    <t>EFFINGHAM</t>
  </si>
  <si>
    <t>LASALLE WWRF</t>
  </si>
  <si>
    <t>LASALLE</t>
  </si>
  <si>
    <t>LA SALLE</t>
  </si>
  <si>
    <t>LIBERTYVILLE WWTP</t>
  </si>
  <si>
    <t>LIBERTYVILLE</t>
  </si>
  <si>
    <t>LOCKPORT STP</t>
  </si>
  <si>
    <t>LOCKPORT</t>
  </si>
  <si>
    <t>PONTIAC WWTP (IL)</t>
  </si>
  <si>
    <t>PONTIAC</t>
  </si>
  <si>
    <t>LIVINGSTON</t>
  </si>
  <si>
    <t>URBANA-CHAMPAIGN SD SW STP</t>
  </si>
  <si>
    <t>PEKIN STP #1</t>
  </si>
  <si>
    <t>PEKIN</t>
  </si>
  <si>
    <t>FOX RIVER WRD WEST Plant - Elgin</t>
  </si>
  <si>
    <t>OLNEY STP</t>
  </si>
  <si>
    <t>OLNEY</t>
  </si>
  <si>
    <t>RICHLAND</t>
  </si>
  <si>
    <t>BLOOMINGTON-NORMAL SE WRD</t>
  </si>
  <si>
    <t>Scott Air Force Base</t>
  </si>
  <si>
    <t>Saint Clair</t>
  </si>
  <si>
    <t>DELETE - DUPLICATE Stickney WRP</t>
  </si>
  <si>
    <t>Cicero</t>
  </si>
  <si>
    <t>Genoa STP</t>
  </si>
  <si>
    <t>Westville Belgium SD WWTP</t>
  </si>
  <si>
    <t>Polo STP</t>
  </si>
  <si>
    <t>Polo</t>
  </si>
  <si>
    <t>City of Chrisman</t>
  </si>
  <si>
    <t>Chrisman</t>
  </si>
  <si>
    <t>Morrison STP</t>
  </si>
  <si>
    <t>Morrison</t>
  </si>
  <si>
    <t>City of Wilmington (IL)</t>
  </si>
  <si>
    <t>Raymond STP</t>
  </si>
  <si>
    <t>Raymond</t>
  </si>
  <si>
    <t>Oglesby STP</t>
  </si>
  <si>
    <t>Oglesby</t>
  </si>
  <si>
    <t>Hamilton Step</t>
  </si>
  <si>
    <t>Dixon Correctional Center</t>
  </si>
  <si>
    <t>Dixon</t>
  </si>
  <si>
    <t>Bluffs STP</t>
  </si>
  <si>
    <t>Bluffs</t>
  </si>
  <si>
    <t>City of Georgetown</t>
  </si>
  <si>
    <t>Marengo STP</t>
  </si>
  <si>
    <t>Marengo</t>
  </si>
  <si>
    <t>Tilton WRF</t>
  </si>
  <si>
    <t>Tilton</t>
  </si>
  <si>
    <t>Vermillion</t>
  </si>
  <si>
    <t>Lena WWTP</t>
  </si>
  <si>
    <t>Stevenson</t>
  </si>
  <si>
    <t>Washington STP 1</t>
  </si>
  <si>
    <t>Greater Chillicothe Sanitary District</t>
  </si>
  <si>
    <t>Chillicothe</t>
  </si>
  <si>
    <t>FORT WAYNE WPCP</t>
  </si>
  <si>
    <t>FT WAYNE</t>
  </si>
  <si>
    <t>ALLEN</t>
  </si>
  <si>
    <t>City of South Bend, Indiana</t>
  </si>
  <si>
    <t>St Joseph</t>
  </si>
  <si>
    <t>HAMMOND WWTP</t>
  </si>
  <si>
    <t>HAMMOND</t>
  </si>
  <si>
    <t>GARY SANITARY DISTRICT</t>
  </si>
  <si>
    <t>GARY</t>
  </si>
  <si>
    <t>Terre Haute WW Treatment Plant</t>
  </si>
  <si>
    <t>Terre Haute</t>
  </si>
  <si>
    <t>EVANSVILLE WESTSIDE WWTP</t>
  </si>
  <si>
    <t>EVANSVILLE</t>
  </si>
  <si>
    <t>VANDERBURGH</t>
  </si>
  <si>
    <t>EVANSVILLE EASTSIDE WWTP</t>
  </si>
  <si>
    <t>William Edwin Ross WWTF</t>
  </si>
  <si>
    <t>ANDERSON WWTP</t>
  </si>
  <si>
    <t>ANDERSON</t>
  </si>
  <si>
    <t>CARMEL SOUTH WWTP</t>
  </si>
  <si>
    <t>INDIANAPOLIS</t>
  </si>
  <si>
    <t>HAMILTON</t>
  </si>
  <si>
    <t>Mishawaka Wastewater Treatment Plant</t>
  </si>
  <si>
    <t>Mishawaka</t>
  </si>
  <si>
    <t>MUNCIE WWTP</t>
  </si>
  <si>
    <t>MUNCIE</t>
  </si>
  <si>
    <t>West Lafayette Wastewater Treatment Plant</t>
  </si>
  <si>
    <t>West Lafayette</t>
  </si>
  <si>
    <t>Tippecanoe</t>
  </si>
  <si>
    <t>ELKHART WWTP</t>
  </si>
  <si>
    <t>ELKHART</t>
  </si>
  <si>
    <t>LAFAYETTE WWTP</t>
  </si>
  <si>
    <t>LAFAYETTE</t>
  </si>
  <si>
    <t>TIPPECANOE</t>
  </si>
  <si>
    <t>SHELBYVILLE WWTP (IN)</t>
  </si>
  <si>
    <t>SHELBYVILLE</t>
  </si>
  <si>
    <t>J.B. Gifford Wastewater Treatment Plant</t>
  </si>
  <si>
    <t>MARION WWTP (IN)</t>
  </si>
  <si>
    <t>GRANT</t>
  </si>
  <si>
    <t>SCHERERVILLE STP</t>
  </si>
  <si>
    <t>SCHERERVILLE</t>
  </si>
  <si>
    <t>GOSHEN WWTP</t>
  </si>
  <si>
    <t>GOSHEN</t>
  </si>
  <si>
    <t>LAPORTE WWTP</t>
  </si>
  <si>
    <t>LA PORTE</t>
  </si>
  <si>
    <t>ZIONSVILLE WWTP</t>
  </si>
  <si>
    <t>ZIONSVILLE</t>
  </si>
  <si>
    <t>Connersville Utilities</t>
  </si>
  <si>
    <t>Connersville, IN</t>
  </si>
  <si>
    <t>Fatette</t>
  </si>
  <si>
    <t>NOBLESVILLE MUNICIPAL SEWAGE TREATMENT PLANT</t>
  </si>
  <si>
    <t>NOBLESVILLE</t>
  </si>
  <si>
    <t>NORTH MANCHESTER WWTP</t>
  </si>
  <si>
    <t>NORTH MANCHESTER</t>
  </si>
  <si>
    <t>WABASH</t>
  </si>
  <si>
    <t>PLYMOUTH WWTP (IN)</t>
  </si>
  <si>
    <t>RUSHVILLE MUNICIPAL WWTP</t>
  </si>
  <si>
    <t>RUSHVILLE</t>
  </si>
  <si>
    <t>RUSH</t>
  </si>
  <si>
    <t>TIPTON MUNICIPAL WASTE WATER TREATMENT PLANT</t>
  </si>
  <si>
    <t>TIPTON</t>
  </si>
  <si>
    <t>HUNTINGTON WWTP (IA)</t>
  </si>
  <si>
    <t>HUNTINGTON</t>
  </si>
  <si>
    <t>NEW CASTLE WASTEWATER TREATMENT PLANT</t>
  </si>
  <si>
    <t>SOUTH DEARBORN SEWAGE TREATMENT PLANT</t>
  </si>
  <si>
    <t>LAWRENCEBURG</t>
  </si>
  <si>
    <t>DEARBORN</t>
  </si>
  <si>
    <t>Wastewater Treatment Plant #1</t>
  </si>
  <si>
    <t>Kosciusko</t>
  </si>
  <si>
    <t>City of Bedford WWTP</t>
  </si>
  <si>
    <t>Bedford</t>
  </si>
  <si>
    <t>CROWN POINT MUNICIPAL WWTP</t>
  </si>
  <si>
    <t>CROWN POINT</t>
  </si>
  <si>
    <t>VINCENNES WWTP</t>
  </si>
  <si>
    <t>VINCENNES</t>
  </si>
  <si>
    <t>Crawfordsville WWTP</t>
  </si>
  <si>
    <t>Crawfordsville</t>
  </si>
  <si>
    <t>SPEEDWAY WASTEWATER TREATMENT PLANT</t>
  </si>
  <si>
    <t>SPEEDWAY</t>
  </si>
  <si>
    <t>WICHITA LOWER ARKANSAS RIVER PLANT</t>
  </si>
  <si>
    <t>WICHITA</t>
  </si>
  <si>
    <t>SEDGWICK</t>
  </si>
  <si>
    <t>KANSAS CITY WASTEWATER TREATMENT PLT #1</t>
  </si>
  <si>
    <t>Kansas City</t>
  </si>
  <si>
    <t>WYANDOTTE</t>
  </si>
  <si>
    <t>TOPEKA OAKLAND WWTP</t>
  </si>
  <si>
    <t>SHAWNEE</t>
  </si>
  <si>
    <t>DUPE__LAWRENCE WASTEWATER TREATMENT PLANT 117</t>
  </si>
  <si>
    <t>LAWRENCE</t>
  </si>
  <si>
    <t>DOUGLAS</t>
  </si>
  <si>
    <t>HUTCHINSON WWTP</t>
  </si>
  <si>
    <t>HUTCHINSON</t>
  </si>
  <si>
    <t>RENO</t>
  </si>
  <si>
    <t>Salina WWTF</t>
  </si>
  <si>
    <t>SALINA</t>
  </si>
  <si>
    <t>SALINE</t>
  </si>
  <si>
    <t>City of PITTSBURG MUN WWTP</t>
  </si>
  <si>
    <t>PITTSBURG</t>
  </si>
  <si>
    <t>CRAWFORD</t>
  </si>
  <si>
    <t>EMPORIA WASTEWATER TREATMENT PLANT</t>
  </si>
  <si>
    <t>EMPORIA</t>
  </si>
  <si>
    <t>LYON</t>
  </si>
  <si>
    <t>GREAT BEND WWTF</t>
  </si>
  <si>
    <t>GREAT BEND</t>
  </si>
  <si>
    <t>BARTON</t>
  </si>
  <si>
    <t>Newton WWTP (KS)</t>
  </si>
  <si>
    <t>NEWTON</t>
  </si>
  <si>
    <t>HARVEY</t>
  </si>
  <si>
    <t>ARKANSAS CITY MWWTP</t>
  </si>
  <si>
    <t>Arkansas</t>
  </si>
  <si>
    <t>COWLEY</t>
  </si>
  <si>
    <t>PRATT WWTF</t>
  </si>
  <si>
    <t>PRATT</t>
  </si>
  <si>
    <t>CITY OF HAYS WASTEWATER TREATMENT PLANT</t>
  </si>
  <si>
    <t>HAYS</t>
  </si>
  <si>
    <t>ELLIS</t>
  </si>
  <si>
    <t>ATCHISON Waste Water Treatment Plant</t>
  </si>
  <si>
    <t>ATCHISON</t>
  </si>
  <si>
    <t>Harold Street Treatment Facility</t>
  </si>
  <si>
    <t>OLATHE</t>
  </si>
  <si>
    <t>CHANUTE Waste Water Treatment Plant</t>
  </si>
  <si>
    <t>CHANUTE</t>
  </si>
  <si>
    <t>NEOSHO</t>
  </si>
  <si>
    <t>WICHITA FOUR MILE CRK WWTP</t>
  </si>
  <si>
    <t>DUPE__Lawrence Wastewater Treatment Plant 118</t>
  </si>
  <si>
    <t>LOUISVILLE MSD MORRIS FORMAN</t>
  </si>
  <si>
    <t>LOUISVILLE</t>
  </si>
  <si>
    <t>LFUCG TOWN BRANCH STP</t>
  </si>
  <si>
    <t>LEXINGTON</t>
  </si>
  <si>
    <t>FAYETTE</t>
  </si>
  <si>
    <t>PADUCAH MCCRACKEN CO JSA - PADUCAH</t>
  </si>
  <si>
    <t>PADUCAH</t>
  </si>
  <si>
    <t>MCCRACKEN</t>
  </si>
  <si>
    <t>GLASGOW WATER CO</t>
  </si>
  <si>
    <t>GLASGOW</t>
  </si>
  <si>
    <t>BARREN</t>
  </si>
  <si>
    <t>RADCLIFF STP</t>
  </si>
  <si>
    <t>RADCLIFF</t>
  </si>
  <si>
    <t>HARDIN</t>
  </si>
  <si>
    <t>PRESTONSBURG</t>
  </si>
  <si>
    <t>HARRODSBURG STP</t>
  </si>
  <si>
    <t>HARRODSBURG</t>
  </si>
  <si>
    <t>MERCER</t>
  </si>
  <si>
    <t>THIBODAUX WWTP</t>
  </si>
  <si>
    <t>THIBODAUX</t>
  </si>
  <si>
    <t>LAFOURCHE</t>
  </si>
  <si>
    <t>LAKE CHARLES PLANT A</t>
  </si>
  <si>
    <t>LAKE CHARLES</t>
  </si>
  <si>
    <t>CALCASIEU</t>
  </si>
  <si>
    <t>AMBASSADOR CAFFERY WWTP - Lafayette</t>
  </si>
  <si>
    <t>EAST WWTP - Lafayette</t>
  </si>
  <si>
    <t>EBRP SOUTH WASTEWATER TREATMENT PLANT</t>
  </si>
  <si>
    <t>BATON ROUGE</t>
  </si>
  <si>
    <t>EAST BATON ROUGE</t>
  </si>
  <si>
    <t>E BATON ROUGE CITY-PAR (SOUTH)</t>
  </si>
  <si>
    <t>EAST BATON ROUGE CITY PARISH NORTH -</t>
  </si>
  <si>
    <t>SCOTLANDVILLE</t>
  </si>
  <si>
    <t>PLAQUEMINES PAR (BURAS STP)</t>
  </si>
  <si>
    <t>BURAS</t>
  </si>
  <si>
    <t>PLAQUEMINES</t>
  </si>
  <si>
    <t>Deer Island (MWRA) WWTP</t>
  </si>
  <si>
    <t>Winthrop, MA 02152</t>
  </si>
  <si>
    <t>SUFFOLK</t>
  </si>
  <si>
    <t>GREATER LAWRENCE SANITARY DISTRICT</t>
  </si>
  <si>
    <t>NO. ANDOVER</t>
  </si>
  <si>
    <t>ESSEX</t>
  </si>
  <si>
    <t>Pittsfield WWTP</t>
  </si>
  <si>
    <t>Pittsfield</t>
  </si>
  <si>
    <t>BERKSHIRE</t>
  </si>
  <si>
    <t>Fairhaven WPCF</t>
  </si>
  <si>
    <t>Fairhaven</t>
  </si>
  <si>
    <t>BRISTOL</t>
  </si>
  <si>
    <t>Clinton (MWRA) WWTP</t>
  </si>
  <si>
    <t>Clinton, MA</t>
  </si>
  <si>
    <t>Rockland WWTP</t>
  </si>
  <si>
    <t>Rockland</t>
  </si>
  <si>
    <t>BACK RIVER WASTEWATER TREATMNT PLANT</t>
  </si>
  <si>
    <t>BALTIMORE</t>
  </si>
  <si>
    <t>BALTIMORE CITY</t>
  </si>
  <si>
    <t>Cumberland Wastewater Treatment Pant</t>
  </si>
  <si>
    <t>MARLAY TAYLOR WASTE WATER TREATMENT PLANT</t>
  </si>
  <si>
    <t>LEXINGTON PARK</t>
  </si>
  <si>
    <t>ST. MARYS</t>
  </si>
  <si>
    <t>SOD RUN WASTEWATER TREATMENT PLANT</t>
  </si>
  <si>
    <t>PERRYMAN</t>
  </si>
  <si>
    <t>HARFORD</t>
  </si>
  <si>
    <t>Edgewood Area WWTP</t>
  </si>
  <si>
    <t>Aberdeen Proving Ground</t>
  </si>
  <si>
    <t>Aberdeen Area WWTP</t>
  </si>
  <si>
    <t>ABERDEEN</t>
  </si>
  <si>
    <t>ABERDEEN SLUDGE COMPOSTING</t>
  </si>
  <si>
    <t>CITY OF FREDERICK WASTEWATER TREATMENT PLANT</t>
  </si>
  <si>
    <t>FREDERICK</t>
  </si>
  <si>
    <t>HAGERSTOWN WATER POLLUTION</t>
  </si>
  <si>
    <t>HAGERSTOWN</t>
  </si>
  <si>
    <t>Sod Run Wasteater treatment Plant</t>
  </si>
  <si>
    <t>Perryman,</t>
  </si>
  <si>
    <t>Harford</t>
  </si>
  <si>
    <t>Back River WWTP</t>
  </si>
  <si>
    <t>Lewiston-Auburn WPCA</t>
  </si>
  <si>
    <t>Lewiston</t>
  </si>
  <si>
    <t>ANDROSCOGGIN</t>
  </si>
  <si>
    <t>04241-1928</t>
  </si>
  <si>
    <t>City of Flint Water Pollution Control</t>
  </si>
  <si>
    <t>Flint</t>
  </si>
  <si>
    <t>Pontiac WWTP (MI)</t>
  </si>
  <si>
    <t>City of Jackson WWTP (RA Greene WWTP)</t>
  </si>
  <si>
    <t>BENTON HARBOR-ST JOSEPH</t>
  </si>
  <si>
    <t>ST JOSEPH</t>
  </si>
  <si>
    <t>BERRIEN</t>
  </si>
  <si>
    <t>West Bay County Regional WWTP</t>
  </si>
  <si>
    <t>Bay City</t>
  </si>
  <si>
    <t>MIDLAND WWTP</t>
  </si>
  <si>
    <t>MIDLAND</t>
  </si>
  <si>
    <t>TRAVERSE CITY REG STP</t>
  </si>
  <si>
    <t>TRAVERSE CITY</t>
  </si>
  <si>
    <t>GRAND TRAVERSE</t>
  </si>
  <si>
    <t>SAULT STE MARIE STP</t>
  </si>
  <si>
    <t>SAULT STE MARIE</t>
  </si>
  <si>
    <t>CHIPPEWA</t>
  </si>
  <si>
    <t>CITY OF ADRIAN WASTEWATER TREATMENT PLANT</t>
  </si>
  <si>
    <t>ADRIAN</t>
  </si>
  <si>
    <t>LENAWEE</t>
  </si>
  <si>
    <t>Marquette WWTP</t>
  </si>
  <si>
    <t>Marquette</t>
  </si>
  <si>
    <t>Bedford Township WWTP</t>
  </si>
  <si>
    <t>DELTA TOWNSHIP WASTEWATER TREATMENT PLANT</t>
  </si>
  <si>
    <t>LANSING</t>
  </si>
  <si>
    <t>EATON</t>
  </si>
  <si>
    <t>ALPENA WATER RECYCLING PLANT</t>
  </si>
  <si>
    <t>ALPENA</t>
  </si>
  <si>
    <t>SAGINAW CHARTER TOWNSHIP WWTP</t>
  </si>
  <si>
    <t>SAGINAW</t>
  </si>
  <si>
    <t>CITY OF STURGIS WWTP</t>
  </si>
  <si>
    <t>Sturgis</t>
  </si>
  <si>
    <t>HOLLY STP</t>
  </si>
  <si>
    <t>HOLLY</t>
  </si>
  <si>
    <t>OAKLAND</t>
  </si>
  <si>
    <t>Portage Lake Water &amp; Sewage Authority</t>
  </si>
  <si>
    <t>Houghton</t>
  </si>
  <si>
    <t>Coldwater Wastewater Treatment Plant</t>
  </si>
  <si>
    <t>Coldwater,MI</t>
  </si>
  <si>
    <t>Branch</t>
  </si>
  <si>
    <t>Gogebic Iron Wastewater Treatment Facility</t>
  </si>
  <si>
    <t>Ironwood</t>
  </si>
  <si>
    <t>Gogebic</t>
  </si>
  <si>
    <t>CITY OF CADILLAC WASTE WATER TREATMENT PLT</t>
  </si>
  <si>
    <t>CADILLAC</t>
  </si>
  <si>
    <t>WEXFORD</t>
  </si>
  <si>
    <t>City of Flushing WWTP</t>
  </si>
  <si>
    <t>Flushing</t>
  </si>
  <si>
    <t>CHEBOYGAN WWTP</t>
  </si>
  <si>
    <t>CHEBOYGAN</t>
  </si>
  <si>
    <t>City of South Haven Wastewater Treatment Plant</t>
  </si>
  <si>
    <t>South Haven</t>
  </si>
  <si>
    <t>Van Buren</t>
  </si>
  <si>
    <t>City of Manistee WWTP</t>
  </si>
  <si>
    <t>Manistee</t>
  </si>
  <si>
    <t>St Clair County WWTP</t>
  </si>
  <si>
    <t>Algonac</t>
  </si>
  <si>
    <t>St Clair</t>
  </si>
  <si>
    <t>Greenville Wastewater Treatment Plant</t>
  </si>
  <si>
    <t>City of Tecumseh</t>
  </si>
  <si>
    <t>Tecumseh</t>
  </si>
  <si>
    <t>ST. CLAIR WWTP (MI)</t>
  </si>
  <si>
    <t>City of Marysville</t>
  </si>
  <si>
    <t>City of Charlotte WWTP</t>
  </si>
  <si>
    <t>Eaton</t>
  </si>
  <si>
    <t>Ludington State Park DNR</t>
  </si>
  <si>
    <t>Ludington</t>
  </si>
  <si>
    <t>Mason</t>
  </si>
  <si>
    <t>ST LOUIS WWTP</t>
  </si>
  <si>
    <t>SAINT LOUIS</t>
  </si>
  <si>
    <t>GRATIOT</t>
  </si>
  <si>
    <t>Village of Romeo WWTP</t>
  </si>
  <si>
    <t>Romeo</t>
  </si>
  <si>
    <t>Bridgeport WWTP (MI)</t>
  </si>
  <si>
    <t>City of Buchanan, WWTP</t>
  </si>
  <si>
    <t>BUENA VISTA WWTP (MI)</t>
  </si>
  <si>
    <t>Dehli Charter Township POTW</t>
  </si>
  <si>
    <t>Holt</t>
  </si>
  <si>
    <t>Genesee County Linden WWTP</t>
  </si>
  <si>
    <t>CITY OF GRANDVILLE WASTEWATER TREATMENT PLANT</t>
  </si>
  <si>
    <t>Jenison</t>
  </si>
  <si>
    <t>KENT</t>
  </si>
  <si>
    <t>Iron Mountain/Kingsford WWTP</t>
  </si>
  <si>
    <t>Kingsford</t>
  </si>
  <si>
    <t>Dickinson</t>
  </si>
  <si>
    <t>City of Manistique WWTP</t>
  </si>
  <si>
    <t>Manistique</t>
  </si>
  <si>
    <t>City of Petoskey WWTP</t>
  </si>
  <si>
    <t>Petoskey</t>
  </si>
  <si>
    <t>Emmet</t>
  </si>
  <si>
    <t>City of Escanaba</t>
  </si>
  <si>
    <t>Escanaba</t>
  </si>
  <si>
    <t>Menominee Watewater Treatment Plant</t>
  </si>
  <si>
    <t>Menominee</t>
  </si>
  <si>
    <t>City of St. Johns Wastewater Treatment Facility</t>
  </si>
  <si>
    <t>GRSD Sewer Authority</t>
  </si>
  <si>
    <t>West Iron County Sewer Authority</t>
  </si>
  <si>
    <t>Caspian</t>
  </si>
  <si>
    <t>Iron</t>
  </si>
  <si>
    <t>City of Caro WWTP</t>
  </si>
  <si>
    <t>Tuscola</t>
  </si>
  <si>
    <t>VILLAGE OF CASS CITY WWTP</t>
  </si>
  <si>
    <t>CASS CITY</t>
  </si>
  <si>
    <t>TUSCOLA</t>
  </si>
  <si>
    <t>CHARLEVOIX WWTP</t>
  </si>
  <si>
    <t>CHARLEVOIX</t>
  </si>
  <si>
    <t>CITY OF GLADSTONE</t>
  </si>
  <si>
    <t>GLADSTONE</t>
  </si>
  <si>
    <t>DELTA</t>
  </si>
  <si>
    <t>KINROSS TWP WWTP</t>
  </si>
  <si>
    <t>KINCHELOE</t>
  </si>
  <si>
    <t>City of Plainwell Water Renewal Plant</t>
  </si>
  <si>
    <t>Plainwell</t>
  </si>
  <si>
    <t>Rogers City WWTP</t>
  </si>
  <si>
    <t>West Branch Area Wastewater Treatment Facility</t>
  </si>
  <si>
    <t>City of West Branch</t>
  </si>
  <si>
    <t>Ogemaw</t>
  </si>
  <si>
    <t>hudson wastewater treatment plant</t>
  </si>
  <si>
    <t>hudson, mi</t>
  </si>
  <si>
    <t>lenawee</t>
  </si>
  <si>
    <t>City of Vassar, Wastewater Treatment Plant</t>
  </si>
  <si>
    <t>Vassar</t>
  </si>
  <si>
    <t>Roscommon Area Schools</t>
  </si>
  <si>
    <t>Roscommon</t>
  </si>
  <si>
    <t>VILLAGE OF CHESANING</t>
  </si>
  <si>
    <t>Chesaning</t>
  </si>
  <si>
    <t>Sandusky Waste Water Treatment Plant</t>
  </si>
  <si>
    <t>Sandusky</t>
  </si>
  <si>
    <t>Sanilac</t>
  </si>
  <si>
    <t>Williamston Wastewater Treatment Faucility</t>
  </si>
  <si>
    <t>Williamston</t>
  </si>
  <si>
    <t>Dexter waste water treatment plant</t>
  </si>
  <si>
    <t>Dexter</t>
  </si>
  <si>
    <t>Wastenaw</t>
  </si>
  <si>
    <t>City of Gladwin W.W.T.P.</t>
  </si>
  <si>
    <t>Gladwin</t>
  </si>
  <si>
    <t>Northfield Twp. Wastewater plant</t>
  </si>
  <si>
    <t>Whitmore Lake</t>
  </si>
  <si>
    <t>City of Stephenson WWTP</t>
  </si>
  <si>
    <t>Stephenson</t>
  </si>
  <si>
    <t>Western Lake Superior Sanitary Disrtict</t>
  </si>
  <si>
    <t>Duluth</t>
  </si>
  <si>
    <t>Blue Lake WWTP</t>
  </si>
  <si>
    <t>Shakopee</t>
  </si>
  <si>
    <t>Rochester Water Reclamation Plant</t>
  </si>
  <si>
    <t>ROCHESTER</t>
  </si>
  <si>
    <t>OLMSTED</t>
  </si>
  <si>
    <t>ALBERT LEA WWTP</t>
  </si>
  <si>
    <t>ALBERT LEA</t>
  </si>
  <si>
    <t>FREEBORN</t>
  </si>
  <si>
    <t>St. Cloud Wastewater Treatment Facility</t>
  </si>
  <si>
    <t>Sherburne</t>
  </si>
  <si>
    <t>Mankato Wastewater Treatment Facility</t>
  </si>
  <si>
    <t>Mankato</t>
  </si>
  <si>
    <t>City of Moorhead Wastewater Treatment Facility</t>
  </si>
  <si>
    <t>Moorhead</t>
  </si>
  <si>
    <t>Austin Wastewater Treatment Plant</t>
  </si>
  <si>
    <t>AUSTIN</t>
  </si>
  <si>
    <t>MOWER</t>
  </si>
  <si>
    <t>Empire WWTP (MN)</t>
  </si>
  <si>
    <t>Farmington</t>
  </si>
  <si>
    <t>City of Luverne WWTP</t>
  </si>
  <si>
    <t>North Koochiching Area Sanitary District</t>
  </si>
  <si>
    <t>International Falls</t>
  </si>
  <si>
    <t>Koochichin</t>
  </si>
  <si>
    <t>MELROSE TREATMENT FACILITY</t>
  </si>
  <si>
    <t>MELROSE</t>
  </si>
  <si>
    <t>STEARNS</t>
  </si>
  <si>
    <t>Cambridge Wastewater Treatment Facility</t>
  </si>
  <si>
    <t>Isanti</t>
  </si>
  <si>
    <t>City of Elk River WWTP</t>
  </si>
  <si>
    <t>Elk River</t>
  </si>
  <si>
    <t>City of Bemidji Wastewater Treatment Facility</t>
  </si>
  <si>
    <t>Bemidji</t>
  </si>
  <si>
    <t>Beltrami</t>
  </si>
  <si>
    <t>COLD SPRING</t>
  </si>
  <si>
    <t>City of Litchfield Wastewater Treatment Facility</t>
  </si>
  <si>
    <t>Meeker</t>
  </si>
  <si>
    <t>Red Wing Municipal Wastewater Treatment Facility</t>
  </si>
  <si>
    <t>Fairmont Wastewater Treatment Facility</t>
  </si>
  <si>
    <t>Martin</t>
  </si>
  <si>
    <t>Virginia Wastwater Treatment Plant</t>
  </si>
  <si>
    <t>Virginia</t>
  </si>
  <si>
    <t>St Louis</t>
  </si>
  <si>
    <t>Worthington Wastewater Treatment Facility</t>
  </si>
  <si>
    <t>Worthington</t>
  </si>
  <si>
    <t>Nobles</t>
  </si>
  <si>
    <t>Fergus Falls Wastewater Treatment Plant</t>
  </si>
  <si>
    <t>Ottertail</t>
  </si>
  <si>
    <t>Owatonna Wastewater Treatment Facility</t>
  </si>
  <si>
    <t>Owatonna</t>
  </si>
  <si>
    <t>Steele</t>
  </si>
  <si>
    <t>City of Zumbrota WWTF</t>
  </si>
  <si>
    <t>Zumbrota</t>
  </si>
  <si>
    <t>City of Blue Earth</t>
  </si>
  <si>
    <t>Faribault</t>
  </si>
  <si>
    <t>CARROLLTON WWTP (MO)</t>
  </si>
  <si>
    <t>CARROLLTON</t>
  </si>
  <si>
    <t>COLUMBIA WWTP (MO)</t>
  </si>
  <si>
    <t>COLUMBIA</t>
  </si>
  <si>
    <t>TURKEY CREEK WWTP</t>
  </si>
  <si>
    <t>JOPLIN</t>
  </si>
  <si>
    <t>JASPER</t>
  </si>
  <si>
    <t>SHOAL CREEK FACILITY</t>
  </si>
  <si>
    <t>K.C. BLUE RIVER STP</t>
  </si>
  <si>
    <t>KANSAS CITY</t>
  </si>
  <si>
    <t>KIRKSVILLE WWTP</t>
  </si>
  <si>
    <t>KIRKSVILLE</t>
  </si>
  <si>
    <t>ADAIR</t>
  </si>
  <si>
    <t>MEXICO WWTP</t>
  </si>
  <si>
    <t>MEXICO</t>
  </si>
  <si>
    <t>AUDRAIN</t>
  </si>
  <si>
    <t>SEDALIA NORTH WWTP</t>
  </si>
  <si>
    <t>SEDALIA</t>
  </si>
  <si>
    <t>PETTIS</t>
  </si>
  <si>
    <t>SPRINGFIELD SW WWTP</t>
  </si>
  <si>
    <t>GREENE</t>
  </si>
  <si>
    <t>ST JOSEPH WWTP</t>
  </si>
  <si>
    <t>BUCHANAN</t>
  </si>
  <si>
    <t>MISSOURI RIVER WWTP</t>
  </si>
  <si>
    <t>ST. LOUIS</t>
  </si>
  <si>
    <t>South Gulfport WWTF (HCUA)</t>
  </si>
  <si>
    <t>GULFPORT</t>
  </si>
  <si>
    <t>HARRISON</t>
  </si>
  <si>
    <t>VICKSBURG WWTP</t>
  </si>
  <si>
    <t>VICKSBURG</t>
  </si>
  <si>
    <t>WARREN</t>
  </si>
  <si>
    <t>BILLINGS WWTP</t>
  </si>
  <si>
    <t>BILLINGS</t>
  </si>
  <si>
    <t>YELLOWSTONE</t>
  </si>
  <si>
    <t>GREAT FALLS- CITY OF</t>
  </si>
  <si>
    <t>GREAT FALLS</t>
  </si>
  <si>
    <t>CASCADE</t>
  </si>
  <si>
    <t>Missoula Wastewater Treatment Facility</t>
  </si>
  <si>
    <t>Missoula</t>
  </si>
  <si>
    <t>CITY OF HELENA WWTF</t>
  </si>
  <si>
    <t>HELENA</t>
  </si>
  <si>
    <t>LEWIS AND CLARK</t>
  </si>
  <si>
    <t>BOZEMAN WWTP</t>
  </si>
  <si>
    <t>BOZEMAN</t>
  </si>
  <si>
    <t>GALLATIN</t>
  </si>
  <si>
    <t>LEWISTOWN CITY OF</t>
  </si>
  <si>
    <t>LEWISTOWN</t>
  </si>
  <si>
    <t>FERGUS</t>
  </si>
  <si>
    <t>LIVINGSTON WWTP (MT)</t>
  </si>
  <si>
    <t>PARK</t>
  </si>
  <si>
    <t>KALISPELL WWTP</t>
  </si>
  <si>
    <t>KALISPELL</t>
  </si>
  <si>
    <t>FLATHEAD</t>
  </si>
  <si>
    <t>CHARLOTTE MUD - MCALPINE CREEK WWTP - Pineville</t>
  </si>
  <si>
    <t>Pineville</t>
  </si>
  <si>
    <t>MECKLENBURG</t>
  </si>
  <si>
    <t>Archie Elledge WWTP</t>
  </si>
  <si>
    <t>Cross Creek Water Reclamation Facility</t>
  </si>
  <si>
    <t>Lower Muddy Creek WWTP</t>
  </si>
  <si>
    <t>NORTH DURHAM WRF</t>
  </si>
  <si>
    <t>DURHAM</t>
  </si>
  <si>
    <t>South Durham Water Reclamation</t>
  </si>
  <si>
    <t>Chapel Hill</t>
  </si>
  <si>
    <t>CHARLOTTE MUD-SUGAR CREEK WWTP - Charlotte</t>
  </si>
  <si>
    <t>CITY OF GASTONIA</t>
  </si>
  <si>
    <t>GASTONIA</t>
  </si>
  <si>
    <t>GASTON</t>
  </si>
  <si>
    <t>CHARLOTTE MUD - IRWIN CREEK WWTP</t>
  </si>
  <si>
    <t>CITY OF WILSON - WWTP</t>
  </si>
  <si>
    <t>WILSON</t>
  </si>
  <si>
    <t>ORANGE WSA - Chapel HIll</t>
  </si>
  <si>
    <t>Chaplel Hill</t>
  </si>
  <si>
    <t>Southside Wastewater Treatment Plant</t>
  </si>
  <si>
    <t>New Hanover</t>
  </si>
  <si>
    <t>ASHEBORO WWTP</t>
  </si>
  <si>
    <t>Asheboro</t>
  </si>
  <si>
    <t>RANDOLPH</t>
  </si>
  <si>
    <t>ROANOKE RAPIDS WWTP</t>
  </si>
  <si>
    <t>ROANOKE RAPIDS</t>
  </si>
  <si>
    <t>HALIFAX</t>
  </si>
  <si>
    <t>James A. Loughlin (Northside) WWTP</t>
  </si>
  <si>
    <t>LINCOLNTON CITY WWTP</t>
  </si>
  <si>
    <t>LINCOLNTON</t>
  </si>
  <si>
    <t>LINCOLN</t>
  </si>
  <si>
    <t>CHARLOTTE MUD- MALLARD CREEK WRF - Charlotte</t>
  </si>
  <si>
    <t>CHARLOTTE MUD - MCDOWELL CREEK WWTP - Huntersville</t>
  </si>
  <si>
    <t>Huntersville</t>
  </si>
  <si>
    <t>HENDERSON NUTBUSH CREEK WWTP</t>
  </si>
  <si>
    <t>Henderson</t>
  </si>
  <si>
    <t>VANCE</t>
  </si>
  <si>
    <t>TOWN OF SPRUCE PINE</t>
  </si>
  <si>
    <t>Spruce Pine</t>
  </si>
  <si>
    <t>MITCHELL</t>
  </si>
  <si>
    <t>TOWN OF TRYON</t>
  </si>
  <si>
    <t>TRYON</t>
  </si>
  <si>
    <t>WAYNESVILLE WASTE WATER TREATMENT PLANT</t>
  </si>
  <si>
    <t>waynesville</t>
  </si>
  <si>
    <t>HAYWOOD</t>
  </si>
  <si>
    <t>TOWN OF RED SPRINGS</t>
  </si>
  <si>
    <t>RED SPRINGS</t>
  </si>
  <si>
    <t>ROBESON</t>
  </si>
  <si>
    <t>MOORE COUNTY REGIONAL WWTP</t>
  </si>
  <si>
    <t>PINEBLUFF</t>
  </si>
  <si>
    <t>MOORE</t>
  </si>
  <si>
    <t>ANSON COUNTY REG. WWTP</t>
  </si>
  <si>
    <t>Wadesboro</t>
  </si>
  <si>
    <t>ANSON</t>
  </si>
  <si>
    <t>CROWDERS CREEK WWTP</t>
  </si>
  <si>
    <t>Gastonia</t>
  </si>
  <si>
    <t>CITY OF FARGO WWTP</t>
  </si>
  <si>
    <t>CASS</t>
  </si>
  <si>
    <t>BISMARCK WWTP</t>
  </si>
  <si>
    <t>BISMARCK</t>
  </si>
  <si>
    <t>BURLEIGH</t>
  </si>
  <si>
    <t>MISSOURI RIVER WWTF - Omaha</t>
  </si>
  <si>
    <t>OMAHA</t>
  </si>
  <si>
    <t>PAPILLION Creek WWTF - Omaha City</t>
  </si>
  <si>
    <t>BELLEVUE</t>
  </si>
  <si>
    <t>SARPY</t>
  </si>
  <si>
    <t>THERESA STREET WWTP - Lincoln</t>
  </si>
  <si>
    <t>LANCASTER</t>
  </si>
  <si>
    <t>NORTHEAST WWTP - Lincoln</t>
  </si>
  <si>
    <t>OGALLALA WWTP #1</t>
  </si>
  <si>
    <t>OGALLALA</t>
  </si>
  <si>
    <t>KEITH</t>
  </si>
  <si>
    <t>FREMONT WWTP</t>
  </si>
  <si>
    <t>FREMONT</t>
  </si>
  <si>
    <t>DODGE</t>
  </si>
  <si>
    <t>Hastings Utilities Pollution Control Facility</t>
  </si>
  <si>
    <t>HASTINGS</t>
  </si>
  <si>
    <t>Nashua WWTP</t>
  </si>
  <si>
    <t>Nashua, NH 03060</t>
  </si>
  <si>
    <t>Franklin WWTP (NH)</t>
  </si>
  <si>
    <t>MERRIMACK</t>
  </si>
  <si>
    <t>Hanover Water Reclamation Facility</t>
  </si>
  <si>
    <t>Grafton</t>
  </si>
  <si>
    <t>BERGEN CNTY UTIL AUTH WTP &amp; SLF</t>
  </si>
  <si>
    <t>Little Ferry</t>
  </si>
  <si>
    <t>BERGEN</t>
  </si>
  <si>
    <t>ESSEX &amp; UNION CNTY JOINT MEETING STP</t>
  </si>
  <si>
    <t>Elizabeth</t>
  </si>
  <si>
    <t>RAHWAY VALLEY SEWER AUTH</t>
  </si>
  <si>
    <t>Rahway</t>
  </si>
  <si>
    <t>OCEAN CNTY UTIL AUTH CWPCF</t>
  </si>
  <si>
    <t>Bayville</t>
  </si>
  <si>
    <t>OCEAN</t>
  </si>
  <si>
    <t>OCEAN CNTY UTIL AUTH NWPCF</t>
  </si>
  <si>
    <t>TRENTON CITY DPW SEWER AUTH</t>
  </si>
  <si>
    <t>OCEAN CNTY UTIL AUTH SWPCF</t>
  </si>
  <si>
    <t>West Creek</t>
  </si>
  <si>
    <t>HAMILTON TWP DPW WATER POLLUTION CONTROL FACILITY</t>
  </si>
  <si>
    <t>LINDEN ROSELLE SEWER AUTH</t>
  </si>
  <si>
    <t>MIDDLETOWN TWP SLF BELFORD SECTION</t>
  </si>
  <si>
    <t>Belford</t>
  </si>
  <si>
    <t>MONMOUTH</t>
  </si>
  <si>
    <t>MONMOUTH CNTY RGNL SEWER AUTH</t>
  </si>
  <si>
    <t>Belmar</t>
  </si>
  <si>
    <t>NEPTUNE TWP MUA SEWER AUTH STP</t>
  </si>
  <si>
    <t>Neptune Twp</t>
  </si>
  <si>
    <t>PINE BROOK SEWAGE TREATMENT PLANT</t>
  </si>
  <si>
    <t>Manalapan</t>
  </si>
  <si>
    <t>MORRIS</t>
  </si>
  <si>
    <t>CUMBERLAND CNTY UTIL AUTH WATER ST WWTP</t>
  </si>
  <si>
    <t>Bridgeton</t>
  </si>
  <si>
    <t>CUMBERLAND</t>
  </si>
  <si>
    <t>LONG BRANCH CITY SEWER AUTH</t>
  </si>
  <si>
    <t>Long Branch</t>
  </si>
  <si>
    <t>WILLINGBORO TWP MUA @ WILLINGBORO IND PK</t>
  </si>
  <si>
    <t>WILLINGBORO</t>
  </si>
  <si>
    <t>RIDGEWOOD VILLAGE DPW</t>
  </si>
  <si>
    <t>Ridgewood</t>
  </si>
  <si>
    <t>MOLITOR WATER POLLUTION CONTROL FACILITY (NJ)</t>
  </si>
  <si>
    <t>CHATHAM</t>
  </si>
  <si>
    <t>BERKELEY HEIGHTS TWP WATER POLLUTION CONTROL PLANT</t>
  </si>
  <si>
    <t>Berkeley Heights</t>
  </si>
  <si>
    <t>PEMBERTON TWP MUA MAIN STP</t>
  </si>
  <si>
    <t>Pemberton</t>
  </si>
  <si>
    <t>HIGHTSTOWN BORO ADVANCED WWTP</t>
  </si>
  <si>
    <t>Hightstown</t>
  </si>
  <si>
    <t>HACKETTSTOWN TOWN MUA WATER PC PLANT @ IND PK</t>
  </si>
  <si>
    <t>Hackettstown</t>
  </si>
  <si>
    <t>VERONA TWP DPW</t>
  </si>
  <si>
    <t>VERONA</t>
  </si>
  <si>
    <t>LIVINGSTON STP</t>
  </si>
  <si>
    <t>HANOVER TWP SEWER AUTH STP</t>
  </si>
  <si>
    <t>WHIPPANY</t>
  </si>
  <si>
    <t>MOORESTOWN TWP UTILITIES AUTH WWTP</t>
  </si>
  <si>
    <t>Moorestown</t>
  </si>
  <si>
    <t>CEDAR GROVE TWP MUA STP</t>
  </si>
  <si>
    <t>Cedar Grove</t>
  </si>
  <si>
    <t>MORRISTOWN WASTEWATER TREATMENT PLANT</t>
  </si>
  <si>
    <t>MORRISTOWN</t>
  </si>
  <si>
    <t>MENDHAM BORO</t>
  </si>
  <si>
    <t>Mendham</t>
  </si>
  <si>
    <t>CUMBERLAND COUNTY UTILITIES AUTHORITY</t>
  </si>
  <si>
    <t>Cumberland County</t>
  </si>
  <si>
    <t>LANDIS SEWERAGE AUTHORITY (NJ)</t>
  </si>
  <si>
    <t>Vineland</t>
  </si>
  <si>
    <t>PEMBERTON TOWNSHIP MUA STP</t>
  </si>
  <si>
    <t>BURLIINGTON</t>
  </si>
  <si>
    <t>ALBUQUERQUE #2 PLANT</t>
  </si>
  <si>
    <t>ALBUQUERQUE</t>
  </si>
  <si>
    <t>BERNALILLO</t>
  </si>
  <si>
    <t>LAS CRUCES STP</t>
  </si>
  <si>
    <t>LAS CRUCES</t>
  </si>
  <si>
    <t>DONA ANA</t>
  </si>
  <si>
    <t>CARLSBAD STP</t>
  </si>
  <si>
    <t>CARLSBAD</t>
  </si>
  <si>
    <t>EDDY</t>
  </si>
  <si>
    <t>ROSWELL STP</t>
  </si>
  <si>
    <t>ROSWELL</t>
  </si>
  <si>
    <t>CHAVES</t>
  </si>
  <si>
    <t>FARMINGTON, CITY OF (WWTP)</t>
  </si>
  <si>
    <t>FARMINGTON</t>
  </si>
  <si>
    <t>SAN JUAN</t>
  </si>
  <si>
    <t>SANTA FE (CITY OF) CITY OF SANTA FE</t>
  </si>
  <si>
    <t>SANTA FE</t>
  </si>
  <si>
    <t>ALBUQUERQUE UTILITIES CORP</t>
  </si>
  <si>
    <t>RIO RANCHO</t>
  </si>
  <si>
    <t>SANDOVAL</t>
  </si>
  <si>
    <t>ANTHONY WATER and SANITATION DIS</t>
  </si>
  <si>
    <t>ANTHONY</t>
  </si>
  <si>
    <t>City of Las Vegas Water Pollution Control Facility</t>
  </si>
  <si>
    <t>TRUCKEE MEADOWS WRF - Reno</t>
  </si>
  <si>
    <t>WASHOE</t>
  </si>
  <si>
    <t>ELKO WRF</t>
  </si>
  <si>
    <t>Elko</t>
  </si>
  <si>
    <t>CARSON CITY WWRF</t>
  </si>
  <si>
    <t>CARSON CITY</t>
  </si>
  <si>
    <t>MINDEN-GARDNERVILLE SD WWTP</t>
  </si>
  <si>
    <t>NEWTOWN CREEK WPCP - Brooklyn</t>
  </si>
  <si>
    <t>BROOKLYN</t>
  </si>
  <si>
    <t>KINGS COUNTY</t>
  </si>
  <si>
    <t>WARDS ISLAND WPC</t>
  </si>
  <si>
    <t>WARDS ISLAND</t>
  </si>
  <si>
    <t>NEW YORK COUNTY</t>
  </si>
  <si>
    <t>HUNTS POINT WPC - Bronx</t>
  </si>
  <si>
    <t>BRONX</t>
  </si>
  <si>
    <t>BRONX COUNTY</t>
  </si>
  <si>
    <t>BIRD ISLAND WWTP</t>
  </si>
  <si>
    <t>BUFFALO</t>
  </si>
  <si>
    <t>ERIE COUNTY</t>
  </si>
  <si>
    <t>NORTH RIVER WPC</t>
  </si>
  <si>
    <t>NEW YORK CITY</t>
  </si>
  <si>
    <t>BOWERY BAY WPC - Astoria</t>
  </si>
  <si>
    <t>ASTORIA</t>
  </si>
  <si>
    <t>QUEENS COUNTY</t>
  </si>
  <si>
    <t>YONKERS JOINT WWTP</t>
  </si>
  <si>
    <t>YONKERS</t>
  </si>
  <si>
    <t>WESTCHESTER COUNTY</t>
  </si>
  <si>
    <t>OWLS HEAD WPC - Brooklyn</t>
  </si>
  <si>
    <t>CONEY ISLAND WWTP NYCDEP - Brooklin</t>
  </si>
  <si>
    <t>JAMAICA WPC - Jamaica</t>
  </si>
  <si>
    <t>JAMAICA</t>
  </si>
  <si>
    <t>26TH WARD WPCP - Brooklyn</t>
  </si>
  <si>
    <t>TALLMAN ISLAND WPC - College Point</t>
  </si>
  <si>
    <t>COLLEGE POINT</t>
  </si>
  <si>
    <t>METROPOLITAN SYRACUSE WWTP</t>
  </si>
  <si>
    <t>SYRACUSE</t>
  </si>
  <si>
    <t>ONONDAGA COUNTY</t>
  </si>
  <si>
    <t>NCSD#3 CEDAR CREEK WPCP - Wantagh</t>
  </si>
  <si>
    <t>WANTAGH</t>
  </si>
  <si>
    <t>NASSAU COUNTY</t>
  </si>
  <si>
    <t>NCSD#2 - BAY PARK STP</t>
  </si>
  <si>
    <t>EAST ROCKAWAY</t>
  </si>
  <si>
    <t>PORT RICHMOND WPCP - Staten Island</t>
  </si>
  <si>
    <t>STATEN ISLAND</t>
  </si>
  <si>
    <t>RICHMOND COUNTY</t>
  </si>
  <si>
    <t>RED HOOK WPCP - Brooklyn</t>
  </si>
  <si>
    <t>ROCKAWAY WTP</t>
  </si>
  <si>
    <t>ROCKAWAY PARK</t>
  </si>
  <si>
    <t>OAKWOOD BEACH WPC - Staten Island</t>
  </si>
  <si>
    <t>ROCKLAND COUNTY SD#1 STP</t>
  </si>
  <si>
    <t>ORANGEBURG</t>
  </si>
  <si>
    <t>ROCKLAND COUNTY</t>
  </si>
  <si>
    <t>BINGHAMTON-JOHNSON CITY - Vestal</t>
  </si>
  <si>
    <t>VESTAL</t>
  </si>
  <si>
    <t>BROOME COUNTY</t>
  </si>
  <si>
    <t>SCHENECTADY (C) WPCP</t>
  </si>
  <si>
    <t>SCHENECTADY</t>
  </si>
  <si>
    <t>SCHENECTADY COUNTY</t>
  </si>
  <si>
    <t>WATERTOWN (C) WPCP</t>
  </si>
  <si>
    <t>WATERTOWN</t>
  </si>
  <si>
    <t>JEFFERSON COUNTY</t>
  </si>
  <si>
    <t>ITHACA AREA WWTF</t>
  </si>
  <si>
    <t>ITHACA</t>
  </si>
  <si>
    <t>TOMPKINS COUNTY</t>
  </si>
  <si>
    <t>NORTH TONAWANDA (C) WWTP</t>
  </si>
  <si>
    <t>N TONAWANDA</t>
  </si>
  <si>
    <t>NIAGARA COUNTY</t>
  </si>
  <si>
    <t>CHEMUNG CO ELMIRA SD STP</t>
  </si>
  <si>
    <t>CHEMUNG COUNTY</t>
  </si>
  <si>
    <t>JAMESTOWN (C) WWTP - Falconer</t>
  </si>
  <si>
    <t>Falconer</t>
  </si>
  <si>
    <t>CHAUTAUQUA COUNTY</t>
  </si>
  <si>
    <t>ROME MUNICIPAL STP</t>
  </si>
  <si>
    <t>ONEIDA COUNTY</t>
  </si>
  <si>
    <t>ENDICOTT (V) WPCP</t>
  </si>
  <si>
    <t>ENDICOTT</t>
  </si>
  <si>
    <t>GLOVERSVILLE-JOHNSTOWN WWTF</t>
  </si>
  <si>
    <t>JOHNSTOWN</t>
  </si>
  <si>
    <t>FULTON COUNTY</t>
  </si>
  <si>
    <t>PEEKSKILL SANITARY SD WWTP</t>
  </si>
  <si>
    <t>PEEKSKILL</t>
  </si>
  <si>
    <t>Le Roy R Summerson WWTF</t>
  </si>
  <si>
    <t>LONG BEACH (C) WPCP</t>
  </si>
  <si>
    <t>Walter W. Bradley P.C.F.</t>
  </si>
  <si>
    <t>Webster</t>
  </si>
  <si>
    <t>KINGSTON (C) WWTF</t>
  </si>
  <si>
    <t>KINGSTON</t>
  </si>
  <si>
    <t>ULSTER COUNTY</t>
  </si>
  <si>
    <t>CANANDAIGUA (C) WWTF</t>
  </si>
  <si>
    <t>CANANDAIGUA</t>
  </si>
  <si>
    <t>ONTARIO COUNTY</t>
  </si>
  <si>
    <t>OGDENSBURG SECONDARY WWTP</t>
  </si>
  <si>
    <t>OGDENSBURG</t>
  </si>
  <si>
    <t>SAINT LAWRENCE COUNTY</t>
  </si>
  <si>
    <t>MIDDLETOWN (C) STP</t>
  </si>
  <si>
    <t>MIDDLETOWN</t>
  </si>
  <si>
    <t>ORANGE COUNTY</t>
  </si>
  <si>
    <t>MARSH CREEK WWTP</t>
  </si>
  <si>
    <t>ROTTERDAM SD#2 STP</t>
  </si>
  <si>
    <t>WARSAW (V) STP</t>
  </si>
  <si>
    <t>WARSAW</t>
  </si>
  <si>
    <t>WYOMING COUNTY</t>
  </si>
  <si>
    <t>SARANAC LAKE (V) WWTP</t>
  </si>
  <si>
    <t>SARANAC LAKE</t>
  </si>
  <si>
    <t>ESSEX COUNTY</t>
  </si>
  <si>
    <t>ATTICA (V) WWTP</t>
  </si>
  <si>
    <t>ATTICA</t>
  </si>
  <si>
    <t>LAKE PLACID (V) WPCP</t>
  </si>
  <si>
    <t>LAKE PLACID</t>
  </si>
  <si>
    <t>CEDARHURST (V) WPCP</t>
  </si>
  <si>
    <t>CEDARHURST</t>
  </si>
  <si>
    <t>ATLANTIC BEACH STP</t>
  </si>
  <si>
    <t>ATLANTIC BEACH</t>
  </si>
  <si>
    <t>DOLGEVILLE (V) WWTP</t>
  </si>
  <si>
    <t>DOLGEVILLE</t>
  </si>
  <si>
    <t>HERKIMER COUNTY</t>
  </si>
  <si>
    <t>DUNKIRK</t>
  </si>
  <si>
    <t>GLEN COVE (C) WTP</t>
  </si>
  <si>
    <t>GLEN COVE</t>
  </si>
  <si>
    <t>YORKTOWN HEIGHTS SD WWTP</t>
  </si>
  <si>
    <t>YORKTOWN HGTS</t>
  </si>
  <si>
    <t>BELGRAVE WPCP - Great Neck</t>
  </si>
  <si>
    <t>GREAT NECK</t>
  </si>
  <si>
    <t>ONEIDA (C) STP</t>
  </si>
  <si>
    <t>ONEIDA</t>
  </si>
  <si>
    <t>MADISON COUNTY</t>
  </si>
  <si>
    <t>GRAND ISLAND SD#2 WWTP</t>
  </si>
  <si>
    <t>GRAND ISLAND</t>
  </si>
  <si>
    <t>LEWISTON MASTER WPCC</t>
  </si>
  <si>
    <t>Village of Newark Industrial Waste &amp; Sewage Treatment Facility</t>
  </si>
  <si>
    <t>Newark</t>
  </si>
  <si>
    <t>MALONE (V) WWTP</t>
  </si>
  <si>
    <t>MALONE</t>
  </si>
  <si>
    <t>FRANKLIN COUNTY</t>
  </si>
  <si>
    <t>Washington County Sewer District # II</t>
  </si>
  <si>
    <t>Fort Edward</t>
  </si>
  <si>
    <t>LAWRENCE (V) WPCF</t>
  </si>
  <si>
    <t>OWEGO WPCP #2</t>
  </si>
  <si>
    <t>APALACHIN</t>
  </si>
  <si>
    <t>TIOGA COUNTY</t>
  </si>
  <si>
    <t>AVON (V) WWTP</t>
  </si>
  <si>
    <t>AVON</t>
  </si>
  <si>
    <t>LIVINGSTON COUNTY</t>
  </si>
  <si>
    <t>CHEMUNG CO SD#1 STP - Elmira</t>
  </si>
  <si>
    <t>GENESEO (V) STP</t>
  </si>
  <si>
    <t>GOWANDA (V) WWTP</t>
  </si>
  <si>
    <t>GOWANDA</t>
  </si>
  <si>
    <t>GREAT NECK WPC DISTRICT</t>
  </si>
  <si>
    <t>Hornell Water Pollution Control Plant</t>
  </si>
  <si>
    <t>Hornell</t>
  </si>
  <si>
    <t>Steuben</t>
  </si>
  <si>
    <t>HUNTINGTON (T) STP</t>
  </si>
  <si>
    <t>SUFFOLK COUNTY</t>
  </si>
  <si>
    <t>CAYUGA HEIGHTS (V) WWTP</t>
  </si>
  <si>
    <t>LAKE GEORGE (V) STP</t>
  </si>
  <si>
    <t>LAKE GEORGE</t>
  </si>
  <si>
    <t>WARREN COUNTY</t>
  </si>
  <si>
    <t>CONESUS LAKE - Lakeville</t>
  </si>
  <si>
    <t>LAKEVILLE</t>
  </si>
  <si>
    <t>MASSENA (V) WWTP</t>
  </si>
  <si>
    <t>MASSENA</t>
  </si>
  <si>
    <t>NEW PALTZ (V) WWTP</t>
  </si>
  <si>
    <t>NEW PALTZ</t>
  </si>
  <si>
    <t>NORWICH (C) WWTP</t>
  </si>
  <si>
    <t>NORWICH</t>
  </si>
  <si>
    <t>CHENANGO COUNTY</t>
  </si>
  <si>
    <t>OLEAN (C) WWTF</t>
  </si>
  <si>
    <t>OLEAN</t>
  </si>
  <si>
    <t>CATTARAUGUS COUNTY</t>
  </si>
  <si>
    <t>ONEONTA (C) WWTP</t>
  </si>
  <si>
    <t>ONEONTA</t>
  </si>
  <si>
    <t>OTSEGO COUNTY</t>
  </si>
  <si>
    <t>OWEGO (V) STP</t>
  </si>
  <si>
    <t>OWEGO</t>
  </si>
  <si>
    <t>PENN YAN (V) WWTP</t>
  </si>
  <si>
    <t>PENN YAN</t>
  </si>
  <si>
    <t>YATES COUNTY</t>
  </si>
  <si>
    <t>SAUGERTIES (DOCK STREET) STP</t>
  </si>
  <si>
    <t>SAUGERTIES</t>
  </si>
  <si>
    <t>NISKAYUNA (T) SD#6 WWTP</t>
  </si>
  <si>
    <t>NISKAYUNA</t>
  </si>
  <si>
    <t>SENECA FALLS (V) WWTP</t>
  </si>
  <si>
    <t>SENECA FALLS</t>
  </si>
  <si>
    <t>SENECA COUNTY</t>
  </si>
  <si>
    <t>WHO Tri Area Sewer District - SOUTH FALLSBURG</t>
  </si>
  <si>
    <t>SOUTH FALLSBURG</t>
  </si>
  <si>
    <t>SULLIVAN COUNTY</t>
  </si>
  <si>
    <t>SPRINGVILLE (V) WWTP</t>
  </si>
  <si>
    <t>SPRINGVILLE</t>
  </si>
  <si>
    <t>SUFFERN (V) STP</t>
  </si>
  <si>
    <t>SUFFERN</t>
  </si>
  <si>
    <t>Wellsville WWTP</t>
  </si>
  <si>
    <t>Suffolk Co SD#21 SUNY STP</t>
  </si>
  <si>
    <t>OCSD #1 HARRIMAN STP</t>
  </si>
  <si>
    <t>ULSTER (T) S I A TRT PLT</t>
  </si>
  <si>
    <t>LAKE KATRINE</t>
  </si>
  <si>
    <t>POTSDAM WPCP</t>
  </si>
  <si>
    <t>Potsdam</t>
  </si>
  <si>
    <t>FARMINGTON (T) STP - Victor</t>
  </si>
  <si>
    <t>VICTOR</t>
  </si>
  <si>
    <t>14564-9400</t>
  </si>
  <si>
    <t>MEDINA (V) WWTP</t>
  </si>
  <si>
    <t>ORLEANS COUNTY</t>
  </si>
  <si>
    <t>City of CORNING WWTP</t>
  </si>
  <si>
    <t>STEUBEN COUNTY</t>
  </si>
  <si>
    <t>ERIE COUNTY SD #6 WWTP - Lackawannna</t>
  </si>
  <si>
    <t>Middleport WWTF</t>
  </si>
  <si>
    <t>Middleport</t>
  </si>
  <si>
    <t>Alden WWTF</t>
  </si>
  <si>
    <t>Alden</t>
  </si>
  <si>
    <t>North Chautauqua Lake SD</t>
  </si>
  <si>
    <t>Mayville</t>
  </si>
  <si>
    <t>Houghton SD WWTP</t>
  </si>
  <si>
    <t>HOUGHTON</t>
  </si>
  <si>
    <t>ALLEGANY</t>
  </si>
  <si>
    <t>Dundee STP</t>
  </si>
  <si>
    <t>Dundee</t>
  </si>
  <si>
    <t>Palmyra STP</t>
  </si>
  <si>
    <t>Palmyra</t>
  </si>
  <si>
    <t>Macedon STP</t>
  </si>
  <si>
    <t>Macedon</t>
  </si>
  <si>
    <t>Painted Post STP</t>
  </si>
  <si>
    <t>Painted Post</t>
  </si>
  <si>
    <t>Addison WWTP</t>
  </si>
  <si>
    <t>Lyndonville WWTP</t>
  </si>
  <si>
    <t>Lyndonville</t>
  </si>
  <si>
    <t>Victor WWTP (NY)</t>
  </si>
  <si>
    <t>ONTARIO</t>
  </si>
  <si>
    <t>Honeoye Falls WWTP</t>
  </si>
  <si>
    <t>HONEOYE FALLS</t>
  </si>
  <si>
    <t>Mount Morris WWTF</t>
  </si>
  <si>
    <t>MOUNT MORRIS</t>
  </si>
  <si>
    <t>LIMA</t>
  </si>
  <si>
    <t>Dryden</t>
  </si>
  <si>
    <t>DRYDEN</t>
  </si>
  <si>
    <t>TOMPKINS</t>
  </si>
  <si>
    <t>Sherburne WWTP</t>
  </si>
  <si>
    <t>SHERBURNE</t>
  </si>
  <si>
    <t>CHENANGO</t>
  </si>
  <si>
    <t>Greene WWTP</t>
  </si>
  <si>
    <t>Chenango</t>
  </si>
  <si>
    <t>COOPERSTOWN</t>
  </si>
  <si>
    <t>OTSEGO</t>
  </si>
  <si>
    <t>Catskill SD #4</t>
  </si>
  <si>
    <t>CEMENTON</t>
  </si>
  <si>
    <t>Buchanan WWTP</t>
  </si>
  <si>
    <t>WESTCHESTER</t>
  </si>
  <si>
    <t>Ellenville STP</t>
  </si>
  <si>
    <t>ELLENVILLE</t>
  </si>
  <si>
    <t>ULSTER</t>
  </si>
  <si>
    <t>Mahopac WWTP</t>
  </si>
  <si>
    <t>CARMEL</t>
  </si>
  <si>
    <t>Valley Forge STP Consol SD</t>
  </si>
  <si>
    <t>HIGHLAND MILLS</t>
  </si>
  <si>
    <t>Maybrook WWTP</t>
  </si>
  <si>
    <t>MAYBROOK</t>
  </si>
  <si>
    <t>Loch Sheldrake - WWTP</t>
  </si>
  <si>
    <t>Loch Sheldrake, NY</t>
  </si>
  <si>
    <t>Gowanda WWTP</t>
  </si>
  <si>
    <t>CATTARAUGUS</t>
  </si>
  <si>
    <t>buffalo</t>
  </si>
  <si>
    <t>DAYTON WWTP &amp; SEWER SYSTEM</t>
  </si>
  <si>
    <t>DAYTON</t>
  </si>
  <si>
    <t>ELYRIA WWTP &amp; SEWER SYSTEM</t>
  </si>
  <si>
    <t>ELYRIA</t>
  </si>
  <si>
    <t>LORAIN</t>
  </si>
  <si>
    <t>FAIRFIELD WWTP &amp; SEWER SYSTEM</t>
  </si>
  <si>
    <t>BUTLER</t>
  </si>
  <si>
    <t>LAKEWOOD WWTP &amp; SEWER SYSTEM</t>
  </si>
  <si>
    <t>LAKEWOOD</t>
  </si>
  <si>
    <t>CUYAHOGA</t>
  </si>
  <si>
    <t>LANCASTER LAWRENCE ST WWTP</t>
  </si>
  <si>
    <t>LIMA WWTP &amp; SEWER SYSTEM</t>
  </si>
  <si>
    <t>LORAIN BLACK RIVER WWTP</t>
  </si>
  <si>
    <t>MANSFIELD WWTP &amp; SEWER SYSTEM</t>
  </si>
  <si>
    <t>MANSFIELD</t>
  </si>
  <si>
    <t>MASSILLON WWTP &amp; SEWER SYSTEM</t>
  </si>
  <si>
    <t>MASSILLON</t>
  </si>
  <si>
    <t>STARK</t>
  </si>
  <si>
    <t>PIQUA WWTP &amp; SEWER SYSTEM</t>
  </si>
  <si>
    <t>PIQUA</t>
  </si>
  <si>
    <t>MIAMI</t>
  </si>
  <si>
    <t>ROCKY RIVER WWTP &amp; SEWER SYSTEM</t>
  </si>
  <si>
    <t>ROCKY RIVER</t>
  </si>
  <si>
    <t>SANDUSKY WWTP &amp; SEWER SYSTEM</t>
  </si>
  <si>
    <t>SANDUSKY</t>
  </si>
  <si>
    <t>ERIE</t>
  </si>
  <si>
    <t>SPRINGFIELD WWTP &amp; SEWER SYSTEM</t>
  </si>
  <si>
    <t>CLARK</t>
  </si>
  <si>
    <t>TOLEDO BAY VIEW PARK WWTP &amp; SEWERS</t>
  </si>
  <si>
    <t>TOLEDO</t>
  </si>
  <si>
    <t>LUCAS</t>
  </si>
  <si>
    <t>AKRON WWTP &amp; SEWERS</t>
  </si>
  <si>
    <t>AKRON</t>
  </si>
  <si>
    <t>SUMMIT</t>
  </si>
  <si>
    <t>ASHTABULA WWTP &amp; SEWER SYSTEM</t>
  </si>
  <si>
    <t>ASHTABULA</t>
  </si>
  <si>
    <t>AVON LAKE WWTP &amp; SEWERS</t>
  </si>
  <si>
    <t>AVON LAKE</t>
  </si>
  <si>
    <t>ALLIANCE WWTP &amp; SEWERS</t>
  </si>
  <si>
    <t>ALLIANCE</t>
  </si>
  <si>
    <t>COLUMBUS SOUTHERLY WWTP &amp; SEWERS</t>
  </si>
  <si>
    <t>LOCKBOURNE</t>
  </si>
  <si>
    <t>COLUMBUS JACKSON PIKE WWTP &amp; SEWERS</t>
  </si>
  <si>
    <t>DEFIANCE WWTP &amp; SEWER SYSTEM</t>
  </si>
  <si>
    <t>DEFIANCE</t>
  </si>
  <si>
    <t>EASTERN OHIO REGIONAL WW AUTHORITY</t>
  </si>
  <si>
    <t>BELLAIRE</t>
  </si>
  <si>
    <t>BELMONT</t>
  </si>
  <si>
    <t>FREMONT WPCC &amp; SEWER SYSTEM</t>
  </si>
  <si>
    <t>GIRARD WWTP &amp; SEWER SYSTEM</t>
  </si>
  <si>
    <t>GIRARD</t>
  </si>
  <si>
    <t>TRUMBULL</t>
  </si>
  <si>
    <t>GREATER MENTOR WWTP &amp; SEWER SYSTEM</t>
  </si>
  <si>
    <t>MENTOR</t>
  </si>
  <si>
    <t>LORAIN PHILIP Q MAIORANA WWTP</t>
  </si>
  <si>
    <t>LUCAS CO MAUMEE RIVER WWTP</t>
  </si>
  <si>
    <t>WATERVILLE</t>
  </si>
  <si>
    <t>MOUNT VERNON WWTP &amp; SEWER SYSTEM</t>
  </si>
  <si>
    <t>MOUNT VERNON</t>
  </si>
  <si>
    <t>NEWARK WWTP &amp; SEWER SYSTEM</t>
  </si>
  <si>
    <t>NEWARK</t>
  </si>
  <si>
    <t>LICKING</t>
  </si>
  <si>
    <t>NILES WWTP &amp; SEWER SYSTEM</t>
  </si>
  <si>
    <t>NILES</t>
  </si>
  <si>
    <t>PAINESVILLE WWTP &amp; SEWER SYSTEM</t>
  </si>
  <si>
    <t>PAINESVILLE</t>
  </si>
  <si>
    <t>PERRYSBURG WWTP &amp; SEWER SYSTEM</t>
  </si>
  <si>
    <t>PERRYSBURG</t>
  </si>
  <si>
    <t>WOOD</t>
  </si>
  <si>
    <t>SIDNEY WWTP &amp; SEWER SYSTEM</t>
  </si>
  <si>
    <t>SIDNEY</t>
  </si>
  <si>
    <t>SOLON CENTRAL WWTP &amp; SEWER SYSTEM</t>
  </si>
  <si>
    <t>SOLON</t>
  </si>
  <si>
    <t>STRUTHERS WWTP &amp; SEWER SYSTEM</t>
  </si>
  <si>
    <t>STRUTHERS</t>
  </si>
  <si>
    <t>MAHONING</t>
  </si>
  <si>
    <t>TRI-CITIES NORTH REGIONAL WWTP</t>
  </si>
  <si>
    <t>WADSWORTH WWTP &amp; SEWER SYSTEM</t>
  </si>
  <si>
    <t>WADSWORTH</t>
  </si>
  <si>
    <t>MEDINA</t>
  </si>
  <si>
    <t>WASHINGTON CH WWTP &amp; SEWERS</t>
  </si>
  <si>
    <t>WASHINGTON COURT HOUSE</t>
  </si>
  <si>
    <t>WOOSTER WWTP &amp; SEWER SYSTEM</t>
  </si>
  <si>
    <t>WOOSTER</t>
  </si>
  <si>
    <t>WAYNE</t>
  </si>
  <si>
    <t>CITY OF OBERLIN WATER TREATMENT FACILITY</t>
  </si>
  <si>
    <t>OBERLIN</t>
  </si>
  <si>
    <t>GALLIPOLIS WWTP</t>
  </si>
  <si>
    <t>GALLIPOLIS</t>
  </si>
  <si>
    <t>GALLIA</t>
  </si>
  <si>
    <t>ARCHBOLD WTP</t>
  </si>
  <si>
    <t>ARCHBOLD</t>
  </si>
  <si>
    <t>NAPOLEON STP</t>
  </si>
  <si>
    <t>NAPOLEON</t>
  </si>
  <si>
    <t>WAUSEON WWTP</t>
  </si>
  <si>
    <t>WAUSEON</t>
  </si>
  <si>
    <t>SHELBY WWTP</t>
  </si>
  <si>
    <t>VERMILION WPCF</t>
  </si>
  <si>
    <t>CONNEAUT WWTP</t>
  </si>
  <si>
    <t>CONNEAUT</t>
  </si>
  <si>
    <t>EAST LIVERPOOL WWTP</t>
  </si>
  <si>
    <t>EAST LIVERPOOL</t>
  </si>
  <si>
    <t>COLUMBIANA</t>
  </si>
  <si>
    <t>GALION WWTP</t>
  </si>
  <si>
    <t>GALION</t>
  </si>
  <si>
    <t>KENT WATER RECLAMATION FACILITY</t>
  </si>
  <si>
    <t>PORTAGE</t>
  </si>
  <si>
    <t>MIAMISBURG STP</t>
  </si>
  <si>
    <t>MIAMISBURG</t>
  </si>
  <si>
    <t>CITY OF TWINSBURG WWTP</t>
  </si>
  <si>
    <t>TWINSBURG</t>
  </si>
  <si>
    <t>EATON WWTP (OH)</t>
  </si>
  <si>
    <t>PREBLE</t>
  </si>
  <si>
    <t>GENEVA WWTP (OH)</t>
  </si>
  <si>
    <t>LONDON WWTP (OH)</t>
  </si>
  <si>
    <t>LONDON</t>
  </si>
  <si>
    <t>MILL CREEK WWTP</t>
  </si>
  <si>
    <t>ORRVILLE WWTP</t>
  </si>
  <si>
    <t>ORRVILLE</t>
  </si>
  <si>
    <t>OXFORD WWTP (OH)</t>
  </si>
  <si>
    <t>TULSA SOUTHSIDE WWT</t>
  </si>
  <si>
    <t>TULSA</t>
  </si>
  <si>
    <t>TULSA NORTHSIDE WWTP</t>
  </si>
  <si>
    <t>MUSKOGEE UA WWT</t>
  </si>
  <si>
    <t>MUSKOGEE</t>
  </si>
  <si>
    <t>MIDWEST CITY WWT</t>
  </si>
  <si>
    <t>MIDWEST CITY</t>
  </si>
  <si>
    <t>Norman Water Reclamation Facility</t>
  </si>
  <si>
    <t>NORMAN</t>
  </si>
  <si>
    <t>CLEVELAND</t>
  </si>
  <si>
    <t>STILLWATER WWT</t>
  </si>
  <si>
    <t>Stillwater</t>
  </si>
  <si>
    <t>PAYNE</t>
  </si>
  <si>
    <t>DURANT UA WWT</t>
  </si>
  <si>
    <t>DURANT</t>
  </si>
  <si>
    <t>BRYAN</t>
  </si>
  <si>
    <t>DUNCAN PUA WWT</t>
  </si>
  <si>
    <t>DUNCAN</t>
  </si>
  <si>
    <t>STEPHENS</t>
  </si>
  <si>
    <t>BLACKWELL WWT</t>
  </si>
  <si>
    <t>BLACKWELL</t>
  </si>
  <si>
    <t>KAY</t>
  </si>
  <si>
    <t>GUTHRIE PWA WWT</t>
  </si>
  <si>
    <t>GUTHRIE</t>
  </si>
  <si>
    <t>LOGAN</t>
  </si>
  <si>
    <t>DEL CITY MUNICIPAL SVCS. AUTH</t>
  </si>
  <si>
    <t>OKLAHOMA CITY</t>
  </si>
  <si>
    <t>IDABEL PUBLIC WORKS AUTHORITY</t>
  </si>
  <si>
    <t>IDABEL</t>
  </si>
  <si>
    <t>MCCURTAIN</t>
  </si>
  <si>
    <t>YUKON, CITY OF</t>
  </si>
  <si>
    <t>YUKON</t>
  </si>
  <si>
    <t>CANADIAN</t>
  </si>
  <si>
    <t>WOODWARD, CITY OF</t>
  </si>
  <si>
    <t>WOODWARD</t>
  </si>
  <si>
    <t>ARDMORE PWA</t>
  </si>
  <si>
    <t>ARDMORE</t>
  </si>
  <si>
    <t>CARTER</t>
  </si>
  <si>
    <t>Columbia Blvd. Wastewater Treatment Plant</t>
  </si>
  <si>
    <t>Multnomah</t>
  </si>
  <si>
    <t>Eugene/Springfield Water Pollution Control Facility</t>
  </si>
  <si>
    <t>Rock Creek Advanced Wastewater Treatment Facility</t>
  </si>
  <si>
    <t>Hillsboro</t>
  </si>
  <si>
    <t>Willow Lake Water Pollution Control Facility - Salem, OR</t>
  </si>
  <si>
    <t>ST. HELENS STP/BOISE CASCADE</t>
  </si>
  <si>
    <t>SAINT HELENS</t>
  </si>
  <si>
    <t>Durham Advanced Wastewater Treatment Facility</t>
  </si>
  <si>
    <t>Tigard</t>
  </si>
  <si>
    <t>City of Gresham</t>
  </si>
  <si>
    <t>CITY OF MEDFORD</t>
  </si>
  <si>
    <t>CENTRAL POINT</t>
  </si>
  <si>
    <t>City of Pendleton WWTP</t>
  </si>
  <si>
    <t>Umatilla</t>
  </si>
  <si>
    <t>Tri-City Water Pollution Control Plant</t>
  </si>
  <si>
    <t>Oregon City</t>
  </si>
  <si>
    <t>Clackamas</t>
  </si>
  <si>
    <t>Kellogg Creek WWTP</t>
  </si>
  <si>
    <t>Milwaukie</t>
  </si>
  <si>
    <t>Corvallis Wastewater Reclamation Plant</t>
  </si>
  <si>
    <t>PORTLAND CITY ENVIRONMENTAL SERVICES</t>
  </si>
  <si>
    <t>LAKE OSWEGO</t>
  </si>
  <si>
    <t>CLACKAMAS</t>
  </si>
  <si>
    <t>ROSEBURG URBAN SANITARY AUTHORITY</t>
  </si>
  <si>
    <t>ROSEBURG</t>
  </si>
  <si>
    <t>City of Grants Pass Water Restoration Plant</t>
  </si>
  <si>
    <t>Grants Pass</t>
  </si>
  <si>
    <t>Josephine</t>
  </si>
  <si>
    <t>KLAMATH -FALLS SPRING STREET</t>
  </si>
  <si>
    <t>KLAMATH FALLS</t>
  </si>
  <si>
    <t>KLAMATH</t>
  </si>
  <si>
    <t>WOODBURN CY OF WASTE WATER TREATMENT PLANT</t>
  </si>
  <si>
    <t>WOODBURN</t>
  </si>
  <si>
    <t>TROUTDALE, CITY OF</t>
  </si>
  <si>
    <t>TROUTDALE</t>
  </si>
  <si>
    <t>MULTNOMAH</t>
  </si>
  <si>
    <t>Hood River</t>
  </si>
  <si>
    <t>City of The Dalles</t>
  </si>
  <si>
    <t>The Dalles</t>
  </si>
  <si>
    <t>Oak Lodge Sanitary District</t>
  </si>
  <si>
    <t>BROOKINGS CITY WASTER WATER TREATMENT PLANT</t>
  </si>
  <si>
    <t>BROOKINGS</t>
  </si>
  <si>
    <t>CURRY</t>
  </si>
  <si>
    <t>COOS BAY CITY OF WASTEWATER TREATMENT PLANT #1</t>
  </si>
  <si>
    <t>COOS BAY</t>
  </si>
  <si>
    <t>COOS</t>
  </si>
  <si>
    <t>COOS BAY CITY OF WASTEWATER TREATMENT PLANT #2</t>
  </si>
  <si>
    <t>WINSTON-GREEN WASTEWATER RECLAMATION FACILITY</t>
  </si>
  <si>
    <t>City Of Hermiston</t>
  </si>
  <si>
    <t>Hermiston</t>
  </si>
  <si>
    <t>City of Klamath Falls WWTP</t>
  </si>
  <si>
    <t>Klamath Falls</t>
  </si>
  <si>
    <t>Klamath</t>
  </si>
  <si>
    <t>City of Bend Water Reclamation Facility</t>
  </si>
  <si>
    <t>Bend</t>
  </si>
  <si>
    <t>Deschutes</t>
  </si>
  <si>
    <t>Roseburg WWTP</t>
  </si>
  <si>
    <t>Winston-Green WWTF</t>
  </si>
  <si>
    <t>Troutdale WPCF</t>
  </si>
  <si>
    <t>Troutdale</t>
  </si>
  <si>
    <t>City of Coos Bay WWTP No. 2</t>
  </si>
  <si>
    <t>Coos Bay</t>
  </si>
  <si>
    <t>Coos</t>
  </si>
  <si>
    <t>City of Coos Bay WWTP No. 1</t>
  </si>
  <si>
    <t>NORTHEAST WPCP</t>
  </si>
  <si>
    <t>PHILADELPHIA</t>
  </si>
  <si>
    <t>SOUTHWEST WPCP</t>
  </si>
  <si>
    <t>ALLENTOWN CITY WWTP</t>
  </si>
  <si>
    <t>ALLENTOWN</t>
  </si>
  <si>
    <t>LEHIGH</t>
  </si>
  <si>
    <t>READING, CITY OF</t>
  </si>
  <si>
    <t>READING</t>
  </si>
  <si>
    <t>BERKS</t>
  </si>
  <si>
    <t>BETHLEHEM CITY STP &amp; SEW SYS</t>
  </si>
  <si>
    <t>BETHLEHEM</t>
  </si>
  <si>
    <t>NORTHAMPTON</t>
  </si>
  <si>
    <t>YORK WASTE WATER TREATMENT PLANT</t>
  </si>
  <si>
    <t>YORK</t>
  </si>
  <si>
    <t>HARRISBURG STP</t>
  </si>
  <si>
    <t>HARRISBURG</t>
  </si>
  <si>
    <t>DAUPHIN</t>
  </si>
  <si>
    <t>EASTON AREA JOINT SEWER AUTHORITY WWTP</t>
  </si>
  <si>
    <t>EASTON</t>
  </si>
  <si>
    <t>NORRISTOWN BOROUGH STP</t>
  </si>
  <si>
    <t>NORRISTOWN</t>
  </si>
  <si>
    <t>LOG COLLEGE STP</t>
  </si>
  <si>
    <t>WARMINSTER</t>
  </si>
  <si>
    <t>BUCKS</t>
  </si>
  <si>
    <t>LEBANON CITY STP</t>
  </si>
  <si>
    <t>LEBANON</t>
  </si>
  <si>
    <t>INDIANA BORO WWTP</t>
  </si>
  <si>
    <t>LACKAWANNA RIVER BASIN SEWER AUTHORITY</t>
  </si>
  <si>
    <t>THROOP</t>
  </si>
  <si>
    <t>LACKAWANNA</t>
  </si>
  <si>
    <t>SHAMOKIN-COAL TWP JT SAN AUTH</t>
  </si>
  <si>
    <t>SHAMOKIN</t>
  </si>
  <si>
    <t>NORTHUMBERLAN</t>
  </si>
  <si>
    <t>CHAMBERSBURG BORO STP</t>
  </si>
  <si>
    <t>CHAMBERSBURG</t>
  </si>
  <si>
    <t>AMBLER BORO MS4 UA</t>
  </si>
  <si>
    <t>AMBLER</t>
  </si>
  <si>
    <t>NEW CASTLE WWTP</t>
  </si>
  <si>
    <t>GREATER POTTSVILLE AREA SEWER AUTHORITY</t>
  </si>
  <si>
    <t>POTTSVILLE CITY</t>
  </si>
  <si>
    <t>SCHUYLKILL</t>
  </si>
  <si>
    <t>WASHINGTON EAST WASHINGTON JOINT AUTHORITY STP</t>
  </si>
  <si>
    <t>GREATER GREENSBURG WASTEWATER TREATMENT PLANT</t>
  </si>
  <si>
    <t>GREENSBURG</t>
  </si>
  <si>
    <t>WESTMORELAND</t>
  </si>
  <si>
    <t>LOWER LACKAWANNA VALLEY SANITARY AUTH</t>
  </si>
  <si>
    <t>DURYEA</t>
  </si>
  <si>
    <t>LUZERNE</t>
  </si>
  <si>
    <t>LACKAWANNA RIVER BASIN SEWER</t>
  </si>
  <si>
    <t>DICKSON CITY</t>
  </si>
  <si>
    <t>NEW KENSINGTON STP</t>
  </si>
  <si>
    <t>NEW KENSINGTON</t>
  </si>
  <si>
    <t>SOUTHWEST DELAWARE COUNTY MUNICIPAL AUTHORITY</t>
  </si>
  <si>
    <t>ASTON</t>
  </si>
  <si>
    <t>WEST GOSHEN STP</t>
  </si>
  <si>
    <t>WEST CHESTER</t>
  </si>
  <si>
    <t>CHESTER</t>
  </si>
  <si>
    <t>CANONSBURG HOUSTON JT WWTP</t>
  </si>
  <si>
    <t>CANONSBURG</t>
  </si>
  <si>
    <t>WILLIAMSPORT SANI AUTH WEST</t>
  </si>
  <si>
    <t>WILLIAMSPORT</t>
  </si>
  <si>
    <t>LYCOMING</t>
  </si>
  <si>
    <t>WILLIAMSPORT SAN AUTH - CENTRAL PLANT</t>
  </si>
  <si>
    <t>PLEASANT HILLS AUTH</t>
  </si>
  <si>
    <t>CLAIRTON</t>
  </si>
  <si>
    <t>ALLEGHENY</t>
  </si>
  <si>
    <t>FRANKLIN WWTP (PA)</t>
  </si>
  <si>
    <t>VENANGO</t>
  </si>
  <si>
    <t>HERMITAGE MUNICIPAL AUTHORITY STP</t>
  </si>
  <si>
    <t>HERMITAGE</t>
  </si>
  <si>
    <t>BEAVER BORO</t>
  </si>
  <si>
    <t>BEAVER</t>
  </si>
  <si>
    <t>FRANKLIN TWP SEW AUTH STP</t>
  </si>
  <si>
    <t>WAYNESBURG</t>
  </si>
  <si>
    <t>MONACA BORO</t>
  </si>
  <si>
    <t>MONACA</t>
  </si>
  <si>
    <t>GROVE CITY BORO WTP</t>
  </si>
  <si>
    <t>GROVE CITY</t>
  </si>
  <si>
    <t>WAYNESBORO BORO WATER SYS</t>
  </si>
  <si>
    <t>WAYNESBORO</t>
  </si>
  <si>
    <t>MECHANICSBURG BOROUGH MUNICIPAL AUTH</t>
  </si>
  <si>
    <t>MECHANICSBURG</t>
  </si>
  <si>
    <t>CATASAUQUA BOROUGH AUTHORITY</t>
  </si>
  <si>
    <t>CATASAUQUA</t>
  </si>
  <si>
    <t>BEDFORD WWTP (PA)</t>
  </si>
  <si>
    <t>BEDFORD</t>
  </si>
  <si>
    <t>ALBION BORO WTP</t>
  </si>
  <si>
    <t>ALBION</t>
  </si>
  <si>
    <t>HIGHSPIRE STP</t>
  </si>
  <si>
    <t>HIGHSPIRE</t>
  </si>
  <si>
    <t>DILLSBURG BORO WATER SYS</t>
  </si>
  <si>
    <t>DILLSBURG</t>
  </si>
  <si>
    <t>SLIPPERY ROCK BORO WTP</t>
  </si>
  <si>
    <t>SLIPPERY ROCK</t>
  </si>
  <si>
    <t>MEADOWBROOK RD STP</t>
  </si>
  <si>
    <t>MURRYSVILLE</t>
  </si>
  <si>
    <t>MONONGAHELA CITY STP</t>
  </si>
  <si>
    <t>MONONGAHELA</t>
  </si>
  <si>
    <t>ALIQUIPPA MUNI WATER AUTH</t>
  </si>
  <si>
    <t>ALIQUIPPA</t>
  </si>
  <si>
    <t>WEST CHESTER TAYLOR RUN STP</t>
  </si>
  <si>
    <t>NEW BRIGHTON STP</t>
  </si>
  <si>
    <t>NEW BRIGHTON</t>
  </si>
  <si>
    <t>ALLEGHENY VALLEY JOINT SEWAGE AUTHORITY</t>
  </si>
  <si>
    <t>CHESWICK</t>
  </si>
  <si>
    <t>LEWISTOWN STP</t>
  </si>
  <si>
    <t>MIFFLIN</t>
  </si>
  <si>
    <t>MONTGOMERY RUN WATER TRMT FAC</t>
  </si>
  <si>
    <t>CLEARFIELD</t>
  </si>
  <si>
    <t>ST. MARYS WWTP</t>
  </si>
  <si>
    <t>ST MARYS</t>
  </si>
  <si>
    <t>ELK</t>
  </si>
  <si>
    <t>PLUM CREEK RUN STP</t>
  </si>
  <si>
    <t>Bristol Township</t>
  </si>
  <si>
    <t>Croydon</t>
  </si>
  <si>
    <t>LOWER BUCKS WWTP</t>
  </si>
  <si>
    <t>LEVITTOWN</t>
  </si>
  <si>
    <t>DERRY TWP CLEARWATER STP</t>
  </si>
  <si>
    <t>HERSHEY</t>
  </si>
  <si>
    <t>JT MUNI AUTH WYOMISSING VALLEY</t>
  </si>
  <si>
    <t>ABINGTON TWP COMM-WWTR TRTMT P</t>
  </si>
  <si>
    <t>ABINGTON</t>
  </si>
  <si>
    <t>HANOVER BORO STP</t>
  </si>
  <si>
    <t>MCSHERRYSTOWN</t>
  </si>
  <si>
    <t>EXETER TWP BERKS COUNTY AUTH</t>
  </si>
  <si>
    <t>WARREN CITY WWTP</t>
  </si>
  <si>
    <t>AMBRIDGE STP</t>
  </si>
  <si>
    <t>AMBRIDGE</t>
  </si>
  <si>
    <t>PHOENIXVILLE BORO WWTP</t>
  </si>
  <si>
    <t>PHOENIXVILLE</t>
  </si>
  <si>
    <t>UNIONTOWN CITY</t>
  </si>
  <si>
    <t>UNIONTOWN</t>
  </si>
  <si>
    <t>BRISTOL BOROUGH WATER &amp; SEWER</t>
  </si>
  <si>
    <t>EPHRATA STP</t>
  </si>
  <si>
    <t>EPHRATA</t>
  </si>
  <si>
    <t>JEANNETTE STP</t>
  </si>
  <si>
    <t>PENN</t>
  </si>
  <si>
    <t>BRUSH CREEK STP</t>
  </si>
  <si>
    <t>IRWIN</t>
  </si>
  <si>
    <t>CORRY CITY WTP</t>
  </si>
  <si>
    <t>CORRY</t>
  </si>
  <si>
    <t>JERSEY SHORE, BORO OF</t>
  </si>
  <si>
    <t>JERSEY SHORE</t>
  </si>
  <si>
    <t>KUTZTOWN BOROUGH WWTP</t>
  </si>
  <si>
    <t>KUTZTOWN</t>
  </si>
  <si>
    <t>FORD CITY BORO MUNI SEW DISPOSAL AUTH WWTP</t>
  </si>
  <si>
    <t>FORD CITY</t>
  </si>
  <si>
    <t>ARMSTRONG</t>
  </si>
  <si>
    <t>NEW STANTON STP</t>
  </si>
  <si>
    <t>HUNKER</t>
  </si>
  <si>
    <t>EAST PENNSBORO TWP STP</t>
  </si>
  <si>
    <t>CAMP HILL</t>
  </si>
  <si>
    <t>KITTANNING BORO STP</t>
  </si>
  <si>
    <t>KITTANNING</t>
  </si>
  <si>
    <t>FLAUGHERTY RUN STP</t>
  </si>
  <si>
    <t>CORAOPOLIS</t>
  </si>
  <si>
    <t>WARMINSTER NAWC WWTP</t>
  </si>
  <si>
    <t>AMITY TWP WWTP</t>
  </si>
  <si>
    <t>DOUGLASSVILLE</t>
  </si>
  <si>
    <t>SHENANDOAH MUNICIPAL SEWAGE AU</t>
  </si>
  <si>
    <t>DARRAGH STP</t>
  </si>
  <si>
    <t>EASTERN SNYDER CO REG AUTH WWTP</t>
  </si>
  <si>
    <t>SELINSGROVE</t>
  </si>
  <si>
    <t>SNYDER</t>
  </si>
  <si>
    <t>Narragansett Bay Commission (RI)</t>
  </si>
  <si>
    <t>102 Campbell Avenue</t>
  </si>
  <si>
    <t>PROVIDENCE</t>
  </si>
  <si>
    <t>COLUMBIA METRO WTP</t>
  </si>
  <si>
    <t>MAULDIN RD PLANT - ReWa - Greenville</t>
  </si>
  <si>
    <t>GREENVILLE</t>
  </si>
  <si>
    <t>MANCHESTER CREEK WWTP - Rock Hill</t>
  </si>
  <si>
    <t>ROCK HILL</t>
  </si>
  <si>
    <t>GENEROSTEE CREEK WWTP - Anderson</t>
  </si>
  <si>
    <t>ROCKY RIVER WWTP - Anderson</t>
  </si>
  <si>
    <t>DURBIN CREEK - ReWa - Fountain Inn</t>
  </si>
  <si>
    <t>Fountain Inn</t>
  </si>
  <si>
    <t>LOWER REEDY WWT - ReWa - Simpsonville</t>
  </si>
  <si>
    <t>Simpsonville</t>
  </si>
  <si>
    <t>WINNSBORO, TOWN OF</t>
  </si>
  <si>
    <t>Winnsboro</t>
  </si>
  <si>
    <t>PELHAM PLANT - ReWa - Greer</t>
  </si>
  <si>
    <t>GILDER CREEK - ReWa - Simpsonville</t>
  </si>
  <si>
    <t>FORT MILL WWTF</t>
  </si>
  <si>
    <t>FORT MILL</t>
  </si>
  <si>
    <t>ABERDEEN WWTF</t>
  </si>
  <si>
    <t>BROWN</t>
  </si>
  <si>
    <t>BROOKINGS MUNICIPAL UTILITIES</t>
  </si>
  <si>
    <t>RAPID CITY WATER RECLAMATION</t>
  </si>
  <si>
    <t>RAPID CITY</t>
  </si>
  <si>
    <t>PENNINGTON</t>
  </si>
  <si>
    <t>VERMILLION WWTF</t>
  </si>
  <si>
    <t>VERMILLION</t>
  </si>
  <si>
    <t>WATERTOWN WWTF</t>
  </si>
  <si>
    <t>CODINGTON</t>
  </si>
  <si>
    <t>ELLSWORTH AFB</t>
  </si>
  <si>
    <t>Box Elder</t>
  </si>
  <si>
    <t>SIOUX FALLS WATER RECLAMATION</t>
  </si>
  <si>
    <t>Sioux Falls</t>
  </si>
  <si>
    <t>57104-9612</t>
  </si>
  <si>
    <t>HOT SPRINGS WWTF</t>
  </si>
  <si>
    <t>Hot Springs</t>
  </si>
  <si>
    <t>YANKTON WWTF</t>
  </si>
  <si>
    <t>Yankton</t>
  </si>
  <si>
    <t>Moccasin Bend WWTP</t>
  </si>
  <si>
    <t>Chattanooga</t>
  </si>
  <si>
    <t>Stiles WWTP</t>
  </si>
  <si>
    <t>Central Wastewater Treatment Plant</t>
  </si>
  <si>
    <t>nashville</t>
  </si>
  <si>
    <t>T E Maxson and the</t>
  </si>
  <si>
    <t>KNOXVILLE-KUWAHEE WWTP</t>
  </si>
  <si>
    <t>NASHVILLE - DRY CREEK WWTP</t>
  </si>
  <si>
    <t>DAVIDSON</t>
  </si>
  <si>
    <t>JACKSON UTILITY DIVISION Miller Avenue WWTP</t>
  </si>
  <si>
    <t>KINGSPORT STP</t>
  </si>
  <si>
    <t>KINGSPORT</t>
  </si>
  <si>
    <t>SULLIVAN</t>
  </si>
  <si>
    <t>GATLINBURG WWTP</t>
  </si>
  <si>
    <t>GATLINBURG</t>
  </si>
  <si>
    <t>SEVIER</t>
  </si>
  <si>
    <t>LENOIR CITY STP</t>
  </si>
  <si>
    <t>LENOIR CITY</t>
  </si>
  <si>
    <t>LOUDON</t>
  </si>
  <si>
    <t>PIGEON FORGE STP</t>
  </si>
  <si>
    <t>PIGEON FORGE</t>
  </si>
  <si>
    <t>LEWISBURG STP</t>
  </si>
  <si>
    <t>LEWISBURG</t>
  </si>
  <si>
    <t>ERWIN WWTP</t>
  </si>
  <si>
    <t>ERWIN</t>
  </si>
  <si>
    <t>UNICOI</t>
  </si>
  <si>
    <t>MONTEREY WWTP</t>
  </si>
  <si>
    <t>CENTRAL WWTP - DALLAS</t>
  </si>
  <si>
    <t>VILLAGE CREEK STP</t>
  </si>
  <si>
    <t>FORT WORTH</t>
  </si>
  <si>
    <t>TARRANT</t>
  </si>
  <si>
    <t>DOS RIOS WATER RECYCLING CENTER</t>
  </si>
  <si>
    <t>SAN ANTONIO</t>
  </si>
  <si>
    <t>BEXAR</t>
  </si>
  <si>
    <t>SOUTHSIDE WWTP - DALLAS</t>
  </si>
  <si>
    <t>ROBERTO BUSTAMANTE WWTP</t>
  </si>
  <si>
    <t>Waco Metropolitan Area Regional Sewerage System</t>
  </si>
  <si>
    <t>WACO</t>
  </si>
  <si>
    <t>MCLENNAN</t>
  </si>
  <si>
    <t>SOUTHEAST WRP</t>
  </si>
  <si>
    <t>LUBBOCK</t>
  </si>
  <si>
    <t>HASKELL ST WWTP</t>
  </si>
  <si>
    <t>ROWLETT CREEK WWTP</t>
  </si>
  <si>
    <t>TEN MILE CREEK WWTP</t>
  </si>
  <si>
    <t>FERRIS</t>
  </si>
  <si>
    <t>PECAN CREEK WWTP</t>
  </si>
  <si>
    <t>DENTON</t>
  </si>
  <si>
    <t>LONGVIEW MAIN WWTP</t>
  </si>
  <si>
    <t>LONGVIEW</t>
  </si>
  <si>
    <t>GREGG</t>
  </si>
  <si>
    <t>HAMBY WWTP</t>
  </si>
  <si>
    <t>ABILENE</t>
  </si>
  <si>
    <t>NORTHWEST WWTP</t>
  </si>
  <si>
    <t>RIVER ROAD WWTP</t>
  </si>
  <si>
    <t>AMARILLO</t>
  </si>
  <si>
    <t>POTTER</t>
  </si>
  <si>
    <t>TEXARKANA SOUTH REGIONAL WWTP</t>
  </si>
  <si>
    <t>TEXARKANA</t>
  </si>
  <si>
    <t>BOWIE</t>
  </si>
  <si>
    <t>POST OAK CREEK WWTP</t>
  </si>
  <si>
    <t>SHERMAN</t>
  </si>
  <si>
    <t>GRAYSON</t>
  </si>
  <si>
    <t>HOLLYWOOD ROAD WWTP</t>
  </si>
  <si>
    <t>RANDALL</t>
  </si>
  <si>
    <t>LUFKIN WWTP</t>
  </si>
  <si>
    <t>LUFKIN</t>
  </si>
  <si>
    <t>ANGELINA</t>
  </si>
  <si>
    <t>PLANT #2</t>
  </si>
  <si>
    <t>CORSICANA</t>
  </si>
  <si>
    <t>NAVARRO</t>
  </si>
  <si>
    <t>GREENWOOD WWTP</t>
  </si>
  <si>
    <t>CORPUS CHRISTI</t>
  </si>
  <si>
    <t>NUECES</t>
  </si>
  <si>
    <t>DOSHIER FARMS WWTP - Temple</t>
  </si>
  <si>
    <t>TEMPLE</t>
  </si>
  <si>
    <t>BELL</t>
  </si>
  <si>
    <t>MARSHALL WWTP (TX)</t>
  </si>
  <si>
    <t>BONHAM CITY OF</t>
  </si>
  <si>
    <t>BONHAM</t>
  </si>
  <si>
    <t>FANNIN</t>
  </si>
  <si>
    <t>CITY OF ROCKPORT</t>
  </si>
  <si>
    <t>ROCKPORT</t>
  </si>
  <si>
    <t>ARANSAS</t>
  </si>
  <si>
    <t>CITY OF GAINESVILLE</t>
  </si>
  <si>
    <t>GAINESVILLE</t>
  </si>
  <si>
    <t>COOKE</t>
  </si>
  <si>
    <t>TERRELL, CITY OF-KAUFMAN CNTY</t>
  </si>
  <si>
    <t>TERRELL</t>
  </si>
  <si>
    <t>KAUFMAN</t>
  </si>
  <si>
    <t>BURTON CREEK WASTEWATER TREATMENT PLANT</t>
  </si>
  <si>
    <t>BRAZOS</t>
  </si>
  <si>
    <t>CITY OF VERNON WWTP</t>
  </si>
  <si>
    <t>VERNON</t>
  </si>
  <si>
    <t>WILBARGER</t>
  </si>
  <si>
    <t>CITY OF HARKER HEIGHTS</t>
  </si>
  <si>
    <t>HARKER HEIGHTS</t>
  </si>
  <si>
    <t>STILL CREEK WWTP</t>
  </si>
  <si>
    <t>VICTORIA WILLOW PLANT</t>
  </si>
  <si>
    <t>VICTORIA</t>
  </si>
  <si>
    <t>CITY OF ATHENS WEST WWTP</t>
  </si>
  <si>
    <t>ATHENS</t>
  </si>
  <si>
    <t>CITY OF KILGORE</t>
  </si>
  <si>
    <t>KILGORE</t>
  </si>
  <si>
    <t>CITY OF ALICE (SOUTH)</t>
  </si>
  <si>
    <t>ALICE</t>
  </si>
  <si>
    <t>JIM WELLS</t>
  </si>
  <si>
    <t>CITY OF BROWNWOOD WASTEWATER TREATMENT PLANT</t>
  </si>
  <si>
    <t>BROWNWOOD</t>
  </si>
  <si>
    <t>CITY OF CORPUS CHRISTI</t>
  </si>
  <si>
    <t>MINERAL WELLS POLLARD CREEK PLANT</t>
  </si>
  <si>
    <t>MINERAL WELLS</t>
  </si>
  <si>
    <t>PALO PINTO</t>
  </si>
  <si>
    <t>RIVER ROAD WASTEWATER TREATMENT PLANT</t>
  </si>
  <si>
    <t>WICHITA FALLS</t>
  </si>
  <si>
    <t>SOUTH WASTEWATER TREATMENT PLANT</t>
  </si>
  <si>
    <t>MISSION</t>
  </si>
  <si>
    <t>HIDALGO</t>
  </si>
  <si>
    <t>BRIDGESTONE MUD WWTP</t>
  </si>
  <si>
    <t>SPRING</t>
  </si>
  <si>
    <t>HARRIS</t>
  </si>
  <si>
    <t>CITY OF ORANGE</t>
  </si>
  <si>
    <t>COFFIELD UNIT - WWTP</t>
  </si>
  <si>
    <t>PRAIRIE VIEW AandM UNIV WWTF</t>
  </si>
  <si>
    <t>PRAIRIE VIEW</t>
  </si>
  <si>
    <t>WALLER</t>
  </si>
  <si>
    <t>Hornsby Bend Biosolids Management Plant</t>
  </si>
  <si>
    <t>CENTRAL VALLEY WATER REC FAC</t>
  </si>
  <si>
    <t>SOUTH SLC</t>
  </si>
  <si>
    <t>SALT LAKE</t>
  </si>
  <si>
    <t>SLC RECLAMATION PLANT</t>
  </si>
  <si>
    <t>SALT LAKE CITY</t>
  </si>
  <si>
    <t>CENTRAL WEBER SEWER IMPR DIST</t>
  </si>
  <si>
    <t>OGDEN</t>
  </si>
  <si>
    <t>WEBER</t>
  </si>
  <si>
    <t>NORTH DAVIS COUNTY SEWER DIST.</t>
  </si>
  <si>
    <t>PROVO CITY CORPORATION</t>
  </si>
  <si>
    <t>PROVO</t>
  </si>
  <si>
    <t>OREM</t>
  </si>
  <si>
    <t>SOUTH DAVIS COUNTY SEWER DIST. - North Plant</t>
  </si>
  <si>
    <t>BOUNTIFUL</t>
  </si>
  <si>
    <t>CENTRAL DAVIS SEWER DISTRICT</t>
  </si>
  <si>
    <t>KAYSVILLE</t>
  </si>
  <si>
    <t>South DAVIS SEWER District- SOUTH PLANT</t>
  </si>
  <si>
    <t>North Salt Lake</t>
  </si>
  <si>
    <t>CEDAR CITY Regional WWTF</t>
  </si>
  <si>
    <t>CEDAR CITY</t>
  </si>
  <si>
    <t>IRON</t>
  </si>
  <si>
    <t>PRICE RIVER WATER IMP. DIST.</t>
  </si>
  <si>
    <t>Wellington</t>
  </si>
  <si>
    <t>CARBON</t>
  </si>
  <si>
    <t>MOAB CITY CORPORATION</t>
  </si>
  <si>
    <t>MOAB</t>
  </si>
  <si>
    <t>GRAND</t>
  </si>
  <si>
    <t>SPANISH FORK CITY CORP.</t>
  </si>
  <si>
    <t>SPANISH FORK</t>
  </si>
  <si>
    <t>Payson City WWTP</t>
  </si>
  <si>
    <t>Payson</t>
  </si>
  <si>
    <t>Utah</t>
  </si>
  <si>
    <t>SPRINGVILLE CITY CORPRORATION</t>
  </si>
  <si>
    <t>HENRICO COUNTY WATER RECLAMATION FACILITY</t>
  </si>
  <si>
    <t>HENRICO</t>
  </si>
  <si>
    <t>23231-8523</t>
  </si>
  <si>
    <t>ALEXANDRIA STP</t>
  </si>
  <si>
    <t>ALEXANDRIA</t>
  </si>
  <si>
    <t>22314-3417</t>
  </si>
  <si>
    <t>UOSA - CENTREVILLE</t>
  </si>
  <si>
    <t>FAIRFAX</t>
  </si>
  <si>
    <t>WESTERN VIRGINIA WATER AUTHORI</t>
  </si>
  <si>
    <t>Roanoke</t>
  </si>
  <si>
    <t>ROANOKE CITY</t>
  </si>
  <si>
    <t>HRSD - ATLANTIC SEWAGE TREATMENT PLANT</t>
  </si>
  <si>
    <t>VIRGINIA BEACH</t>
  </si>
  <si>
    <t>HRSD - NANSEMOND SEWAGE TREATMENT PLANT</t>
  </si>
  <si>
    <t>SUFFOLK CITY</t>
  </si>
  <si>
    <t>CHESAPEAKE-ELIZABETH WPCF</t>
  </si>
  <si>
    <t>NORTH RIVER WASTEWATER TREATMENT PLANT</t>
  </si>
  <si>
    <t>Mt Crawford</t>
  </si>
  <si>
    <t>ROCKINGHAM</t>
  </si>
  <si>
    <t>JAMES RIVER W P C F</t>
  </si>
  <si>
    <t>NEWPORT NEWS</t>
  </si>
  <si>
    <t>MOORES CREEK REGIONAL STP</t>
  </si>
  <si>
    <t>Charlottesville</t>
  </si>
  <si>
    <t>CHARLOTTESVIL</t>
  </si>
  <si>
    <t>PROCTORS CREEK WWTP</t>
  </si>
  <si>
    <t>CHESTERFIELD</t>
  </si>
  <si>
    <t>YORK RIVER W P C F</t>
  </si>
  <si>
    <t>FALLING CREEK SEWAGE TREATMENT PLANT CHESTERFIED COUNTY BOARD</t>
  </si>
  <si>
    <t>PEPPERS FERRY STP</t>
  </si>
  <si>
    <t>RADFORD</t>
  </si>
  <si>
    <t>WAYNESBORO STP</t>
  </si>
  <si>
    <t>CHRISTIANSBURG TOWN OF</t>
  </si>
  <si>
    <t>CHRISTIANBURG</t>
  </si>
  <si>
    <t>ALEXANDRIA COMBINED SEWER SYST</t>
  </si>
  <si>
    <t>LEESBURG WATER POLLUTION (VA)</t>
  </si>
  <si>
    <t>LEESBURG</t>
  </si>
  <si>
    <t>BATH</t>
  </si>
  <si>
    <t>Rutland (City) WWTF</t>
  </si>
  <si>
    <t>P.O. Box 969</t>
  </si>
  <si>
    <t>RUTLAND</t>
  </si>
  <si>
    <t>Barre WWTF</t>
  </si>
  <si>
    <t>Barre, VT 05641</t>
  </si>
  <si>
    <t>St. Albans WWTF</t>
  </si>
  <si>
    <t>St. Albans</t>
  </si>
  <si>
    <t>Montpelier WWTF</t>
  </si>
  <si>
    <t>Montpelier, VT 05602</t>
  </si>
  <si>
    <t>Essex Junction WWTF</t>
  </si>
  <si>
    <t>Essex Junction, VT 05452</t>
  </si>
  <si>
    <t>CHITTENDEN</t>
  </si>
  <si>
    <t>Brattleboro WWTF</t>
  </si>
  <si>
    <t>Brattleboro</t>
  </si>
  <si>
    <t>WINDHAM</t>
  </si>
  <si>
    <t>South Burlington WWTF</t>
  </si>
  <si>
    <t>So. Burlington</t>
  </si>
  <si>
    <t>Burlington North Ave. WWTF</t>
  </si>
  <si>
    <t>Burlington, VT 05401</t>
  </si>
  <si>
    <t>St. Johnsbury WWTF*</t>
  </si>
  <si>
    <t>St. Johnsbury</t>
  </si>
  <si>
    <t>CALEDONIA</t>
  </si>
  <si>
    <t>BURLINGTON RIVERSIDE WASTEWATER TREATMENT PLANT</t>
  </si>
  <si>
    <t>Newport City WWTF</t>
  </si>
  <si>
    <t>ORLEANS</t>
  </si>
  <si>
    <t>Windsor (Main) WWTF</t>
  </si>
  <si>
    <t>WINDSOR</t>
  </si>
  <si>
    <t>Springfield WWTF</t>
  </si>
  <si>
    <t>South Treatment Plant</t>
  </si>
  <si>
    <t>Renton</t>
  </si>
  <si>
    <t>Tacoma Central NO. 1</t>
  </si>
  <si>
    <t>Tacoma</t>
  </si>
  <si>
    <t>City of Spokane Riverside Park Water Reclamation Facility</t>
  </si>
  <si>
    <t>Yakima Regional Wastewater Treatment Facility</t>
  </si>
  <si>
    <t>Chambers Creek WWTP</t>
  </si>
  <si>
    <t>University Place</t>
  </si>
  <si>
    <t>City of Richland</t>
  </si>
  <si>
    <t>DUPE__Salmon Creek WWTP 187</t>
  </si>
  <si>
    <t>Vancouver</t>
  </si>
  <si>
    <t>City of Bremerton Westside WWTP</t>
  </si>
  <si>
    <t>Bremerton</t>
  </si>
  <si>
    <t>Kitsap</t>
  </si>
  <si>
    <t>LAKOTA STP</t>
  </si>
  <si>
    <t>FEDERAL WAY</t>
  </si>
  <si>
    <t>KING</t>
  </si>
  <si>
    <t>Walla Walla Wastewater Treatment Plant</t>
  </si>
  <si>
    <t>Walla Walla</t>
  </si>
  <si>
    <t>Midway Sewer District Des Moines Creek WWTP</t>
  </si>
  <si>
    <t>ELLENSBURG STP</t>
  </si>
  <si>
    <t>ELLENSBURG</t>
  </si>
  <si>
    <t>KITTITAS</t>
  </si>
  <si>
    <t>MILLER CREEK WWTP</t>
  </si>
  <si>
    <t>NORMANDY PARK</t>
  </si>
  <si>
    <t>TACOMA #3 STP NORTH</t>
  </si>
  <si>
    <t>TACOMA (WRIA 10)</t>
  </si>
  <si>
    <t>PIERCE</t>
  </si>
  <si>
    <t>DUPE__SALMON CREEK WWTP 188</t>
  </si>
  <si>
    <t>BURIEN</t>
  </si>
  <si>
    <t>LYNNWOOD TREATMENT SYSTEM</t>
  </si>
  <si>
    <t>EDMONDS</t>
  </si>
  <si>
    <t>SNOHOMISH</t>
  </si>
  <si>
    <t>City of Mount Vernon Wastewater Utility</t>
  </si>
  <si>
    <t>Central Kitsap Treatment Plant</t>
  </si>
  <si>
    <t>Poulsbo</t>
  </si>
  <si>
    <t>Redondo Treatment Plant</t>
  </si>
  <si>
    <t>CHEHALIS STP</t>
  </si>
  <si>
    <t>CHEHALIS</t>
  </si>
  <si>
    <t>LEWIS</t>
  </si>
  <si>
    <t>City of Wenatchee WWTP</t>
  </si>
  <si>
    <t>Wenatchee</t>
  </si>
  <si>
    <t>Chelan</t>
  </si>
  <si>
    <t>PUYALLUP WPCP</t>
  </si>
  <si>
    <t>PUYALLUP</t>
  </si>
  <si>
    <t>West Point Treatment Plant</t>
  </si>
  <si>
    <t>Seattle</t>
  </si>
  <si>
    <t>PASCO CITY WWTP</t>
  </si>
  <si>
    <t>PASCO</t>
  </si>
  <si>
    <t>Pullman WA. WWTP</t>
  </si>
  <si>
    <t>Pullman</t>
  </si>
  <si>
    <t>Whitman</t>
  </si>
  <si>
    <t>City of Sumner</t>
  </si>
  <si>
    <t>Sumner</t>
  </si>
  <si>
    <t>City of Camas Waste Water Treatment Plant</t>
  </si>
  <si>
    <t>Camas</t>
  </si>
  <si>
    <t>South Kitsap Water Reclamation Facility</t>
  </si>
  <si>
    <t>Port Orchard</t>
  </si>
  <si>
    <t>NEWPORT WWTP (WA)</t>
  </si>
  <si>
    <t>NEWPORT</t>
  </si>
  <si>
    <t>PEND OREILLE</t>
  </si>
  <si>
    <t>99156-0546</t>
  </si>
  <si>
    <t>Spokane County Regional Water Reclamation Facility (SCRWRF)</t>
  </si>
  <si>
    <t>Spokane, WA</t>
  </si>
  <si>
    <t>99202-6004</t>
  </si>
  <si>
    <t>Brightwater Treatment Plant</t>
  </si>
  <si>
    <t>Woodinville</t>
  </si>
  <si>
    <t>LOTT Clean Water Alliance Budd Inlet Treatment Plant</t>
  </si>
  <si>
    <t>Olympia</t>
  </si>
  <si>
    <t>Thurston</t>
  </si>
  <si>
    <t>City of Pasco</t>
  </si>
  <si>
    <t>South Shore Water Reclamation Facility</t>
  </si>
  <si>
    <t>Oak Creek, WI</t>
  </si>
  <si>
    <t>Madison Metropolitan Sewerage District - Nine Springs Wastewater Treatment Plant</t>
  </si>
  <si>
    <t>Racine Wastewater Utility</t>
  </si>
  <si>
    <t>Kenosha Wastewater Treatment Plant</t>
  </si>
  <si>
    <t>LaCrosse WWTP City of LaCrosse</t>
  </si>
  <si>
    <t>LaCrosse</t>
  </si>
  <si>
    <t>LaCrose</t>
  </si>
  <si>
    <t>Oshkosh Wastewater Treatment Plant</t>
  </si>
  <si>
    <t>Sheboygan Regional WWTP</t>
  </si>
  <si>
    <t>Janesville Wastewater Utility</t>
  </si>
  <si>
    <t>City of Appleton WWTP</t>
  </si>
  <si>
    <t>Waukesha Wastewater</t>
  </si>
  <si>
    <t>Neenah-Menasha Sewerage Commission</t>
  </si>
  <si>
    <t>Menasha</t>
  </si>
  <si>
    <t>Brookfield Fox River WPCC</t>
  </si>
  <si>
    <t>Brookfield</t>
  </si>
  <si>
    <t>EAU CLAIRE WWTP</t>
  </si>
  <si>
    <t>EAU CLAIRE CITY</t>
  </si>
  <si>
    <t>EAU CLAIRE</t>
  </si>
  <si>
    <t>Beloit, WI Water Poluution Control Facility</t>
  </si>
  <si>
    <t>Beloit</t>
  </si>
  <si>
    <t>City of Fond du Lac Water Pollution Control Plant</t>
  </si>
  <si>
    <t>City of West Bend Wastewater Treatment Plant</t>
  </si>
  <si>
    <t>West Bend</t>
  </si>
  <si>
    <t>Wausau WWTP</t>
  </si>
  <si>
    <t>Wausau</t>
  </si>
  <si>
    <t>SUPERIOR WWTP</t>
  </si>
  <si>
    <t>SUPERIOR</t>
  </si>
  <si>
    <t>City of South Milwaukee Wastewater Facility</t>
  </si>
  <si>
    <t>South Milwaukee</t>
  </si>
  <si>
    <t>WALWORTH COUNTY MSD STP</t>
  </si>
  <si>
    <t>DELAVAN</t>
  </si>
  <si>
    <t>WALWORTH</t>
  </si>
  <si>
    <t>City of Chippewa Falls</t>
  </si>
  <si>
    <t>Chippewa Falls</t>
  </si>
  <si>
    <t>Chippewa</t>
  </si>
  <si>
    <t>WATERTOWN STP</t>
  </si>
  <si>
    <t>City of Marinette WWTP</t>
  </si>
  <si>
    <t>Marinette</t>
  </si>
  <si>
    <t>City of Stevens Point WWTP</t>
  </si>
  <si>
    <t>Stevens Point</t>
  </si>
  <si>
    <t>OCONOMOWOC WWTP</t>
  </si>
  <si>
    <t>OCONOMOWOC</t>
  </si>
  <si>
    <t>WAUKESHA</t>
  </si>
  <si>
    <t>HARTFORD WWTP</t>
  </si>
  <si>
    <t>city of burlington, wisconsin</t>
  </si>
  <si>
    <t>burlington</t>
  </si>
  <si>
    <t>racine</t>
  </si>
  <si>
    <t>BEAVER DAM WWTP</t>
  </si>
  <si>
    <t>BEAVER DAM</t>
  </si>
  <si>
    <t>PORT WASHINGTON WWTP</t>
  </si>
  <si>
    <t>PORT WASHINGTON</t>
  </si>
  <si>
    <t>OZAUKEE</t>
  </si>
  <si>
    <t>City of Two Rivers</t>
  </si>
  <si>
    <t>Two Rivers</t>
  </si>
  <si>
    <t>City of Sun Prairie Water Pollution Control Facility</t>
  </si>
  <si>
    <t>City of Hudson</t>
  </si>
  <si>
    <t>PLATTEVILLE WWTP</t>
  </si>
  <si>
    <t>PLATTEVILLE</t>
  </si>
  <si>
    <t>RHINELANDER STP</t>
  </si>
  <si>
    <t>RHINELANDER</t>
  </si>
  <si>
    <t>City of Rice Lake</t>
  </si>
  <si>
    <t>Rice Lake</t>
  </si>
  <si>
    <t>Barron</t>
  </si>
  <si>
    <t>Village of Jackson WWTF</t>
  </si>
  <si>
    <t>Berlin Water &amp; Sewer Dept</t>
  </si>
  <si>
    <t>PLYMOUTH WWTP (WI)</t>
  </si>
  <si>
    <t>SHEBOYGAN</t>
  </si>
  <si>
    <t>WAUPACA WWTP</t>
  </si>
  <si>
    <t>WAUPACA</t>
  </si>
  <si>
    <t>ALGOMA WWTP</t>
  </si>
  <si>
    <t>ALGOMA</t>
  </si>
  <si>
    <t>KEWAUNEE</t>
  </si>
  <si>
    <t>City of Whitewater WWTP</t>
  </si>
  <si>
    <t>Whitewater</t>
  </si>
  <si>
    <t>STOUGHTON WASTEWATER TREATMENT FACILITY</t>
  </si>
  <si>
    <t>STOUGHTON</t>
  </si>
  <si>
    <t>DANE</t>
  </si>
  <si>
    <t>MONROE WASTEWATER TREATMENT PLANT</t>
  </si>
  <si>
    <t>GREEN</t>
  </si>
  <si>
    <t>City of Sparta</t>
  </si>
  <si>
    <t>Sparta</t>
  </si>
  <si>
    <t>City of Jefferson</t>
  </si>
  <si>
    <t>City of Menomonie WWTP</t>
  </si>
  <si>
    <t>Menomonie</t>
  </si>
  <si>
    <t>New London Wastewater Treatment Facility</t>
  </si>
  <si>
    <t>Waupaca</t>
  </si>
  <si>
    <t>WISCONSIN RAPIDS WWTP</t>
  </si>
  <si>
    <t>WISCONSIN RAPIDS</t>
  </si>
  <si>
    <t>ASHLAND WASTEWATER TREATMENT PLANT (WI)</t>
  </si>
  <si>
    <t>ASHLAND</t>
  </si>
  <si>
    <t>Delafield-Hartland WPCC</t>
  </si>
  <si>
    <t>Delafield</t>
  </si>
  <si>
    <t>RIB MOUNTAIN MSD WASTEWATER TREATMENT FACILITY</t>
  </si>
  <si>
    <t>WAUSAU</t>
  </si>
  <si>
    <t>MARATHON</t>
  </si>
  <si>
    <t>CITY OF MERRILL WASTEWATER TREATMENT FACILITY</t>
  </si>
  <si>
    <t>MERRILL</t>
  </si>
  <si>
    <t>Grafton Utility</t>
  </si>
  <si>
    <t>Ozaukee</t>
  </si>
  <si>
    <t>Village of Mukwonago WWTP</t>
  </si>
  <si>
    <t>Mukwonago</t>
  </si>
  <si>
    <t>SALEM UTILITY DISTRICT</t>
  </si>
  <si>
    <t>TREVOR</t>
  </si>
  <si>
    <t>KENOSHA</t>
  </si>
  <si>
    <t>Sturgeon Bay Utilities WWTP</t>
  </si>
  <si>
    <t>Sturgeon Bay, WI.</t>
  </si>
  <si>
    <t>Waupun Utilities</t>
  </si>
  <si>
    <t>Waupun</t>
  </si>
  <si>
    <t>Tomahawk WWTP</t>
  </si>
  <si>
    <t>Tomahawk</t>
  </si>
  <si>
    <t>Village of Clear Lake WWTP</t>
  </si>
  <si>
    <t>Clear Lake</t>
  </si>
  <si>
    <t>City Of Augusta</t>
  </si>
  <si>
    <t>Eau Claire</t>
  </si>
  <si>
    <t>Richland Center WWTP</t>
  </si>
  <si>
    <t>Richland Center</t>
  </si>
  <si>
    <t>CHARLESTON WWTP (WV)</t>
  </si>
  <si>
    <t>KANAWHA</t>
  </si>
  <si>
    <t>MORGANTOWN - STAR CITY WWTP</t>
  </si>
  <si>
    <t>STAR CITY</t>
  </si>
  <si>
    <t>MONONGALIA</t>
  </si>
  <si>
    <t>WHEELING WWTP</t>
  </si>
  <si>
    <t>Wheeling</t>
  </si>
  <si>
    <t>FAIRMONT WASTEWATER TREATMENT PLANT</t>
  </si>
  <si>
    <t>26555-2108</t>
  </si>
  <si>
    <t>FAIRMONT MS4</t>
  </si>
  <si>
    <t>FAIRMONT</t>
  </si>
  <si>
    <t>BECKLEY BOARD OF PUBLIC WORKS</t>
  </si>
  <si>
    <t>RALEIGH</t>
  </si>
  <si>
    <t>GILLETTE WASTEWATER TREATMENT FACILITY</t>
  </si>
  <si>
    <t>Gillette</t>
  </si>
  <si>
    <t>CAMPBELL</t>
  </si>
  <si>
    <t>CASPER REGIONAL WASTEWATER TREATMENT PLANT</t>
  </si>
  <si>
    <t>Casper</t>
  </si>
  <si>
    <t>NATRONA</t>
  </si>
  <si>
    <t>CHEYENNE DRY CREEK WTP</t>
  </si>
  <si>
    <t>Cheyenne</t>
  </si>
  <si>
    <t>LARAMIE</t>
  </si>
  <si>
    <t>Operational systems</t>
  </si>
  <si>
    <t>Potential systems</t>
  </si>
  <si>
    <t>Biogas  billion cuft/yr</t>
  </si>
  <si>
    <t>TOTAL</t>
  </si>
  <si>
    <t>Rank</t>
  </si>
  <si>
    <t>potential biogas billion cubic feet</t>
  </si>
  <si>
    <t>Animal manure</t>
  </si>
  <si>
    <t>Organic waste</t>
  </si>
  <si>
    <t>Landfills</t>
  </si>
  <si>
    <t>Wastewater</t>
  </si>
  <si>
    <t>Biogas billion cuft/yr</t>
  </si>
  <si>
    <t>New York</t>
  </si>
  <si>
    <t>http://ethanolproducer.com/plants/listplants/</t>
  </si>
  <si>
    <t>Biomass magazine</t>
  </si>
  <si>
    <t>http://biomassmagazine.com/plants/listplants/pellet/</t>
  </si>
  <si>
    <t>Retrieved April 2024</t>
  </si>
  <si>
    <t>Terminal Island Treatment Plant</t>
  </si>
  <si>
    <t>SAN PEDRO</t>
  </si>
  <si>
    <t>TAPIA WRF/Compost</t>
  </si>
  <si>
    <t>SAN BUENAVENTURA</t>
  </si>
  <si>
    <t>REGIONWIDE WATER RECYCLING SYSTEM DISHCARGE</t>
  </si>
  <si>
    <t>SOSCOL WRF</t>
  </si>
  <si>
    <t>OCEANSIDE OCEAN OUTFALL</t>
  </si>
  <si>
    <t>HOWARD F. CURREN AWTP - city of Tampa</t>
  </si>
  <si>
    <t>Julington Creak WRF</t>
  </si>
  <si>
    <t>NASSAU REGIONAL WWTF</t>
  </si>
  <si>
    <t>YULEE</t>
  </si>
  <si>
    <t xml:space="preserve">JACKSONVILLE STP </t>
  </si>
  <si>
    <t>CITY OF VALDOSTA - MUD CREEK</t>
  </si>
  <si>
    <t>VALDOSTA</t>
  </si>
  <si>
    <t>GARDEN CITY</t>
  </si>
  <si>
    <t>CREAT HILL WEST STP</t>
  </si>
  <si>
    <t>CREST HILL</t>
  </si>
  <si>
    <t>CAIRO STP</t>
  </si>
  <si>
    <t>CAIRO</t>
  </si>
  <si>
    <t xml:space="preserve">FLORA STP </t>
  </si>
  <si>
    <t>FLORA</t>
  </si>
  <si>
    <t>SYRACUSE WASTE WATER TREATMENT</t>
  </si>
  <si>
    <t>DOGE CITY&lt; CITY OF NEW MECHANICAL PLANT</t>
  </si>
  <si>
    <t>DODGE CITY</t>
  </si>
  <si>
    <t>LINDEN</t>
  </si>
  <si>
    <t xml:space="preserve">MIDDLETOWN SA </t>
  </si>
  <si>
    <t>BRICKTOWN</t>
  </si>
  <si>
    <t>STAFFORD</t>
  </si>
  <si>
    <t>CITY OF RIO RANCHO WWF</t>
  </si>
  <si>
    <t>CORTLAND</t>
  </si>
  <si>
    <t>DUNKIRK WFPFREDONIA (V) WWTP</t>
  </si>
  <si>
    <t>HARRIMAN SWEAGE TREATMENT PLANT- OCSD#1</t>
  </si>
  <si>
    <t>HARRIMAN</t>
  </si>
  <si>
    <t>STONY BROOK</t>
  </si>
  <si>
    <t>Cooperstown (V) WWTP</t>
  </si>
  <si>
    <t>WELLSVILLE (V) WWTP</t>
  </si>
  <si>
    <t>WELLSVILLE</t>
  </si>
  <si>
    <t>BIRD ISLAND STP</t>
  </si>
  <si>
    <t>BEDFORD WWTP (OH)</t>
  </si>
  <si>
    <t>NORWALK WWTP</t>
  </si>
  <si>
    <t>NORWALK</t>
  </si>
  <si>
    <t>MEDINA COUNTY - LIVERPOOL WWTP</t>
  </si>
  <si>
    <t>VALLEY CITY</t>
  </si>
  <si>
    <t>city of ZANESVILLE WWTP</t>
  </si>
  <si>
    <t>ZANESVILLE</t>
  </si>
  <si>
    <t>TULSA MUA_LOWER CIRD CK PLANT</t>
  </si>
  <si>
    <t>CATOOSA</t>
  </si>
  <si>
    <t>LRBSA ARCHBALD STP</t>
  </si>
  <si>
    <t>JERMYN</t>
  </si>
  <si>
    <t>BUCKLIN POINT WWTF</t>
  </si>
  <si>
    <t>RUMFORD</t>
  </si>
  <si>
    <t>EAST PROVIDENCE</t>
  </si>
  <si>
    <t>MADISON GENERATION PLANT</t>
  </si>
  <si>
    <t>SALMON CREEK WWTP</t>
  </si>
  <si>
    <t>Manitowoc WWTP</t>
  </si>
  <si>
    <t>MILWAUKEE METRO SEW DIST COMBI</t>
  </si>
  <si>
    <t>MILWAUKEE</t>
  </si>
  <si>
    <t>Renewable Jet Fuel</t>
  </si>
  <si>
    <t>4AIR</t>
  </si>
  <si>
    <t>https://www.4air.aero/saf-map</t>
  </si>
  <si>
    <t>Retrieved May 2024</t>
  </si>
  <si>
    <t>Renewable Diesel</t>
  </si>
  <si>
    <t>U.S. Renewable Diesel Fuel and Other Biofuels Plant Production Capacity (eia.gov)</t>
  </si>
  <si>
    <t>SAF supply location Name</t>
  </si>
  <si>
    <t>Jet Aviation Scottsdale</t>
  </si>
  <si>
    <t>14650 N Airport Dr</t>
  </si>
  <si>
    <t>Scottsdale</t>
  </si>
  <si>
    <t>Verified</t>
  </si>
  <si>
    <t>Truckee Tahoe Airport - KTRK</t>
  </si>
  <si>
    <t>10356 Truckee Airport Rd</t>
  </si>
  <si>
    <t>Truckee</t>
  </si>
  <si>
    <t>Modern Aviation - KMHR</t>
  </si>
  <si>
    <t>10510 Superfortress Ave</t>
  </si>
  <si>
    <t>Mather</t>
  </si>
  <si>
    <t>NA</t>
  </si>
  <si>
    <t>Sonoma Jet Center - KSTS</t>
  </si>
  <si>
    <t>6000 Flightline Dr</t>
  </si>
  <si>
    <t>Atlantic Aviation - KSCK</t>
  </si>
  <si>
    <t>6364 Lindbergh St</t>
  </si>
  <si>
    <t>Signature Flight Support - KOAK</t>
  </si>
  <si>
    <t>8433 Earhart Rd</t>
  </si>
  <si>
    <t>Signature Flight Support - KSFO</t>
  </si>
  <si>
    <t>1052 N Access Rd</t>
  </si>
  <si>
    <t>Signature Flight Support - KSJC</t>
  </si>
  <si>
    <t>323 Martin Ave</t>
  </si>
  <si>
    <t>Monterey Jet Center - KMRY</t>
  </si>
  <si>
    <t>300 Sky Park Dr</t>
  </si>
  <si>
    <t>Signature Flight Support - KFAT</t>
  </si>
  <si>
    <t>3050 N Winery Ave</t>
  </si>
  <si>
    <t>Signature Flight Support - KLAX</t>
  </si>
  <si>
    <t>6201 W Imperial Hwy</t>
  </si>
  <si>
    <t>Atlantic Aviation - KLAX</t>
  </si>
  <si>
    <t>6411 W Imperial Hwy</t>
  </si>
  <si>
    <t>Atlantic Aviation LGB</t>
  </si>
  <si>
    <t>3250 Airflite Way</t>
  </si>
  <si>
    <t>Long Beach</t>
  </si>
  <si>
    <t>Signature Flight Support - LGB</t>
  </si>
  <si>
    <t>3333 E Spring St</t>
  </si>
  <si>
    <t>Jet Aviation Van Nuys</t>
  </si>
  <si>
    <t>16644 Roscoe Blvd</t>
  </si>
  <si>
    <t>Van Nuys</t>
  </si>
  <si>
    <t>Signature Flight Support - East KVNY</t>
  </si>
  <si>
    <t>7155 Valjean Ave</t>
  </si>
  <si>
    <t>Signature Flight Support - West KVNY</t>
  </si>
  <si>
    <t>7240 Hayvenhurst Ave</t>
  </si>
  <si>
    <t>AVEX - KCMA</t>
  </si>
  <si>
    <t>205 Durley Ave Suite A</t>
  </si>
  <si>
    <t>Sun Air Jets - KCMA</t>
  </si>
  <si>
    <t>855 Aviation Dr</t>
  </si>
  <si>
    <t>Signature Flight Support - KSBA</t>
  </si>
  <si>
    <t>515 Marxmiller Pl</t>
  </si>
  <si>
    <t>Goleta</t>
  </si>
  <si>
    <t>ACI Jet - KSNA</t>
  </si>
  <si>
    <t>19301 Campus Dr</t>
  </si>
  <si>
    <t>Santa Ana</t>
  </si>
  <si>
    <t>Signature Flight Support - KSAN</t>
  </si>
  <si>
    <t>3300 Admiral Boland Way</t>
  </si>
  <si>
    <t>Atlantic Aviation - KTRM</t>
  </si>
  <si>
    <t>86400 Lightning St</t>
  </si>
  <si>
    <t>Thermal</t>
  </si>
  <si>
    <t>Signature Flight Support - KPSP</t>
  </si>
  <si>
    <t>250 El Cielo Rd</t>
  </si>
  <si>
    <t>Palm Springs</t>
  </si>
  <si>
    <t>Atlantic Aviation - KRIL</t>
  </si>
  <si>
    <t>375 Co Rd 352</t>
  </si>
  <si>
    <t>Rifle</t>
  </si>
  <si>
    <t>Announced</t>
  </si>
  <si>
    <t>Signature Flight Support - KEGE</t>
  </si>
  <si>
    <t>871 Cooley Mesa Rd</t>
  </si>
  <si>
    <t>Gypsum</t>
  </si>
  <si>
    <t>Atlantic Aviation - KASE/ Aspen/Pitkin County Airport</t>
  </si>
  <si>
    <t>69 W Aiport Rd</t>
  </si>
  <si>
    <t>Aspen</t>
  </si>
  <si>
    <t>Atlantic Aviation - KMTJ</t>
  </si>
  <si>
    <t>2000 Airport Rd</t>
  </si>
  <si>
    <t>Atlantic Aviation - KHDN</t>
  </si>
  <si>
    <t>105 Tower Ct</t>
  </si>
  <si>
    <t>Hayden</t>
  </si>
  <si>
    <t>Telluride Regional Airport - KTEX</t>
  </si>
  <si>
    <t>1500 Last Dollar Rd suite 1</t>
  </si>
  <si>
    <t>Telluride</t>
  </si>
  <si>
    <t>Jet Aviation Boseman</t>
  </si>
  <si>
    <t>530 Wings Way</t>
  </si>
  <si>
    <t>Belgrade</t>
  </si>
  <si>
    <t>Hillsboro Aviation - KHIO</t>
  </si>
  <si>
    <t>3845 NE 30th Ave</t>
  </si>
  <si>
    <t>Signature Flight Support - KHOU</t>
  </si>
  <si>
    <t>8402 Nelms St</t>
  </si>
  <si>
    <t>Signature Flight Support - KAUS</t>
  </si>
  <si>
    <t>4321 Emma Browning Ave</t>
  </si>
  <si>
    <t>Skyserivce - KBFI</t>
  </si>
  <si>
    <t>8555 Perimeter Rd S</t>
  </si>
  <si>
    <t>Signature Flight Support - KBFI</t>
  </si>
  <si>
    <t>Perimeter Rd</t>
  </si>
  <si>
    <t>Production capacity (million gal/year)</t>
  </si>
  <si>
    <t>https://atlas.eia.gov/datasets/79dad60ce89c47519452a2959d49acd8/explore</t>
  </si>
  <si>
    <t>American GreenFuels</t>
  </si>
  <si>
    <t>Down To Earth Energy LLC</t>
  </si>
  <si>
    <t>Maine Bio-Fuel Inc</t>
  </si>
  <si>
    <t>Cape Cod Biofuels Inc</t>
  </si>
  <si>
    <t>Renewable Fuels by Peterson</t>
  </si>
  <si>
    <t>Lake Erie Biofuels LLC</t>
  </si>
  <si>
    <t>World Energy Harrisburg LLC</t>
  </si>
  <si>
    <t>Southeast Biodiesel/South Carolina LLC</t>
  </si>
  <si>
    <t>Virginia Biodiesel Refinery LLC</t>
  </si>
  <si>
    <t>Adkins Energy LLC</t>
  </si>
  <si>
    <t>Incobrasa Industries Ltd</t>
  </si>
  <si>
    <t>Renewable Energy Group</t>
  </si>
  <si>
    <t>Alternative Fuel Solutions LLC</t>
  </si>
  <si>
    <t>Louis Dreyfus Agricultural Industries LLC</t>
  </si>
  <si>
    <t>AG Processing</t>
  </si>
  <si>
    <t xml:space="preserve">AG Processing </t>
  </si>
  <si>
    <t>Cargill Inc</t>
  </si>
  <si>
    <t>Hero BX Clinton</t>
  </si>
  <si>
    <t>Iowa Renewable Energy LLC</t>
  </si>
  <si>
    <t>Lva Crawfordsville Biofuel LLC</t>
  </si>
  <si>
    <t>Western Dubuque Biodiesel LLC</t>
  </si>
  <si>
    <t>Western Iowa Energy LLC</t>
  </si>
  <si>
    <t>Owensboro Grain Biodiesel LLC</t>
  </si>
  <si>
    <t>Adrian Lva Biofuel LLC</t>
  </si>
  <si>
    <t>Thumb Bioenergy LLC</t>
  </si>
  <si>
    <t>Minnesota Soybean Processors</t>
  </si>
  <si>
    <t>Deerfield Energy LLC</t>
  </si>
  <si>
    <t>Mid-America Biofuels, LLC</t>
  </si>
  <si>
    <t>Paseo Cargill Energy LLC</t>
  </si>
  <si>
    <t>Seaboard Energy Missouri LLC</t>
  </si>
  <si>
    <t>ADM</t>
  </si>
  <si>
    <t>Seaboard Energy Oklahoma LLC</t>
  </si>
  <si>
    <t>Bioenergy Development Group LLC</t>
  </si>
  <si>
    <t>Hero Bx Alabama LLC</t>
  </si>
  <si>
    <t>Delek US</t>
  </si>
  <si>
    <t>Futurefuel Chemical Company</t>
  </si>
  <si>
    <t>Scott Petroleum Corporation</t>
  </si>
  <si>
    <t>Eberle Biodiesel LLC</t>
  </si>
  <si>
    <t>Global Alternative Fuels LLC</t>
  </si>
  <si>
    <t>Rbf Port Neches LLC</t>
  </si>
  <si>
    <t>Canary Renewables Corp</t>
  </si>
  <si>
    <t>Crimson Renewable Energy LP</t>
  </si>
  <si>
    <t>Imperial Western Products Inc</t>
  </si>
  <si>
    <t>New Leaf Biofuel LLC</t>
  </si>
  <si>
    <t>Big Island Biodiesel LLC</t>
  </si>
  <si>
    <t>Sequential-Pacific Biodiesel LLC</t>
  </si>
  <si>
    <t>Connecticut</t>
  </si>
  <si>
    <t>Maine</t>
  </si>
  <si>
    <t>Massachusetts</t>
  </si>
  <si>
    <t>New Hampshire</t>
  </si>
  <si>
    <t>North Carolina</t>
  </si>
  <si>
    <t>Pennsylvania</t>
  </si>
  <si>
    <t>South Carolina</t>
  </si>
  <si>
    <t>Illinois</t>
  </si>
  <si>
    <t>Kansas</t>
  </si>
  <si>
    <t>Kentucky</t>
  </si>
  <si>
    <t>Michigan</t>
  </si>
  <si>
    <t>Minnesota</t>
  </si>
  <si>
    <t>Missouri</t>
  </si>
  <si>
    <t>North Dakota</t>
  </si>
  <si>
    <t>Tennessee</t>
  </si>
  <si>
    <t>Wisconsin</t>
  </si>
  <si>
    <t>Alabama</t>
  </si>
  <si>
    <t>Mississippi</t>
  </si>
  <si>
    <t>Texas</t>
  </si>
  <si>
    <t>California</t>
  </si>
  <si>
    <t>Hawaii</t>
  </si>
  <si>
    <t>Oregon</t>
  </si>
  <si>
    <t>Seaboard Energy Kansas LLC</t>
  </si>
  <si>
    <t>Hugoton</t>
  </si>
  <si>
    <t>Plant</t>
  </si>
  <si>
    <t>Dakota Prairie Refining LLC</t>
  </si>
  <si>
    <t>CVR Renewables Wynnewood LLC</t>
  </si>
  <si>
    <t>Wynnewood</t>
  </si>
  <si>
    <t>Louisiana</t>
  </si>
  <si>
    <t>Diamond Green Diesel LLC</t>
  </si>
  <si>
    <t>Norco</t>
  </si>
  <si>
    <t>Geismar</t>
  </si>
  <si>
    <t>Jaxon Energy, LLC</t>
  </si>
  <si>
    <t>New Mexico</t>
  </si>
  <si>
    <t>HF Sinclair Renewables Holding Co LLC</t>
  </si>
  <si>
    <t xml:space="preserve">Artesia </t>
  </si>
  <si>
    <t>Port Arthur</t>
  </si>
  <si>
    <t>Montana</t>
  </si>
  <si>
    <t>Montana Renewables LLC</t>
  </si>
  <si>
    <t>Great Falls</t>
  </si>
  <si>
    <t>Cheyenne Renewable Diesel Co LLC</t>
  </si>
  <si>
    <t>Wyoming Renewable Diesel Co</t>
  </si>
  <si>
    <t>Sinclair</t>
  </si>
  <si>
    <t>Altair Paramount LLC</t>
  </si>
  <si>
    <t>Paramount</t>
  </si>
  <si>
    <t>El Segundo</t>
  </si>
  <si>
    <t>Phillips 66 Co</t>
  </si>
  <si>
    <t>Rodeo</t>
  </si>
  <si>
    <t>Blaine</t>
  </si>
  <si>
    <t>Shell Oil Products U.S.</t>
  </si>
  <si>
    <t>Chervron USA Inc</t>
  </si>
  <si>
    <t>Kern Oil &amp; Refining</t>
  </si>
  <si>
    <t>BP Products North America</t>
  </si>
  <si>
    <t>Renewable Diesel plants location by capacity (million gallons)</t>
  </si>
  <si>
    <t>Airports and FBOs offering sustainable aviation fuel</t>
  </si>
  <si>
    <t>Retrieved February 2025</t>
  </si>
  <si>
    <t>Production (million metric tons)</t>
  </si>
  <si>
    <t>Export quantity (million metric tons)</t>
  </si>
  <si>
    <t>Import Qantity (million metric tons)</t>
  </si>
  <si>
    <t>Antigua and Barbuda</t>
  </si>
  <si>
    <t>Benin</t>
  </si>
  <si>
    <t>Cameroon</t>
  </si>
  <si>
    <t>China, Macao SAR</t>
  </si>
  <si>
    <t>Curaçao</t>
  </si>
  <si>
    <t>Democratic Republic of the Congo</t>
  </si>
  <si>
    <t>Gambia</t>
  </si>
  <si>
    <t>Guinea</t>
  </si>
  <si>
    <t>Guyana</t>
  </si>
  <si>
    <t>Iran (Islamic Republic of)</t>
  </si>
  <si>
    <t>Marshall Islands</t>
  </si>
  <si>
    <t>Netherlands (Kingdom of the)</t>
  </si>
  <si>
    <t>Sierra Leone</t>
  </si>
  <si>
    <t>Suriname</t>
  </si>
  <si>
    <t>Venezuela (Bolivarian Republic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</si>
</sst>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0.0"/>
    <numFmt numFmtId="165" formatCode="0.0000"/>
    <numFmt numFmtId="166" formatCode="#,##0.000000"/>
    <numFmt numFmtId="167" formatCode="#,##0.0000"/>
    <numFmt numFmtId="168" formatCode="#,##0.00000"/>
    <numFmt numFmtId="169" formatCode="#,##0.0"/>
    <numFmt numFmtId="170" formatCode="_(* #,##0_);_(* \(#,##0\);_(* &quot;-&quot;??_);_(@_)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1"/>
      <name val="Calibri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08306C"/>
        <bgColor rgb="FF08306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</borders>
  <cellStyleXfs count="18">
    <xf numFmtId="0" fontId="0" fillId="0" borderId="0"/>
    <xf numFmtId="0" fontId="14" fillId="0" borderId="0" applyNumberFormat="0" applyFill="0" applyBorder="0" applyAlignment="0" applyProtection="0"/>
    <xf numFmtId="0" fontId="11" fillId="0" borderId="0" applyBorder="0"/>
    <xf numFmtId="0" fontId="2" fillId="0" borderId="0"/>
    <xf numFmtId="0" fontId="18" fillId="0" borderId="11" applyNumberFormat="0" applyProtection="0">
      <alignment wrapText="1"/>
    </xf>
    <xf numFmtId="0" fontId="19" fillId="0" borderId="12" applyNumberFormat="0" applyFont="0" applyProtection="0">
      <alignment wrapText="1"/>
    </xf>
    <xf numFmtId="0" fontId="18" fillId="0" borderId="17" applyNumberFormat="0" applyProtection="0">
      <alignment horizontal="left" wrapText="1"/>
    </xf>
    <xf numFmtId="0" fontId="18" fillId="0" borderId="16" applyNumberFormat="0" applyFill="0" applyProtection="0">
      <alignment wrapText="1"/>
    </xf>
    <xf numFmtId="0" fontId="18" fillId="0" borderId="14" applyNumberFormat="0" applyProtection="0">
      <alignment wrapText="1"/>
    </xf>
    <xf numFmtId="0" fontId="19" fillId="0" borderId="13" applyNumberFormat="0" applyProtection="0">
      <alignment vertical="top" wrapText="1"/>
    </xf>
    <xf numFmtId="0" fontId="19" fillId="0" borderId="15" applyNumberFormat="0" applyFont="0" applyFill="0" applyProtection="0">
      <alignment wrapText="1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Protection="0">
      <alignment vertical="top" wrapText="1"/>
    </xf>
    <xf numFmtId="0" fontId="22" fillId="0" borderId="0" applyNumberFormat="0" applyProtection="0">
      <alignment horizontal="left"/>
    </xf>
    <xf numFmtId="43" fontId="2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92"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164" fontId="4" fillId="2" borderId="1" xfId="0" applyNumberFormat="1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165" fontId="6" fillId="0" borderId="1" xfId="0" applyNumberFormat="1" applyFont="1" applyBorder="1"/>
    <xf numFmtId="0" fontId="6" fillId="0" borderId="0" xfId="0" applyFont="1"/>
    <xf numFmtId="0" fontId="9" fillId="0" borderId="0" xfId="0" applyFont="1"/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43" fontId="6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43" fontId="11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43" fontId="6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 vertical="top"/>
    </xf>
    <xf numFmtId="43" fontId="11" fillId="0" borderId="1" xfId="0" applyNumberFormat="1" applyFont="1" applyBorder="1" applyAlignment="1">
      <alignment horizontal="right" vertical="top"/>
    </xf>
    <xf numFmtId="2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" fontId="6" fillId="0" borderId="1" xfId="0" applyNumberFormat="1" applyFont="1" applyBorder="1"/>
    <xf numFmtId="1" fontId="12" fillId="0" borderId="0" xfId="0" applyNumberFormat="1" applyFont="1"/>
    <xf numFmtId="0" fontId="6" fillId="0" borderId="0" xfId="0" applyFont="1" applyAlignment="1">
      <alignment wrapText="1"/>
    </xf>
    <xf numFmtId="3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3" fontId="6" fillId="0" borderId="5" xfId="0" applyNumberFormat="1" applyFont="1" applyBorder="1"/>
    <xf numFmtId="0" fontId="12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0" fontId="6" fillId="0" borderId="7" xfId="0" applyFont="1" applyBorder="1"/>
    <xf numFmtId="49" fontId="6" fillId="0" borderId="1" xfId="0" applyNumberFormat="1" applyFont="1" applyBorder="1"/>
    <xf numFmtId="0" fontId="6" fillId="0" borderId="7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169" fontId="6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9" fontId="6" fillId="0" borderId="0" xfId="0" applyNumberFormat="1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0" borderId="8" xfId="0" applyFont="1" applyBorder="1"/>
    <xf numFmtId="0" fontId="14" fillId="0" borderId="1" xfId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5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0" fontId="12" fillId="0" borderId="1" xfId="0" applyFont="1" applyBorder="1"/>
    <xf numFmtId="0" fontId="5" fillId="0" borderId="10" xfId="0" applyFont="1" applyBorder="1"/>
    <xf numFmtId="0" fontId="17" fillId="0" borderId="10" xfId="0" applyFont="1" applyBorder="1"/>
    <xf numFmtId="0" fontId="12" fillId="0" borderId="10" xfId="0" applyFont="1" applyBorder="1"/>
    <xf numFmtId="0" fontId="5" fillId="0" borderId="10" xfId="0" applyFont="1" applyBorder="1" applyAlignment="1">
      <alignment horizontal="left" vertical="center" wrapText="1"/>
    </xf>
    <xf numFmtId="0" fontId="0" fillId="0" borderId="10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1" fillId="0" borderId="10" xfId="2" applyBorder="1"/>
    <xf numFmtId="0" fontId="8" fillId="0" borderId="8" xfId="0" applyFont="1" applyBorder="1" applyAlignment="1">
      <alignment wrapText="1"/>
    </xf>
    <xf numFmtId="0" fontId="6" fillId="0" borderId="6" xfId="0" applyFont="1" applyBorder="1" applyAlignment="1">
      <alignment horizontal="left" vertical="center" wrapText="1"/>
    </xf>
    <xf numFmtId="0" fontId="2" fillId="0" borderId="10" xfId="5" applyFont="1" applyBorder="1" applyAlignment="1">
      <alignment horizontal="left" wrapText="1" indent="1"/>
    </xf>
    <xf numFmtId="0" fontId="2" fillId="0" borderId="10" xfId="5" applyFont="1" applyBorder="1">
      <alignment wrapText="1"/>
    </xf>
    <xf numFmtId="170" fontId="2" fillId="0" borderId="10" xfId="5" applyNumberFormat="1" applyFont="1" applyBorder="1">
      <alignment wrapText="1"/>
    </xf>
    <xf numFmtId="0" fontId="2" fillId="0" borderId="1" xfId="0" applyFont="1" applyBorder="1"/>
    <xf numFmtId="170" fontId="0" fillId="0" borderId="0" xfId="0" applyNumberFormat="1"/>
    <xf numFmtId="3" fontId="0" fillId="0" borderId="0" xfId="0" applyNumberFormat="1"/>
    <xf numFmtId="169" fontId="24" fillId="0" borderId="10" xfId="0" applyNumberFormat="1" applyFont="1" applyBorder="1" applyAlignment="1">
      <alignment horizontal="right"/>
    </xf>
    <xf numFmtId="0" fontId="1" fillId="0" borderId="1" xfId="0" applyFont="1" applyBorder="1"/>
    <xf numFmtId="0" fontId="5" fillId="0" borderId="8" xfId="0" applyFont="1" applyBorder="1" applyAlignment="1">
      <alignment horizontal="center" wrapText="1"/>
    </xf>
    <xf numFmtId="0" fontId="13" fillId="0" borderId="9" xfId="0" applyFont="1" applyBorder="1"/>
    <xf numFmtId="0" fontId="13" fillId="0" borderId="7" xfId="0" applyFont="1" applyBorder="1"/>
    <xf numFmtId="4" fontId="6" fillId="0" borderId="1" xfId="0" applyNumberFormat="1" applyFont="1" applyBorder="1"/>
    <xf numFmtId="2" fontId="0" fillId="0" borderId="0" xfId="17" applyNumberFormat="1" applyFont="1"/>
  </cellXfs>
  <cellStyles count="18">
    <cellStyle name="Body: normal cell" xfId="5" xr:uid="{92D82DE7-97CB-462C-8AC6-CB4E649FEE4F}"/>
    <cellStyle name="Comma 2" xfId="16" xr:uid="{3070A964-09E8-4C2F-82F7-B214792D8B7F}"/>
    <cellStyle name="Followed Hyperlink 2" xfId="13" xr:uid="{EC86BF33-7643-4B77-8C66-FE5DF0497CD3}"/>
    <cellStyle name="Font: Calibri, 9pt regular" xfId="11" xr:uid="{5AA5BE50-DA1F-4994-B791-9FF417C401CE}"/>
    <cellStyle name="Footnotes: all except top row" xfId="14" xr:uid="{74C8D8A9-8BF4-46B0-8DE9-A0561B3586E9}"/>
    <cellStyle name="Footnotes: top row" xfId="9" xr:uid="{00C614D1-52F3-413C-9957-F347DCAB7C7C}"/>
    <cellStyle name="Header: bottom row" xfId="4" xr:uid="{F7FF0FC1-EBAA-41DC-84A7-4C1F0B3F1997}"/>
    <cellStyle name="Header: top rows" xfId="6" xr:uid="{E2CD43D5-1980-4E4A-8A20-0A51791D6FA4}"/>
    <cellStyle name="Hyperlink" xfId="1" builtinId="8"/>
    <cellStyle name="Hyperlink 2" xfId="12" xr:uid="{0B263E45-8E03-4718-84C2-A084D02F61A8}"/>
    <cellStyle name="Normal" xfId="0" builtinId="0"/>
    <cellStyle name="Normal 2" xfId="2" xr:uid="{8DA9081A-1DD9-4055-BE86-6D3E7A01B998}"/>
    <cellStyle name="Normal 3" xfId="3" xr:uid="{E1DF0033-97E5-41F1-BB28-C3656E020AB7}"/>
    <cellStyle name="Parent row" xfId="8" xr:uid="{C9C40388-C43E-4A73-A0CF-635B02BC2AE7}"/>
    <cellStyle name="Percent" xfId="17" builtinId="5"/>
    <cellStyle name="Section Break" xfId="10" xr:uid="{EACE2305-1EEC-4227-9612-48DE5CA1A302}"/>
    <cellStyle name="Section Break: parent row" xfId="7" xr:uid="{C955A029-5FB0-4F51-AA8E-0903EE90ECB9}"/>
    <cellStyle name="Table title" xfId="15" xr:uid="{9170404E-7A0A-4121-BE53-07CF0702B97F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D224C16C-0ABB-4A5F-9212-5411B55EDD48}">
      <tableStyleElement type="wholeTable" dxfId="1"/>
      <tableStyleElement type="headerRow" dxfId="0"/>
    </tableStyle>
  </tableStyles>
  <colors>
    <mruColors>
      <color rgb="FF0830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esourcerecoverydata.org/biogasdata.php" TargetMode="External"/><Relationship Id="rId3" Type="http://schemas.openxmlformats.org/officeDocument/2006/relationships/hyperlink" Target="http://biomassmagazine.com/plants/listplants/pellet/" TargetMode="External"/><Relationship Id="rId7" Type="http://schemas.openxmlformats.org/officeDocument/2006/relationships/hyperlink" Target="https://www.epa.gov/lmop/project-and-landfill-data-stat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science/article/pii/S0926669018311063" TargetMode="External"/><Relationship Id="rId1" Type="http://schemas.openxmlformats.org/officeDocument/2006/relationships/hyperlink" Target="http://ethanolproducer.com/plants/listplants/" TargetMode="External"/><Relationship Id="rId6" Type="http://schemas.openxmlformats.org/officeDocument/2006/relationships/hyperlink" Target="https://www.epa.gov/agstar/livestock-anaerobic-digester-database" TargetMode="External"/><Relationship Id="rId11" Type="http://schemas.openxmlformats.org/officeDocument/2006/relationships/hyperlink" Target="https://www.eia.gov/biofuels/renewable/capacity/" TargetMode="External"/><Relationship Id="rId5" Type="http://schemas.openxmlformats.org/officeDocument/2006/relationships/hyperlink" Target="https://www.eia.gov/electricity/data/eia860m/" TargetMode="External"/><Relationship Id="rId10" Type="http://schemas.openxmlformats.org/officeDocument/2006/relationships/hyperlink" Target="https://www.4air.aero/saf-map" TargetMode="External"/><Relationship Id="rId4" Type="http://schemas.openxmlformats.org/officeDocument/2006/relationships/hyperlink" Target="http://www.fao.org/faostat/en/" TargetMode="External"/><Relationship Id="rId9" Type="http://schemas.openxmlformats.org/officeDocument/2006/relationships/hyperlink" Target="https://americanbiogascouncil.org/resources/why-bioga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B1" workbookViewId="0">
      <selection activeCell="F22" sqref="F22"/>
    </sheetView>
  </sheetViews>
  <sheetFormatPr defaultColWidth="14.42578125" defaultRowHeight="15" customHeight="1" x14ac:dyDescent="0.25"/>
  <cols>
    <col min="1" max="1" width="70.5703125" customWidth="1"/>
    <col min="2" max="2" width="15" customWidth="1"/>
    <col min="3" max="3" width="13.140625" customWidth="1"/>
    <col min="4" max="4" width="21.42578125" customWidth="1"/>
    <col min="5" max="5" width="40" customWidth="1"/>
    <col min="6" max="6" width="90.140625" customWidth="1"/>
    <col min="7" max="7" width="22.85546875" bestFit="1" customWidth="1"/>
    <col min="8" max="26" width="8.71093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3"/>
    </row>
    <row r="2" spans="1:26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26" x14ac:dyDescent="0.25">
      <c r="A3" s="5" t="s">
        <v>8</v>
      </c>
      <c r="B3" s="5">
        <v>2023</v>
      </c>
      <c r="C3" s="5" t="s">
        <v>9</v>
      </c>
      <c r="D3" s="6" t="s">
        <v>10</v>
      </c>
      <c r="E3" s="5" t="s">
        <v>11</v>
      </c>
      <c r="F3" s="61" t="s">
        <v>6601</v>
      </c>
      <c r="G3" s="7" t="s">
        <v>12</v>
      </c>
    </row>
    <row r="4" spans="1:26" s="66" customFormat="1" ht="30" x14ac:dyDescent="0.25">
      <c r="A4" s="62" t="s">
        <v>13</v>
      </c>
      <c r="B4" s="62">
        <v>2023</v>
      </c>
      <c r="C4" s="62" t="s">
        <v>14</v>
      </c>
      <c r="D4" s="6" t="s">
        <v>15</v>
      </c>
      <c r="E4" s="63" t="s">
        <v>16</v>
      </c>
      <c r="F4" s="64" t="s">
        <v>17</v>
      </c>
      <c r="G4" s="65" t="s">
        <v>12</v>
      </c>
    </row>
    <row r="5" spans="1:26" x14ac:dyDescent="0.25">
      <c r="A5" s="5" t="s">
        <v>18</v>
      </c>
      <c r="B5" s="5">
        <v>2023</v>
      </c>
      <c r="C5" s="5" t="s">
        <v>9</v>
      </c>
      <c r="D5" s="6" t="s">
        <v>19</v>
      </c>
      <c r="E5" s="5" t="s">
        <v>30</v>
      </c>
      <c r="F5" s="61" t="s">
        <v>6760</v>
      </c>
      <c r="G5" s="7" t="s">
        <v>20</v>
      </c>
    </row>
    <row r="6" spans="1:26" x14ac:dyDescent="0.25">
      <c r="A6" s="82" t="s">
        <v>6860</v>
      </c>
      <c r="B6" s="68">
        <v>2023</v>
      </c>
      <c r="C6" s="67" t="s">
        <v>9</v>
      </c>
      <c r="D6" s="6" t="s">
        <v>6666</v>
      </c>
      <c r="E6" s="68" t="s">
        <v>30</v>
      </c>
      <c r="F6" s="77" t="s">
        <v>6667</v>
      </c>
      <c r="G6" s="71" t="s">
        <v>6665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86" t="s">
        <v>6861</v>
      </c>
      <c r="B7" s="67">
        <v>2023</v>
      </c>
      <c r="C7" s="67" t="s">
        <v>9</v>
      </c>
      <c r="D7" s="6" t="s">
        <v>6662</v>
      </c>
      <c r="E7" s="67" t="s">
        <v>6663</v>
      </c>
      <c r="F7" s="77" t="s">
        <v>6664</v>
      </c>
      <c r="G7" s="71" t="s">
        <v>6665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5" t="s">
        <v>21</v>
      </c>
      <c r="B8" s="5">
        <v>2023</v>
      </c>
      <c r="C8" s="5" t="s">
        <v>9</v>
      </c>
      <c r="D8" s="6" t="s">
        <v>22</v>
      </c>
      <c r="E8" s="5" t="s">
        <v>6602</v>
      </c>
      <c r="F8" s="61" t="s">
        <v>6603</v>
      </c>
      <c r="G8" s="7" t="s">
        <v>20</v>
      </c>
    </row>
    <row r="9" spans="1:26" x14ac:dyDescent="0.25">
      <c r="A9" s="5" t="s">
        <v>23</v>
      </c>
      <c r="B9" s="5">
        <v>2023</v>
      </c>
      <c r="C9" s="5" t="s">
        <v>24</v>
      </c>
      <c r="D9" s="6" t="s">
        <v>25</v>
      </c>
      <c r="E9" s="5" t="s">
        <v>26</v>
      </c>
      <c r="F9" s="6" t="s">
        <v>27</v>
      </c>
      <c r="G9" s="7" t="s">
        <v>6862</v>
      </c>
    </row>
    <row r="10" spans="1:26" ht="30" x14ac:dyDescent="0.25">
      <c r="A10" s="5" t="s">
        <v>28</v>
      </c>
      <c r="B10" s="5">
        <v>2023</v>
      </c>
      <c r="C10" s="5" t="s">
        <v>9</v>
      </c>
      <c r="D10" s="6" t="s">
        <v>29</v>
      </c>
      <c r="E10" s="5" t="s">
        <v>30</v>
      </c>
      <c r="F10" s="9" t="s">
        <v>31</v>
      </c>
      <c r="G10" s="7" t="s">
        <v>12</v>
      </c>
    </row>
    <row r="11" spans="1:26" x14ac:dyDescent="0.25">
      <c r="A11" s="5" t="s">
        <v>32</v>
      </c>
      <c r="B11" s="5">
        <v>2023</v>
      </c>
      <c r="C11" s="5" t="s">
        <v>9</v>
      </c>
      <c r="D11" s="6" t="s">
        <v>33</v>
      </c>
      <c r="E11" s="5" t="s">
        <v>34</v>
      </c>
      <c r="F11" s="6" t="s">
        <v>35</v>
      </c>
      <c r="G11" s="7" t="s">
        <v>20</v>
      </c>
    </row>
    <row r="12" spans="1:26" x14ac:dyDescent="0.25">
      <c r="A12" s="5" t="s">
        <v>36</v>
      </c>
      <c r="B12" s="5">
        <v>2023</v>
      </c>
      <c r="C12" s="5" t="s">
        <v>9</v>
      </c>
      <c r="D12" s="6" t="s">
        <v>37</v>
      </c>
      <c r="E12" s="5" t="s">
        <v>34</v>
      </c>
      <c r="F12" s="6" t="s">
        <v>38</v>
      </c>
      <c r="G12" s="7" t="s">
        <v>12</v>
      </c>
    </row>
    <row r="13" spans="1:26" x14ac:dyDescent="0.25">
      <c r="A13" s="5" t="s">
        <v>39</v>
      </c>
      <c r="B13" s="5">
        <v>2015</v>
      </c>
      <c r="C13" s="5" t="s">
        <v>9</v>
      </c>
      <c r="D13" s="6" t="s">
        <v>40</v>
      </c>
      <c r="E13" s="5" t="s">
        <v>41</v>
      </c>
      <c r="F13" s="6" t="s">
        <v>42</v>
      </c>
      <c r="G13" s="7" t="s">
        <v>6604</v>
      </c>
    </row>
    <row r="14" spans="1:26" ht="30" x14ac:dyDescent="0.25">
      <c r="A14" s="5" t="s">
        <v>43</v>
      </c>
      <c r="B14" s="5">
        <v>2023</v>
      </c>
      <c r="C14" s="5" t="s">
        <v>14</v>
      </c>
      <c r="D14" s="6" t="s">
        <v>44</v>
      </c>
      <c r="E14" s="8" t="s">
        <v>45</v>
      </c>
      <c r="F14" s="9" t="s">
        <v>46</v>
      </c>
      <c r="G14" s="78" t="s">
        <v>12</v>
      </c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hyperlinks>
    <hyperlink ref="D3" location="Ethanol!A1" display="Ethanol" xr:uid="{00000000-0004-0000-0000-000000000000}"/>
    <hyperlink ref="F3" r:id="rId1" xr:uid="{00000000-0004-0000-0000-000001000000}"/>
    <hyperlink ref="D4" location="Biobutanol!A1" display="Biobutanol" xr:uid="{00000000-0004-0000-0000-000002000000}"/>
    <hyperlink ref="F4" r:id="rId2" xr:uid="{00000000-0004-0000-0000-000003000000}"/>
    <hyperlink ref="D5" location="Biodiesel!A1" display="Biodiesel" xr:uid="{00000000-0004-0000-0000-000004000000}"/>
    <hyperlink ref="D8" location="'US Wood Pellets'!A1" display="US Wood Pellets" xr:uid="{00000000-0004-0000-0000-000006000000}"/>
    <hyperlink ref="F8" r:id="rId3" xr:uid="{00000000-0004-0000-0000-000007000000}"/>
    <hyperlink ref="D9" location="'US Wood Pellets'!A1" display="World Wood Pellets" xr:uid="{00000000-0004-0000-0000-000008000000}"/>
    <hyperlink ref="F9" r:id="rId4" location="data/FO" xr:uid="{00000000-0004-0000-0000-000009000000}"/>
    <hyperlink ref="D10" location="WTE!A1" display="WTE" xr:uid="{00000000-0004-0000-0000-00000A000000}"/>
    <hyperlink ref="F10" r:id="rId5" xr:uid="{00000000-0004-0000-0000-00000B000000}"/>
    <hyperlink ref="D11" location="'Biogas AD'!A1" display="Biogas AD" xr:uid="{00000000-0004-0000-0000-00000C000000}"/>
    <hyperlink ref="F11" r:id="rId6" xr:uid="{00000000-0004-0000-0000-00000D000000}"/>
    <hyperlink ref="D12" location="'Biogas Landfill'!A1" display="Biogas Landfill" xr:uid="{00000000-0004-0000-0000-00000E000000}"/>
    <hyperlink ref="F12" r:id="rId7" xr:uid="{00000000-0004-0000-0000-00000F000000}"/>
    <hyperlink ref="D13" location="'Biogas WWT'!A1" display="Biogas WWT" xr:uid="{00000000-0004-0000-0000-000010000000}"/>
    <hyperlink ref="F13" r:id="rId8" xr:uid="{00000000-0004-0000-0000-000011000000}"/>
    <hyperlink ref="D14" location="Biomethane!A1" display="Biomethane" xr:uid="{00000000-0004-0000-0000-000012000000}"/>
    <hyperlink ref="F14" r:id="rId9" xr:uid="{00000000-0004-0000-0000-000013000000}"/>
    <hyperlink ref="D7" location="'Renewable Jet Fuel'!A1" display="Renewable Jet Fuel" xr:uid="{A744C4E2-D566-467E-9204-FAFF821C51AA}"/>
    <hyperlink ref="F7" r:id="rId10" xr:uid="{5E907291-1045-4E2F-8A96-40AA6F3BBCE6}"/>
    <hyperlink ref="D6" location="'Renewable Diesel'!A1" display="Renewable Diesel" xr:uid="{D375B549-7514-4500-900D-BB31D97EB1F2}"/>
    <hyperlink ref="F6" r:id="rId11" xr:uid="{608490FC-A742-41C3-9A06-4CABA34B1364}"/>
  </hyperlinks>
  <pageMargins left="0.7" right="0.7" top="0.75" bottom="0.75" header="0" footer="0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306C"/>
  </sheetPr>
  <dimension ref="A1:Z998"/>
  <sheetViews>
    <sheetView topLeftCell="A183" workbookViewId="0"/>
  </sheetViews>
  <sheetFormatPr defaultColWidth="14.42578125" defaultRowHeight="15" customHeight="1" x14ac:dyDescent="0.25"/>
  <cols>
    <col min="1" max="1" width="51.42578125" customWidth="1"/>
    <col min="2" max="2" width="28.5703125" customWidth="1"/>
    <col min="3" max="3" width="17.85546875" customWidth="1"/>
    <col min="4" max="7" width="8.7109375" customWidth="1"/>
    <col min="8" max="8" width="14.5703125" customWidth="1"/>
    <col min="9" max="9" width="17" customWidth="1"/>
    <col min="10" max="10" width="10.42578125" customWidth="1"/>
    <col min="11" max="11" width="8.5703125" customWidth="1"/>
    <col min="12" max="12" width="12.28515625" customWidth="1"/>
    <col min="13" max="26" width="8.7109375" customWidth="1"/>
  </cols>
  <sheetData>
    <row r="1" spans="1:26" ht="30" x14ac:dyDescent="0.25">
      <c r="A1" s="29" t="s">
        <v>47</v>
      </c>
      <c r="B1" s="29" t="s">
        <v>48</v>
      </c>
      <c r="C1" s="29" t="s">
        <v>49</v>
      </c>
      <c r="D1" s="29" t="s">
        <v>14</v>
      </c>
      <c r="E1" s="29" t="s">
        <v>50</v>
      </c>
      <c r="F1" s="29" t="s">
        <v>51</v>
      </c>
      <c r="G1" s="29" t="s">
        <v>52</v>
      </c>
      <c r="H1" s="29" t="s">
        <v>53</v>
      </c>
      <c r="I1" s="29"/>
      <c r="J1" s="29" t="s">
        <v>54</v>
      </c>
      <c r="K1" s="29" t="s">
        <v>55</v>
      </c>
      <c r="L1" s="29" t="s">
        <v>56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25">
      <c r="A2" s="5" t="s">
        <v>57</v>
      </c>
      <c r="B2" s="5" t="s">
        <v>58</v>
      </c>
      <c r="C2" s="5" t="s">
        <v>59</v>
      </c>
      <c r="D2" s="5" t="s">
        <v>60</v>
      </c>
      <c r="E2" s="5">
        <v>85139</v>
      </c>
      <c r="F2" s="5">
        <v>-111.9965302</v>
      </c>
      <c r="G2" s="5">
        <v>33.022731200000003</v>
      </c>
      <c r="H2" s="5" t="s">
        <v>61</v>
      </c>
      <c r="I2" s="5" t="s">
        <v>62</v>
      </c>
      <c r="J2" s="5" t="s">
        <v>63</v>
      </c>
      <c r="K2" s="5">
        <v>60</v>
      </c>
      <c r="L2" s="5" t="s">
        <v>64</v>
      </c>
    </row>
    <row r="3" spans="1:26" x14ac:dyDescent="0.25">
      <c r="A3" s="5" t="s">
        <v>65</v>
      </c>
      <c r="B3" s="5" t="s">
        <v>66</v>
      </c>
      <c r="C3" s="5" t="s">
        <v>67</v>
      </c>
      <c r="D3" s="5" t="s">
        <v>68</v>
      </c>
      <c r="E3" s="5">
        <v>95328</v>
      </c>
      <c r="F3" s="5">
        <v>-120.9154858</v>
      </c>
      <c r="G3" s="5">
        <v>37.556599400000003</v>
      </c>
      <c r="H3" s="5" t="s">
        <v>69</v>
      </c>
      <c r="I3" s="5" t="s">
        <v>62</v>
      </c>
      <c r="J3" s="5" t="s">
        <v>70</v>
      </c>
      <c r="K3" s="5">
        <v>65</v>
      </c>
      <c r="L3" s="5" t="s">
        <v>64</v>
      </c>
    </row>
    <row r="4" spans="1:26" x14ac:dyDescent="0.25">
      <c r="A4" s="5" t="s">
        <v>71</v>
      </c>
      <c r="B4" s="5" t="s">
        <v>72</v>
      </c>
      <c r="C4" s="5" t="s">
        <v>73</v>
      </c>
      <c r="D4" s="5" t="s">
        <v>68</v>
      </c>
      <c r="E4" s="5">
        <v>95206</v>
      </c>
      <c r="F4" s="5">
        <v>-121.335442409</v>
      </c>
      <c r="G4" s="5">
        <v>37.942860223499999</v>
      </c>
      <c r="H4" s="5" t="s">
        <v>69</v>
      </c>
      <c r="I4" s="5" t="s">
        <v>74</v>
      </c>
      <c r="J4" s="5" t="s">
        <v>75</v>
      </c>
      <c r="K4" s="5">
        <v>60</v>
      </c>
      <c r="L4" s="5" t="s">
        <v>64</v>
      </c>
    </row>
    <row r="5" spans="1:26" x14ac:dyDescent="0.25">
      <c r="A5" s="5" t="s">
        <v>76</v>
      </c>
      <c r="B5" s="5" t="s">
        <v>77</v>
      </c>
      <c r="C5" s="5" t="s">
        <v>78</v>
      </c>
      <c r="D5" s="5" t="s">
        <v>68</v>
      </c>
      <c r="E5" s="5">
        <v>91739</v>
      </c>
      <c r="F5" s="5">
        <v>-117.569057</v>
      </c>
      <c r="G5" s="5">
        <v>34.099150899999998</v>
      </c>
      <c r="H5" s="5" t="s">
        <v>79</v>
      </c>
      <c r="I5" s="5" t="s">
        <v>62</v>
      </c>
      <c r="J5" s="5" t="s">
        <v>80</v>
      </c>
      <c r="K5" s="5">
        <v>2</v>
      </c>
      <c r="L5" s="5" t="s">
        <v>64</v>
      </c>
    </row>
    <row r="6" spans="1:26" x14ac:dyDescent="0.25">
      <c r="A6" s="5" t="s">
        <v>81</v>
      </c>
      <c r="B6" s="5" t="s">
        <v>82</v>
      </c>
      <c r="C6" s="5" t="s">
        <v>83</v>
      </c>
      <c r="D6" s="5" t="s">
        <v>84</v>
      </c>
      <c r="E6" s="5">
        <v>80550</v>
      </c>
      <c r="F6" s="5">
        <v>-104.85624935200001</v>
      </c>
      <c r="G6" s="5">
        <v>40.4525282619</v>
      </c>
      <c r="H6" s="5" t="s">
        <v>61</v>
      </c>
      <c r="I6" s="5" t="s">
        <v>62</v>
      </c>
      <c r="J6" s="5" t="s">
        <v>70</v>
      </c>
      <c r="K6" s="5">
        <v>48</v>
      </c>
      <c r="L6" s="5" t="s">
        <v>64</v>
      </c>
    </row>
    <row r="7" spans="1:26" x14ac:dyDescent="0.25">
      <c r="A7" s="5" t="s">
        <v>85</v>
      </c>
      <c r="B7" s="5" t="s">
        <v>86</v>
      </c>
      <c r="C7" s="5" t="s">
        <v>87</v>
      </c>
      <c r="D7" s="5" t="s">
        <v>84</v>
      </c>
      <c r="E7" s="5">
        <v>80751</v>
      </c>
      <c r="F7" s="5">
        <v>-103.19330119999999</v>
      </c>
      <c r="G7" s="5">
        <v>40.636338899999998</v>
      </c>
      <c r="H7" s="5" t="s">
        <v>61</v>
      </c>
      <c r="I7" s="5" t="s">
        <v>62</v>
      </c>
      <c r="J7" s="5" t="s">
        <v>63</v>
      </c>
      <c r="K7" s="5">
        <v>60</v>
      </c>
      <c r="L7" s="5" t="s">
        <v>64</v>
      </c>
    </row>
    <row r="8" spans="1:26" x14ac:dyDescent="0.25">
      <c r="A8" s="5" t="s">
        <v>88</v>
      </c>
      <c r="B8" s="5" t="s">
        <v>89</v>
      </c>
      <c r="C8" s="5" t="s">
        <v>90</v>
      </c>
      <c r="D8" s="5" t="s">
        <v>91</v>
      </c>
      <c r="E8" s="5">
        <v>80759</v>
      </c>
      <c r="F8" s="5">
        <v>-102.681017384657</v>
      </c>
      <c r="G8" s="5">
        <v>40.126139566334601</v>
      </c>
      <c r="H8" s="5" t="s">
        <v>61</v>
      </c>
      <c r="I8" s="5" t="s">
        <v>92</v>
      </c>
      <c r="J8" s="5" t="s">
        <v>63</v>
      </c>
      <c r="K8" s="5">
        <v>60</v>
      </c>
      <c r="L8" s="5" t="s">
        <v>64</v>
      </c>
    </row>
    <row r="9" spans="1:26" x14ac:dyDescent="0.25">
      <c r="A9" s="5" t="s">
        <v>93</v>
      </c>
      <c r="B9" s="5" t="s">
        <v>94</v>
      </c>
      <c r="C9" s="5" t="s">
        <v>95</v>
      </c>
      <c r="D9" s="5" t="s">
        <v>96</v>
      </c>
      <c r="E9" s="5">
        <v>30457</v>
      </c>
      <c r="F9" s="5">
        <v>-82.62079</v>
      </c>
      <c r="G9" s="5">
        <v>32.404290000000003</v>
      </c>
      <c r="H9" s="5" t="s">
        <v>97</v>
      </c>
      <c r="I9" s="5" t="s">
        <v>62</v>
      </c>
      <c r="J9" s="5" t="s">
        <v>98</v>
      </c>
      <c r="K9" s="5">
        <v>9</v>
      </c>
      <c r="L9" s="5" t="s">
        <v>64</v>
      </c>
    </row>
    <row r="10" spans="1:26" x14ac:dyDescent="0.25">
      <c r="A10" s="5" t="s">
        <v>99</v>
      </c>
      <c r="B10" s="5" t="s">
        <v>100</v>
      </c>
      <c r="C10" s="5" t="s">
        <v>101</v>
      </c>
      <c r="D10" s="5" t="s">
        <v>102</v>
      </c>
      <c r="E10" s="5">
        <v>50472</v>
      </c>
      <c r="F10" s="5">
        <v>-92.965821599999998</v>
      </c>
      <c r="G10" s="5">
        <v>43.499769000000001</v>
      </c>
      <c r="H10" s="5" t="s">
        <v>61</v>
      </c>
      <c r="I10" s="5" t="s">
        <v>62</v>
      </c>
      <c r="J10" s="5" t="s">
        <v>63</v>
      </c>
      <c r="K10" s="5">
        <v>130</v>
      </c>
      <c r="L10" s="5" t="s">
        <v>64</v>
      </c>
    </row>
    <row r="11" spans="1:26" x14ac:dyDescent="0.25">
      <c r="A11" s="5" t="s">
        <v>103</v>
      </c>
      <c r="B11" s="5" t="s">
        <v>104</v>
      </c>
      <c r="C11" s="5" t="s">
        <v>105</v>
      </c>
      <c r="D11" s="5" t="s">
        <v>102</v>
      </c>
      <c r="E11" s="5">
        <v>52404</v>
      </c>
      <c r="F11" s="5">
        <v>-91.686375107100005</v>
      </c>
      <c r="G11" s="5">
        <v>41.927141321400001</v>
      </c>
      <c r="H11" s="5" t="s">
        <v>61</v>
      </c>
      <c r="I11" s="5" t="s">
        <v>62</v>
      </c>
      <c r="J11" s="5" t="s">
        <v>63</v>
      </c>
      <c r="K11" s="5">
        <v>300</v>
      </c>
      <c r="L11" s="5" t="s">
        <v>64</v>
      </c>
    </row>
    <row r="12" spans="1:26" x14ac:dyDescent="0.25">
      <c r="A12" s="5" t="s">
        <v>106</v>
      </c>
      <c r="B12" s="5" t="s">
        <v>104</v>
      </c>
      <c r="C12" s="5" t="s">
        <v>105</v>
      </c>
      <c r="D12" s="5" t="s">
        <v>102</v>
      </c>
      <c r="E12" s="5">
        <v>52404</v>
      </c>
      <c r="F12" s="5">
        <v>-91.686375107100005</v>
      </c>
      <c r="G12" s="5">
        <v>41.927141321400001</v>
      </c>
      <c r="H12" s="5" t="s">
        <v>61</v>
      </c>
      <c r="I12" s="5" t="s">
        <v>62</v>
      </c>
      <c r="J12" s="5" t="s">
        <v>63</v>
      </c>
      <c r="K12" s="5">
        <v>240</v>
      </c>
      <c r="L12" s="5" t="s">
        <v>64</v>
      </c>
    </row>
    <row r="13" spans="1:26" x14ac:dyDescent="0.25">
      <c r="A13" s="5" t="s">
        <v>107</v>
      </c>
      <c r="B13" s="5" t="s">
        <v>108</v>
      </c>
      <c r="C13" s="5" t="s">
        <v>109</v>
      </c>
      <c r="D13" s="5" t="s">
        <v>102</v>
      </c>
      <c r="E13" s="5">
        <v>52732</v>
      </c>
      <c r="F13" s="5">
        <v>-90.232415109900003</v>
      </c>
      <c r="G13" s="5">
        <v>41.810574617299999</v>
      </c>
      <c r="H13" s="5" t="s">
        <v>61</v>
      </c>
      <c r="I13" s="5" t="s">
        <v>62</v>
      </c>
      <c r="J13" s="5" t="s">
        <v>63</v>
      </c>
      <c r="K13" s="5">
        <v>237</v>
      </c>
      <c r="L13" s="5" t="s">
        <v>64</v>
      </c>
    </row>
    <row r="14" spans="1:26" x14ac:dyDescent="0.25">
      <c r="A14" s="5" t="s">
        <v>110</v>
      </c>
      <c r="B14" s="5" t="s">
        <v>111</v>
      </c>
      <c r="C14" s="5" t="s">
        <v>112</v>
      </c>
      <c r="D14" s="5" t="s">
        <v>102</v>
      </c>
      <c r="E14" s="5">
        <v>52655</v>
      </c>
      <c r="F14" s="5">
        <v>-91.222120209699995</v>
      </c>
      <c r="G14" s="5">
        <v>40.826999992499999</v>
      </c>
      <c r="H14" s="5" t="s">
        <v>61</v>
      </c>
      <c r="I14" s="5" t="s">
        <v>62</v>
      </c>
      <c r="J14" s="5" t="s">
        <v>63</v>
      </c>
      <c r="K14" s="5">
        <v>112</v>
      </c>
      <c r="L14" s="5" t="s">
        <v>64</v>
      </c>
    </row>
    <row r="15" spans="1:26" x14ac:dyDescent="0.25">
      <c r="A15" s="5" t="s">
        <v>113</v>
      </c>
      <c r="B15" s="5" t="s">
        <v>114</v>
      </c>
      <c r="C15" s="5" t="s">
        <v>115</v>
      </c>
      <c r="D15" s="5" t="s">
        <v>102</v>
      </c>
      <c r="E15" s="5">
        <v>52040</v>
      </c>
      <c r="F15" s="5">
        <v>-91.163574598500006</v>
      </c>
      <c r="G15" s="5">
        <v>42.491464128799997</v>
      </c>
      <c r="H15" s="5" t="s">
        <v>61</v>
      </c>
      <c r="I15" s="5" t="s">
        <v>62</v>
      </c>
      <c r="J15" s="5" t="s">
        <v>63</v>
      </c>
      <c r="K15" s="5">
        <v>130</v>
      </c>
      <c r="L15" s="5" t="s">
        <v>64</v>
      </c>
    </row>
    <row r="16" spans="1:26" x14ac:dyDescent="0.25">
      <c r="A16" s="5" t="s">
        <v>116</v>
      </c>
      <c r="B16" s="5" t="s">
        <v>117</v>
      </c>
      <c r="C16" s="5" t="s">
        <v>118</v>
      </c>
      <c r="D16" s="5" t="s">
        <v>102</v>
      </c>
      <c r="E16" s="5">
        <v>50501</v>
      </c>
      <c r="F16" s="5">
        <v>-94.205416</v>
      </c>
      <c r="G16" s="5">
        <v>42.494512999999998</v>
      </c>
      <c r="H16" s="5" t="s">
        <v>61</v>
      </c>
      <c r="I16" s="5" t="s">
        <v>62</v>
      </c>
      <c r="J16" s="5" t="s">
        <v>80</v>
      </c>
      <c r="K16" s="5">
        <v>130</v>
      </c>
      <c r="L16" s="5" t="s">
        <v>64</v>
      </c>
    </row>
    <row r="17" spans="1:12" x14ac:dyDescent="0.25">
      <c r="A17" s="5" t="s">
        <v>119</v>
      </c>
      <c r="B17" s="5" t="s">
        <v>120</v>
      </c>
      <c r="C17" s="5" t="s">
        <v>121</v>
      </c>
      <c r="D17" s="5" t="s">
        <v>102</v>
      </c>
      <c r="E17" s="5" t="s">
        <v>122</v>
      </c>
      <c r="F17" s="5">
        <v>-92.640237799999994</v>
      </c>
      <c r="G17" s="5">
        <v>41.141190600000002</v>
      </c>
      <c r="H17" s="5" t="s">
        <v>61</v>
      </c>
      <c r="I17" s="5" t="s">
        <v>62</v>
      </c>
      <c r="J17" s="5" t="s">
        <v>80</v>
      </c>
      <c r="K17" s="5">
        <v>37</v>
      </c>
      <c r="L17" s="5" t="s">
        <v>64</v>
      </c>
    </row>
    <row r="18" spans="1:12" x14ac:dyDescent="0.25">
      <c r="A18" s="5" t="s">
        <v>123</v>
      </c>
      <c r="B18" s="5" t="s">
        <v>124</v>
      </c>
      <c r="C18" s="5" t="s">
        <v>125</v>
      </c>
      <c r="D18" s="5" t="s">
        <v>102</v>
      </c>
      <c r="E18" s="5">
        <v>50542</v>
      </c>
      <c r="F18" s="5">
        <v>-93.865340500000002</v>
      </c>
      <c r="G18" s="5">
        <v>42.731657400000003</v>
      </c>
      <c r="H18" s="5" t="s">
        <v>61</v>
      </c>
      <c r="I18" s="5" t="s">
        <v>62</v>
      </c>
      <c r="J18" s="5" t="s">
        <v>63</v>
      </c>
      <c r="K18" s="5">
        <v>72</v>
      </c>
      <c r="L18" s="5" t="s">
        <v>64</v>
      </c>
    </row>
    <row r="19" spans="1:12" x14ac:dyDescent="0.25">
      <c r="A19" s="5" t="s">
        <v>126</v>
      </c>
      <c r="B19" s="5" t="s">
        <v>127</v>
      </c>
      <c r="C19" s="5" t="s">
        <v>128</v>
      </c>
      <c r="D19" s="5" t="s">
        <v>102</v>
      </c>
      <c r="E19" s="5">
        <v>50022</v>
      </c>
      <c r="F19" s="5">
        <v>-95.030891999999994</v>
      </c>
      <c r="G19" s="5">
        <v>41.420622999999999</v>
      </c>
      <c r="H19" s="5" t="s">
        <v>61</v>
      </c>
      <c r="I19" s="5" t="s">
        <v>62</v>
      </c>
      <c r="J19" s="5" t="s">
        <v>63</v>
      </c>
      <c r="K19" s="5">
        <v>155</v>
      </c>
      <c r="L19" s="5" t="s">
        <v>64</v>
      </c>
    </row>
    <row r="20" spans="1:12" ht="15.75" customHeight="1" x14ac:dyDescent="0.25">
      <c r="A20" s="5" t="s">
        <v>129</v>
      </c>
      <c r="B20" s="5" t="s">
        <v>130</v>
      </c>
      <c r="C20" s="5" t="s">
        <v>131</v>
      </c>
      <c r="D20" s="5" t="s">
        <v>102</v>
      </c>
      <c r="E20" s="5">
        <v>50401</v>
      </c>
      <c r="F20" s="5">
        <v>-93.229428100000007</v>
      </c>
      <c r="G20" s="5">
        <v>43.1160262</v>
      </c>
      <c r="H20" s="5" t="s">
        <v>61</v>
      </c>
      <c r="I20" s="5" t="s">
        <v>62</v>
      </c>
      <c r="J20" s="5" t="s">
        <v>63</v>
      </c>
      <c r="K20" s="5">
        <v>130</v>
      </c>
      <c r="L20" s="5" t="s">
        <v>64</v>
      </c>
    </row>
    <row r="21" spans="1:12" ht="15.75" customHeight="1" x14ac:dyDescent="0.25">
      <c r="A21" s="5" t="s">
        <v>132</v>
      </c>
      <c r="B21" s="5" t="s">
        <v>133</v>
      </c>
      <c r="C21" s="5" t="s">
        <v>134</v>
      </c>
      <c r="D21" s="5" t="s">
        <v>102</v>
      </c>
      <c r="E21" s="5">
        <v>52761</v>
      </c>
      <c r="F21" s="5">
        <v>-91.063248999999999</v>
      </c>
      <c r="G21" s="5">
        <v>41.403782999999997</v>
      </c>
      <c r="H21" s="5" t="s">
        <v>61</v>
      </c>
      <c r="I21" s="5" t="s">
        <v>62</v>
      </c>
      <c r="J21" s="5" t="s">
        <v>63</v>
      </c>
      <c r="K21" s="5">
        <v>78</v>
      </c>
      <c r="L21" s="5" t="s">
        <v>64</v>
      </c>
    </row>
    <row r="22" spans="1:12" ht="15.75" customHeight="1" x14ac:dyDescent="0.25">
      <c r="A22" s="5" t="s">
        <v>135</v>
      </c>
      <c r="B22" s="5" t="s">
        <v>136</v>
      </c>
      <c r="C22" s="5" t="s">
        <v>137</v>
      </c>
      <c r="D22" s="5" t="s">
        <v>102</v>
      </c>
      <c r="E22" s="5">
        <v>51601</v>
      </c>
      <c r="F22" s="5">
        <v>-95.411241192299997</v>
      </c>
      <c r="G22" s="5">
        <v>40.7573504231</v>
      </c>
      <c r="H22" s="5" t="s">
        <v>61</v>
      </c>
      <c r="I22" s="5" t="s">
        <v>62</v>
      </c>
      <c r="J22" s="5" t="s">
        <v>63</v>
      </c>
      <c r="K22" s="5">
        <v>82</v>
      </c>
      <c r="L22" s="5" t="s">
        <v>64</v>
      </c>
    </row>
    <row r="23" spans="1:12" ht="15.75" customHeight="1" x14ac:dyDescent="0.25">
      <c r="A23" s="5" t="s">
        <v>138</v>
      </c>
      <c r="B23" s="5" t="s">
        <v>139</v>
      </c>
      <c r="C23" s="5" t="s">
        <v>140</v>
      </c>
      <c r="D23" s="5" t="s">
        <v>102</v>
      </c>
      <c r="E23" s="5">
        <v>51363</v>
      </c>
      <c r="F23" s="5">
        <v>-94.9592152492</v>
      </c>
      <c r="G23" s="5">
        <v>43.431940599999997</v>
      </c>
      <c r="H23" s="5" t="s">
        <v>61</v>
      </c>
      <c r="I23" s="5" t="s">
        <v>62</v>
      </c>
      <c r="J23" s="5" t="s">
        <v>63</v>
      </c>
      <c r="K23" s="5">
        <v>60</v>
      </c>
      <c r="L23" s="5" t="s">
        <v>64</v>
      </c>
    </row>
    <row r="24" spans="1:12" ht="15.75" customHeight="1" x14ac:dyDescent="0.25">
      <c r="A24" s="5" t="s">
        <v>141</v>
      </c>
      <c r="B24" s="5" t="s">
        <v>142</v>
      </c>
      <c r="C24" s="5" t="s">
        <v>143</v>
      </c>
      <c r="D24" s="5" t="s">
        <v>102</v>
      </c>
      <c r="E24" s="5">
        <v>52154</v>
      </c>
      <c r="F24" s="5">
        <v>-92.157047199999994</v>
      </c>
      <c r="G24" s="5">
        <v>43.066812200000001</v>
      </c>
      <c r="H24" s="5" t="s">
        <v>61</v>
      </c>
      <c r="I24" s="5" t="s">
        <v>62</v>
      </c>
      <c r="J24" s="5" t="s">
        <v>63</v>
      </c>
      <c r="K24" s="5">
        <v>200</v>
      </c>
      <c r="L24" s="5" t="s">
        <v>64</v>
      </c>
    </row>
    <row r="25" spans="1:12" ht="15.75" customHeight="1" x14ac:dyDescent="0.25">
      <c r="A25" s="5" t="s">
        <v>144</v>
      </c>
      <c r="B25" s="5" t="s">
        <v>145</v>
      </c>
      <c r="C25" s="5" t="s">
        <v>105</v>
      </c>
      <c r="D25" s="5" t="s">
        <v>102</v>
      </c>
      <c r="E25" s="5">
        <v>52404</v>
      </c>
      <c r="F25" s="5">
        <v>-91.666669999999996</v>
      </c>
      <c r="G25" s="5">
        <v>41.967559999999999</v>
      </c>
      <c r="H25" s="5" t="s">
        <v>61</v>
      </c>
      <c r="I25" s="5" t="s">
        <v>62</v>
      </c>
      <c r="J25" s="5" t="s">
        <v>63</v>
      </c>
      <c r="K25" s="5">
        <v>45</v>
      </c>
      <c r="L25" s="5" t="s">
        <v>64</v>
      </c>
    </row>
    <row r="26" spans="1:12" ht="15.75" customHeight="1" x14ac:dyDescent="0.25">
      <c r="A26" s="5" t="s">
        <v>146</v>
      </c>
      <c r="B26" s="5" t="s">
        <v>147</v>
      </c>
      <c r="C26" s="5" t="s">
        <v>148</v>
      </c>
      <c r="D26" s="5" t="s">
        <v>102</v>
      </c>
      <c r="E26" s="5">
        <v>50201</v>
      </c>
      <c r="F26" s="5">
        <v>-93.512166399999998</v>
      </c>
      <c r="G26" s="5">
        <v>42.023105600000001</v>
      </c>
      <c r="H26" s="5" t="s">
        <v>61</v>
      </c>
      <c r="I26" s="5" t="s">
        <v>62</v>
      </c>
      <c r="J26" s="5" t="s">
        <v>63</v>
      </c>
      <c r="K26" s="5">
        <v>60</v>
      </c>
      <c r="L26" s="5" t="s">
        <v>64</v>
      </c>
    </row>
    <row r="27" spans="1:12" ht="15.75" customHeight="1" x14ac:dyDescent="0.25">
      <c r="A27" s="5" t="s">
        <v>149</v>
      </c>
      <c r="B27" s="5" t="s">
        <v>150</v>
      </c>
      <c r="C27" s="5" t="s">
        <v>151</v>
      </c>
      <c r="D27" s="5" t="s">
        <v>102</v>
      </c>
      <c r="E27" s="5">
        <v>51035</v>
      </c>
      <c r="F27" s="5">
        <v>-95.764285999999998</v>
      </c>
      <c r="G27" s="5">
        <v>42.821595000000002</v>
      </c>
      <c r="H27" s="5" t="s">
        <v>61</v>
      </c>
      <c r="I27" s="5" t="s">
        <v>74</v>
      </c>
      <c r="J27" s="5" t="s">
        <v>152</v>
      </c>
      <c r="K27" s="5">
        <v>165</v>
      </c>
      <c r="L27" s="5" t="s">
        <v>64</v>
      </c>
    </row>
    <row r="28" spans="1:12" ht="15.75" customHeight="1" x14ac:dyDescent="0.25">
      <c r="A28" s="5" t="s">
        <v>153</v>
      </c>
      <c r="B28" s="5" t="s">
        <v>154</v>
      </c>
      <c r="C28" s="5" t="s">
        <v>155</v>
      </c>
      <c r="D28" s="5" t="s">
        <v>102</v>
      </c>
      <c r="E28" s="5">
        <v>50107</v>
      </c>
      <c r="F28" s="5">
        <v>-94.242048399400005</v>
      </c>
      <c r="G28" s="5">
        <v>42.023473298500001</v>
      </c>
      <c r="H28" s="5" t="s">
        <v>61</v>
      </c>
      <c r="I28" s="5" t="s">
        <v>62</v>
      </c>
      <c r="J28" s="5" t="s">
        <v>63</v>
      </c>
      <c r="K28" s="5">
        <v>122</v>
      </c>
      <c r="L28" s="5" t="s">
        <v>64</v>
      </c>
    </row>
    <row r="29" spans="1:12" ht="15.75" customHeight="1" x14ac:dyDescent="0.25">
      <c r="A29" s="5" t="s">
        <v>156</v>
      </c>
      <c r="B29" s="5" t="s">
        <v>157</v>
      </c>
      <c r="C29" s="5" t="s">
        <v>158</v>
      </c>
      <c r="D29" s="5" t="s">
        <v>102</v>
      </c>
      <c r="E29" s="5">
        <v>50672</v>
      </c>
      <c r="F29" s="5">
        <v>-93.058030299999999</v>
      </c>
      <c r="G29" s="5">
        <v>42.459718000000002</v>
      </c>
      <c r="H29" s="5" t="s">
        <v>61</v>
      </c>
      <c r="I29" s="5" t="s">
        <v>62</v>
      </c>
      <c r="J29" s="5" t="s">
        <v>63</v>
      </c>
      <c r="K29" s="5">
        <v>78</v>
      </c>
      <c r="L29" s="5" t="s">
        <v>64</v>
      </c>
    </row>
    <row r="30" spans="1:12" ht="15.75" customHeight="1" x14ac:dyDescent="0.25">
      <c r="A30" s="5" t="s">
        <v>159</v>
      </c>
      <c r="B30" s="5" t="s">
        <v>160</v>
      </c>
      <c r="C30" s="5" t="s">
        <v>161</v>
      </c>
      <c r="D30" s="5" t="s">
        <v>162</v>
      </c>
      <c r="E30" s="5">
        <v>51431</v>
      </c>
      <c r="F30" s="5">
        <v>-95.342505884657101</v>
      </c>
      <c r="G30" s="5">
        <v>42.330249945106203</v>
      </c>
      <c r="H30" s="5" t="s">
        <v>61</v>
      </c>
      <c r="I30" s="5" t="s">
        <v>62</v>
      </c>
      <c r="J30" s="5" t="s">
        <v>63</v>
      </c>
      <c r="K30" s="5">
        <v>130</v>
      </c>
      <c r="L30" s="5" t="s">
        <v>64</v>
      </c>
    </row>
    <row r="31" spans="1:12" ht="15.75" customHeight="1" x14ac:dyDescent="0.25">
      <c r="A31" s="5" t="s">
        <v>163</v>
      </c>
      <c r="B31" s="5" t="s">
        <v>164</v>
      </c>
      <c r="C31" s="5" t="s">
        <v>165</v>
      </c>
      <c r="D31" s="5" t="s">
        <v>162</v>
      </c>
      <c r="E31" s="5">
        <v>51232</v>
      </c>
      <c r="F31" s="5">
        <v>-95.8108710613715</v>
      </c>
      <c r="G31" s="5">
        <v>43.274620151329003</v>
      </c>
      <c r="H31" s="5" t="s">
        <v>61</v>
      </c>
      <c r="I31" s="5" t="s">
        <v>62</v>
      </c>
      <c r="J31" s="5" t="s">
        <v>63</v>
      </c>
      <c r="K31" s="5">
        <v>59</v>
      </c>
      <c r="L31" s="5" t="s">
        <v>64</v>
      </c>
    </row>
    <row r="32" spans="1:12" ht="15.75" customHeight="1" x14ac:dyDescent="0.25">
      <c r="A32" s="5" t="s">
        <v>166</v>
      </c>
      <c r="B32" s="5" t="s">
        <v>167</v>
      </c>
      <c r="C32" s="5" t="s">
        <v>168</v>
      </c>
      <c r="D32" s="5" t="s">
        <v>162</v>
      </c>
      <c r="E32" s="5">
        <v>50058</v>
      </c>
      <c r="F32" s="5">
        <v>-94.631088201827296</v>
      </c>
      <c r="G32" s="5">
        <v>41.861222155081798</v>
      </c>
      <c r="H32" s="5" t="s">
        <v>61</v>
      </c>
      <c r="I32" s="5" t="s">
        <v>62</v>
      </c>
      <c r="J32" s="5" t="s">
        <v>63</v>
      </c>
      <c r="K32" s="5">
        <v>63</v>
      </c>
      <c r="L32" s="5" t="s">
        <v>64</v>
      </c>
    </row>
    <row r="33" spans="1:12" ht="15.75" customHeight="1" x14ac:dyDescent="0.25">
      <c r="A33" s="5" t="s">
        <v>169</v>
      </c>
      <c r="B33" s="5" t="s">
        <v>170</v>
      </c>
      <c r="C33" s="5" t="s">
        <v>171</v>
      </c>
      <c r="D33" s="5" t="s">
        <v>162</v>
      </c>
      <c r="E33" s="5">
        <v>50841</v>
      </c>
      <c r="F33" s="5">
        <v>-94.795692401847504</v>
      </c>
      <c r="G33" s="5">
        <v>40.965961791366603</v>
      </c>
      <c r="H33" s="5" t="s">
        <v>61</v>
      </c>
      <c r="I33" s="5" t="s">
        <v>62</v>
      </c>
      <c r="J33" s="5" t="s">
        <v>63</v>
      </c>
      <c r="K33" s="5">
        <v>80</v>
      </c>
      <c r="L33" s="5" t="s">
        <v>64</v>
      </c>
    </row>
    <row r="34" spans="1:12" ht="15.75" customHeight="1" x14ac:dyDescent="0.25">
      <c r="A34" s="5" t="s">
        <v>172</v>
      </c>
      <c r="B34" s="5" t="s">
        <v>173</v>
      </c>
      <c r="C34" s="5" t="s">
        <v>174</v>
      </c>
      <c r="D34" s="5" t="s">
        <v>162</v>
      </c>
      <c r="E34" s="5">
        <v>50629</v>
      </c>
      <c r="F34" s="5">
        <v>-92.028800432495203</v>
      </c>
      <c r="G34" s="5">
        <v>42.640991355343203</v>
      </c>
      <c r="H34" s="5" t="s">
        <v>61</v>
      </c>
      <c r="I34" s="5" t="s">
        <v>62</v>
      </c>
      <c r="J34" s="5" t="s">
        <v>63</v>
      </c>
      <c r="K34" s="5">
        <v>125</v>
      </c>
      <c r="L34" s="5" t="s">
        <v>64</v>
      </c>
    </row>
    <row r="35" spans="1:12" ht="15.75" customHeight="1" x14ac:dyDescent="0.25">
      <c r="A35" s="5" t="s">
        <v>175</v>
      </c>
      <c r="B35" s="5" t="s">
        <v>176</v>
      </c>
      <c r="C35" s="5" t="s">
        <v>177</v>
      </c>
      <c r="D35" s="5" t="s">
        <v>162</v>
      </c>
      <c r="E35" s="5">
        <v>50543</v>
      </c>
      <c r="F35" s="5">
        <v>-94.288294515309701</v>
      </c>
      <c r="G35" s="5">
        <v>42.320056170700802</v>
      </c>
      <c r="H35" s="5" t="s">
        <v>61</v>
      </c>
      <c r="I35" s="5" t="s">
        <v>62</v>
      </c>
      <c r="J35" s="5" t="s">
        <v>63</v>
      </c>
      <c r="K35" s="5">
        <v>80</v>
      </c>
      <c r="L35" s="5" t="s">
        <v>64</v>
      </c>
    </row>
    <row r="36" spans="1:12" ht="15.75" customHeight="1" x14ac:dyDescent="0.25">
      <c r="A36" s="5" t="s">
        <v>178</v>
      </c>
      <c r="B36" s="5" t="s">
        <v>179</v>
      </c>
      <c r="C36" s="5" t="s">
        <v>180</v>
      </c>
      <c r="D36" s="5" t="s">
        <v>162</v>
      </c>
      <c r="E36" s="5">
        <v>50444</v>
      </c>
      <c r="F36" s="5">
        <v>-93.392701301794204</v>
      </c>
      <c r="G36" s="5">
        <v>43.292372680326899</v>
      </c>
      <c r="H36" s="5" t="s">
        <v>61</v>
      </c>
      <c r="I36" s="5" t="s">
        <v>62</v>
      </c>
      <c r="J36" s="5" t="s">
        <v>63</v>
      </c>
      <c r="K36" s="5">
        <v>72</v>
      </c>
      <c r="L36" s="5" t="s">
        <v>64</v>
      </c>
    </row>
    <row r="37" spans="1:12" ht="15.75" customHeight="1" x14ac:dyDescent="0.25">
      <c r="A37" s="5" t="s">
        <v>181</v>
      </c>
      <c r="B37" s="5" t="s">
        <v>182</v>
      </c>
      <c r="C37" s="5" t="s">
        <v>183</v>
      </c>
      <c r="D37" s="5" t="s">
        <v>162</v>
      </c>
      <c r="E37" s="5">
        <v>50126</v>
      </c>
      <c r="F37" s="5">
        <v>-93.282689159483994</v>
      </c>
      <c r="G37" s="5">
        <v>42.505688486395499</v>
      </c>
      <c r="H37" s="5" t="s">
        <v>61</v>
      </c>
      <c r="I37" s="5" t="s">
        <v>62</v>
      </c>
      <c r="J37" s="5" t="s">
        <v>63</v>
      </c>
      <c r="K37" s="5">
        <v>100</v>
      </c>
      <c r="L37" s="5" t="s">
        <v>64</v>
      </c>
    </row>
    <row r="38" spans="1:12" ht="15.75" customHeight="1" x14ac:dyDescent="0.25">
      <c r="A38" s="5" t="s">
        <v>184</v>
      </c>
      <c r="B38" s="5" t="s">
        <v>185</v>
      </c>
      <c r="C38" s="5" t="s">
        <v>186</v>
      </c>
      <c r="D38" s="5" t="s">
        <v>162</v>
      </c>
      <c r="E38" s="5">
        <v>50130</v>
      </c>
      <c r="F38" s="5">
        <v>-93.664459230652298</v>
      </c>
      <c r="G38" s="5">
        <v>42.329595817382597</v>
      </c>
      <c r="H38" s="5" t="s">
        <v>61</v>
      </c>
      <c r="I38" s="5" t="s">
        <v>62</v>
      </c>
      <c r="J38" s="5" t="s">
        <v>63</v>
      </c>
      <c r="K38" s="5">
        <v>80</v>
      </c>
      <c r="L38" s="5" t="s">
        <v>64</v>
      </c>
    </row>
    <row r="39" spans="1:12" ht="15.75" customHeight="1" x14ac:dyDescent="0.25">
      <c r="A39" s="5" t="s">
        <v>187</v>
      </c>
      <c r="B39" s="5" t="s">
        <v>188</v>
      </c>
      <c r="C39" s="5" t="s">
        <v>189</v>
      </c>
      <c r="D39" s="5" t="s">
        <v>162</v>
      </c>
      <c r="E39" s="5">
        <v>50164</v>
      </c>
      <c r="F39" s="5">
        <v>-94.382045459506401</v>
      </c>
      <c r="G39" s="5">
        <v>41.523984428381397</v>
      </c>
      <c r="H39" s="5" t="s">
        <v>61</v>
      </c>
      <c r="I39" s="5" t="s">
        <v>62</v>
      </c>
      <c r="J39" s="5" t="s">
        <v>63</v>
      </c>
      <c r="K39" s="5">
        <v>125</v>
      </c>
      <c r="L39" s="5" t="s">
        <v>64</v>
      </c>
    </row>
    <row r="40" spans="1:12" ht="15.75" customHeight="1" x14ac:dyDescent="0.25">
      <c r="A40" s="5" t="s">
        <v>190</v>
      </c>
      <c r="B40" s="5" t="s">
        <v>191</v>
      </c>
      <c r="C40" s="5" t="s">
        <v>192</v>
      </c>
      <c r="D40" s="5" t="s">
        <v>162</v>
      </c>
      <c r="E40" s="5">
        <v>50670</v>
      </c>
      <c r="F40" s="5">
        <v>-92.617153372971501</v>
      </c>
      <c r="G40" s="5">
        <v>42.737566959387699</v>
      </c>
      <c r="H40" s="5" t="s">
        <v>61</v>
      </c>
      <c r="I40" s="5" t="s">
        <v>62</v>
      </c>
      <c r="J40" s="5" t="s">
        <v>63</v>
      </c>
      <c r="K40" s="5">
        <v>125</v>
      </c>
      <c r="L40" s="5" t="s">
        <v>64</v>
      </c>
    </row>
    <row r="41" spans="1:12" ht="15.75" customHeight="1" x14ac:dyDescent="0.25">
      <c r="A41" s="5" t="s">
        <v>193</v>
      </c>
      <c r="B41" s="5" t="s">
        <v>194</v>
      </c>
      <c r="C41" s="5" t="s">
        <v>195</v>
      </c>
      <c r="D41" s="5" t="s">
        <v>102</v>
      </c>
      <c r="E41" s="5">
        <v>51020</v>
      </c>
      <c r="F41" s="5">
        <v>-95.413298600000005</v>
      </c>
      <c r="G41" s="5">
        <v>42.476829100000003</v>
      </c>
      <c r="H41" s="5" t="s">
        <v>61</v>
      </c>
      <c r="I41" s="5" t="s">
        <v>74</v>
      </c>
      <c r="J41" s="5" t="s">
        <v>152</v>
      </c>
      <c r="K41" s="5">
        <v>37</v>
      </c>
      <c r="L41" s="5" t="s">
        <v>64</v>
      </c>
    </row>
    <row r="42" spans="1:12" ht="15.75" customHeight="1" x14ac:dyDescent="0.25">
      <c r="A42" s="5" t="s">
        <v>196</v>
      </c>
      <c r="B42" s="5" t="s">
        <v>197</v>
      </c>
      <c r="C42" s="5" t="s">
        <v>198</v>
      </c>
      <c r="D42" s="5" t="s">
        <v>102</v>
      </c>
      <c r="E42" s="5">
        <v>51250</v>
      </c>
      <c r="F42" s="5">
        <v>-96.226979700000001</v>
      </c>
      <c r="G42" s="5">
        <v>43.087236900000001</v>
      </c>
      <c r="H42" s="5" t="s">
        <v>61</v>
      </c>
      <c r="I42" s="5" t="s">
        <v>62</v>
      </c>
      <c r="J42" s="5" t="s">
        <v>63</v>
      </c>
      <c r="K42" s="5">
        <v>90</v>
      </c>
      <c r="L42" s="5" t="s">
        <v>64</v>
      </c>
    </row>
    <row r="43" spans="1:12" ht="15.75" customHeight="1" x14ac:dyDescent="0.25">
      <c r="A43" s="5" t="s">
        <v>199</v>
      </c>
      <c r="B43" s="5" t="s">
        <v>200</v>
      </c>
      <c r="C43" s="5" t="s">
        <v>201</v>
      </c>
      <c r="D43" s="5" t="s">
        <v>102</v>
      </c>
      <c r="E43" s="5">
        <v>51503</v>
      </c>
      <c r="F43" s="5">
        <v>-95.848252900000006</v>
      </c>
      <c r="G43" s="5">
        <v>41.263127400000002</v>
      </c>
      <c r="H43" s="5" t="s">
        <v>61</v>
      </c>
      <c r="I43" s="5" t="s">
        <v>62</v>
      </c>
      <c r="J43" s="5" t="s">
        <v>63</v>
      </c>
      <c r="K43" s="5">
        <v>130</v>
      </c>
      <c r="L43" s="5" t="s">
        <v>64</v>
      </c>
    </row>
    <row r="44" spans="1:12" ht="15.75" customHeight="1" x14ac:dyDescent="0.25">
      <c r="A44" s="5" t="s">
        <v>202</v>
      </c>
      <c r="B44" s="5" t="s">
        <v>203</v>
      </c>
      <c r="C44" s="5" t="s">
        <v>204</v>
      </c>
      <c r="D44" s="5" t="s">
        <v>102</v>
      </c>
      <c r="E44" s="5">
        <v>51442</v>
      </c>
      <c r="F44" s="5">
        <v>-95.3965982</v>
      </c>
      <c r="G44" s="5">
        <v>41.990480900000001</v>
      </c>
      <c r="H44" s="5" t="s">
        <v>61</v>
      </c>
      <c r="I44" s="5" t="s">
        <v>62</v>
      </c>
      <c r="J44" s="5" t="s">
        <v>63</v>
      </c>
      <c r="K44" s="5">
        <v>65</v>
      </c>
      <c r="L44" s="5" t="s">
        <v>64</v>
      </c>
    </row>
    <row r="45" spans="1:12" ht="15.75" customHeight="1" x14ac:dyDescent="0.25">
      <c r="A45" s="5" t="s">
        <v>205</v>
      </c>
      <c r="B45" s="5" t="s">
        <v>206</v>
      </c>
      <c r="C45" s="5" t="s">
        <v>207</v>
      </c>
      <c r="D45" s="5" t="s">
        <v>102</v>
      </c>
      <c r="E45" s="5">
        <v>50510</v>
      </c>
      <c r="F45" s="5">
        <v>-94.942312777200002</v>
      </c>
      <c r="G45" s="5">
        <v>42.777814284199998</v>
      </c>
      <c r="H45" s="5" t="s">
        <v>61</v>
      </c>
      <c r="I45" s="5" t="s">
        <v>62</v>
      </c>
      <c r="J45" s="5" t="s">
        <v>63</v>
      </c>
      <c r="K45" s="5">
        <v>135</v>
      </c>
      <c r="L45" s="5" t="s">
        <v>64</v>
      </c>
    </row>
    <row r="46" spans="1:12" ht="15.75" customHeight="1" x14ac:dyDescent="0.25">
      <c r="A46" s="5" t="s">
        <v>208</v>
      </c>
      <c r="B46" s="5" t="s">
        <v>209</v>
      </c>
      <c r="C46" s="5" t="s">
        <v>210</v>
      </c>
      <c r="D46" s="5" t="s">
        <v>102</v>
      </c>
      <c r="E46" s="5">
        <v>50616</v>
      </c>
      <c r="F46" s="5">
        <v>-92.7563909</v>
      </c>
      <c r="G46" s="5">
        <v>43.101526</v>
      </c>
      <c r="H46" s="5" t="s">
        <v>61</v>
      </c>
      <c r="I46" s="5" t="s">
        <v>62</v>
      </c>
      <c r="J46" s="5" t="s">
        <v>63</v>
      </c>
      <c r="K46" s="5">
        <v>140</v>
      </c>
      <c r="L46" s="5" t="s">
        <v>64</v>
      </c>
    </row>
    <row r="47" spans="1:12" ht="15.75" customHeight="1" x14ac:dyDescent="0.25">
      <c r="A47" s="5" t="s">
        <v>211</v>
      </c>
      <c r="B47" s="5" t="s">
        <v>212</v>
      </c>
      <c r="C47" s="5" t="s">
        <v>213</v>
      </c>
      <c r="D47" s="5" t="s">
        <v>102</v>
      </c>
      <c r="E47" s="5">
        <v>50501</v>
      </c>
      <c r="F47" s="5">
        <v>-94.303228899999993</v>
      </c>
      <c r="G47" s="5">
        <v>42.512032300000001</v>
      </c>
      <c r="H47" s="5" t="s">
        <v>61</v>
      </c>
      <c r="I47" s="5" t="s">
        <v>62</v>
      </c>
      <c r="J47" s="5" t="s">
        <v>63</v>
      </c>
      <c r="K47" s="5">
        <v>140</v>
      </c>
      <c r="L47" s="5" t="s">
        <v>64</v>
      </c>
    </row>
    <row r="48" spans="1:12" ht="15.75" customHeight="1" x14ac:dyDescent="0.25">
      <c r="A48" s="5" t="s">
        <v>214</v>
      </c>
      <c r="B48" s="5" t="s">
        <v>215</v>
      </c>
      <c r="C48" s="5" t="s">
        <v>216</v>
      </c>
      <c r="D48" s="5" t="s">
        <v>102</v>
      </c>
      <c r="E48" s="5">
        <v>51346</v>
      </c>
      <c r="F48" s="5">
        <v>-95.498910300000006</v>
      </c>
      <c r="G48" s="5">
        <v>43.180859099999999</v>
      </c>
      <c r="H48" s="5" t="s">
        <v>61</v>
      </c>
      <c r="I48" s="5" t="s">
        <v>62</v>
      </c>
      <c r="J48" s="5" t="s">
        <v>63</v>
      </c>
      <c r="K48" s="5">
        <v>140</v>
      </c>
      <c r="L48" s="5" t="s">
        <v>64</v>
      </c>
    </row>
    <row r="49" spans="1:12" ht="15.75" customHeight="1" x14ac:dyDescent="0.25">
      <c r="A49" s="5" t="s">
        <v>217</v>
      </c>
      <c r="B49" s="5" t="s">
        <v>218</v>
      </c>
      <c r="C49" s="5" t="s">
        <v>219</v>
      </c>
      <c r="D49" s="5" t="s">
        <v>102</v>
      </c>
      <c r="E49" s="5">
        <v>50451</v>
      </c>
      <c r="F49" s="5">
        <v>-94.143733999999995</v>
      </c>
      <c r="G49" s="5">
        <v>43.384352</v>
      </c>
      <c r="H49" s="5" t="s">
        <v>61</v>
      </c>
      <c r="I49" s="5" t="s">
        <v>62</v>
      </c>
      <c r="J49" s="5" t="s">
        <v>63</v>
      </c>
      <c r="K49" s="5">
        <v>110</v>
      </c>
      <c r="L49" s="5" t="s">
        <v>64</v>
      </c>
    </row>
    <row r="50" spans="1:12" ht="15.75" customHeight="1" x14ac:dyDescent="0.25">
      <c r="A50" s="5" t="s">
        <v>220</v>
      </c>
      <c r="B50" s="5" t="s">
        <v>221</v>
      </c>
      <c r="C50" s="5" t="s">
        <v>222</v>
      </c>
      <c r="D50" s="5" t="s">
        <v>102</v>
      </c>
      <c r="E50" s="5">
        <v>51038</v>
      </c>
      <c r="F50" s="5">
        <v>-96.199112</v>
      </c>
      <c r="G50" s="5">
        <v>43.129781999999999</v>
      </c>
      <c r="H50" s="5" t="s">
        <v>61</v>
      </c>
      <c r="I50" s="5" t="s">
        <v>62</v>
      </c>
      <c r="J50" s="5" t="s">
        <v>63</v>
      </c>
      <c r="K50" s="5">
        <v>50</v>
      </c>
      <c r="L50" s="5" t="s">
        <v>64</v>
      </c>
    </row>
    <row r="51" spans="1:12" ht="15.75" customHeight="1" x14ac:dyDescent="0.25">
      <c r="A51" s="5" t="s">
        <v>223</v>
      </c>
      <c r="B51" s="5" t="s">
        <v>224</v>
      </c>
      <c r="C51" s="5" t="s">
        <v>148</v>
      </c>
      <c r="D51" s="5" t="s">
        <v>162</v>
      </c>
      <c r="E51" s="5">
        <v>50201</v>
      </c>
      <c r="F51" s="5">
        <v>-93.518127401771395</v>
      </c>
      <c r="G51" s="5">
        <v>42.024077239736599</v>
      </c>
      <c r="H51" s="5" t="s">
        <v>61</v>
      </c>
      <c r="I51" s="5" t="s">
        <v>62</v>
      </c>
      <c r="J51" s="5" t="s">
        <v>152</v>
      </c>
      <c r="K51" s="5">
        <v>60</v>
      </c>
      <c r="L51" s="5" t="s">
        <v>64</v>
      </c>
    </row>
    <row r="52" spans="1:12" ht="15.75" customHeight="1" x14ac:dyDescent="0.25">
      <c r="A52" s="5" t="s">
        <v>225</v>
      </c>
      <c r="B52" s="5" t="s">
        <v>226</v>
      </c>
      <c r="C52" s="5" t="s">
        <v>227</v>
      </c>
      <c r="D52" s="5" t="s">
        <v>228</v>
      </c>
      <c r="E52" s="5">
        <v>83318</v>
      </c>
      <c r="F52" s="5">
        <v>-113.815299188319</v>
      </c>
      <c r="G52" s="5">
        <v>42.521193868601301</v>
      </c>
      <c r="H52" s="5" t="s">
        <v>61</v>
      </c>
      <c r="I52" s="5" t="s">
        <v>62</v>
      </c>
      <c r="J52" s="5" t="s">
        <v>63</v>
      </c>
      <c r="K52" s="5">
        <v>60</v>
      </c>
      <c r="L52" s="5" t="s">
        <v>64</v>
      </c>
    </row>
    <row r="53" spans="1:12" ht="15.75" customHeight="1" x14ac:dyDescent="0.25">
      <c r="A53" s="5" t="s">
        <v>229</v>
      </c>
      <c r="B53" s="5" t="s">
        <v>230</v>
      </c>
      <c r="C53" s="5" t="s">
        <v>231</v>
      </c>
      <c r="D53" s="5" t="s">
        <v>232</v>
      </c>
      <c r="E53" s="5">
        <v>61048</v>
      </c>
      <c r="F53" s="5">
        <v>-89.833370500000001</v>
      </c>
      <c r="G53" s="5">
        <v>42.3863974</v>
      </c>
      <c r="H53" s="5" t="s">
        <v>61</v>
      </c>
      <c r="I53" s="5" t="s">
        <v>62</v>
      </c>
      <c r="J53" s="5" t="s">
        <v>63</v>
      </c>
      <c r="K53" s="5">
        <v>60</v>
      </c>
      <c r="L53" s="5" t="s">
        <v>64</v>
      </c>
    </row>
    <row r="54" spans="1:12" ht="15.75" customHeight="1" x14ac:dyDescent="0.25">
      <c r="A54" s="5" t="s">
        <v>233</v>
      </c>
      <c r="B54" s="5" t="s">
        <v>234</v>
      </c>
      <c r="C54" s="5" t="s">
        <v>235</v>
      </c>
      <c r="D54" s="5" t="s">
        <v>236</v>
      </c>
      <c r="E54" s="5">
        <v>61554</v>
      </c>
      <c r="F54" s="5">
        <v>-89.666837639512593</v>
      </c>
      <c r="G54" s="5">
        <v>40.5561463326599</v>
      </c>
      <c r="H54" s="5" t="s">
        <v>61</v>
      </c>
      <c r="I54" s="5" t="s">
        <v>62</v>
      </c>
      <c r="J54" s="5" t="s">
        <v>63</v>
      </c>
      <c r="K54" s="5">
        <v>90</v>
      </c>
      <c r="L54" s="5" t="s">
        <v>64</v>
      </c>
    </row>
    <row r="55" spans="1:12" ht="15.75" customHeight="1" x14ac:dyDescent="0.25">
      <c r="A55" s="5" t="s">
        <v>237</v>
      </c>
      <c r="B55" s="5" t="s">
        <v>238</v>
      </c>
      <c r="C55" s="5" t="s">
        <v>235</v>
      </c>
      <c r="D55" s="5" t="s">
        <v>236</v>
      </c>
      <c r="E55" s="5">
        <v>61554</v>
      </c>
      <c r="F55" s="5">
        <v>-89.662862437935104</v>
      </c>
      <c r="G55" s="5">
        <v>40.558482390123501</v>
      </c>
      <c r="H55" s="5" t="s">
        <v>61</v>
      </c>
      <c r="I55" s="5" t="s">
        <v>62</v>
      </c>
      <c r="J55" s="5" t="s">
        <v>63</v>
      </c>
      <c r="K55" s="5">
        <v>60</v>
      </c>
      <c r="L55" s="5" t="s">
        <v>64</v>
      </c>
    </row>
    <row r="56" spans="1:12" ht="15.75" customHeight="1" x14ac:dyDescent="0.25">
      <c r="A56" s="5" t="s">
        <v>239</v>
      </c>
      <c r="B56" s="5" t="s">
        <v>238</v>
      </c>
      <c r="C56" s="5" t="s">
        <v>235</v>
      </c>
      <c r="D56" s="5" t="s">
        <v>236</v>
      </c>
      <c r="E56" s="5">
        <v>61554</v>
      </c>
      <c r="F56" s="5">
        <v>-89.663281014650295</v>
      </c>
      <c r="G56" s="5">
        <v>40.5551487931357</v>
      </c>
      <c r="H56" s="5" t="s">
        <v>61</v>
      </c>
      <c r="I56" s="5" t="s">
        <v>62</v>
      </c>
      <c r="J56" s="5" t="s">
        <v>63</v>
      </c>
      <c r="K56" s="5">
        <v>100</v>
      </c>
      <c r="L56" s="5" t="s">
        <v>64</v>
      </c>
    </row>
    <row r="57" spans="1:12" ht="15.75" customHeight="1" x14ac:dyDescent="0.25">
      <c r="A57" s="5" t="s">
        <v>240</v>
      </c>
      <c r="B57" s="5" t="s">
        <v>241</v>
      </c>
      <c r="C57" s="5" t="s">
        <v>242</v>
      </c>
      <c r="D57" s="5" t="s">
        <v>232</v>
      </c>
      <c r="E57" s="5">
        <v>62526</v>
      </c>
      <c r="F57" s="5">
        <v>-88.877955200000002</v>
      </c>
      <c r="G57" s="5">
        <v>39.868467500000001</v>
      </c>
      <c r="H57" s="5" t="s">
        <v>61</v>
      </c>
      <c r="I57" s="5" t="s">
        <v>62</v>
      </c>
      <c r="J57" s="5" t="s">
        <v>63</v>
      </c>
      <c r="K57" s="5">
        <v>375</v>
      </c>
      <c r="L57" s="5" t="s">
        <v>64</v>
      </c>
    </row>
    <row r="58" spans="1:12" ht="15.75" customHeight="1" x14ac:dyDescent="0.25">
      <c r="A58" s="5" t="s">
        <v>243</v>
      </c>
      <c r="B58" s="5" t="s">
        <v>244</v>
      </c>
      <c r="C58" s="5" t="s">
        <v>245</v>
      </c>
      <c r="D58" s="5" t="s">
        <v>236</v>
      </c>
      <c r="E58" s="5">
        <v>61602</v>
      </c>
      <c r="F58" s="5">
        <v>-89.605021759533003</v>
      </c>
      <c r="G58" s="5">
        <v>40.677883906586302</v>
      </c>
      <c r="H58" s="5" t="s">
        <v>61</v>
      </c>
      <c r="I58" s="5" t="s">
        <v>62</v>
      </c>
      <c r="J58" s="5" t="s">
        <v>63</v>
      </c>
      <c r="K58" s="5">
        <v>135</v>
      </c>
      <c r="L58" s="5" t="s">
        <v>64</v>
      </c>
    </row>
    <row r="59" spans="1:12" ht="15.75" customHeight="1" x14ac:dyDescent="0.25">
      <c r="A59" s="5" t="s">
        <v>246</v>
      </c>
      <c r="B59" s="5" t="s">
        <v>247</v>
      </c>
      <c r="C59" s="5" t="s">
        <v>195</v>
      </c>
      <c r="D59" s="5" t="s">
        <v>232</v>
      </c>
      <c r="E59" s="5">
        <v>61434</v>
      </c>
      <c r="F59" s="5">
        <v>-90.027110389499995</v>
      </c>
      <c r="G59" s="5">
        <v>41.1640779122</v>
      </c>
      <c r="H59" s="5" t="s">
        <v>61</v>
      </c>
      <c r="I59" s="5" t="s">
        <v>62</v>
      </c>
      <c r="J59" s="5" t="s">
        <v>63</v>
      </c>
      <c r="K59" s="5">
        <v>130</v>
      </c>
      <c r="L59" s="5" t="s">
        <v>64</v>
      </c>
    </row>
    <row r="60" spans="1:12" ht="15.75" customHeight="1" x14ac:dyDescent="0.25">
      <c r="A60" s="5" t="s">
        <v>248</v>
      </c>
      <c r="B60" s="5" t="s">
        <v>249</v>
      </c>
      <c r="C60" s="5" t="s">
        <v>250</v>
      </c>
      <c r="D60" s="5" t="s">
        <v>232</v>
      </c>
      <c r="E60" s="5">
        <v>61068</v>
      </c>
      <c r="F60" s="5">
        <v>-89.033867999999998</v>
      </c>
      <c r="G60" s="5">
        <v>41.893397</v>
      </c>
      <c r="H60" s="5" t="s">
        <v>61</v>
      </c>
      <c r="I60" s="5" t="s">
        <v>62</v>
      </c>
      <c r="J60" s="5" t="s">
        <v>63</v>
      </c>
      <c r="K60" s="5">
        <v>130</v>
      </c>
      <c r="L60" s="5" t="s">
        <v>64</v>
      </c>
    </row>
    <row r="61" spans="1:12" ht="15.75" customHeight="1" x14ac:dyDescent="0.25">
      <c r="A61" s="5" t="s">
        <v>251</v>
      </c>
      <c r="B61" s="5" t="s">
        <v>252</v>
      </c>
      <c r="C61" s="5" t="s">
        <v>253</v>
      </c>
      <c r="D61" s="5" t="s">
        <v>232</v>
      </c>
      <c r="E61" s="5">
        <v>61234</v>
      </c>
      <c r="F61" s="5">
        <v>-89.872358000000006</v>
      </c>
      <c r="G61" s="5">
        <v>41.393852000000003</v>
      </c>
      <c r="H61" s="5" t="s">
        <v>61</v>
      </c>
      <c r="I61" s="5" t="s">
        <v>62</v>
      </c>
      <c r="J61" s="5" t="s">
        <v>63</v>
      </c>
      <c r="K61" s="5">
        <v>130</v>
      </c>
      <c r="L61" s="5" t="s">
        <v>64</v>
      </c>
    </row>
    <row r="62" spans="1:12" ht="15.75" customHeight="1" x14ac:dyDescent="0.25">
      <c r="A62" s="5" t="s">
        <v>254</v>
      </c>
      <c r="B62" s="5" t="s">
        <v>255</v>
      </c>
      <c r="C62" s="5" t="s">
        <v>256</v>
      </c>
      <c r="D62" s="5" t="s">
        <v>232</v>
      </c>
      <c r="E62" s="5">
        <v>62062</v>
      </c>
      <c r="F62" s="5">
        <v>-90.178544408199997</v>
      </c>
      <c r="G62" s="5">
        <v>38.681721979599999</v>
      </c>
      <c r="H62" s="5" t="s">
        <v>61</v>
      </c>
      <c r="I62" s="5" t="s">
        <v>62</v>
      </c>
      <c r="J62" s="5" t="s">
        <v>63</v>
      </c>
      <c r="K62" s="5">
        <v>90</v>
      </c>
      <c r="L62" s="5" t="s">
        <v>64</v>
      </c>
    </row>
    <row r="63" spans="1:12" ht="15.75" customHeight="1" x14ac:dyDescent="0.25">
      <c r="A63" s="5" t="s">
        <v>257</v>
      </c>
      <c r="B63" s="5" t="s">
        <v>258</v>
      </c>
      <c r="C63" s="5" t="s">
        <v>259</v>
      </c>
      <c r="D63" s="5" t="s">
        <v>232</v>
      </c>
      <c r="E63" s="5">
        <v>62451</v>
      </c>
      <c r="F63" s="5">
        <v>-87.6269458867</v>
      </c>
      <c r="G63" s="5">
        <v>39.005833851200002</v>
      </c>
      <c r="H63" s="5" t="s">
        <v>61</v>
      </c>
      <c r="I63" s="5" t="s">
        <v>62</v>
      </c>
      <c r="J63" s="5" t="s">
        <v>63</v>
      </c>
      <c r="K63" s="5">
        <v>62</v>
      </c>
      <c r="L63" s="5" t="s">
        <v>64</v>
      </c>
    </row>
    <row r="64" spans="1:12" ht="15.75" customHeight="1" x14ac:dyDescent="0.25">
      <c r="A64" s="5" t="s">
        <v>260</v>
      </c>
      <c r="B64" s="5" t="s">
        <v>261</v>
      </c>
      <c r="C64" s="5" t="s">
        <v>262</v>
      </c>
      <c r="D64" s="5" t="s">
        <v>232</v>
      </c>
      <c r="E64" s="5">
        <v>61327</v>
      </c>
      <c r="F64" s="5">
        <v>-89.304253799999998</v>
      </c>
      <c r="G64" s="5">
        <v>41.259179500000002</v>
      </c>
      <c r="H64" s="5" t="s">
        <v>61</v>
      </c>
      <c r="I64" s="5" t="s">
        <v>62</v>
      </c>
      <c r="J64" s="5" t="s">
        <v>63</v>
      </c>
      <c r="K64" s="5">
        <v>400</v>
      </c>
      <c r="L64" s="5" t="s">
        <v>64</v>
      </c>
    </row>
    <row r="65" spans="1:12" ht="15.75" customHeight="1" x14ac:dyDescent="0.25">
      <c r="A65" s="5" t="s">
        <v>263</v>
      </c>
      <c r="B65" s="5" t="s">
        <v>264</v>
      </c>
      <c r="C65" s="5" t="s">
        <v>265</v>
      </c>
      <c r="D65" s="5" t="s">
        <v>232</v>
      </c>
      <c r="E65" s="5">
        <v>60936</v>
      </c>
      <c r="F65" s="5">
        <v>-88.398514000000006</v>
      </c>
      <c r="G65" s="5">
        <v>40.465708999999997</v>
      </c>
      <c r="H65" s="5" t="s">
        <v>61</v>
      </c>
      <c r="I65" s="5" t="s">
        <v>62</v>
      </c>
      <c r="J65" s="5" t="s">
        <v>63</v>
      </c>
      <c r="K65" s="5">
        <v>150</v>
      </c>
      <c r="L65" s="5" t="s">
        <v>64</v>
      </c>
    </row>
    <row r="66" spans="1:12" ht="15.75" customHeight="1" x14ac:dyDescent="0.25">
      <c r="A66" s="5" t="s">
        <v>266</v>
      </c>
      <c r="B66" s="5" t="s">
        <v>267</v>
      </c>
      <c r="C66" s="5" t="s">
        <v>268</v>
      </c>
      <c r="D66" s="5" t="s">
        <v>269</v>
      </c>
      <c r="E66" s="5">
        <v>47390</v>
      </c>
      <c r="F66" s="5">
        <v>-84.8647809</v>
      </c>
      <c r="G66" s="5">
        <v>40.184928900000003</v>
      </c>
      <c r="H66" s="5" t="s">
        <v>61</v>
      </c>
      <c r="I66" s="5" t="s">
        <v>62</v>
      </c>
      <c r="J66" s="5" t="s">
        <v>63</v>
      </c>
      <c r="K66" s="5">
        <v>140</v>
      </c>
      <c r="L66" s="5" t="s">
        <v>64</v>
      </c>
    </row>
    <row r="67" spans="1:12" ht="15.75" customHeight="1" x14ac:dyDescent="0.25">
      <c r="A67" s="5" t="s">
        <v>270</v>
      </c>
      <c r="B67" s="5" t="s">
        <v>271</v>
      </c>
      <c r="C67" s="5" t="s">
        <v>272</v>
      </c>
      <c r="D67" s="5" t="s">
        <v>269</v>
      </c>
      <c r="E67" s="5">
        <v>46952</v>
      </c>
      <c r="F67" s="5">
        <v>-85.712730199999996</v>
      </c>
      <c r="G67" s="5">
        <v>40.563160699999997</v>
      </c>
      <c r="H67" s="5" t="s">
        <v>61</v>
      </c>
      <c r="I67" s="5" t="s">
        <v>62</v>
      </c>
      <c r="J67" s="5" t="s">
        <v>63</v>
      </c>
      <c r="K67" s="5">
        <v>60</v>
      </c>
      <c r="L67" s="5" t="s">
        <v>64</v>
      </c>
    </row>
    <row r="68" spans="1:12" ht="15.75" customHeight="1" x14ac:dyDescent="0.25">
      <c r="A68" s="5" t="s">
        <v>273</v>
      </c>
      <c r="B68" s="5" t="s">
        <v>274</v>
      </c>
      <c r="C68" s="5" t="s">
        <v>275</v>
      </c>
      <c r="D68" s="5" t="s">
        <v>269</v>
      </c>
      <c r="E68" s="5">
        <v>47501</v>
      </c>
      <c r="F68" s="5">
        <v>-85.544758799999997</v>
      </c>
      <c r="G68" s="5">
        <v>41.086672900000003</v>
      </c>
      <c r="H68" s="5" t="s">
        <v>61</v>
      </c>
      <c r="I68" s="5" t="s">
        <v>62</v>
      </c>
      <c r="J68" s="5" t="s">
        <v>63</v>
      </c>
      <c r="K68" s="5">
        <v>35</v>
      </c>
      <c r="L68" s="5" t="s">
        <v>64</v>
      </c>
    </row>
    <row r="69" spans="1:12" ht="15.75" customHeight="1" x14ac:dyDescent="0.25">
      <c r="A69" s="5" t="s">
        <v>276</v>
      </c>
      <c r="B69" s="5" t="s">
        <v>277</v>
      </c>
      <c r="C69" s="5" t="s">
        <v>278</v>
      </c>
      <c r="D69" s="5" t="s">
        <v>269</v>
      </c>
      <c r="E69" s="5">
        <v>47620</v>
      </c>
      <c r="F69" s="5">
        <v>-87.725630899999999</v>
      </c>
      <c r="G69" s="5">
        <v>37.905635699999998</v>
      </c>
      <c r="H69" s="5" t="s">
        <v>61</v>
      </c>
      <c r="I69" s="5" t="s">
        <v>62</v>
      </c>
      <c r="J69" s="5" t="s">
        <v>63</v>
      </c>
      <c r="K69" s="5">
        <v>90</v>
      </c>
      <c r="L69" s="5" t="s">
        <v>64</v>
      </c>
    </row>
    <row r="70" spans="1:12" ht="15.75" customHeight="1" x14ac:dyDescent="0.25">
      <c r="A70" s="5" t="s">
        <v>279</v>
      </c>
      <c r="B70" s="5" t="s">
        <v>280</v>
      </c>
      <c r="C70" s="5" t="s">
        <v>281</v>
      </c>
      <c r="D70" s="5" t="s">
        <v>269</v>
      </c>
      <c r="E70" s="5">
        <v>47978</v>
      </c>
      <c r="F70" s="5">
        <v>-87.150841200000002</v>
      </c>
      <c r="G70" s="5">
        <v>40.936712100000001</v>
      </c>
      <c r="H70" s="5" t="s">
        <v>61</v>
      </c>
      <c r="I70" s="5" t="s">
        <v>62</v>
      </c>
      <c r="J70" s="5" t="s">
        <v>63</v>
      </c>
      <c r="K70" s="5">
        <v>50</v>
      </c>
      <c r="L70" s="5" t="s">
        <v>64</v>
      </c>
    </row>
    <row r="71" spans="1:12" ht="15.75" customHeight="1" x14ac:dyDescent="0.25">
      <c r="A71" s="5" t="s">
        <v>282</v>
      </c>
      <c r="B71" s="5" t="s">
        <v>283</v>
      </c>
      <c r="C71" s="5" t="s">
        <v>284</v>
      </c>
      <c r="D71" s="5" t="s">
        <v>269</v>
      </c>
      <c r="E71" s="5">
        <v>46001</v>
      </c>
      <c r="F71" s="5">
        <v>-85.654530399999999</v>
      </c>
      <c r="G71" s="5">
        <v>40.296594900000002</v>
      </c>
      <c r="H71" s="5" t="s">
        <v>61</v>
      </c>
      <c r="I71" s="5" t="s">
        <v>62</v>
      </c>
      <c r="J71" s="5" t="s">
        <v>63</v>
      </c>
      <c r="K71" s="5">
        <v>80</v>
      </c>
      <c r="L71" s="5" t="s">
        <v>64</v>
      </c>
    </row>
    <row r="72" spans="1:12" ht="15.75" customHeight="1" x14ac:dyDescent="0.25">
      <c r="A72" s="5" t="s">
        <v>285</v>
      </c>
      <c r="B72" s="5" t="s">
        <v>286</v>
      </c>
      <c r="C72" s="5" t="s">
        <v>287</v>
      </c>
      <c r="D72" s="5" t="s">
        <v>269</v>
      </c>
      <c r="E72" s="5">
        <v>46120</v>
      </c>
      <c r="F72" s="5">
        <v>-86.810617399999998</v>
      </c>
      <c r="G72" s="5">
        <v>39.5442082</v>
      </c>
      <c r="H72" s="5" t="s">
        <v>61</v>
      </c>
      <c r="I72" s="5" t="s">
        <v>62</v>
      </c>
      <c r="J72" s="5" t="s">
        <v>63</v>
      </c>
      <c r="K72" s="5">
        <v>90</v>
      </c>
      <c r="L72" s="5" t="s">
        <v>64</v>
      </c>
    </row>
    <row r="73" spans="1:12" ht="15.75" customHeight="1" x14ac:dyDescent="0.25">
      <c r="A73" s="5" t="s">
        <v>288</v>
      </c>
      <c r="B73" s="5" t="s">
        <v>289</v>
      </c>
      <c r="C73" s="5" t="s">
        <v>290</v>
      </c>
      <c r="D73" s="5" t="s">
        <v>269</v>
      </c>
      <c r="E73" s="5">
        <v>46962</v>
      </c>
      <c r="F73" s="5">
        <v>-85.785224999999997</v>
      </c>
      <c r="G73" s="5">
        <v>40.945737000000001</v>
      </c>
      <c r="H73" s="5" t="s">
        <v>61</v>
      </c>
      <c r="I73" s="5" t="s">
        <v>62</v>
      </c>
      <c r="J73" s="5" t="s">
        <v>63</v>
      </c>
      <c r="K73" s="5">
        <v>80</v>
      </c>
      <c r="L73" s="5" t="s">
        <v>64</v>
      </c>
    </row>
    <row r="74" spans="1:12" ht="15.75" customHeight="1" x14ac:dyDescent="0.25">
      <c r="A74" s="5" t="s">
        <v>291</v>
      </c>
      <c r="B74" s="5" t="s">
        <v>292</v>
      </c>
      <c r="C74" s="5" t="s">
        <v>293</v>
      </c>
      <c r="D74" s="5" t="s">
        <v>269</v>
      </c>
      <c r="E74" s="5">
        <v>47371</v>
      </c>
      <c r="F74" s="5">
        <v>-85.019385400000004</v>
      </c>
      <c r="G74" s="5">
        <v>40.415619900000003</v>
      </c>
      <c r="H74" s="5" t="s">
        <v>61</v>
      </c>
      <c r="I74" s="5" t="s">
        <v>62</v>
      </c>
      <c r="J74" s="5" t="s">
        <v>63</v>
      </c>
      <c r="K74" s="5">
        <v>80</v>
      </c>
      <c r="L74" s="5" t="s">
        <v>64</v>
      </c>
    </row>
    <row r="75" spans="1:12" ht="15.75" customHeight="1" x14ac:dyDescent="0.25">
      <c r="A75" s="5" t="s">
        <v>294</v>
      </c>
      <c r="B75" s="5" t="s">
        <v>295</v>
      </c>
      <c r="C75" s="5" t="s">
        <v>296</v>
      </c>
      <c r="D75" s="5" t="s">
        <v>269</v>
      </c>
      <c r="E75" s="5">
        <v>46176</v>
      </c>
      <c r="F75" s="5">
        <v>-85.821523999999997</v>
      </c>
      <c r="G75" s="5">
        <v>39.565479000000003</v>
      </c>
      <c r="H75" s="5" t="s">
        <v>61</v>
      </c>
      <c r="I75" s="5" t="s">
        <v>62</v>
      </c>
      <c r="J75" s="5" t="s">
        <v>63</v>
      </c>
      <c r="K75" s="5">
        <v>80</v>
      </c>
      <c r="L75" s="5" t="s">
        <v>64</v>
      </c>
    </row>
    <row r="76" spans="1:12" ht="15.75" customHeight="1" x14ac:dyDescent="0.25">
      <c r="A76" s="5" t="s">
        <v>297</v>
      </c>
      <c r="B76" s="5" t="s">
        <v>298</v>
      </c>
      <c r="C76" s="5" t="s">
        <v>299</v>
      </c>
      <c r="D76" s="5" t="s">
        <v>300</v>
      </c>
      <c r="E76" s="5">
        <v>46613</v>
      </c>
      <c r="F76" s="5">
        <v>-86.293508001831995</v>
      </c>
      <c r="G76" s="5">
        <v>41.654537625255898</v>
      </c>
      <c r="H76" s="5" t="s">
        <v>61</v>
      </c>
      <c r="I76" s="5" t="s">
        <v>62</v>
      </c>
      <c r="J76" s="5" t="s">
        <v>63</v>
      </c>
      <c r="K76" s="5">
        <v>100</v>
      </c>
      <c r="L76" s="5" t="s">
        <v>64</v>
      </c>
    </row>
    <row r="77" spans="1:12" ht="15.75" customHeight="1" x14ac:dyDescent="0.25">
      <c r="A77" s="5" t="s">
        <v>301</v>
      </c>
      <c r="B77" s="5" t="s">
        <v>302</v>
      </c>
      <c r="C77" s="5" t="s">
        <v>303</v>
      </c>
      <c r="D77" s="5" t="s">
        <v>269</v>
      </c>
      <c r="E77" s="5">
        <v>46947</v>
      </c>
      <c r="F77" s="5">
        <v>-86.438838000000004</v>
      </c>
      <c r="G77" s="5">
        <v>40.718429999999998</v>
      </c>
      <c r="H77" s="5" t="s">
        <v>61</v>
      </c>
      <c r="I77" s="5" t="s">
        <v>62</v>
      </c>
      <c r="J77" s="5" t="s">
        <v>63</v>
      </c>
      <c r="K77" s="5">
        <v>135</v>
      </c>
      <c r="L77" s="5" t="s">
        <v>64</v>
      </c>
    </row>
    <row r="78" spans="1:12" ht="15.75" customHeight="1" x14ac:dyDescent="0.25">
      <c r="A78" s="5" t="s">
        <v>304</v>
      </c>
      <c r="B78" s="5" t="s">
        <v>305</v>
      </c>
      <c r="C78" s="5" t="s">
        <v>306</v>
      </c>
      <c r="D78" s="5" t="s">
        <v>269</v>
      </c>
      <c r="E78" s="5">
        <v>46714</v>
      </c>
      <c r="F78" s="5">
        <v>-85.199242999999996</v>
      </c>
      <c r="G78" s="5">
        <v>40.721220000000002</v>
      </c>
      <c r="H78" s="5" t="s">
        <v>61</v>
      </c>
      <c r="I78" s="5" t="s">
        <v>62</v>
      </c>
      <c r="J78" s="5" t="s">
        <v>63</v>
      </c>
      <c r="K78" s="5">
        <v>130</v>
      </c>
      <c r="L78" s="5" t="s">
        <v>64</v>
      </c>
    </row>
    <row r="79" spans="1:12" ht="15.75" customHeight="1" x14ac:dyDescent="0.25">
      <c r="A79" s="5" t="s">
        <v>307</v>
      </c>
      <c r="B79" s="5" t="s">
        <v>308</v>
      </c>
      <c r="C79" s="5" t="s">
        <v>309</v>
      </c>
      <c r="D79" s="5" t="s">
        <v>269</v>
      </c>
      <c r="E79" s="5">
        <v>47955</v>
      </c>
      <c r="F79" s="5">
        <v>-86.897125200000005</v>
      </c>
      <c r="G79" s="5">
        <v>40.200202400000002</v>
      </c>
      <c r="H79" s="5" t="s">
        <v>61</v>
      </c>
      <c r="I79" s="5" t="s">
        <v>62</v>
      </c>
      <c r="J79" s="5" t="s">
        <v>63</v>
      </c>
      <c r="K79" s="5">
        <v>135</v>
      </c>
      <c r="L79" s="5" t="s">
        <v>64</v>
      </c>
    </row>
    <row r="80" spans="1:12" ht="15.75" customHeight="1" x14ac:dyDescent="0.25">
      <c r="A80" s="5" t="s">
        <v>310</v>
      </c>
      <c r="B80" s="5" t="s">
        <v>311</v>
      </c>
      <c r="C80" s="5" t="s">
        <v>278</v>
      </c>
      <c r="D80" s="5" t="s">
        <v>269</v>
      </c>
      <c r="E80" s="5">
        <v>47620</v>
      </c>
      <c r="F80" s="5">
        <v>-87.872284500000006</v>
      </c>
      <c r="G80" s="5">
        <v>37.932406899999997</v>
      </c>
      <c r="H80" s="5" t="s">
        <v>61</v>
      </c>
      <c r="I80" s="5" t="s">
        <v>62</v>
      </c>
      <c r="J80" s="5" t="s">
        <v>63</v>
      </c>
      <c r="K80" s="5">
        <v>100</v>
      </c>
      <c r="L80" s="5" t="s">
        <v>64</v>
      </c>
    </row>
    <row r="81" spans="1:26" ht="15.75" customHeight="1" x14ac:dyDescent="0.25">
      <c r="A81" s="5" t="s">
        <v>312</v>
      </c>
      <c r="B81" s="5" t="s">
        <v>313</v>
      </c>
      <c r="C81" s="5" t="s">
        <v>314</v>
      </c>
      <c r="D81" s="5" t="s">
        <v>315</v>
      </c>
      <c r="E81" s="5">
        <v>67661</v>
      </c>
      <c r="F81" s="5">
        <v>-99.306550000000001</v>
      </c>
      <c r="G81" s="5">
        <v>39.761400000000002</v>
      </c>
      <c r="H81" s="5" t="s">
        <v>97</v>
      </c>
      <c r="I81" s="5" t="s">
        <v>62</v>
      </c>
      <c r="J81" s="5" t="s">
        <v>70</v>
      </c>
      <c r="K81" s="5">
        <v>50</v>
      </c>
      <c r="L81" s="5" t="s">
        <v>64</v>
      </c>
    </row>
    <row r="82" spans="1:26" ht="15.75" customHeight="1" x14ac:dyDescent="0.25">
      <c r="A82" s="5" t="s">
        <v>316</v>
      </c>
      <c r="B82" s="5" t="s">
        <v>317</v>
      </c>
      <c r="C82" s="5" t="s">
        <v>318</v>
      </c>
      <c r="D82" s="5" t="s">
        <v>315</v>
      </c>
      <c r="E82" s="5">
        <v>67901</v>
      </c>
      <c r="F82" s="5">
        <v>-100.923695</v>
      </c>
      <c r="G82" s="5">
        <v>37.040821000000001</v>
      </c>
      <c r="H82" s="5" t="s">
        <v>69</v>
      </c>
      <c r="I82" s="5" t="s">
        <v>62</v>
      </c>
      <c r="J82" s="5" t="s">
        <v>63</v>
      </c>
      <c r="K82" s="5">
        <v>115</v>
      </c>
      <c r="L82" s="5" t="s">
        <v>64</v>
      </c>
    </row>
    <row r="83" spans="1:26" ht="15.75" customHeight="1" x14ac:dyDescent="0.25">
      <c r="A83" s="5" t="s">
        <v>319</v>
      </c>
      <c r="B83" s="5" t="s">
        <v>320</v>
      </c>
      <c r="C83" s="5" t="s">
        <v>321</v>
      </c>
      <c r="D83" s="5" t="s">
        <v>315</v>
      </c>
      <c r="E83" s="5">
        <v>67846</v>
      </c>
      <c r="F83" s="5">
        <v>-100.8368373</v>
      </c>
      <c r="G83" s="5">
        <v>37.957898499999999</v>
      </c>
      <c r="H83" s="5" t="s">
        <v>69</v>
      </c>
      <c r="I83" s="5" t="s">
        <v>62</v>
      </c>
      <c r="J83" s="5" t="s">
        <v>63</v>
      </c>
      <c r="K83" s="5">
        <v>55</v>
      </c>
      <c r="L83" s="5" t="s">
        <v>64</v>
      </c>
    </row>
    <row r="84" spans="1:26" ht="15.75" customHeight="1" x14ac:dyDescent="0.25">
      <c r="A84" s="5" t="s">
        <v>322</v>
      </c>
      <c r="B84" s="5" t="s">
        <v>323</v>
      </c>
      <c r="C84" s="5" t="s">
        <v>324</v>
      </c>
      <c r="D84" s="5" t="s">
        <v>315</v>
      </c>
      <c r="E84" s="5">
        <v>67030</v>
      </c>
      <c r="F84" s="5">
        <v>-97.530659999999997</v>
      </c>
      <c r="G84" s="10">
        <v>37.786000000000001</v>
      </c>
      <c r="H84" s="5" t="s">
        <v>325</v>
      </c>
      <c r="I84" s="5" t="s">
        <v>62</v>
      </c>
      <c r="J84" s="5" t="s">
        <v>63</v>
      </c>
      <c r="K84" s="5">
        <v>70</v>
      </c>
      <c r="L84" s="5" t="s">
        <v>64</v>
      </c>
    </row>
    <row r="85" spans="1:26" ht="15.75" customHeight="1" x14ac:dyDescent="0.25">
      <c r="A85" s="5" t="s">
        <v>326</v>
      </c>
      <c r="B85" s="5" t="s">
        <v>327</v>
      </c>
      <c r="C85" s="5" t="s">
        <v>328</v>
      </c>
      <c r="D85" s="5" t="s">
        <v>315</v>
      </c>
      <c r="E85" s="5">
        <v>66032</v>
      </c>
      <c r="F85" s="5">
        <v>-95.2382226</v>
      </c>
      <c r="G85" s="5">
        <v>38.271284000000001</v>
      </c>
      <c r="H85" s="5" t="s">
        <v>61</v>
      </c>
      <c r="I85" s="5" t="s">
        <v>62</v>
      </c>
      <c r="J85" s="5" t="s">
        <v>63</v>
      </c>
      <c r="K85" s="5">
        <v>48</v>
      </c>
      <c r="L85" s="5" t="s">
        <v>64</v>
      </c>
    </row>
    <row r="86" spans="1:26" ht="15.75" customHeight="1" x14ac:dyDescent="0.25">
      <c r="A86" s="5" t="s">
        <v>329</v>
      </c>
      <c r="B86" s="5" t="s">
        <v>330</v>
      </c>
      <c r="C86" s="5" t="s">
        <v>331</v>
      </c>
      <c r="D86" s="5" t="s">
        <v>315</v>
      </c>
      <c r="E86" s="5">
        <v>67554</v>
      </c>
      <c r="F86" s="5">
        <v>-98.054027399999995</v>
      </c>
      <c r="G86" s="5">
        <v>38.289619899999998</v>
      </c>
      <c r="H86" s="5" t="s">
        <v>69</v>
      </c>
      <c r="I86" s="5" t="s">
        <v>62</v>
      </c>
      <c r="J86" s="5" t="s">
        <v>63</v>
      </c>
      <c r="K86" s="5">
        <v>80</v>
      </c>
      <c r="L86" s="5" t="s">
        <v>64</v>
      </c>
    </row>
    <row r="87" spans="1:26" ht="15.75" customHeight="1" x14ac:dyDescent="0.25">
      <c r="A87" s="5" t="s">
        <v>332</v>
      </c>
      <c r="B87" s="5" t="s">
        <v>333</v>
      </c>
      <c r="C87" s="5" t="s">
        <v>334</v>
      </c>
      <c r="D87" s="5" t="s">
        <v>315</v>
      </c>
      <c r="E87" s="5">
        <v>66002</v>
      </c>
      <c r="F87" s="5">
        <v>-95.11506</v>
      </c>
      <c r="G87" s="5">
        <v>39.561810000000001</v>
      </c>
      <c r="H87" s="5" t="s">
        <v>325</v>
      </c>
      <c r="I87" s="5" t="s">
        <v>62</v>
      </c>
      <c r="J87" s="5" t="s">
        <v>63</v>
      </c>
      <c r="K87" s="5">
        <v>35</v>
      </c>
      <c r="L87" s="5" t="s">
        <v>64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5" t="s">
        <v>335</v>
      </c>
      <c r="B88" s="5" t="s">
        <v>336</v>
      </c>
      <c r="C88" s="5" t="s">
        <v>337</v>
      </c>
      <c r="D88" s="5" t="s">
        <v>315</v>
      </c>
      <c r="E88" s="5">
        <v>66966</v>
      </c>
      <c r="F88" s="5">
        <v>-97.821359999999999</v>
      </c>
      <c r="G88" s="5">
        <v>39.786639999999998</v>
      </c>
      <c r="H88" s="5" t="s">
        <v>325</v>
      </c>
      <c r="I88" s="5" t="s">
        <v>62</v>
      </c>
      <c r="J88" s="5" t="s">
        <v>63</v>
      </c>
      <c r="K88" s="5">
        <v>10</v>
      </c>
      <c r="L88" s="5" t="s">
        <v>64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5" t="s">
        <v>338</v>
      </c>
      <c r="B89" s="5" t="s">
        <v>339</v>
      </c>
      <c r="C89" s="5" t="s">
        <v>340</v>
      </c>
      <c r="D89" s="5" t="s">
        <v>315</v>
      </c>
      <c r="E89" s="5">
        <v>67124</v>
      </c>
      <c r="F89" s="5">
        <v>-98.702498199999994</v>
      </c>
      <c r="G89" s="5">
        <v>37.689591</v>
      </c>
      <c r="H89" s="5" t="s">
        <v>69</v>
      </c>
      <c r="I89" s="5" t="s">
        <v>62</v>
      </c>
      <c r="J89" s="5" t="s">
        <v>63</v>
      </c>
      <c r="K89" s="5">
        <v>58</v>
      </c>
      <c r="L89" s="5" t="s">
        <v>64</v>
      </c>
    </row>
    <row r="90" spans="1:26" ht="15.75" customHeight="1" x14ac:dyDescent="0.25">
      <c r="A90" s="5" t="s">
        <v>341</v>
      </c>
      <c r="B90" s="5" t="s">
        <v>342</v>
      </c>
      <c r="C90" s="5" t="s">
        <v>321</v>
      </c>
      <c r="D90" s="5" t="s">
        <v>315</v>
      </c>
      <c r="E90" s="5">
        <v>67846</v>
      </c>
      <c r="F90" s="5">
        <v>-100.8840421</v>
      </c>
      <c r="G90" s="5">
        <v>37.882159399999999</v>
      </c>
      <c r="H90" s="5" t="s">
        <v>61</v>
      </c>
      <c r="I90" s="5" t="s">
        <v>62</v>
      </c>
      <c r="J90" s="5" t="s">
        <v>63</v>
      </c>
      <c r="K90" s="5">
        <v>17</v>
      </c>
      <c r="L90" s="5" t="s">
        <v>64</v>
      </c>
    </row>
    <row r="91" spans="1:26" ht="15.75" customHeight="1" x14ac:dyDescent="0.25">
      <c r="A91" s="5" t="s">
        <v>343</v>
      </c>
      <c r="B91" s="5" t="s">
        <v>344</v>
      </c>
      <c r="C91" s="5" t="s">
        <v>345</v>
      </c>
      <c r="D91" s="5" t="s">
        <v>315</v>
      </c>
      <c r="E91" s="5">
        <v>64504</v>
      </c>
      <c r="F91" s="5">
        <v>-94.875</v>
      </c>
      <c r="G91" s="5">
        <v>39.71472</v>
      </c>
      <c r="H91" s="5" t="s">
        <v>61</v>
      </c>
      <c r="I91" s="5" t="s">
        <v>62</v>
      </c>
      <c r="J91" s="5" t="s">
        <v>63</v>
      </c>
      <c r="K91" s="5">
        <v>40</v>
      </c>
      <c r="L91" s="5" t="s">
        <v>64</v>
      </c>
    </row>
    <row r="92" spans="1:26" ht="15.75" customHeight="1" x14ac:dyDescent="0.25">
      <c r="A92" s="5" t="s">
        <v>346</v>
      </c>
      <c r="B92" s="5" t="s">
        <v>347</v>
      </c>
      <c r="C92" s="5" t="s">
        <v>348</v>
      </c>
      <c r="D92" s="5" t="s">
        <v>315</v>
      </c>
      <c r="E92" s="5">
        <v>67748</v>
      </c>
      <c r="F92" s="5">
        <v>-100.73962160000001</v>
      </c>
      <c r="G92" s="5">
        <v>39.061760599999999</v>
      </c>
      <c r="H92" s="5" t="s">
        <v>69</v>
      </c>
      <c r="I92" s="5" t="s">
        <v>62</v>
      </c>
      <c r="J92" s="5" t="s">
        <v>80</v>
      </c>
      <c r="K92" s="5">
        <v>50</v>
      </c>
      <c r="L92" s="5" t="s">
        <v>64</v>
      </c>
    </row>
    <row r="93" spans="1:26" ht="15.75" customHeight="1" x14ac:dyDescent="0.25">
      <c r="A93" s="5" t="s">
        <v>349</v>
      </c>
      <c r="B93" s="5" t="s">
        <v>350</v>
      </c>
      <c r="C93" s="5" t="s">
        <v>351</v>
      </c>
      <c r="D93" s="5" t="s">
        <v>352</v>
      </c>
      <c r="E93" s="5">
        <v>42241</v>
      </c>
      <c r="F93" s="5">
        <v>-87.413934400000002</v>
      </c>
      <c r="G93" s="5">
        <v>36.807110799999997</v>
      </c>
      <c r="H93" s="5" t="s">
        <v>61</v>
      </c>
      <c r="I93" s="5" t="s">
        <v>62</v>
      </c>
      <c r="J93" s="5" t="s">
        <v>63</v>
      </c>
      <c r="K93" s="5">
        <v>45</v>
      </c>
      <c r="L93" s="5" t="s">
        <v>64</v>
      </c>
    </row>
    <row r="94" spans="1:26" ht="15.75" customHeight="1" x14ac:dyDescent="0.25">
      <c r="A94" s="5" t="s">
        <v>353</v>
      </c>
      <c r="B94" s="5" t="s">
        <v>354</v>
      </c>
      <c r="C94" s="5" t="s">
        <v>355</v>
      </c>
      <c r="D94" s="5" t="s">
        <v>352</v>
      </c>
      <c r="E94" s="5">
        <v>40210</v>
      </c>
      <c r="F94" s="5">
        <v>-85.7872096726</v>
      </c>
      <c r="G94" s="5">
        <v>38.21845055</v>
      </c>
      <c r="H94" s="5" t="s">
        <v>79</v>
      </c>
      <c r="I94" s="5" t="s">
        <v>62</v>
      </c>
      <c r="J94" s="5" t="s">
        <v>80</v>
      </c>
      <c r="K94" s="5">
        <v>5</v>
      </c>
      <c r="L94" s="5" t="s">
        <v>64</v>
      </c>
    </row>
    <row r="95" spans="1:26" ht="15.75" customHeight="1" x14ac:dyDescent="0.25">
      <c r="A95" s="5" t="s">
        <v>356</v>
      </c>
      <c r="B95" s="5" t="s">
        <v>357</v>
      </c>
      <c r="C95" s="5" t="s">
        <v>358</v>
      </c>
      <c r="D95" s="5" t="s">
        <v>359</v>
      </c>
      <c r="E95" s="5">
        <v>48849</v>
      </c>
      <c r="F95" s="5">
        <v>-85.074696000000003</v>
      </c>
      <c r="G95" s="5">
        <v>42.735829000000003</v>
      </c>
      <c r="H95" s="5" t="s">
        <v>61</v>
      </c>
      <c r="I95" s="5" t="s">
        <v>62</v>
      </c>
      <c r="J95" s="5" t="s">
        <v>63</v>
      </c>
      <c r="K95" s="5">
        <v>60</v>
      </c>
      <c r="L95" s="5" t="s">
        <v>64</v>
      </c>
    </row>
    <row r="96" spans="1:26" ht="15.75" customHeight="1" x14ac:dyDescent="0.25">
      <c r="A96" s="5" t="s">
        <v>360</v>
      </c>
      <c r="B96" s="5" t="s">
        <v>361</v>
      </c>
      <c r="C96" s="5" t="s">
        <v>362</v>
      </c>
      <c r="D96" s="5" t="s">
        <v>359</v>
      </c>
      <c r="E96" s="5">
        <v>48040</v>
      </c>
      <c r="F96" s="5">
        <v>-82.488720000000001</v>
      </c>
      <c r="G96" s="5">
        <v>42.881055000000003</v>
      </c>
      <c r="H96" s="5" t="s">
        <v>61</v>
      </c>
      <c r="I96" s="5" t="s">
        <v>62</v>
      </c>
      <c r="J96" s="5" t="s">
        <v>63</v>
      </c>
      <c r="K96" s="5">
        <v>50</v>
      </c>
      <c r="L96" s="5" t="s">
        <v>64</v>
      </c>
    </row>
    <row r="97" spans="1:26" ht="15.75" customHeight="1" x14ac:dyDescent="0.25">
      <c r="A97" s="5" t="s">
        <v>363</v>
      </c>
      <c r="B97" s="5" t="s">
        <v>364</v>
      </c>
      <c r="C97" s="5" t="s">
        <v>365</v>
      </c>
      <c r="D97" s="5" t="s">
        <v>366</v>
      </c>
      <c r="E97" s="5">
        <v>48723</v>
      </c>
      <c r="F97" s="5">
        <v>-83.410624203640097</v>
      </c>
      <c r="G97" s="5">
        <v>43.472201385452699</v>
      </c>
      <c r="H97" s="5" t="s">
        <v>61</v>
      </c>
      <c r="I97" s="5" t="s">
        <v>62</v>
      </c>
      <c r="J97" s="5" t="s">
        <v>63</v>
      </c>
      <c r="K97" s="5">
        <v>72</v>
      </c>
      <c r="L97" s="5" t="s">
        <v>64</v>
      </c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5">
      <c r="A98" s="5" t="s">
        <v>367</v>
      </c>
      <c r="B98" s="5" t="s">
        <v>368</v>
      </c>
      <c r="C98" s="5" t="s">
        <v>369</v>
      </c>
      <c r="D98" s="5" t="s">
        <v>359</v>
      </c>
      <c r="E98" s="5">
        <v>49224</v>
      </c>
      <c r="F98" s="5">
        <v>-84.746604899999994</v>
      </c>
      <c r="G98" s="5">
        <v>42.263987999999998</v>
      </c>
      <c r="H98" s="5" t="s">
        <v>61</v>
      </c>
      <c r="I98" s="5" t="s">
        <v>62</v>
      </c>
      <c r="J98" s="5" t="s">
        <v>63</v>
      </c>
      <c r="K98" s="5">
        <v>140</v>
      </c>
      <c r="L98" s="5" t="s">
        <v>64</v>
      </c>
    </row>
    <row r="99" spans="1:26" ht="15.75" customHeight="1" x14ac:dyDescent="0.25">
      <c r="A99" s="5" t="s">
        <v>370</v>
      </c>
      <c r="B99" s="5" t="s">
        <v>371</v>
      </c>
      <c r="C99" s="5" t="s">
        <v>372</v>
      </c>
      <c r="D99" s="5" t="s">
        <v>359</v>
      </c>
      <c r="E99" s="5">
        <v>49228</v>
      </c>
      <c r="F99" s="5">
        <v>-83.844706288335402</v>
      </c>
      <c r="G99" s="5">
        <v>41.821786328358797</v>
      </c>
      <c r="H99" s="5" t="s">
        <v>61</v>
      </c>
      <c r="I99" s="5" t="s">
        <v>62</v>
      </c>
      <c r="J99" s="5" t="s">
        <v>63</v>
      </c>
      <c r="K99" s="5">
        <v>60</v>
      </c>
      <c r="L99" s="5" t="s">
        <v>64</v>
      </c>
    </row>
    <row r="100" spans="1:26" ht="15.75" customHeight="1" x14ac:dyDescent="0.25">
      <c r="A100" s="5" t="s">
        <v>373</v>
      </c>
      <c r="B100" s="5" t="s">
        <v>374</v>
      </c>
      <c r="C100" s="5" t="s">
        <v>375</v>
      </c>
      <c r="D100" s="5" t="s">
        <v>376</v>
      </c>
      <c r="E100" s="5">
        <v>55924</v>
      </c>
      <c r="F100" s="5">
        <v>-93.017616349700006</v>
      </c>
      <c r="G100" s="5">
        <v>44.0505274</v>
      </c>
      <c r="H100" s="5" t="s">
        <v>61</v>
      </c>
      <c r="I100" s="5" t="s">
        <v>62</v>
      </c>
      <c r="J100" s="5" t="s">
        <v>63</v>
      </c>
      <c r="K100" s="5">
        <v>130</v>
      </c>
      <c r="L100" s="5" t="s">
        <v>64</v>
      </c>
    </row>
    <row r="101" spans="1:26" ht="15.75" customHeight="1" x14ac:dyDescent="0.25">
      <c r="A101" s="5" t="s">
        <v>377</v>
      </c>
      <c r="B101" s="5" t="s">
        <v>378</v>
      </c>
      <c r="C101" s="5" t="s">
        <v>379</v>
      </c>
      <c r="D101" s="5" t="s">
        <v>376</v>
      </c>
      <c r="E101" s="5">
        <v>56258</v>
      </c>
      <c r="F101" s="5">
        <v>-95.791032000000001</v>
      </c>
      <c r="G101" s="5">
        <v>44.470351999999998</v>
      </c>
      <c r="H101" s="5" t="s">
        <v>61</v>
      </c>
      <c r="I101" s="5" t="s">
        <v>62</v>
      </c>
      <c r="J101" s="5" t="s">
        <v>63</v>
      </c>
      <c r="K101" s="5">
        <v>48</v>
      </c>
      <c r="L101" s="5" t="s">
        <v>64</v>
      </c>
    </row>
    <row r="102" spans="1:26" ht="15.75" customHeight="1" x14ac:dyDescent="0.25">
      <c r="A102" s="5" t="s">
        <v>380</v>
      </c>
      <c r="B102" s="5" t="s">
        <v>381</v>
      </c>
      <c r="C102" s="5" t="s">
        <v>382</v>
      </c>
      <c r="D102" s="5" t="s">
        <v>376</v>
      </c>
      <c r="E102" s="5">
        <v>56209</v>
      </c>
      <c r="F102" s="5">
        <v>-94.8069402</v>
      </c>
      <c r="G102" s="5">
        <v>45.137043400000003</v>
      </c>
      <c r="H102" s="5" t="s">
        <v>61</v>
      </c>
      <c r="I102" s="5" t="s">
        <v>62</v>
      </c>
      <c r="J102" s="5" t="s">
        <v>63</v>
      </c>
      <c r="K102" s="5">
        <v>90</v>
      </c>
      <c r="L102" s="5" t="s">
        <v>64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5" t="s">
        <v>383</v>
      </c>
      <c r="B103" s="5" t="s">
        <v>384</v>
      </c>
      <c r="C103" s="5" t="s">
        <v>385</v>
      </c>
      <c r="D103" s="5" t="s">
        <v>376</v>
      </c>
      <c r="E103" s="5">
        <v>56215</v>
      </c>
      <c r="F103" s="5">
        <v>-95.640840642900002</v>
      </c>
      <c r="G103" s="5">
        <v>45.325547</v>
      </c>
      <c r="H103" s="5" t="s">
        <v>61</v>
      </c>
      <c r="I103" s="5" t="s">
        <v>62</v>
      </c>
      <c r="J103" s="5" t="s">
        <v>63</v>
      </c>
      <c r="K103" s="5">
        <v>50</v>
      </c>
      <c r="L103" s="5" t="s">
        <v>64</v>
      </c>
    </row>
    <row r="104" spans="1:26" ht="15.75" customHeight="1" x14ac:dyDescent="0.25">
      <c r="A104" s="5" t="s">
        <v>386</v>
      </c>
      <c r="B104" s="5" t="s">
        <v>387</v>
      </c>
      <c r="C104" s="5" t="s">
        <v>388</v>
      </c>
      <c r="D104" s="5" t="s">
        <v>376</v>
      </c>
      <c r="E104" s="5">
        <v>56267</v>
      </c>
      <c r="F104" s="5">
        <v>-95.912291400000001</v>
      </c>
      <c r="G104" s="5">
        <v>45.574675800000001</v>
      </c>
      <c r="H104" s="5" t="s">
        <v>61</v>
      </c>
      <c r="I104" s="5" t="s">
        <v>62</v>
      </c>
      <c r="J104" s="5" t="s">
        <v>70</v>
      </c>
      <c r="K104" s="5">
        <v>30</v>
      </c>
      <c r="L104" s="5" t="s">
        <v>64</v>
      </c>
    </row>
    <row r="105" spans="1:26" ht="15.75" customHeight="1" x14ac:dyDescent="0.25">
      <c r="A105" s="5" t="s">
        <v>389</v>
      </c>
      <c r="B105" s="5" t="s">
        <v>390</v>
      </c>
      <c r="C105" s="5" t="s">
        <v>391</v>
      </c>
      <c r="D105" s="5" t="s">
        <v>376</v>
      </c>
      <c r="E105" s="5" t="s">
        <v>392</v>
      </c>
      <c r="F105" s="5">
        <v>-96.133685999999997</v>
      </c>
      <c r="G105" s="5">
        <v>46.300660000000001</v>
      </c>
      <c r="H105" s="5" t="s">
        <v>61</v>
      </c>
      <c r="I105" s="5" t="s">
        <v>62</v>
      </c>
      <c r="J105" s="5" t="s">
        <v>63</v>
      </c>
      <c r="K105" s="5">
        <v>55</v>
      </c>
      <c r="L105" s="5" t="s">
        <v>64</v>
      </c>
    </row>
    <row r="106" spans="1:26" ht="15.75" customHeight="1" x14ac:dyDescent="0.25">
      <c r="A106" s="5" t="s">
        <v>393</v>
      </c>
      <c r="B106" s="5" t="s">
        <v>394</v>
      </c>
      <c r="C106" s="5" t="s">
        <v>395</v>
      </c>
      <c r="D106" s="5" t="s">
        <v>396</v>
      </c>
      <c r="E106" s="5">
        <v>56156</v>
      </c>
      <c r="F106" s="5">
        <v>-96.224570690685496</v>
      </c>
      <c r="G106" s="5">
        <v>43.647509346991299</v>
      </c>
      <c r="H106" s="5" t="s">
        <v>61</v>
      </c>
      <c r="I106" s="5" t="s">
        <v>62</v>
      </c>
      <c r="J106" s="5" t="s">
        <v>63</v>
      </c>
      <c r="K106" s="5">
        <v>20</v>
      </c>
      <c r="L106" s="5" t="s">
        <v>64</v>
      </c>
    </row>
    <row r="107" spans="1:26" ht="15.75" customHeight="1" x14ac:dyDescent="0.25">
      <c r="A107" s="5" t="s">
        <v>397</v>
      </c>
      <c r="B107" s="5" t="s">
        <v>398</v>
      </c>
      <c r="C107" s="5" t="s">
        <v>399</v>
      </c>
      <c r="D107" s="5" t="s">
        <v>376</v>
      </c>
      <c r="E107" s="5">
        <v>56241</v>
      </c>
      <c r="F107" s="5">
        <v>-95.484136800000002</v>
      </c>
      <c r="G107" s="5">
        <v>44.802894700000003</v>
      </c>
      <c r="H107" s="5" t="s">
        <v>61</v>
      </c>
      <c r="I107" s="5" t="s">
        <v>62</v>
      </c>
      <c r="J107" s="5" t="s">
        <v>63</v>
      </c>
      <c r="K107" s="5">
        <v>62</v>
      </c>
      <c r="L107" s="5" t="s">
        <v>64</v>
      </c>
    </row>
    <row r="108" spans="1:26" ht="15.75" customHeight="1" x14ac:dyDescent="0.25">
      <c r="A108" s="5" t="s">
        <v>400</v>
      </c>
      <c r="B108" s="5" t="s">
        <v>401</v>
      </c>
      <c r="C108" s="5" t="s">
        <v>402</v>
      </c>
      <c r="D108" s="5" t="s">
        <v>376</v>
      </c>
      <c r="E108" s="5">
        <v>56031</v>
      </c>
      <c r="F108" s="5">
        <v>-94.492533199999997</v>
      </c>
      <c r="G108" s="5">
        <v>43.667163799999997</v>
      </c>
      <c r="H108" s="5" t="s">
        <v>61</v>
      </c>
      <c r="I108" s="5" t="s">
        <v>62</v>
      </c>
      <c r="J108" s="5" t="s">
        <v>63</v>
      </c>
      <c r="K108" s="5">
        <v>119</v>
      </c>
      <c r="L108" s="5" t="s">
        <v>64</v>
      </c>
    </row>
    <row r="109" spans="1:26" ht="15.75" customHeight="1" x14ac:dyDescent="0.25">
      <c r="A109" s="5" t="s">
        <v>403</v>
      </c>
      <c r="B109" s="5" t="s">
        <v>404</v>
      </c>
      <c r="C109" s="5" t="s">
        <v>405</v>
      </c>
      <c r="D109" s="5" t="s">
        <v>396</v>
      </c>
      <c r="E109" s="5">
        <v>56098</v>
      </c>
      <c r="F109" s="5">
        <v>-94.151682532468897</v>
      </c>
      <c r="G109" s="5">
        <v>43.762264738804703</v>
      </c>
      <c r="H109" s="5" t="s">
        <v>61</v>
      </c>
      <c r="I109" s="5" t="s">
        <v>62</v>
      </c>
      <c r="J109" s="5" t="s">
        <v>63</v>
      </c>
      <c r="K109" s="5">
        <v>48</v>
      </c>
      <c r="L109" s="5" t="s">
        <v>64</v>
      </c>
    </row>
    <row r="110" spans="1:26" ht="15.75" customHeight="1" x14ac:dyDescent="0.25">
      <c r="A110" s="5" t="s">
        <v>406</v>
      </c>
      <c r="B110" s="5" t="s">
        <v>407</v>
      </c>
      <c r="C110" s="5" t="s">
        <v>408</v>
      </c>
      <c r="D110" s="5" t="s">
        <v>376</v>
      </c>
      <c r="E110" s="5">
        <v>56048</v>
      </c>
      <c r="F110" s="5">
        <v>-93.708004399999993</v>
      </c>
      <c r="G110" s="5">
        <v>44.116078000000002</v>
      </c>
      <c r="H110" s="5" t="s">
        <v>61</v>
      </c>
      <c r="I110" s="5" t="s">
        <v>62</v>
      </c>
      <c r="J110" s="5" t="s">
        <v>63</v>
      </c>
      <c r="K110" s="5">
        <v>150</v>
      </c>
      <c r="L110" s="5" t="s">
        <v>64</v>
      </c>
    </row>
    <row r="111" spans="1:26" ht="15.75" customHeight="1" x14ac:dyDescent="0.25">
      <c r="A111" s="5" t="s">
        <v>409</v>
      </c>
      <c r="B111" s="5" t="s">
        <v>410</v>
      </c>
      <c r="C111" s="5" t="s">
        <v>411</v>
      </c>
      <c r="D111" s="5" t="s">
        <v>376</v>
      </c>
      <c r="E111" s="5">
        <v>55396</v>
      </c>
      <c r="F111" s="5">
        <v>-94.340526800000006</v>
      </c>
      <c r="G111" s="5">
        <v>44.541621200000002</v>
      </c>
      <c r="H111" s="5" t="s">
        <v>61</v>
      </c>
      <c r="I111" s="5" t="s">
        <v>62</v>
      </c>
      <c r="J111" s="5" t="s">
        <v>63</v>
      </c>
      <c r="K111" s="5">
        <v>130</v>
      </c>
      <c r="L111" s="5" t="s">
        <v>64</v>
      </c>
    </row>
    <row r="112" spans="1:26" ht="15.75" customHeight="1" x14ac:dyDescent="0.25">
      <c r="A112" s="5" t="s">
        <v>412</v>
      </c>
      <c r="B112" s="5" t="s">
        <v>413</v>
      </c>
      <c r="C112" s="5" t="s">
        <v>414</v>
      </c>
      <c r="D112" s="5" t="s">
        <v>376</v>
      </c>
      <c r="E112" s="5">
        <v>56137</v>
      </c>
      <c r="F112" s="5">
        <v>-95.288636600000004</v>
      </c>
      <c r="G112" s="5">
        <v>43.805926100000001</v>
      </c>
      <c r="H112" s="5" t="s">
        <v>61</v>
      </c>
      <c r="I112" s="5" t="s">
        <v>62</v>
      </c>
      <c r="J112" s="5" t="s">
        <v>63</v>
      </c>
      <c r="K112" s="5">
        <v>65</v>
      </c>
      <c r="L112" s="5" t="s">
        <v>64</v>
      </c>
    </row>
    <row r="113" spans="1:12" ht="15.75" customHeight="1" x14ac:dyDescent="0.25">
      <c r="A113" s="5" t="s">
        <v>415</v>
      </c>
      <c r="B113" s="5" t="s">
        <v>416</v>
      </c>
      <c r="C113" s="5" t="s">
        <v>417</v>
      </c>
      <c r="D113" s="5" t="s">
        <v>376</v>
      </c>
      <c r="E113" s="5">
        <v>56152</v>
      </c>
      <c r="F113" s="5">
        <v>-95.300220199999998</v>
      </c>
      <c r="G113" s="5">
        <v>44.232023400000003</v>
      </c>
      <c r="H113" s="5" t="s">
        <v>61</v>
      </c>
      <c r="I113" s="5" t="s">
        <v>62</v>
      </c>
      <c r="J113" s="5" t="s">
        <v>63</v>
      </c>
      <c r="K113" s="5">
        <v>70</v>
      </c>
      <c r="L113" s="5" t="s">
        <v>64</v>
      </c>
    </row>
    <row r="114" spans="1:12" ht="15.75" customHeight="1" x14ac:dyDescent="0.25">
      <c r="A114" s="5" t="s">
        <v>418</v>
      </c>
      <c r="B114" s="5" t="s">
        <v>419</v>
      </c>
      <c r="C114" s="5" t="s">
        <v>420</v>
      </c>
      <c r="D114" s="5" t="s">
        <v>396</v>
      </c>
      <c r="E114" s="5">
        <v>56118</v>
      </c>
      <c r="F114" s="5">
        <v>-95.056973474794205</v>
      </c>
      <c r="G114" s="5">
        <v>43.9017371359649</v>
      </c>
      <c r="H114" s="5" t="s">
        <v>61</v>
      </c>
      <c r="I114" s="5" t="s">
        <v>62</v>
      </c>
      <c r="J114" s="5" t="s">
        <v>63</v>
      </c>
      <c r="K114" s="5">
        <v>33</v>
      </c>
      <c r="L114" s="5" t="s">
        <v>64</v>
      </c>
    </row>
    <row r="115" spans="1:12" ht="15.75" customHeight="1" x14ac:dyDescent="0.25">
      <c r="A115" s="5" t="s">
        <v>421</v>
      </c>
      <c r="B115" s="5" t="s">
        <v>422</v>
      </c>
      <c r="C115" s="5" t="s">
        <v>423</v>
      </c>
      <c r="D115" s="5" t="s">
        <v>396</v>
      </c>
      <c r="E115" s="5">
        <v>56007</v>
      </c>
      <c r="F115" s="5">
        <v>-93.302064059458999</v>
      </c>
      <c r="G115" s="5">
        <v>43.576320758293001</v>
      </c>
      <c r="H115" s="5" t="s">
        <v>61</v>
      </c>
      <c r="I115" s="5" t="s">
        <v>62</v>
      </c>
      <c r="J115" s="5" t="s">
        <v>63</v>
      </c>
      <c r="K115" s="5">
        <v>44</v>
      </c>
      <c r="L115" s="5" t="s">
        <v>64</v>
      </c>
    </row>
    <row r="116" spans="1:12" ht="15.75" customHeight="1" x14ac:dyDescent="0.25">
      <c r="A116" s="5" t="s">
        <v>424</v>
      </c>
      <c r="B116" s="5" t="s">
        <v>425</v>
      </c>
      <c r="C116" s="5" t="s">
        <v>426</v>
      </c>
      <c r="D116" s="5" t="s">
        <v>396</v>
      </c>
      <c r="E116" s="5">
        <v>56055</v>
      </c>
      <c r="F116" s="5">
        <v>-94.275929301775093</v>
      </c>
      <c r="G116" s="5">
        <v>44.101039869785502</v>
      </c>
      <c r="H116" s="5" t="s">
        <v>61</v>
      </c>
      <c r="I116" s="5" t="s">
        <v>62</v>
      </c>
      <c r="J116" s="5" t="s">
        <v>63</v>
      </c>
      <c r="K116" s="5">
        <v>60</v>
      </c>
      <c r="L116" s="5" t="s">
        <v>64</v>
      </c>
    </row>
    <row r="117" spans="1:12" ht="15.75" customHeight="1" x14ac:dyDescent="0.25">
      <c r="A117" s="5" t="s">
        <v>427</v>
      </c>
      <c r="B117" s="5" t="s">
        <v>428</v>
      </c>
      <c r="C117" s="5" t="s">
        <v>429</v>
      </c>
      <c r="D117" s="5" t="s">
        <v>396</v>
      </c>
      <c r="E117" s="5">
        <v>55965</v>
      </c>
      <c r="F117" s="5">
        <v>-92.091249188292096</v>
      </c>
      <c r="G117" s="5">
        <v>43.686731903898902</v>
      </c>
      <c r="H117" s="5" t="s">
        <v>61</v>
      </c>
      <c r="I117" s="5" t="s">
        <v>62</v>
      </c>
      <c r="J117" s="5" t="s">
        <v>80</v>
      </c>
      <c r="K117" s="5">
        <v>48</v>
      </c>
      <c r="L117" s="5" t="s">
        <v>64</v>
      </c>
    </row>
    <row r="118" spans="1:12" ht="15.75" customHeight="1" x14ac:dyDescent="0.25">
      <c r="A118" s="5" t="s">
        <v>430</v>
      </c>
      <c r="B118" s="5" t="s">
        <v>431</v>
      </c>
      <c r="C118" s="5" t="s">
        <v>432</v>
      </c>
      <c r="D118" s="5" t="s">
        <v>433</v>
      </c>
      <c r="E118" s="5">
        <v>63352</v>
      </c>
      <c r="F118" s="5">
        <v>-91.641012201884806</v>
      </c>
      <c r="G118" s="5">
        <v>39.2499033475668</v>
      </c>
      <c r="H118" s="5" t="s">
        <v>61</v>
      </c>
      <c r="I118" s="5" t="s">
        <v>62</v>
      </c>
      <c r="J118" s="5" t="s">
        <v>63</v>
      </c>
      <c r="K118" s="5">
        <v>63</v>
      </c>
      <c r="L118" s="5" t="s">
        <v>64</v>
      </c>
    </row>
    <row r="119" spans="1:12" ht="15.75" customHeight="1" x14ac:dyDescent="0.25">
      <c r="A119" s="5" t="s">
        <v>434</v>
      </c>
      <c r="B119" s="5" t="s">
        <v>435</v>
      </c>
      <c r="C119" s="5" t="s">
        <v>436</v>
      </c>
      <c r="D119" s="5" t="s">
        <v>433</v>
      </c>
      <c r="E119" s="5">
        <v>63552</v>
      </c>
      <c r="F119" s="5">
        <v>-92.384709073038394</v>
      </c>
      <c r="G119" s="5">
        <v>39.748058163743302</v>
      </c>
      <c r="H119" s="5" t="s">
        <v>61</v>
      </c>
      <c r="I119" s="5" t="s">
        <v>62</v>
      </c>
      <c r="J119" s="5" t="s">
        <v>63</v>
      </c>
      <c r="K119" s="5">
        <v>48</v>
      </c>
      <c r="L119" s="5" t="s">
        <v>64</v>
      </c>
    </row>
    <row r="120" spans="1:12" ht="15.75" customHeight="1" x14ac:dyDescent="0.25">
      <c r="A120" s="5" t="s">
        <v>437</v>
      </c>
      <c r="B120" s="5" t="s">
        <v>438</v>
      </c>
      <c r="C120" s="5" t="s">
        <v>439</v>
      </c>
      <c r="D120" s="5" t="s">
        <v>376</v>
      </c>
      <c r="E120" s="5">
        <v>56181</v>
      </c>
      <c r="F120" s="5">
        <v>-94.586347900000007</v>
      </c>
      <c r="G120" s="5">
        <v>43.663590499999998</v>
      </c>
      <c r="H120" s="5" t="s">
        <v>61</v>
      </c>
      <c r="I120" s="5" t="s">
        <v>62</v>
      </c>
      <c r="J120" s="5" t="s">
        <v>63</v>
      </c>
      <c r="K120" s="5">
        <v>140</v>
      </c>
      <c r="L120" s="5" t="s">
        <v>64</v>
      </c>
    </row>
    <row r="121" spans="1:12" ht="15.75" customHeight="1" x14ac:dyDescent="0.25">
      <c r="A121" s="5" t="s">
        <v>440</v>
      </c>
      <c r="B121" s="5" t="s">
        <v>441</v>
      </c>
      <c r="C121" s="5" t="s">
        <v>442</v>
      </c>
      <c r="D121" s="5" t="s">
        <v>443</v>
      </c>
      <c r="E121" s="5">
        <v>64437</v>
      </c>
      <c r="F121" s="5">
        <v>-95.368049999999997</v>
      </c>
      <c r="G121" s="5">
        <v>40.189860000000003</v>
      </c>
      <c r="H121" s="5" t="s">
        <v>325</v>
      </c>
      <c r="I121" s="5" t="s">
        <v>62</v>
      </c>
      <c r="J121" s="5" t="s">
        <v>63</v>
      </c>
      <c r="K121" s="5">
        <v>20</v>
      </c>
      <c r="L121" s="5" t="s">
        <v>64</v>
      </c>
    </row>
    <row r="122" spans="1:12" ht="15.75" customHeight="1" x14ac:dyDescent="0.25">
      <c r="A122" s="5" t="s">
        <v>444</v>
      </c>
      <c r="B122" s="5" t="s">
        <v>445</v>
      </c>
      <c r="C122" s="5" t="s">
        <v>345</v>
      </c>
      <c r="D122" s="5" t="s">
        <v>443</v>
      </c>
      <c r="E122" s="5">
        <v>64503</v>
      </c>
      <c r="F122" s="5">
        <v>-94.845784899999998</v>
      </c>
      <c r="G122" s="5">
        <v>39.738141400000004</v>
      </c>
      <c r="H122" s="5" t="s">
        <v>61</v>
      </c>
      <c r="I122" s="5" t="s">
        <v>62</v>
      </c>
      <c r="J122" s="5" t="s">
        <v>63</v>
      </c>
      <c r="K122" s="5">
        <v>50</v>
      </c>
      <c r="L122" s="5" t="s">
        <v>64</v>
      </c>
    </row>
    <row r="123" spans="1:12" ht="15.75" customHeight="1" x14ac:dyDescent="0.25">
      <c r="A123" s="5" t="s">
        <v>446</v>
      </c>
      <c r="B123" s="5" t="s">
        <v>447</v>
      </c>
      <c r="C123" s="5" t="s">
        <v>448</v>
      </c>
      <c r="D123" s="5" t="s">
        <v>443</v>
      </c>
      <c r="E123" s="5">
        <v>65339</v>
      </c>
      <c r="F123" s="5">
        <v>-93.354127599999998</v>
      </c>
      <c r="G123" s="5">
        <v>39.193060099999997</v>
      </c>
      <c r="H123" s="5" t="s">
        <v>61</v>
      </c>
      <c r="I123" s="5" t="s">
        <v>62</v>
      </c>
      <c r="J123" s="5" t="s">
        <v>63</v>
      </c>
      <c r="K123" s="5">
        <v>60</v>
      </c>
      <c r="L123" s="5" t="s">
        <v>64</v>
      </c>
    </row>
    <row r="124" spans="1:12" ht="15.75" customHeight="1" x14ac:dyDescent="0.25">
      <c r="A124" s="5" t="s">
        <v>449</v>
      </c>
      <c r="B124" s="5" t="s">
        <v>450</v>
      </c>
      <c r="C124" s="5" t="s">
        <v>451</v>
      </c>
      <c r="D124" s="5" t="s">
        <v>443</v>
      </c>
      <c r="E124" s="5">
        <v>64633</v>
      </c>
      <c r="F124" s="5">
        <v>-93.451184499999997</v>
      </c>
      <c r="G124" s="5">
        <v>39.364477200000003</v>
      </c>
      <c r="H124" s="5" t="s">
        <v>61</v>
      </c>
      <c r="I124" s="5" t="s">
        <v>62</v>
      </c>
      <c r="J124" s="5" t="s">
        <v>63</v>
      </c>
      <c r="K124" s="5">
        <v>60</v>
      </c>
      <c r="L124" s="5" t="s">
        <v>64</v>
      </c>
    </row>
    <row r="125" spans="1:12" ht="15.75" customHeight="1" x14ac:dyDescent="0.25">
      <c r="A125" s="5" t="s">
        <v>452</v>
      </c>
      <c r="B125" s="5" t="s">
        <v>453</v>
      </c>
      <c r="C125" s="5" t="s">
        <v>454</v>
      </c>
      <c r="D125" s="5" t="s">
        <v>455</v>
      </c>
      <c r="E125" s="5">
        <v>28376</v>
      </c>
      <c r="F125" s="5">
        <v>-79.160488000000001</v>
      </c>
      <c r="G125" s="5">
        <v>34.941237999999998</v>
      </c>
      <c r="H125" s="5" t="s">
        <v>61</v>
      </c>
      <c r="I125" s="5" t="s">
        <v>62</v>
      </c>
      <c r="J125" s="5" t="s">
        <v>63</v>
      </c>
      <c r="K125" s="5">
        <v>60</v>
      </c>
      <c r="L125" s="5" t="s">
        <v>64</v>
      </c>
    </row>
    <row r="126" spans="1:12" ht="15.75" customHeight="1" x14ac:dyDescent="0.25">
      <c r="A126" s="5" t="s">
        <v>456</v>
      </c>
      <c r="B126" s="5" t="s">
        <v>457</v>
      </c>
      <c r="C126" s="5" t="s">
        <v>458</v>
      </c>
      <c r="D126" s="5" t="s">
        <v>459</v>
      </c>
      <c r="E126" s="5">
        <v>58576</v>
      </c>
      <c r="F126" s="5">
        <v>-101.16363080000001</v>
      </c>
      <c r="G126" s="5">
        <v>47.371542599999998</v>
      </c>
      <c r="H126" s="5" t="s">
        <v>61</v>
      </c>
      <c r="I126" s="5" t="s">
        <v>62</v>
      </c>
      <c r="J126" s="5" t="s">
        <v>63</v>
      </c>
      <c r="K126" s="5">
        <v>75</v>
      </c>
      <c r="L126" s="5" t="s">
        <v>64</v>
      </c>
    </row>
    <row r="127" spans="1:12" ht="15.75" customHeight="1" x14ac:dyDescent="0.25">
      <c r="A127" s="5" t="s">
        <v>460</v>
      </c>
      <c r="B127" s="5" t="s">
        <v>461</v>
      </c>
      <c r="C127" s="5" t="s">
        <v>462</v>
      </c>
      <c r="D127" s="5" t="s">
        <v>459</v>
      </c>
      <c r="E127" s="5">
        <v>58481</v>
      </c>
      <c r="F127" s="5">
        <v>-98.502945999999994</v>
      </c>
      <c r="G127" s="5">
        <v>46.932347999999998</v>
      </c>
      <c r="H127" s="5" t="s">
        <v>61</v>
      </c>
      <c r="I127" s="5" t="s">
        <v>62</v>
      </c>
      <c r="J127" s="5" t="s">
        <v>63</v>
      </c>
      <c r="K127" s="5">
        <v>70</v>
      </c>
      <c r="L127" s="5" t="s">
        <v>64</v>
      </c>
    </row>
    <row r="128" spans="1:12" ht="15.75" customHeight="1" x14ac:dyDescent="0.25">
      <c r="A128" s="5" t="s">
        <v>463</v>
      </c>
      <c r="B128" s="5" t="s">
        <v>464</v>
      </c>
      <c r="C128" s="5" t="s">
        <v>465</v>
      </c>
      <c r="D128" s="5" t="s">
        <v>459</v>
      </c>
      <c r="E128" s="5">
        <v>58041</v>
      </c>
      <c r="F128" s="5">
        <v>-96.901747999999998</v>
      </c>
      <c r="G128" s="5">
        <v>46.069681000000003</v>
      </c>
      <c r="H128" s="5" t="s">
        <v>61</v>
      </c>
      <c r="I128" s="5" t="s">
        <v>62</v>
      </c>
      <c r="J128" s="5" t="s">
        <v>63</v>
      </c>
      <c r="K128" s="5">
        <v>150</v>
      </c>
      <c r="L128" s="5" t="s">
        <v>64</v>
      </c>
    </row>
    <row r="129" spans="1:12" ht="15.75" customHeight="1" x14ac:dyDescent="0.25">
      <c r="A129" s="5" t="s">
        <v>466</v>
      </c>
      <c r="B129" s="5" t="s">
        <v>467</v>
      </c>
      <c r="C129" s="5" t="s">
        <v>468</v>
      </c>
      <c r="D129" s="5" t="s">
        <v>459</v>
      </c>
      <c r="E129" s="5">
        <v>58652</v>
      </c>
      <c r="F129" s="5">
        <v>-102.30760979999999</v>
      </c>
      <c r="G129" s="5">
        <v>46.931643600000001</v>
      </c>
      <c r="H129" s="5" t="s">
        <v>61</v>
      </c>
      <c r="I129" s="5" t="s">
        <v>62</v>
      </c>
      <c r="J129" s="5" t="s">
        <v>63</v>
      </c>
      <c r="K129" s="5">
        <v>65</v>
      </c>
      <c r="L129" s="5" t="s">
        <v>64</v>
      </c>
    </row>
    <row r="130" spans="1:12" ht="15.75" customHeight="1" x14ac:dyDescent="0.25">
      <c r="A130" s="5" t="s">
        <v>469</v>
      </c>
      <c r="B130" s="5" t="s">
        <v>470</v>
      </c>
      <c r="C130" s="5" t="s">
        <v>471</v>
      </c>
      <c r="D130" s="5" t="s">
        <v>459</v>
      </c>
      <c r="E130" s="5">
        <v>58012</v>
      </c>
      <c r="F130" s="5">
        <v>-97.211200000000005</v>
      </c>
      <c r="G130" s="5">
        <v>46.900528999999999</v>
      </c>
      <c r="H130" s="5" t="s">
        <v>61</v>
      </c>
      <c r="I130" s="5" t="s">
        <v>62</v>
      </c>
      <c r="J130" s="5" t="s">
        <v>63</v>
      </c>
      <c r="K130" s="5">
        <v>175</v>
      </c>
      <c r="L130" s="5" t="s">
        <v>64</v>
      </c>
    </row>
    <row r="131" spans="1:12" ht="15.75" customHeight="1" x14ac:dyDescent="0.25">
      <c r="A131" s="5" t="s">
        <v>472</v>
      </c>
      <c r="B131" s="5" t="s">
        <v>473</v>
      </c>
      <c r="C131" s="5" t="s">
        <v>474</v>
      </c>
      <c r="D131" s="5" t="s">
        <v>475</v>
      </c>
      <c r="E131" s="5">
        <v>68601</v>
      </c>
      <c r="F131" s="5">
        <v>-97.290662561000005</v>
      </c>
      <c r="G131" s="5">
        <v>41.424109243899998</v>
      </c>
      <c r="H131" s="5" t="s">
        <v>61</v>
      </c>
      <c r="I131" s="5" t="s">
        <v>62</v>
      </c>
      <c r="J131" s="5" t="s">
        <v>63</v>
      </c>
      <c r="K131" s="5">
        <v>100</v>
      </c>
      <c r="L131" s="5" t="s">
        <v>64</v>
      </c>
    </row>
    <row r="132" spans="1:12" ht="15.75" customHeight="1" x14ac:dyDescent="0.25">
      <c r="A132" s="5" t="s">
        <v>476</v>
      </c>
      <c r="B132" s="5" t="s">
        <v>473</v>
      </c>
      <c r="C132" s="5" t="s">
        <v>474</v>
      </c>
      <c r="D132" s="5" t="s">
        <v>475</v>
      </c>
      <c r="E132" s="5">
        <v>68601</v>
      </c>
      <c r="F132" s="5">
        <v>-97.290662561000005</v>
      </c>
      <c r="G132" s="5">
        <v>41.424109243899998</v>
      </c>
      <c r="H132" s="5" t="s">
        <v>61</v>
      </c>
      <c r="I132" s="5" t="s">
        <v>62</v>
      </c>
      <c r="J132" s="5" t="s">
        <v>63</v>
      </c>
      <c r="K132" s="5">
        <v>313</v>
      </c>
      <c r="L132" s="5" t="s">
        <v>64</v>
      </c>
    </row>
    <row r="133" spans="1:12" ht="15.75" customHeight="1" x14ac:dyDescent="0.25">
      <c r="A133" s="5" t="s">
        <v>477</v>
      </c>
      <c r="B133" s="5" t="s">
        <v>478</v>
      </c>
      <c r="C133" s="5" t="s">
        <v>479</v>
      </c>
      <c r="D133" s="5" t="s">
        <v>475</v>
      </c>
      <c r="E133" s="5">
        <v>69336</v>
      </c>
      <c r="F133" s="5">
        <v>-103.1085745</v>
      </c>
      <c r="G133" s="5">
        <v>41.6918164</v>
      </c>
      <c r="H133" s="5" t="s">
        <v>61</v>
      </c>
      <c r="I133" s="5" t="s">
        <v>62</v>
      </c>
      <c r="J133" s="5" t="s">
        <v>63</v>
      </c>
      <c r="K133" s="5">
        <v>53</v>
      </c>
      <c r="L133" s="5" t="s">
        <v>64</v>
      </c>
    </row>
    <row r="134" spans="1:12" ht="15.75" customHeight="1" x14ac:dyDescent="0.25">
      <c r="A134" s="5" t="s">
        <v>480</v>
      </c>
      <c r="B134" s="5" t="s">
        <v>481</v>
      </c>
      <c r="C134" s="5" t="s">
        <v>482</v>
      </c>
      <c r="D134" s="5" t="s">
        <v>475</v>
      </c>
      <c r="E134" s="5">
        <v>68008</v>
      </c>
      <c r="F134" s="5">
        <v>-96.077516900000006</v>
      </c>
      <c r="G134" s="5">
        <v>41.519478800000002</v>
      </c>
      <c r="H134" s="5" t="s">
        <v>61</v>
      </c>
      <c r="I134" s="5" t="s">
        <v>62</v>
      </c>
      <c r="J134" s="5" t="s">
        <v>80</v>
      </c>
      <c r="K134" s="5">
        <v>210</v>
      </c>
      <c r="L134" s="5" t="s">
        <v>64</v>
      </c>
    </row>
    <row r="135" spans="1:12" ht="15.75" customHeight="1" x14ac:dyDescent="0.25">
      <c r="A135" s="5" t="s">
        <v>483</v>
      </c>
      <c r="B135" s="5" t="s">
        <v>484</v>
      </c>
      <c r="C135" s="5" t="s">
        <v>485</v>
      </c>
      <c r="D135" s="5" t="s">
        <v>475</v>
      </c>
      <c r="E135" s="5">
        <v>68901</v>
      </c>
      <c r="F135" s="5">
        <v>-98.372608</v>
      </c>
      <c r="G135" s="5">
        <v>40.582543999999999</v>
      </c>
      <c r="H135" s="5" t="s">
        <v>61</v>
      </c>
      <c r="I135" s="5" t="s">
        <v>62</v>
      </c>
      <c r="J135" s="5" t="s">
        <v>63</v>
      </c>
      <c r="K135" s="5">
        <v>70</v>
      </c>
      <c r="L135" s="5" t="s">
        <v>64</v>
      </c>
    </row>
    <row r="136" spans="1:12" ht="15.75" customHeight="1" x14ac:dyDescent="0.25">
      <c r="A136" s="5" t="s">
        <v>486</v>
      </c>
      <c r="B136" s="5" t="s">
        <v>487</v>
      </c>
      <c r="C136" s="5" t="s">
        <v>488</v>
      </c>
      <c r="D136" s="5" t="s">
        <v>475</v>
      </c>
      <c r="E136" s="5">
        <v>68850</v>
      </c>
      <c r="F136" s="5">
        <v>-99.722523499999994</v>
      </c>
      <c r="G136" s="5">
        <v>40.766920300000002</v>
      </c>
      <c r="H136" s="5" t="s">
        <v>61</v>
      </c>
      <c r="I136" s="5" t="s">
        <v>62</v>
      </c>
      <c r="J136" s="5" t="s">
        <v>63</v>
      </c>
      <c r="K136" s="5">
        <v>55</v>
      </c>
      <c r="L136" s="5" t="s">
        <v>64</v>
      </c>
    </row>
    <row r="137" spans="1:12" ht="15.75" customHeight="1" x14ac:dyDescent="0.25">
      <c r="A137" s="5" t="s">
        <v>489</v>
      </c>
      <c r="B137" s="5" t="s">
        <v>490</v>
      </c>
      <c r="C137" s="5" t="s">
        <v>491</v>
      </c>
      <c r="D137" s="5" t="s">
        <v>475</v>
      </c>
      <c r="E137" s="5">
        <v>68701</v>
      </c>
      <c r="F137" s="5">
        <v>-97.384460000000004</v>
      </c>
      <c r="G137" s="5">
        <v>42.067619999999998</v>
      </c>
      <c r="H137" s="5" t="s">
        <v>325</v>
      </c>
      <c r="I137" s="5" t="s">
        <v>62</v>
      </c>
      <c r="J137" s="5" t="s">
        <v>63</v>
      </c>
      <c r="K137" s="5">
        <v>50</v>
      </c>
      <c r="L137" s="5" t="s">
        <v>64</v>
      </c>
    </row>
    <row r="138" spans="1:12" ht="15.75" customHeight="1" x14ac:dyDescent="0.25">
      <c r="A138" s="5" t="s">
        <v>492</v>
      </c>
      <c r="B138" s="5" t="s">
        <v>493</v>
      </c>
      <c r="C138" s="5" t="s">
        <v>494</v>
      </c>
      <c r="D138" s="5" t="s">
        <v>475</v>
      </c>
      <c r="E138" s="5">
        <v>68301</v>
      </c>
      <c r="F138" s="5">
        <v>-96.537670500000004</v>
      </c>
      <c r="G138" s="5">
        <v>40.480251899999999</v>
      </c>
      <c r="H138" s="5" t="s">
        <v>61</v>
      </c>
      <c r="I138" s="5" t="s">
        <v>62</v>
      </c>
      <c r="J138" s="5" t="s">
        <v>63</v>
      </c>
      <c r="K138" s="5">
        <v>100</v>
      </c>
      <c r="L138" s="5" t="s">
        <v>64</v>
      </c>
    </row>
    <row r="139" spans="1:12" ht="15.75" customHeight="1" x14ac:dyDescent="0.25">
      <c r="A139" s="5" t="s">
        <v>495</v>
      </c>
      <c r="B139" s="5" t="s">
        <v>496</v>
      </c>
      <c r="C139" s="5" t="s">
        <v>497</v>
      </c>
      <c r="D139" s="5" t="s">
        <v>475</v>
      </c>
      <c r="E139" s="5">
        <v>68713</v>
      </c>
      <c r="F139" s="5">
        <v>-98.978152499999993</v>
      </c>
      <c r="G139" s="5">
        <v>42.531391200000002</v>
      </c>
      <c r="H139" s="5" t="s">
        <v>61</v>
      </c>
      <c r="I139" s="5" t="s">
        <v>62</v>
      </c>
      <c r="J139" s="5" t="s">
        <v>63</v>
      </c>
      <c r="K139" s="5">
        <v>55</v>
      </c>
      <c r="L139" s="5" t="s">
        <v>64</v>
      </c>
    </row>
    <row r="140" spans="1:12" ht="15.75" customHeight="1" x14ac:dyDescent="0.25">
      <c r="A140" s="5" t="s">
        <v>498</v>
      </c>
      <c r="B140" s="5" t="s">
        <v>499</v>
      </c>
      <c r="C140" s="5" t="s">
        <v>500</v>
      </c>
      <c r="D140" s="5" t="s">
        <v>475</v>
      </c>
      <c r="E140" s="5">
        <v>68826</v>
      </c>
      <c r="F140" s="5">
        <v>-97.992225199999993</v>
      </c>
      <c r="G140" s="5">
        <v>41.111879999999999</v>
      </c>
      <c r="H140" s="5" t="s">
        <v>61</v>
      </c>
      <c r="I140" s="5" t="s">
        <v>62</v>
      </c>
      <c r="J140" s="5" t="s">
        <v>63</v>
      </c>
      <c r="K140" s="5">
        <v>116</v>
      </c>
      <c r="L140" s="5" t="s">
        <v>64</v>
      </c>
    </row>
    <row r="141" spans="1:12" ht="15.75" customHeight="1" x14ac:dyDescent="0.25">
      <c r="A141" s="5" t="s">
        <v>501</v>
      </c>
      <c r="B141" s="5" t="s">
        <v>502</v>
      </c>
      <c r="C141" s="5" t="s">
        <v>503</v>
      </c>
      <c r="D141" s="5" t="s">
        <v>475</v>
      </c>
      <c r="E141" s="5">
        <v>68862</v>
      </c>
      <c r="F141" s="5">
        <v>-98.821023699999998</v>
      </c>
      <c r="G141" s="5">
        <v>41.569437100000002</v>
      </c>
      <c r="H141" s="5" t="s">
        <v>61</v>
      </c>
      <c r="I141" s="5" t="s">
        <v>62</v>
      </c>
      <c r="J141" s="5" t="s">
        <v>63</v>
      </c>
      <c r="K141" s="5">
        <v>65</v>
      </c>
      <c r="L141" s="5" t="s">
        <v>64</v>
      </c>
    </row>
    <row r="142" spans="1:12" ht="15.75" customHeight="1" x14ac:dyDescent="0.25">
      <c r="A142" s="5" t="s">
        <v>504</v>
      </c>
      <c r="B142" s="5" t="s">
        <v>505</v>
      </c>
      <c r="C142" s="5" t="s">
        <v>506</v>
      </c>
      <c r="D142" s="5" t="s">
        <v>475</v>
      </c>
      <c r="E142" s="5">
        <v>68883</v>
      </c>
      <c r="F142" s="5">
        <v>-98.609680400000002</v>
      </c>
      <c r="G142" s="5">
        <v>40.815759399999997</v>
      </c>
      <c r="H142" s="5" t="s">
        <v>61</v>
      </c>
      <c r="I142" s="5" t="s">
        <v>62</v>
      </c>
      <c r="J142" s="5" t="s">
        <v>63</v>
      </c>
      <c r="K142" s="5">
        <v>121</v>
      </c>
      <c r="L142" s="5" t="s">
        <v>64</v>
      </c>
    </row>
    <row r="143" spans="1:12" ht="15.75" customHeight="1" x14ac:dyDescent="0.25">
      <c r="A143" s="5" t="s">
        <v>507</v>
      </c>
      <c r="B143" s="5" t="s">
        <v>508</v>
      </c>
      <c r="C143" s="5" t="s">
        <v>509</v>
      </c>
      <c r="D143" s="5" t="s">
        <v>475</v>
      </c>
      <c r="E143" s="5">
        <v>68467</v>
      </c>
      <c r="F143" s="5">
        <v>-97.540119000000004</v>
      </c>
      <c r="G143" s="5">
        <v>40.949219999999997</v>
      </c>
      <c r="H143" s="5" t="s">
        <v>61</v>
      </c>
      <c r="I143" s="5" t="s">
        <v>62</v>
      </c>
      <c r="J143" s="5" t="s">
        <v>63</v>
      </c>
      <c r="K143" s="5">
        <v>50</v>
      </c>
      <c r="L143" s="5" t="s">
        <v>64</v>
      </c>
    </row>
    <row r="144" spans="1:12" ht="15.75" customHeight="1" x14ac:dyDescent="0.25">
      <c r="A144" s="5" t="s">
        <v>510</v>
      </c>
      <c r="B144" s="5" t="s">
        <v>511</v>
      </c>
      <c r="C144" s="5" t="s">
        <v>512</v>
      </c>
      <c r="D144" s="5" t="s">
        <v>475</v>
      </c>
      <c r="E144" s="5">
        <v>68759</v>
      </c>
      <c r="F144" s="5">
        <v>-97.707701799999995</v>
      </c>
      <c r="G144" s="5">
        <v>42.350714199999999</v>
      </c>
      <c r="H144" s="5" t="s">
        <v>61</v>
      </c>
      <c r="I144" s="5" t="s">
        <v>62</v>
      </c>
      <c r="J144" s="5" t="s">
        <v>63</v>
      </c>
      <c r="K144" s="5">
        <v>100</v>
      </c>
      <c r="L144" s="5" t="s">
        <v>64</v>
      </c>
    </row>
    <row r="145" spans="1:12" ht="15.75" customHeight="1" x14ac:dyDescent="0.25">
      <c r="A145" s="5" t="s">
        <v>513</v>
      </c>
      <c r="B145" s="5" t="s">
        <v>514</v>
      </c>
      <c r="C145" s="5" t="s">
        <v>515</v>
      </c>
      <c r="D145" s="5" t="s">
        <v>475</v>
      </c>
      <c r="E145" s="5">
        <v>68959</v>
      </c>
      <c r="F145" s="5">
        <v>-99.074861100000007</v>
      </c>
      <c r="G145" s="5">
        <v>40.4826616</v>
      </c>
      <c r="H145" s="5" t="s">
        <v>61</v>
      </c>
      <c r="I145" s="5" t="s">
        <v>62</v>
      </c>
      <c r="J145" s="5" t="s">
        <v>63</v>
      </c>
      <c r="K145" s="5">
        <v>80</v>
      </c>
      <c r="L145" s="5" t="s">
        <v>64</v>
      </c>
    </row>
    <row r="146" spans="1:12" ht="15.75" customHeight="1" x14ac:dyDescent="0.25">
      <c r="A146" s="5" t="s">
        <v>516</v>
      </c>
      <c r="B146" s="5" t="s">
        <v>517</v>
      </c>
      <c r="C146" s="5" t="s">
        <v>518</v>
      </c>
      <c r="D146" s="5" t="s">
        <v>475</v>
      </c>
      <c r="E146" s="5">
        <v>68869</v>
      </c>
      <c r="F146" s="5">
        <v>-98.869803099999999</v>
      </c>
      <c r="G146" s="5">
        <v>41.022404700000003</v>
      </c>
      <c r="H146" s="5" t="s">
        <v>61</v>
      </c>
      <c r="I146" s="5" t="s">
        <v>62</v>
      </c>
      <c r="J146" s="5" t="s">
        <v>63</v>
      </c>
      <c r="K146" s="5">
        <v>130</v>
      </c>
      <c r="L146" s="5" t="s">
        <v>64</v>
      </c>
    </row>
    <row r="147" spans="1:12" ht="15.75" customHeight="1" x14ac:dyDescent="0.25">
      <c r="A147" s="5" t="s">
        <v>519</v>
      </c>
      <c r="B147" s="5" t="s">
        <v>520</v>
      </c>
      <c r="C147" s="5" t="s">
        <v>521</v>
      </c>
      <c r="D147" s="5" t="s">
        <v>475</v>
      </c>
      <c r="E147" s="5">
        <v>68818</v>
      </c>
      <c r="F147" s="5">
        <v>-98.047560000000004</v>
      </c>
      <c r="G147" s="5">
        <v>40.869990000000001</v>
      </c>
      <c r="H147" s="5" t="s">
        <v>61</v>
      </c>
      <c r="I147" s="5" t="s">
        <v>62</v>
      </c>
      <c r="J147" s="5" t="s">
        <v>63</v>
      </c>
      <c r="K147" s="5">
        <v>110</v>
      </c>
      <c r="L147" s="5" t="s">
        <v>64</v>
      </c>
    </row>
    <row r="148" spans="1:12" ht="15.75" customHeight="1" x14ac:dyDescent="0.25">
      <c r="A148" s="5" t="s">
        <v>522</v>
      </c>
      <c r="B148" s="5" t="s">
        <v>523</v>
      </c>
      <c r="C148" s="5" t="s">
        <v>524</v>
      </c>
      <c r="D148" s="5" t="s">
        <v>475</v>
      </c>
      <c r="E148" s="5">
        <v>69101</v>
      </c>
      <c r="F148" s="5">
        <v>-100.74095</v>
      </c>
      <c r="G148" s="5">
        <v>41.090209999999999</v>
      </c>
      <c r="H148" s="5" t="s">
        <v>325</v>
      </c>
      <c r="I148" s="5" t="s">
        <v>62</v>
      </c>
      <c r="J148" s="5" t="s">
        <v>152</v>
      </c>
      <c r="K148" s="5">
        <v>48</v>
      </c>
      <c r="L148" s="5" t="s">
        <v>64</v>
      </c>
    </row>
    <row r="149" spans="1:12" ht="15.75" customHeight="1" x14ac:dyDescent="0.25">
      <c r="A149" s="5" t="s">
        <v>525</v>
      </c>
      <c r="B149" s="5" t="s">
        <v>526</v>
      </c>
      <c r="C149" s="5" t="s">
        <v>527</v>
      </c>
      <c r="D149" s="5" t="s">
        <v>475</v>
      </c>
      <c r="E149" s="5">
        <v>69022</v>
      </c>
      <c r="F149" s="5">
        <v>-100.16191707199999</v>
      </c>
      <c r="G149" s="5">
        <v>40.278241645800001</v>
      </c>
      <c r="H149" s="5" t="s">
        <v>61</v>
      </c>
      <c r="I149" s="5" t="s">
        <v>62</v>
      </c>
      <c r="J149" s="5" t="s">
        <v>80</v>
      </c>
      <c r="K149" s="5">
        <v>44</v>
      </c>
      <c r="L149" s="5" t="s">
        <v>64</v>
      </c>
    </row>
    <row r="150" spans="1:12" ht="15.75" customHeight="1" x14ac:dyDescent="0.25">
      <c r="A150" s="5" t="s">
        <v>528</v>
      </c>
      <c r="B150" s="5" t="s">
        <v>529</v>
      </c>
      <c r="C150" s="5" t="s">
        <v>530</v>
      </c>
      <c r="D150" s="5" t="s">
        <v>475</v>
      </c>
      <c r="E150" s="5">
        <v>68743</v>
      </c>
      <c r="F150" s="5">
        <v>-96.601039</v>
      </c>
      <c r="G150" s="5">
        <v>42.449261</v>
      </c>
      <c r="H150" s="5" t="s">
        <v>61</v>
      </c>
      <c r="I150" s="5" t="s">
        <v>62</v>
      </c>
      <c r="J150" s="5" t="s">
        <v>63</v>
      </c>
      <c r="K150" s="5">
        <v>90</v>
      </c>
      <c r="L150" s="5" t="s">
        <v>64</v>
      </c>
    </row>
    <row r="151" spans="1:12" ht="15.75" customHeight="1" x14ac:dyDescent="0.25">
      <c r="A151" s="5" t="s">
        <v>531</v>
      </c>
      <c r="B151" s="5" t="s">
        <v>532</v>
      </c>
      <c r="C151" s="5" t="s">
        <v>533</v>
      </c>
      <c r="D151" s="5" t="s">
        <v>475</v>
      </c>
      <c r="E151" s="5">
        <v>69044</v>
      </c>
      <c r="F151" s="5">
        <v>-100.97975030000001</v>
      </c>
      <c r="G151" s="5">
        <v>40.196135200000001</v>
      </c>
      <c r="H151" s="5" t="s">
        <v>69</v>
      </c>
      <c r="I151" s="5" t="s">
        <v>62</v>
      </c>
      <c r="J151" s="5" t="s">
        <v>63</v>
      </c>
      <c r="K151" s="5">
        <v>48</v>
      </c>
      <c r="L151" s="5" t="s">
        <v>64</v>
      </c>
    </row>
    <row r="152" spans="1:12" ht="15.75" customHeight="1" x14ac:dyDescent="0.25">
      <c r="A152" s="5" t="s">
        <v>534</v>
      </c>
      <c r="B152" s="5" t="s">
        <v>535</v>
      </c>
      <c r="C152" s="5" t="s">
        <v>369</v>
      </c>
      <c r="D152" s="5" t="s">
        <v>475</v>
      </c>
      <c r="E152" s="5">
        <v>68620</v>
      </c>
      <c r="F152" s="5">
        <v>-97.978431200000003</v>
      </c>
      <c r="G152" s="5">
        <v>41.6835114</v>
      </c>
      <c r="H152" s="5" t="s">
        <v>61</v>
      </c>
      <c r="I152" s="5" t="s">
        <v>62</v>
      </c>
      <c r="J152" s="5" t="s">
        <v>63</v>
      </c>
      <c r="K152" s="5">
        <v>135</v>
      </c>
      <c r="L152" s="5" t="s">
        <v>64</v>
      </c>
    </row>
    <row r="153" spans="1:12" ht="15.75" customHeight="1" x14ac:dyDescent="0.25">
      <c r="A153" s="5" t="s">
        <v>536</v>
      </c>
      <c r="B153" s="5" t="s">
        <v>537</v>
      </c>
      <c r="C153" s="5" t="s">
        <v>538</v>
      </c>
      <c r="D153" s="5" t="s">
        <v>475</v>
      </c>
      <c r="E153" s="5">
        <v>69165</v>
      </c>
      <c r="F153" s="5">
        <v>-101.09288309999999</v>
      </c>
      <c r="G153" s="5">
        <v>41.162109800000003</v>
      </c>
      <c r="H153" s="5" t="s">
        <v>61</v>
      </c>
      <c r="I153" s="5" t="s">
        <v>62</v>
      </c>
      <c r="J153" s="5" t="s">
        <v>63</v>
      </c>
      <c r="K153" s="5">
        <v>28</v>
      </c>
      <c r="L153" s="5" t="s">
        <v>64</v>
      </c>
    </row>
    <row r="154" spans="1:12" ht="15.75" customHeight="1" x14ac:dyDescent="0.25">
      <c r="A154" s="5" t="s">
        <v>539</v>
      </c>
      <c r="B154" s="5" t="s">
        <v>540</v>
      </c>
      <c r="C154" s="5" t="s">
        <v>402</v>
      </c>
      <c r="D154" s="5" t="s">
        <v>541</v>
      </c>
      <c r="E154" s="5">
        <v>68354</v>
      </c>
      <c r="F154" s="5">
        <v>-97.601255152775195</v>
      </c>
      <c r="G154" s="5">
        <v>40.613857762613698</v>
      </c>
      <c r="H154" s="5" t="s">
        <v>61</v>
      </c>
      <c r="I154" s="5" t="s">
        <v>62</v>
      </c>
      <c r="J154" s="5" t="s">
        <v>63</v>
      </c>
      <c r="K154" s="5">
        <v>125</v>
      </c>
      <c r="L154" s="5" t="s">
        <v>64</v>
      </c>
    </row>
    <row r="155" spans="1:12" ht="15.75" customHeight="1" x14ac:dyDescent="0.25">
      <c r="A155" s="5" t="s">
        <v>542</v>
      </c>
      <c r="B155" s="5" t="s">
        <v>543</v>
      </c>
      <c r="C155" s="5" t="s">
        <v>544</v>
      </c>
      <c r="D155" s="5" t="s">
        <v>545</v>
      </c>
      <c r="E155" s="5">
        <v>14103</v>
      </c>
      <c r="F155" s="5">
        <v>-78.369924120099995</v>
      </c>
      <c r="G155" s="5">
        <v>43.209773917699998</v>
      </c>
      <c r="H155" s="5" t="s">
        <v>61</v>
      </c>
      <c r="I155" s="5" t="s">
        <v>62</v>
      </c>
      <c r="J155" s="5" t="s">
        <v>63</v>
      </c>
      <c r="K155" s="5">
        <v>65</v>
      </c>
      <c r="L155" s="5" t="s">
        <v>64</v>
      </c>
    </row>
    <row r="156" spans="1:12" ht="15.75" customHeight="1" x14ac:dyDescent="0.25">
      <c r="A156" s="5" t="s">
        <v>546</v>
      </c>
      <c r="B156" s="5" t="s">
        <v>547</v>
      </c>
      <c r="C156" s="5" t="s">
        <v>548</v>
      </c>
      <c r="D156" s="5" t="s">
        <v>549</v>
      </c>
      <c r="E156" s="5">
        <v>45804</v>
      </c>
      <c r="F156" s="5">
        <v>-84.105225599999997</v>
      </c>
      <c r="G156" s="5">
        <v>40.742550999999999</v>
      </c>
      <c r="H156" s="5" t="s">
        <v>61</v>
      </c>
      <c r="I156" s="5" t="s">
        <v>62</v>
      </c>
      <c r="J156" s="5" t="s">
        <v>63</v>
      </c>
      <c r="K156" s="5">
        <v>75</v>
      </c>
      <c r="L156" s="5" t="s">
        <v>64</v>
      </c>
    </row>
    <row r="157" spans="1:12" ht="15.75" customHeight="1" x14ac:dyDescent="0.25">
      <c r="A157" s="5" t="s">
        <v>550</v>
      </c>
      <c r="B157" s="5" t="s">
        <v>551</v>
      </c>
      <c r="C157" s="5" t="s">
        <v>552</v>
      </c>
      <c r="D157" s="5" t="s">
        <v>549</v>
      </c>
      <c r="E157" s="5">
        <v>44830</v>
      </c>
      <c r="F157" s="5">
        <v>-83.391858999999997</v>
      </c>
      <c r="G157" s="5">
        <v>41.170084000000003</v>
      </c>
      <c r="H157" s="5" t="s">
        <v>61</v>
      </c>
      <c r="I157" s="5" t="s">
        <v>62</v>
      </c>
      <c r="J157" s="5" t="s">
        <v>63</v>
      </c>
      <c r="K157" s="5">
        <v>80</v>
      </c>
      <c r="L157" s="5" t="s">
        <v>64</v>
      </c>
    </row>
    <row r="158" spans="1:12" ht="15.75" customHeight="1" x14ac:dyDescent="0.25">
      <c r="A158" s="5" t="s">
        <v>553</v>
      </c>
      <c r="B158" s="5" t="s">
        <v>554</v>
      </c>
      <c r="C158" s="5" t="s">
        <v>555</v>
      </c>
      <c r="D158" s="5" t="s">
        <v>549</v>
      </c>
      <c r="E158" s="5" t="s">
        <v>556</v>
      </c>
      <c r="F158" s="5">
        <v>-83.966100951000001</v>
      </c>
      <c r="G158" s="5">
        <v>41.123629683300003</v>
      </c>
      <c r="H158" s="5" t="s">
        <v>61</v>
      </c>
      <c r="I158" s="5" t="s">
        <v>62</v>
      </c>
      <c r="J158" s="5" t="s">
        <v>63</v>
      </c>
      <c r="K158" s="5">
        <v>80</v>
      </c>
      <c r="L158" s="5" t="s">
        <v>64</v>
      </c>
    </row>
    <row r="159" spans="1:12" ht="15.75" customHeight="1" x14ac:dyDescent="0.25">
      <c r="A159" s="5" t="s">
        <v>557</v>
      </c>
      <c r="B159" s="5" t="s">
        <v>558</v>
      </c>
      <c r="C159" s="5" t="s">
        <v>272</v>
      </c>
      <c r="D159" s="5" t="s">
        <v>549</v>
      </c>
      <c r="E159" s="5">
        <v>43302</v>
      </c>
      <c r="F159" s="5">
        <v>-83.159603844200007</v>
      </c>
      <c r="G159" s="5">
        <v>40.6186807124</v>
      </c>
      <c r="H159" s="5" t="s">
        <v>61</v>
      </c>
      <c r="I159" s="5" t="s">
        <v>62</v>
      </c>
      <c r="J159" s="5" t="s">
        <v>63</v>
      </c>
      <c r="K159" s="5">
        <v>150</v>
      </c>
      <c r="L159" s="5" t="s">
        <v>64</v>
      </c>
    </row>
    <row r="160" spans="1:12" ht="15.75" customHeight="1" x14ac:dyDescent="0.25">
      <c r="A160" s="5" t="s">
        <v>559</v>
      </c>
      <c r="B160" s="5" t="s">
        <v>560</v>
      </c>
      <c r="C160" s="5" t="s">
        <v>561</v>
      </c>
      <c r="D160" s="5" t="s">
        <v>549</v>
      </c>
      <c r="E160" s="5">
        <v>45331</v>
      </c>
      <c r="F160" s="5">
        <v>-84.613130699999999</v>
      </c>
      <c r="G160" s="5">
        <v>40.085887399999997</v>
      </c>
      <c r="H160" s="5" t="s">
        <v>61</v>
      </c>
      <c r="I160" s="5" t="s">
        <v>62</v>
      </c>
      <c r="J160" s="5" t="s">
        <v>63</v>
      </c>
      <c r="K160" s="5">
        <v>135</v>
      </c>
      <c r="L160" s="5" t="s">
        <v>64</v>
      </c>
    </row>
    <row r="161" spans="1:12" ht="15.75" customHeight="1" x14ac:dyDescent="0.25">
      <c r="A161" s="5" t="s">
        <v>562</v>
      </c>
      <c r="B161" s="5" t="s">
        <v>563</v>
      </c>
      <c r="C161" s="5" t="s">
        <v>564</v>
      </c>
      <c r="D161" s="5" t="s">
        <v>549</v>
      </c>
      <c r="E161" s="5">
        <v>43812</v>
      </c>
      <c r="F161" s="5">
        <v>-81.859230714899994</v>
      </c>
      <c r="G161" s="5">
        <v>40.213812021800003</v>
      </c>
      <c r="H161" s="5" t="s">
        <v>61</v>
      </c>
      <c r="I161" s="5" t="s">
        <v>62</v>
      </c>
      <c r="J161" s="5" t="s">
        <v>63</v>
      </c>
      <c r="K161" s="5">
        <v>50</v>
      </c>
      <c r="L161" s="5" t="s">
        <v>64</v>
      </c>
    </row>
    <row r="162" spans="1:12" ht="15.75" customHeight="1" x14ac:dyDescent="0.25">
      <c r="A162" s="5" t="s">
        <v>565</v>
      </c>
      <c r="B162" s="5" t="s">
        <v>566</v>
      </c>
      <c r="C162" s="5" t="s">
        <v>567</v>
      </c>
      <c r="D162" s="5" t="s">
        <v>549</v>
      </c>
      <c r="E162" s="5">
        <v>43106</v>
      </c>
      <c r="F162" s="5">
        <v>-83.394370899999998</v>
      </c>
      <c r="G162" s="5">
        <v>39.5967196</v>
      </c>
      <c r="H162" s="5" t="s">
        <v>61</v>
      </c>
      <c r="I162" s="5" t="s">
        <v>62</v>
      </c>
      <c r="J162" s="5" t="s">
        <v>63</v>
      </c>
      <c r="K162" s="5">
        <v>135</v>
      </c>
      <c r="L162" s="5" t="s">
        <v>64</v>
      </c>
    </row>
    <row r="163" spans="1:12" ht="15.75" customHeight="1" x14ac:dyDescent="0.25">
      <c r="A163" s="5" t="s">
        <v>568</v>
      </c>
      <c r="B163" s="5" t="s">
        <v>569</v>
      </c>
      <c r="C163" s="5" t="s">
        <v>570</v>
      </c>
      <c r="D163" s="5" t="s">
        <v>571</v>
      </c>
      <c r="E163" s="5">
        <v>97818</v>
      </c>
      <c r="F163" s="5">
        <v>-119.6576893</v>
      </c>
      <c r="G163" s="5">
        <v>45.854422599999999</v>
      </c>
      <c r="H163" s="5" t="s">
        <v>61</v>
      </c>
      <c r="I163" s="5" t="s">
        <v>62</v>
      </c>
      <c r="J163" s="5" t="s">
        <v>80</v>
      </c>
      <c r="K163" s="5">
        <v>40</v>
      </c>
      <c r="L163" s="5" t="s">
        <v>64</v>
      </c>
    </row>
    <row r="164" spans="1:12" ht="15.75" customHeight="1" x14ac:dyDescent="0.25">
      <c r="A164" s="5" t="s">
        <v>572</v>
      </c>
      <c r="B164" s="5" t="s">
        <v>573</v>
      </c>
      <c r="C164" s="5" t="s">
        <v>574</v>
      </c>
      <c r="D164" s="5" t="s">
        <v>575</v>
      </c>
      <c r="E164" s="5">
        <v>16830</v>
      </c>
      <c r="F164" s="5">
        <v>-78.430147000000005</v>
      </c>
      <c r="G164" s="5">
        <v>41.030225999999999</v>
      </c>
      <c r="H164" s="5" t="s">
        <v>61</v>
      </c>
      <c r="I164" s="5" t="s">
        <v>62</v>
      </c>
      <c r="J164" s="5" t="s">
        <v>63</v>
      </c>
      <c r="K164" s="5">
        <v>110</v>
      </c>
      <c r="L164" s="5" t="s">
        <v>64</v>
      </c>
    </row>
    <row r="165" spans="1:12" ht="15.75" customHeight="1" x14ac:dyDescent="0.25">
      <c r="A165" s="5" t="s">
        <v>576</v>
      </c>
      <c r="B165" s="5" t="s">
        <v>577</v>
      </c>
      <c r="C165" s="5" t="s">
        <v>578</v>
      </c>
      <c r="D165" s="5" t="s">
        <v>579</v>
      </c>
      <c r="E165" s="5">
        <v>57350</v>
      </c>
      <c r="F165" s="5">
        <v>-98.253205988275695</v>
      </c>
      <c r="G165" s="5">
        <v>44.374775479460602</v>
      </c>
      <c r="H165" s="5" t="s">
        <v>61</v>
      </c>
      <c r="I165" s="5" t="s">
        <v>62</v>
      </c>
      <c r="J165" s="5" t="s">
        <v>63</v>
      </c>
      <c r="K165" s="5">
        <v>40</v>
      </c>
      <c r="L165" s="5" t="s">
        <v>64</v>
      </c>
    </row>
    <row r="166" spans="1:12" ht="15.75" customHeight="1" x14ac:dyDescent="0.25">
      <c r="A166" s="5" t="s">
        <v>580</v>
      </c>
      <c r="B166" s="5" t="s">
        <v>581</v>
      </c>
      <c r="C166" s="5" t="s">
        <v>582</v>
      </c>
      <c r="D166" s="5" t="s">
        <v>579</v>
      </c>
      <c r="E166" s="5">
        <v>57401</v>
      </c>
      <c r="F166" s="5">
        <v>-98.542788701742097</v>
      </c>
      <c r="G166" s="5">
        <v>45.4595414339923</v>
      </c>
      <c r="H166" s="5" t="s">
        <v>61</v>
      </c>
      <c r="I166" s="5" t="s">
        <v>62</v>
      </c>
      <c r="J166" s="5" t="s">
        <v>63</v>
      </c>
      <c r="K166" s="5">
        <v>55</v>
      </c>
      <c r="L166" s="5" t="s">
        <v>64</v>
      </c>
    </row>
    <row r="167" spans="1:12" ht="15.75" customHeight="1" x14ac:dyDescent="0.25">
      <c r="A167" s="5" t="s">
        <v>583</v>
      </c>
      <c r="B167" s="5" t="s">
        <v>584</v>
      </c>
      <c r="C167" s="5" t="s">
        <v>585</v>
      </c>
      <c r="D167" s="5" t="s">
        <v>586</v>
      </c>
      <c r="E167" s="5">
        <v>57260</v>
      </c>
      <c r="F167" s="5">
        <v>-96.730053999999996</v>
      </c>
      <c r="G167" s="5">
        <v>45.790624000000001</v>
      </c>
      <c r="H167" s="5" t="s">
        <v>61</v>
      </c>
      <c r="I167" s="5" t="s">
        <v>62</v>
      </c>
      <c r="J167" s="5" t="s">
        <v>63</v>
      </c>
      <c r="K167" s="5">
        <v>36</v>
      </c>
      <c r="L167" s="5" t="s">
        <v>64</v>
      </c>
    </row>
    <row r="168" spans="1:12" ht="15.75" customHeight="1" x14ac:dyDescent="0.25">
      <c r="A168" s="5" t="s">
        <v>587</v>
      </c>
      <c r="B168" s="5" t="s">
        <v>588</v>
      </c>
      <c r="C168" s="5" t="s">
        <v>589</v>
      </c>
      <c r="D168" s="5" t="s">
        <v>586</v>
      </c>
      <c r="E168" s="5">
        <v>57075</v>
      </c>
      <c r="F168" s="5">
        <v>-96.956894700000007</v>
      </c>
      <c r="G168" s="5">
        <v>43.975112000000003</v>
      </c>
      <c r="H168" s="5" t="s">
        <v>61</v>
      </c>
      <c r="I168" s="5" t="s">
        <v>62</v>
      </c>
      <c r="J168" s="5" t="s">
        <v>63</v>
      </c>
      <c r="K168" s="5">
        <v>100</v>
      </c>
      <c r="L168" s="5" t="s">
        <v>64</v>
      </c>
    </row>
    <row r="169" spans="1:12" ht="15.75" customHeight="1" x14ac:dyDescent="0.25">
      <c r="A169" s="5" t="s">
        <v>590</v>
      </c>
      <c r="B169" s="5" t="s">
        <v>591</v>
      </c>
      <c r="C169" s="5" t="s">
        <v>592</v>
      </c>
      <c r="D169" s="5" t="s">
        <v>586</v>
      </c>
      <c r="E169" s="5">
        <v>57201</v>
      </c>
      <c r="F169" s="5">
        <v>-97.1133059605</v>
      </c>
      <c r="G169" s="5">
        <v>44.876350813099997</v>
      </c>
      <c r="H169" s="5" t="s">
        <v>61</v>
      </c>
      <c r="I169" s="5" t="s">
        <v>62</v>
      </c>
      <c r="J169" s="5" t="s">
        <v>63</v>
      </c>
      <c r="K169" s="5">
        <v>130</v>
      </c>
      <c r="L169" s="5" t="s">
        <v>64</v>
      </c>
    </row>
    <row r="170" spans="1:12" ht="15.75" customHeight="1" x14ac:dyDescent="0.25">
      <c r="A170" s="5" t="s">
        <v>593</v>
      </c>
      <c r="B170" s="5" t="s">
        <v>594</v>
      </c>
      <c r="C170" s="5" t="s">
        <v>595</v>
      </c>
      <c r="D170" s="5" t="s">
        <v>586</v>
      </c>
      <c r="E170" s="5">
        <v>57451</v>
      </c>
      <c r="F170" s="5">
        <v>-98.783848427999999</v>
      </c>
      <c r="G170" s="5">
        <v>45.435310929300002</v>
      </c>
      <c r="H170" s="5" t="s">
        <v>61</v>
      </c>
      <c r="I170" s="5" t="s">
        <v>62</v>
      </c>
      <c r="J170" s="5" t="s">
        <v>63</v>
      </c>
      <c r="K170" s="5">
        <v>145</v>
      </c>
      <c r="L170" s="5" t="s">
        <v>64</v>
      </c>
    </row>
    <row r="171" spans="1:12" ht="15.75" customHeight="1" x14ac:dyDescent="0.25">
      <c r="A171" s="5" t="s">
        <v>596</v>
      </c>
      <c r="B171" s="5" t="s">
        <v>597</v>
      </c>
      <c r="C171" s="5" t="s">
        <v>272</v>
      </c>
      <c r="D171" s="5" t="s">
        <v>586</v>
      </c>
      <c r="E171" s="5">
        <v>57043</v>
      </c>
      <c r="F171" s="5">
        <v>-97.259961000000004</v>
      </c>
      <c r="G171" s="5">
        <v>43.327876000000003</v>
      </c>
      <c r="H171" s="5" t="s">
        <v>61</v>
      </c>
      <c r="I171" s="5" t="s">
        <v>62</v>
      </c>
      <c r="J171" s="5" t="s">
        <v>63</v>
      </c>
      <c r="K171" s="5">
        <v>150</v>
      </c>
      <c r="L171" s="5" t="s">
        <v>64</v>
      </c>
    </row>
    <row r="172" spans="1:12" ht="15.75" customHeight="1" x14ac:dyDescent="0.25">
      <c r="A172" s="5" t="s">
        <v>598</v>
      </c>
      <c r="B172" s="5" t="s">
        <v>599</v>
      </c>
      <c r="C172" s="5" t="s">
        <v>600</v>
      </c>
      <c r="D172" s="5" t="s">
        <v>579</v>
      </c>
      <c r="E172" s="5">
        <v>57216</v>
      </c>
      <c r="F172" s="5">
        <v>-96.511924701745997</v>
      </c>
      <c r="G172" s="5">
        <v>45.299231492957396</v>
      </c>
      <c r="H172" s="5" t="s">
        <v>61</v>
      </c>
      <c r="I172" s="5" t="s">
        <v>62</v>
      </c>
      <c r="J172" s="5" t="s">
        <v>63</v>
      </c>
      <c r="K172" s="5">
        <v>94</v>
      </c>
      <c r="L172" s="5" t="s">
        <v>64</v>
      </c>
    </row>
    <row r="173" spans="1:12" ht="15.75" customHeight="1" x14ac:dyDescent="0.25">
      <c r="A173" s="5" t="s">
        <v>601</v>
      </c>
      <c r="B173" s="5" t="s">
        <v>602</v>
      </c>
      <c r="C173" s="5" t="s">
        <v>603</v>
      </c>
      <c r="D173" s="5" t="s">
        <v>579</v>
      </c>
      <c r="E173" s="5">
        <v>57015</v>
      </c>
      <c r="F173" s="5">
        <v>-96.960653864471695</v>
      </c>
      <c r="G173" s="5">
        <v>43.370637361781398</v>
      </c>
      <c r="H173" s="5" t="s">
        <v>61</v>
      </c>
      <c r="I173" s="5" t="s">
        <v>62</v>
      </c>
      <c r="J173" s="5" t="s">
        <v>63</v>
      </c>
      <c r="K173" s="5">
        <v>114</v>
      </c>
      <c r="L173" s="5" t="s">
        <v>64</v>
      </c>
    </row>
    <row r="174" spans="1:12" ht="15.75" customHeight="1" x14ac:dyDescent="0.25">
      <c r="A174" s="5" t="s">
        <v>604</v>
      </c>
      <c r="B174" s="5" t="s">
        <v>605</v>
      </c>
      <c r="C174" s="5" t="s">
        <v>606</v>
      </c>
      <c r="D174" s="5" t="s">
        <v>579</v>
      </c>
      <c r="E174" s="5">
        <v>57445</v>
      </c>
      <c r="F174" s="5">
        <v>-98.137828030578007</v>
      </c>
      <c r="G174" s="5">
        <v>45.453964218312798</v>
      </c>
      <c r="H174" s="5" t="s">
        <v>61</v>
      </c>
      <c r="I174" s="5" t="s">
        <v>62</v>
      </c>
      <c r="J174" s="5" t="s">
        <v>63</v>
      </c>
      <c r="K174" s="5">
        <v>63</v>
      </c>
      <c r="L174" s="5" t="s">
        <v>64</v>
      </c>
    </row>
    <row r="175" spans="1:12" ht="15.75" customHeight="1" x14ac:dyDescent="0.25">
      <c r="A175" s="5" t="s">
        <v>607</v>
      </c>
      <c r="B175" s="5" t="s">
        <v>608</v>
      </c>
      <c r="C175" s="5" t="s">
        <v>609</v>
      </c>
      <c r="D175" s="5" t="s">
        <v>579</v>
      </c>
      <c r="E175" s="5">
        <v>57034</v>
      </c>
      <c r="F175" s="5">
        <v>-96.475961388306004</v>
      </c>
      <c r="G175" s="5">
        <v>43.095413466908099</v>
      </c>
      <c r="H175" s="5" t="s">
        <v>61</v>
      </c>
      <c r="I175" s="5" t="s">
        <v>62</v>
      </c>
      <c r="J175" s="5" t="s">
        <v>63</v>
      </c>
      <c r="K175" s="5">
        <v>72</v>
      </c>
      <c r="L175" s="5" t="s">
        <v>64</v>
      </c>
    </row>
    <row r="176" spans="1:12" ht="15.75" customHeight="1" x14ac:dyDescent="0.25">
      <c r="A176" s="5" t="s">
        <v>610</v>
      </c>
      <c r="B176" s="5" t="s">
        <v>611</v>
      </c>
      <c r="C176" s="5" t="s">
        <v>612</v>
      </c>
      <c r="D176" s="5" t="s">
        <v>579</v>
      </c>
      <c r="E176" s="5">
        <v>57301</v>
      </c>
      <c r="F176" s="5">
        <v>-98.104710272946505</v>
      </c>
      <c r="G176" s="5">
        <v>43.801164618697698</v>
      </c>
      <c r="H176" s="5" t="s">
        <v>61</v>
      </c>
      <c r="I176" s="5" t="s">
        <v>62</v>
      </c>
      <c r="J176" s="5" t="s">
        <v>63</v>
      </c>
      <c r="K176" s="5">
        <v>80</v>
      </c>
      <c r="L176" s="5" t="s">
        <v>64</v>
      </c>
    </row>
    <row r="177" spans="1:12" ht="15.75" customHeight="1" x14ac:dyDescent="0.25">
      <c r="A177" s="5" t="s">
        <v>613</v>
      </c>
      <c r="B177" s="5" t="s">
        <v>614</v>
      </c>
      <c r="C177" s="5" t="s">
        <v>615</v>
      </c>
      <c r="D177" s="5" t="s">
        <v>579</v>
      </c>
      <c r="E177" s="5">
        <v>57059</v>
      </c>
      <c r="F177" s="5">
        <v>-97.725343059469097</v>
      </c>
      <c r="G177" s="5">
        <v>43.147552772067002</v>
      </c>
      <c r="H177" s="5" t="s">
        <v>61</v>
      </c>
      <c r="I177" s="5" t="s">
        <v>74</v>
      </c>
      <c r="J177" s="5" t="s">
        <v>152</v>
      </c>
      <c r="K177" s="5">
        <v>11</v>
      </c>
      <c r="L177" s="5" t="s">
        <v>64</v>
      </c>
    </row>
    <row r="178" spans="1:12" ht="15.75" customHeight="1" x14ac:dyDescent="0.25">
      <c r="A178" s="5" t="s">
        <v>616</v>
      </c>
      <c r="B178" s="5" t="s">
        <v>617</v>
      </c>
      <c r="C178" s="5" t="s">
        <v>618</v>
      </c>
      <c r="D178" s="5" t="s">
        <v>586</v>
      </c>
      <c r="E178" s="5">
        <v>57469</v>
      </c>
      <c r="F178" s="5">
        <v>-98.504859699999997</v>
      </c>
      <c r="G178" s="5">
        <v>44.911826699999999</v>
      </c>
      <c r="H178" s="5" t="s">
        <v>61</v>
      </c>
      <c r="I178" s="5" t="s">
        <v>62</v>
      </c>
      <c r="J178" s="5" t="s">
        <v>63</v>
      </c>
      <c r="K178" s="5">
        <v>60</v>
      </c>
      <c r="L178" s="5" t="s">
        <v>64</v>
      </c>
    </row>
    <row r="179" spans="1:12" ht="15.75" customHeight="1" x14ac:dyDescent="0.25">
      <c r="A179" s="5" t="s">
        <v>619</v>
      </c>
      <c r="B179" s="5" t="s">
        <v>620</v>
      </c>
      <c r="C179" s="5" t="s">
        <v>521</v>
      </c>
      <c r="D179" s="5" t="s">
        <v>586</v>
      </c>
      <c r="E179" s="5">
        <v>57002</v>
      </c>
      <c r="F179" s="5">
        <v>-96.690128000000001</v>
      </c>
      <c r="G179" s="5">
        <v>44.2934743</v>
      </c>
      <c r="H179" s="5" t="s">
        <v>61</v>
      </c>
      <c r="I179" s="5" t="s">
        <v>62</v>
      </c>
      <c r="J179" s="5" t="s">
        <v>63</v>
      </c>
      <c r="K179" s="5">
        <v>140</v>
      </c>
      <c r="L179" s="5" t="s">
        <v>64</v>
      </c>
    </row>
    <row r="180" spans="1:12" ht="15.75" customHeight="1" x14ac:dyDescent="0.25">
      <c r="A180" s="5" t="s">
        <v>621</v>
      </c>
      <c r="B180" s="5" t="s">
        <v>622</v>
      </c>
      <c r="C180" s="5" t="s">
        <v>623</v>
      </c>
      <c r="D180" s="5" t="s">
        <v>624</v>
      </c>
      <c r="E180" s="5">
        <v>38253</v>
      </c>
      <c r="F180" s="5">
        <v>-89.149974999999998</v>
      </c>
      <c r="G180" s="5">
        <v>36.285311</v>
      </c>
      <c r="H180" s="5" t="s">
        <v>61</v>
      </c>
      <c r="I180" s="5" t="s">
        <v>62</v>
      </c>
      <c r="J180" s="5" t="s">
        <v>63</v>
      </c>
      <c r="K180" s="5">
        <v>120</v>
      </c>
      <c r="L180" s="5" t="s">
        <v>64</v>
      </c>
    </row>
    <row r="181" spans="1:12" ht="15.75" customHeight="1" x14ac:dyDescent="0.25">
      <c r="A181" s="5" t="s">
        <v>625</v>
      </c>
      <c r="B181" s="5" t="s">
        <v>626</v>
      </c>
      <c r="C181" s="5" t="s">
        <v>627</v>
      </c>
      <c r="D181" s="5" t="s">
        <v>624</v>
      </c>
      <c r="E181" s="5">
        <v>37774</v>
      </c>
      <c r="F181" s="5">
        <v>-84.319997499999999</v>
      </c>
      <c r="G181" s="5">
        <v>35.733985400000002</v>
      </c>
      <c r="H181" s="5" t="s">
        <v>61</v>
      </c>
      <c r="I181" s="5" t="s">
        <v>62</v>
      </c>
      <c r="J181" s="5" t="s">
        <v>63</v>
      </c>
      <c r="K181" s="5">
        <v>110</v>
      </c>
      <c r="L181" s="5" t="s">
        <v>64</v>
      </c>
    </row>
    <row r="182" spans="1:12" ht="15.75" customHeight="1" x14ac:dyDescent="0.25">
      <c r="A182" s="5" t="s">
        <v>628</v>
      </c>
      <c r="B182" s="5" t="s">
        <v>629</v>
      </c>
      <c r="C182" s="5" t="s">
        <v>630</v>
      </c>
      <c r="D182" s="5" t="s">
        <v>631</v>
      </c>
      <c r="E182" s="5">
        <v>79336</v>
      </c>
      <c r="F182" s="5">
        <v>-102.2669345</v>
      </c>
      <c r="G182" s="5">
        <v>33.542521800000003</v>
      </c>
      <c r="H182" s="5" t="s">
        <v>69</v>
      </c>
      <c r="I182" s="5" t="s">
        <v>62</v>
      </c>
      <c r="J182" s="5" t="s">
        <v>63</v>
      </c>
      <c r="K182" s="5">
        <v>40</v>
      </c>
      <c r="L182" s="5" t="s">
        <v>64</v>
      </c>
    </row>
    <row r="183" spans="1:12" ht="15.75" customHeight="1" x14ac:dyDescent="0.25">
      <c r="A183" s="5" t="s">
        <v>632</v>
      </c>
      <c r="B183" s="5" t="s">
        <v>633</v>
      </c>
      <c r="C183" s="5" t="s">
        <v>634</v>
      </c>
      <c r="D183" s="5" t="s">
        <v>631</v>
      </c>
      <c r="E183" s="5">
        <v>79045</v>
      </c>
      <c r="F183" s="5">
        <v>-102.405473</v>
      </c>
      <c r="G183" s="5">
        <v>34.831131999999997</v>
      </c>
      <c r="H183" s="5" t="s">
        <v>61</v>
      </c>
      <c r="I183" s="5" t="s">
        <v>62</v>
      </c>
      <c r="J183" s="5" t="s">
        <v>63</v>
      </c>
      <c r="K183" s="5">
        <v>100</v>
      </c>
      <c r="L183" s="5" t="s">
        <v>64</v>
      </c>
    </row>
    <row r="184" spans="1:12" ht="15.75" customHeight="1" x14ac:dyDescent="0.25">
      <c r="A184" s="5" t="s">
        <v>635</v>
      </c>
      <c r="B184" s="5" t="s">
        <v>636</v>
      </c>
      <c r="C184" s="5" t="s">
        <v>634</v>
      </c>
      <c r="D184" s="5" t="s">
        <v>631</v>
      </c>
      <c r="E184" s="5">
        <v>79045</v>
      </c>
      <c r="F184" s="5">
        <v>-102.37088</v>
      </c>
      <c r="G184" s="5">
        <v>34.802545000000002</v>
      </c>
      <c r="H184" s="5" t="s">
        <v>69</v>
      </c>
      <c r="I184" s="5" t="s">
        <v>62</v>
      </c>
      <c r="J184" s="5" t="s">
        <v>63</v>
      </c>
      <c r="K184" s="5">
        <v>100</v>
      </c>
      <c r="L184" s="5" t="s">
        <v>64</v>
      </c>
    </row>
    <row r="185" spans="1:12" ht="15.75" customHeight="1" x14ac:dyDescent="0.25">
      <c r="A185" s="5" t="s">
        <v>637</v>
      </c>
      <c r="B185" s="5" t="s">
        <v>638</v>
      </c>
      <c r="C185" s="5" t="s">
        <v>512</v>
      </c>
      <c r="D185" s="5" t="s">
        <v>639</v>
      </c>
      <c r="E185" s="5">
        <v>79072</v>
      </c>
      <c r="F185" s="5">
        <v>-101.627003128971</v>
      </c>
      <c r="G185" s="5">
        <v>34.179175772642701</v>
      </c>
      <c r="H185" s="5" t="s">
        <v>69</v>
      </c>
      <c r="I185" s="5" t="s">
        <v>62</v>
      </c>
      <c r="J185" s="5" t="s">
        <v>63</v>
      </c>
      <c r="K185" s="5">
        <v>100</v>
      </c>
      <c r="L185" s="5" t="s">
        <v>64</v>
      </c>
    </row>
    <row r="186" spans="1:12" ht="15.75" customHeight="1" x14ac:dyDescent="0.25">
      <c r="A186" s="5" t="s">
        <v>640</v>
      </c>
      <c r="B186" s="5" t="s">
        <v>641</v>
      </c>
      <c r="C186" s="5" t="s">
        <v>642</v>
      </c>
      <c r="D186" s="5" t="s">
        <v>643</v>
      </c>
      <c r="E186" s="5">
        <v>54768</v>
      </c>
      <c r="F186" s="5">
        <v>-90.959282868399995</v>
      </c>
      <c r="G186" s="5">
        <v>44.958783610499999</v>
      </c>
      <c r="H186" s="5" t="s">
        <v>61</v>
      </c>
      <c r="I186" s="5" t="s">
        <v>62</v>
      </c>
      <c r="J186" s="5" t="s">
        <v>152</v>
      </c>
      <c r="K186" s="5">
        <v>58</v>
      </c>
      <c r="L186" s="5" t="s">
        <v>64</v>
      </c>
    </row>
    <row r="187" spans="1:12" ht="15.75" customHeight="1" x14ac:dyDescent="0.25">
      <c r="A187" s="5" t="s">
        <v>644</v>
      </c>
      <c r="B187" s="5" t="s">
        <v>645</v>
      </c>
      <c r="C187" s="5" t="s">
        <v>646</v>
      </c>
      <c r="D187" s="5" t="s">
        <v>643</v>
      </c>
      <c r="E187" s="5">
        <v>53038</v>
      </c>
      <c r="F187" s="5">
        <v>-88.799319999999994</v>
      </c>
      <c r="G187" s="5">
        <v>43.040520000000001</v>
      </c>
      <c r="H187" s="5" t="s">
        <v>325</v>
      </c>
      <c r="I187" s="5" t="s">
        <v>62</v>
      </c>
      <c r="J187" s="5" t="s">
        <v>70</v>
      </c>
      <c r="K187" s="5">
        <v>110</v>
      </c>
      <c r="L187" s="5" t="s">
        <v>64</v>
      </c>
    </row>
    <row r="188" spans="1:12" ht="15.75" customHeight="1" x14ac:dyDescent="0.25">
      <c r="A188" s="5" t="s">
        <v>647</v>
      </c>
      <c r="B188" s="5" t="s">
        <v>648</v>
      </c>
      <c r="C188" s="5" t="s">
        <v>649</v>
      </c>
      <c r="D188" s="5" t="s">
        <v>643</v>
      </c>
      <c r="E188" s="5">
        <v>53566</v>
      </c>
      <c r="F188" s="5">
        <v>-89.666924925399996</v>
      </c>
      <c r="G188" s="5">
        <v>42.594394450000003</v>
      </c>
      <c r="H188" s="5" t="s">
        <v>61</v>
      </c>
      <c r="I188" s="5" t="s">
        <v>62</v>
      </c>
      <c r="J188" s="5" t="s">
        <v>63</v>
      </c>
      <c r="K188" s="5">
        <v>90</v>
      </c>
      <c r="L188" s="5" t="s">
        <v>64</v>
      </c>
    </row>
    <row r="189" spans="1:12" ht="15.75" customHeight="1" x14ac:dyDescent="0.25">
      <c r="A189" s="5" t="s">
        <v>650</v>
      </c>
      <c r="B189" s="5" t="s">
        <v>651</v>
      </c>
      <c r="C189" s="5" t="s">
        <v>652</v>
      </c>
      <c r="D189" s="5" t="s">
        <v>643</v>
      </c>
      <c r="E189" s="5">
        <v>54725</v>
      </c>
      <c r="F189" s="5">
        <v>-91.980130099999997</v>
      </c>
      <c r="G189" s="5">
        <v>45.050274399999999</v>
      </c>
      <c r="H189" s="5" t="s">
        <v>61</v>
      </c>
      <c r="I189" s="5" t="s">
        <v>62</v>
      </c>
      <c r="J189" s="5" t="s">
        <v>63</v>
      </c>
      <c r="K189" s="5">
        <v>60</v>
      </c>
      <c r="L189" s="5" t="s">
        <v>64</v>
      </c>
    </row>
    <row r="190" spans="1:12" ht="15.75" customHeight="1" x14ac:dyDescent="0.25">
      <c r="A190" s="5" t="s">
        <v>653</v>
      </c>
      <c r="B190" s="5" t="s">
        <v>654</v>
      </c>
      <c r="C190" s="5" t="s">
        <v>655</v>
      </c>
      <c r="D190" s="5" t="s">
        <v>643</v>
      </c>
      <c r="E190" s="5">
        <v>53923</v>
      </c>
      <c r="F190" s="5">
        <v>-89.100591499999993</v>
      </c>
      <c r="G190" s="5">
        <v>43.538011699999998</v>
      </c>
      <c r="H190" s="5" t="s">
        <v>61</v>
      </c>
      <c r="I190" s="5" t="s">
        <v>62</v>
      </c>
      <c r="J190" s="5" t="s">
        <v>63</v>
      </c>
      <c r="K190" s="5">
        <v>50</v>
      </c>
      <c r="L190" s="5" t="s">
        <v>64</v>
      </c>
    </row>
    <row r="191" spans="1:12" ht="15.75" customHeight="1" x14ac:dyDescent="0.25">
      <c r="A191" s="5" t="s">
        <v>656</v>
      </c>
      <c r="B191" s="5" t="s">
        <v>657</v>
      </c>
      <c r="C191" s="5" t="s">
        <v>658</v>
      </c>
      <c r="D191" s="5" t="s">
        <v>643</v>
      </c>
      <c r="E191" s="5">
        <v>54904</v>
      </c>
      <c r="F191" s="5">
        <v>-88.651616899999993</v>
      </c>
      <c r="G191" s="5">
        <v>43.980978</v>
      </c>
      <c r="H191" s="5" t="s">
        <v>61</v>
      </c>
      <c r="I191" s="5" t="s">
        <v>62</v>
      </c>
      <c r="J191" s="5" t="s">
        <v>63</v>
      </c>
      <c r="K191" s="5">
        <v>65</v>
      </c>
      <c r="L191" s="5" t="s">
        <v>64</v>
      </c>
    </row>
    <row r="192" spans="1:12" ht="15.75" customHeight="1" x14ac:dyDescent="0.25">
      <c r="A192" s="5" t="s">
        <v>659</v>
      </c>
      <c r="B192" s="5" t="s">
        <v>660</v>
      </c>
      <c r="C192" s="5" t="s">
        <v>661</v>
      </c>
      <c r="D192" s="5" t="s">
        <v>643</v>
      </c>
      <c r="E192" s="5">
        <v>54646</v>
      </c>
      <c r="F192" s="5">
        <v>-90.073881200000002</v>
      </c>
      <c r="G192" s="5">
        <v>44.026257999999999</v>
      </c>
      <c r="H192" s="5" t="s">
        <v>61</v>
      </c>
      <c r="I192" s="5" t="s">
        <v>62</v>
      </c>
      <c r="J192" s="5" t="s">
        <v>63</v>
      </c>
      <c r="K192" s="5">
        <v>100</v>
      </c>
      <c r="L192" s="5" t="s">
        <v>64</v>
      </c>
    </row>
    <row r="193" spans="1:12" ht="15.75" customHeight="1" x14ac:dyDescent="0.25">
      <c r="A193" s="5" t="s">
        <v>662</v>
      </c>
      <c r="B193" s="5" t="s">
        <v>663</v>
      </c>
      <c r="C193" s="5" t="s">
        <v>664</v>
      </c>
      <c r="D193" s="5" t="s">
        <v>643</v>
      </c>
      <c r="E193" s="5">
        <v>53563</v>
      </c>
      <c r="F193" s="5">
        <v>-88.931070700000006</v>
      </c>
      <c r="G193" s="5">
        <v>42.770690500000001</v>
      </c>
      <c r="H193" s="5" t="s">
        <v>61</v>
      </c>
      <c r="I193" s="5" t="s">
        <v>62</v>
      </c>
      <c r="J193" s="5" t="s">
        <v>63</v>
      </c>
      <c r="K193" s="5">
        <v>60</v>
      </c>
      <c r="L193" s="5" t="s">
        <v>64</v>
      </c>
    </row>
    <row r="194" spans="1:12" ht="15.75" customHeight="1" x14ac:dyDescent="0.25">
      <c r="A194" s="5" t="s">
        <v>665</v>
      </c>
      <c r="B194" s="5" t="s">
        <v>666</v>
      </c>
      <c r="C194" s="5" t="s">
        <v>667</v>
      </c>
      <c r="D194" s="5" t="s">
        <v>643</v>
      </c>
      <c r="E194" s="5">
        <v>53935</v>
      </c>
      <c r="F194" s="5">
        <v>-89.062573400000005</v>
      </c>
      <c r="G194" s="5">
        <v>43.570240699999999</v>
      </c>
      <c r="H194" s="5" t="s">
        <v>61</v>
      </c>
      <c r="I194" s="5" t="s">
        <v>62</v>
      </c>
      <c r="J194" s="5" t="s">
        <v>63</v>
      </c>
      <c r="K194" s="5">
        <v>60</v>
      </c>
      <c r="L194" s="5" t="s">
        <v>64</v>
      </c>
    </row>
    <row r="195" spans="1:12" ht="15.75" customHeight="1" x14ac:dyDescent="0.25"/>
    <row r="196" spans="1:12" ht="15.75" customHeight="1" x14ac:dyDescent="0.25"/>
    <row r="197" spans="1:12" ht="15.75" customHeight="1" x14ac:dyDescent="0.25"/>
    <row r="198" spans="1:12" ht="15.75" customHeight="1" x14ac:dyDescent="0.25"/>
    <row r="199" spans="1:12" ht="15.75" customHeight="1" x14ac:dyDescent="0.25"/>
    <row r="200" spans="1:12" ht="15.75" customHeight="1" x14ac:dyDescent="0.25"/>
    <row r="201" spans="1:12" ht="15.75" customHeight="1" x14ac:dyDescent="0.25"/>
    <row r="202" spans="1:12" ht="15.75" customHeight="1" x14ac:dyDescent="0.25"/>
    <row r="203" spans="1:12" ht="15.75" customHeight="1" x14ac:dyDescent="0.25"/>
    <row r="204" spans="1:12" ht="15.75" customHeight="1" x14ac:dyDescent="0.25"/>
    <row r="205" spans="1:12" ht="15.75" customHeight="1" x14ac:dyDescent="0.25"/>
    <row r="206" spans="1:12" ht="15.75" customHeight="1" x14ac:dyDescent="0.25"/>
    <row r="207" spans="1:12" ht="15.75" customHeight="1" x14ac:dyDescent="0.25"/>
    <row r="208" spans="1:1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306C"/>
  </sheetPr>
  <dimension ref="A1:K1000"/>
  <sheetViews>
    <sheetView workbookViewId="0">
      <selection activeCell="B2" sqref="B2"/>
    </sheetView>
  </sheetViews>
  <sheetFormatPr defaultColWidth="14.42578125" defaultRowHeight="15" customHeight="1" x14ac:dyDescent="0.25"/>
  <cols>
    <col min="1" max="1" width="17" customWidth="1"/>
    <col min="2" max="2" width="20.7109375" customWidth="1"/>
    <col min="3" max="3" width="16.28515625" customWidth="1"/>
    <col min="4" max="4" width="18" customWidth="1"/>
    <col min="5" max="5" width="18.42578125" customWidth="1"/>
    <col min="6" max="6" width="15.28515625" customWidth="1"/>
    <col min="7" max="7" width="16" customWidth="1"/>
    <col min="8" max="8" width="14.5703125" customWidth="1"/>
    <col min="9" max="9" width="18.42578125" customWidth="1"/>
    <col min="10" max="10" width="22.28515625" customWidth="1"/>
    <col min="11" max="11" width="20.42578125" customWidth="1"/>
    <col min="12" max="26" width="8.7109375" customWidth="1"/>
  </cols>
  <sheetData>
    <row r="1" spans="1:11" ht="54.75" customHeight="1" x14ac:dyDescent="0.25">
      <c r="A1" s="13" t="s">
        <v>14</v>
      </c>
      <c r="B1" s="14" t="s">
        <v>668</v>
      </c>
      <c r="C1" s="14" t="s">
        <v>669</v>
      </c>
      <c r="D1" s="15" t="s">
        <v>670</v>
      </c>
      <c r="E1" s="15" t="s">
        <v>671</v>
      </c>
      <c r="F1" s="15" t="s">
        <v>672</v>
      </c>
      <c r="G1" s="15" t="s">
        <v>673</v>
      </c>
      <c r="H1" s="15" t="s">
        <v>674</v>
      </c>
      <c r="I1" s="15" t="s">
        <v>675</v>
      </c>
      <c r="J1" s="15" t="s">
        <v>676</v>
      </c>
      <c r="K1" s="13" t="s">
        <v>677</v>
      </c>
    </row>
    <row r="2" spans="1:11" x14ac:dyDescent="0.25">
      <c r="A2" s="16" t="s">
        <v>678</v>
      </c>
      <c r="B2" s="17">
        <v>1396.992</v>
      </c>
      <c r="C2" s="16">
        <v>131.11814799999999</v>
      </c>
      <c r="D2" s="18">
        <f>-0.138*LN(100*(B2/C2)) + 1.8681</f>
        <v>0.90608157478531526</v>
      </c>
      <c r="E2" s="19">
        <f>0.35*((B2*D2)-(C2*2.7))</f>
        <v>319.11939910287055</v>
      </c>
      <c r="F2" s="20">
        <f>156*((1-0.2)*E2)/1000</f>
        <v>39.82610100803825</v>
      </c>
      <c r="G2" s="20">
        <f>F2/0.16</f>
        <v>248.91313130023906</v>
      </c>
      <c r="H2" s="20">
        <f>F2*0.91</f>
        <v>36.241751917314808</v>
      </c>
      <c r="I2" s="20">
        <f>0.91*F2+(1-0.16)*G2</f>
        <v>245.32878220951562</v>
      </c>
      <c r="J2" s="18">
        <v>10723.673150000001</v>
      </c>
      <c r="K2" s="20">
        <f>I2/J2*100</f>
        <v>2.2877308808084624</v>
      </c>
    </row>
    <row r="3" spans="1:11" x14ac:dyDescent="0.25">
      <c r="A3" s="21" t="s">
        <v>679</v>
      </c>
      <c r="B3" s="22"/>
      <c r="C3" s="21"/>
      <c r="D3" s="23"/>
      <c r="E3" s="24"/>
      <c r="F3" s="25"/>
      <c r="G3" s="25"/>
      <c r="H3" s="25"/>
      <c r="I3" s="25"/>
      <c r="J3" s="23"/>
      <c r="K3" s="25"/>
    </row>
    <row r="4" spans="1:11" x14ac:dyDescent="0.25">
      <c r="A4" s="21" t="s">
        <v>680</v>
      </c>
      <c r="B4" s="22">
        <v>1980.8312000000001</v>
      </c>
      <c r="C4" s="21">
        <v>42.0873068</v>
      </c>
      <c r="D4" s="23">
        <f t="shared" ref="D4:D11" si="0">-0.138*LN(100*(B4/C4)) + 1.8681</f>
        <v>0.70107597607742811</v>
      </c>
      <c r="E4" s="24">
        <f t="shared" ref="E4:E11" si="1">0.35*((B4*D4)-(C4*2.7))</f>
        <v>446.27710351861811</v>
      </c>
      <c r="F4" s="25">
        <f t="shared" ref="F4:F11" si="2">156*((1-0.2)*E4)/1000</f>
        <v>55.695382519123548</v>
      </c>
      <c r="G4" s="25">
        <f t="shared" ref="G4:G11" si="3">F4/0.16</f>
        <v>348.09614074452219</v>
      </c>
      <c r="H4" s="25">
        <f t="shared" ref="H4:H11" si="4">F4*0.91</f>
        <v>50.682798092402429</v>
      </c>
      <c r="I4" s="25">
        <f t="shared" ref="I4:I11" si="5">0.91*F4+(1-0.16)*G4</f>
        <v>343.08355631780108</v>
      </c>
      <c r="J4" s="23">
        <v>10113.163070000001</v>
      </c>
      <c r="K4" s="25">
        <f t="shared" ref="K4:K11" si="6">I4/J4*100</f>
        <v>3.3924456072060654</v>
      </c>
    </row>
    <row r="5" spans="1:11" x14ac:dyDescent="0.25">
      <c r="A5" s="21" t="s">
        <v>681</v>
      </c>
      <c r="B5" s="22">
        <v>3938.0059999999999</v>
      </c>
      <c r="C5" s="21">
        <v>337.91251099999999</v>
      </c>
      <c r="D5" s="23">
        <f t="shared" si="0"/>
        <v>0.89370781289724288</v>
      </c>
      <c r="E5" s="24">
        <f t="shared" si="1"/>
        <v>912.47203240767681</v>
      </c>
      <c r="F5" s="25">
        <f t="shared" si="2"/>
        <v>113.87650964447808</v>
      </c>
      <c r="G5" s="25">
        <f t="shared" si="3"/>
        <v>711.72818527798802</v>
      </c>
      <c r="H5" s="25">
        <f t="shared" si="4"/>
        <v>103.62762377647505</v>
      </c>
      <c r="I5" s="25">
        <f t="shared" si="5"/>
        <v>701.47929940998495</v>
      </c>
      <c r="J5" s="23">
        <v>5358.3388610000002</v>
      </c>
      <c r="K5" s="25">
        <f t="shared" si="6"/>
        <v>13.091357557014813</v>
      </c>
    </row>
    <row r="6" spans="1:11" x14ac:dyDescent="0.25">
      <c r="A6" s="21" t="s">
        <v>682</v>
      </c>
      <c r="B6" s="22">
        <v>9280.848</v>
      </c>
      <c r="C6" s="21">
        <v>157.82740000000001</v>
      </c>
      <c r="D6" s="23">
        <f t="shared" si="0"/>
        <v>0.67034606286517184</v>
      </c>
      <c r="E6" s="24">
        <f t="shared" si="1"/>
        <v>2028.3360778975364</v>
      </c>
      <c r="F6" s="25">
        <f t="shared" si="2"/>
        <v>253.13634252161253</v>
      </c>
      <c r="G6" s="25">
        <f t="shared" si="3"/>
        <v>1582.1021407600783</v>
      </c>
      <c r="H6" s="25">
        <f t="shared" si="4"/>
        <v>230.35407169466743</v>
      </c>
      <c r="I6" s="25">
        <f t="shared" si="5"/>
        <v>1559.3198699331333</v>
      </c>
      <c r="J6" s="23">
        <v>10113.163070000001</v>
      </c>
      <c r="K6" s="25">
        <f t="shared" si="6"/>
        <v>15.418715778041273</v>
      </c>
    </row>
    <row r="7" spans="1:11" x14ac:dyDescent="0.25">
      <c r="A7" s="21" t="s">
        <v>683</v>
      </c>
      <c r="B7" s="22">
        <v>8903.2819999999992</v>
      </c>
      <c r="C7" s="21">
        <v>505.85705280000002</v>
      </c>
      <c r="D7" s="23">
        <f t="shared" si="0"/>
        <v>0.83681339884067274</v>
      </c>
      <c r="E7" s="24">
        <f t="shared" si="1"/>
        <v>2129.6000700439436</v>
      </c>
      <c r="F7" s="25">
        <f t="shared" si="2"/>
        <v>265.77408874148415</v>
      </c>
      <c r="G7" s="25">
        <f t="shared" si="3"/>
        <v>1661.088054634276</v>
      </c>
      <c r="H7" s="25">
        <f t="shared" si="4"/>
        <v>241.85442075475058</v>
      </c>
      <c r="I7" s="25">
        <f t="shared" si="5"/>
        <v>1637.1683866475423</v>
      </c>
      <c r="J7" s="23">
        <v>7760.7914179999998</v>
      </c>
      <c r="K7" s="25">
        <f t="shared" si="6"/>
        <v>21.095379304362879</v>
      </c>
    </row>
    <row r="8" spans="1:11" x14ac:dyDescent="0.25">
      <c r="A8" s="21" t="s">
        <v>684</v>
      </c>
      <c r="B8" s="22">
        <v>340</v>
      </c>
      <c r="C8" s="21">
        <v>8.0937128000000005</v>
      </c>
      <c r="D8" s="23">
        <f t="shared" si="0"/>
        <v>0.71676210276296959</v>
      </c>
      <c r="E8" s="24">
        <f t="shared" si="1"/>
        <v>77.646131632793384</v>
      </c>
      <c r="F8" s="25">
        <f t="shared" si="2"/>
        <v>9.6902372277726148</v>
      </c>
      <c r="G8" s="25">
        <f t="shared" si="3"/>
        <v>60.563982673578842</v>
      </c>
      <c r="H8" s="25">
        <f t="shared" si="4"/>
        <v>8.8181158772730797</v>
      </c>
      <c r="I8" s="25">
        <f t="shared" si="5"/>
        <v>59.691861323079301</v>
      </c>
      <c r="J8" s="23">
        <v>1720.5573139999999</v>
      </c>
      <c r="K8" s="25">
        <f t="shared" si="6"/>
        <v>3.4693329212210888</v>
      </c>
    </row>
    <row r="9" spans="1:11" x14ac:dyDescent="0.25">
      <c r="A9" s="21" t="s">
        <v>685</v>
      </c>
      <c r="B9" s="22">
        <v>1701.4064000000001</v>
      </c>
      <c r="C9" s="21">
        <v>140.021232</v>
      </c>
      <c r="D9" s="23">
        <f t="shared" si="0"/>
        <v>0.88794304921690392</v>
      </c>
      <c r="E9" s="24">
        <f t="shared" si="1"/>
        <v>396.44313113060434</v>
      </c>
      <c r="F9" s="25">
        <f t="shared" si="2"/>
        <v>49.476102765099419</v>
      </c>
      <c r="G9" s="25">
        <f t="shared" si="3"/>
        <v>309.22564228187139</v>
      </c>
      <c r="H9" s="25">
        <f t="shared" si="4"/>
        <v>45.023253516240473</v>
      </c>
      <c r="I9" s="25">
        <f t="shared" si="5"/>
        <v>304.77279303301242</v>
      </c>
      <c r="J9" s="23">
        <v>1720.5573139999999</v>
      </c>
      <c r="K9" s="25">
        <f t="shared" si="6"/>
        <v>17.713608872724389</v>
      </c>
    </row>
    <row r="10" spans="1:11" x14ac:dyDescent="0.25">
      <c r="A10" s="21" t="s">
        <v>686</v>
      </c>
      <c r="B10" s="22">
        <v>723.8184</v>
      </c>
      <c r="C10" s="21">
        <v>35.207650999999998</v>
      </c>
      <c r="D10" s="23">
        <f t="shared" si="0"/>
        <v>0.81537427242860949</v>
      </c>
      <c r="E10" s="24">
        <f t="shared" si="1"/>
        <v>173.29278524965406</v>
      </c>
      <c r="F10" s="25">
        <f t="shared" si="2"/>
        <v>21.626939599156827</v>
      </c>
      <c r="G10" s="25">
        <f t="shared" si="3"/>
        <v>135.16837249473016</v>
      </c>
      <c r="H10" s="25">
        <f t="shared" si="4"/>
        <v>19.680515035232713</v>
      </c>
      <c r="I10" s="25">
        <f t="shared" si="5"/>
        <v>133.22194793080604</v>
      </c>
      <c r="J10" s="23">
        <v>30818.199067000001</v>
      </c>
      <c r="K10" s="25">
        <f t="shared" si="6"/>
        <v>0.43228336490778124</v>
      </c>
    </row>
    <row r="11" spans="1:11" x14ac:dyDescent="0.25">
      <c r="A11" s="21" t="s">
        <v>687</v>
      </c>
      <c r="B11" s="22">
        <v>2749.6239999999998</v>
      </c>
      <c r="C11" s="21">
        <v>192.22568000000001</v>
      </c>
      <c r="D11" s="23">
        <f t="shared" si="0"/>
        <v>0.86543070325991289</v>
      </c>
      <c r="E11" s="24">
        <f t="shared" si="1"/>
        <v>651.2098936071169</v>
      </c>
      <c r="F11" s="25">
        <f t="shared" si="2"/>
        <v>81.270994722168197</v>
      </c>
      <c r="G11" s="25">
        <f t="shared" si="3"/>
        <v>507.94371701355124</v>
      </c>
      <c r="H11" s="25">
        <f t="shared" si="4"/>
        <v>73.956605197173062</v>
      </c>
      <c r="I11" s="25">
        <f t="shared" si="5"/>
        <v>500.6293274885561</v>
      </c>
      <c r="J11" s="23">
        <v>17289.83625</v>
      </c>
      <c r="K11" s="25">
        <f t="shared" si="6"/>
        <v>2.8955122550021613</v>
      </c>
    </row>
    <row r="12" spans="1:11" x14ac:dyDescent="0.25">
      <c r="A12" s="21" t="s">
        <v>688</v>
      </c>
      <c r="B12" s="22"/>
      <c r="C12" s="21"/>
      <c r="D12" s="23"/>
      <c r="E12" s="24"/>
      <c r="F12" s="25"/>
      <c r="G12" s="25"/>
      <c r="H12" s="25"/>
      <c r="I12" s="25"/>
      <c r="J12" s="23"/>
      <c r="K12" s="25"/>
    </row>
    <row r="13" spans="1:11" x14ac:dyDescent="0.25">
      <c r="A13" s="21" t="s">
        <v>689</v>
      </c>
      <c r="B13" s="22">
        <v>592.96299999999997</v>
      </c>
      <c r="C13" s="21">
        <v>46.538848899999998</v>
      </c>
      <c r="D13" s="23">
        <f t="shared" ref="D13:D19" si="7">-0.138*LN(100*(B13/C13)) + 1.8681</f>
        <v>0.88139796250869551</v>
      </c>
      <c r="E13" s="24">
        <f t="shared" ref="E13:E19" si="8">0.35*((B13*D13)-(C13*2.7))</f>
        <v>138.94352080456525</v>
      </c>
      <c r="F13" s="25">
        <f t="shared" ref="F13:F19" si="9">156*((1-0.2)*E13)/1000</f>
        <v>17.340151396409748</v>
      </c>
      <c r="G13" s="25">
        <f t="shared" ref="G13:G19" si="10">F13/0.16</f>
        <v>108.37594622756093</v>
      </c>
      <c r="H13" s="25">
        <f t="shared" ref="H13:H19" si="11">F13*0.91</f>
        <v>15.779537770732871</v>
      </c>
      <c r="I13" s="25">
        <f t="shared" ref="I13:I19" si="12">0.91*F13+(1-0.16)*G13</f>
        <v>106.81533260188405</v>
      </c>
      <c r="J13" s="23">
        <v>2922.9759949999998</v>
      </c>
      <c r="K13" s="25">
        <f t="shared" ref="K13:K19" si="13">I13/J13*100</f>
        <v>3.6543349238789782</v>
      </c>
    </row>
    <row r="14" spans="1:11" x14ac:dyDescent="0.25">
      <c r="A14" s="21" t="s">
        <v>690</v>
      </c>
      <c r="B14" s="22">
        <v>53850.54</v>
      </c>
      <c r="C14" s="21">
        <v>4572.9517999999998</v>
      </c>
      <c r="D14" s="23">
        <f t="shared" si="7"/>
        <v>0.89227112761954819</v>
      </c>
      <c r="E14" s="24">
        <f t="shared" si="8"/>
        <v>12495.809266052553</v>
      </c>
      <c r="F14" s="25">
        <f t="shared" si="9"/>
        <v>1559.4769964033587</v>
      </c>
      <c r="G14" s="25">
        <f t="shared" si="10"/>
        <v>9746.7312275209915</v>
      </c>
      <c r="H14" s="25">
        <f t="shared" si="11"/>
        <v>1419.1240667270565</v>
      </c>
      <c r="I14" s="25">
        <f t="shared" si="12"/>
        <v>9606.3782978446889</v>
      </c>
      <c r="J14" s="23">
        <v>14528.391046999999</v>
      </c>
      <c r="K14" s="25">
        <f t="shared" si="13"/>
        <v>66.121418860268989</v>
      </c>
    </row>
    <row r="15" spans="1:11" x14ac:dyDescent="0.25">
      <c r="A15" s="21" t="s">
        <v>691</v>
      </c>
      <c r="B15" s="22">
        <v>24936.45</v>
      </c>
      <c r="C15" s="21">
        <v>2185.3044</v>
      </c>
      <c r="D15" s="23">
        <f t="shared" si="7"/>
        <v>0.89661510138425338</v>
      </c>
      <c r="E15" s="24">
        <f t="shared" si="8"/>
        <v>5760.3265177196781</v>
      </c>
      <c r="F15" s="25">
        <f t="shared" si="9"/>
        <v>718.88874941141592</v>
      </c>
      <c r="G15" s="25">
        <f t="shared" si="10"/>
        <v>4493.0546838213495</v>
      </c>
      <c r="H15" s="25">
        <f t="shared" si="11"/>
        <v>654.1887619643885</v>
      </c>
      <c r="I15" s="25">
        <f t="shared" si="12"/>
        <v>4428.354696374322</v>
      </c>
      <c r="J15" s="23">
        <v>10559.280591999999</v>
      </c>
      <c r="K15" s="25">
        <f t="shared" si="13"/>
        <v>41.938034109344201</v>
      </c>
    </row>
    <row r="16" spans="1:11" x14ac:dyDescent="0.25">
      <c r="A16" s="21" t="s">
        <v>692</v>
      </c>
      <c r="B16" s="22">
        <v>57995.82</v>
      </c>
      <c r="C16" s="21">
        <v>5503.7295999999997</v>
      </c>
      <c r="D16" s="23">
        <f t="shared" si="7"/>
        <v>0.90760410882325837</v>
      </c>
      <c r="E16" s="24">
        <f t="shared" si="8"/>
        <v>13222.011112300936</v>
      </c>
      <c r="F16" s="25">
        <f t="shared" si="9"/>
        <v>1650.1069868151569</v>
      </c>
      <c r="G16" s="25">
        <f t="shared" si="10"/>
        <v>10313.168667594731</v>
      </c>
      <c r="H16" s="25">
        <f t="shared" si="11"/>
        <v>1501.5973580017928</v>
      </c>
      <c r="I16" s="25">
        <f t="shared" si="12"/>
        <v>10164.659038781367</v>
      </c>
      <c r="J16" s="23">
        <v>5191.8794719999996</v>
      </c>
      <c r="K16" s="25">
        <f t="shared" si="13"/>
        <v>195.7799500855086</v>
      </c>
    </row>
    <row r="17" spans="1:11" x14ac:dyDescent="0.25">
      <c r="A17" s="21" t="s">
        <v>693</v>
      </c>
      <c r="B17" s="22">
        <v>19468.592000000001</v>
      </c>
      <c r="C17" s="21">
        <v>2468.5846000000001</v>
      </c>
      <c r="D17" s="23">
        <f t="shared" si="7"/>
        <v>0.94759477237423972</v>
      </c>
      <c r="E17" s="24">
        <f t="shared" si="8"/>
        <v>4124.1051546404306</v>
      </c>
      <c r="F17" s="25">
        <f t="shared" si="9"/>
        <v>514.68832329912573</v>
      </c>
      <c r="G17" s="25">
        <f t="shared" si="10"/>
        <v>3216.8020206195356</v>
      </c>
      <c r="H17" s="25">
        <f t="shared" si="11"/>
        <v>468.36637420220444</v>
      </c>
      <c r="I17" s="25">
        <f t="shared" si="12"/>
        <v>3170.4800715226143</v>
      </c>
      <c r="J17" s="23">
        <v>4708.8769659999998</v>
      </c>
      <c r="K17" s="25">
        <f t="shared" si="13"/>
        <v>67.329855810945276</v>
      </c>
    </row>
    <row r="18" spans="1:11" x14ac:dyDescent="0.25">
      <c r="A18" s="21" t="s">
        <v>694</v>
      </c>
      <c r="B18" s="22">
        <v>6356.0959999999995</v>
      </c>
      <c r="C18" s="21">
        <v>594.88842</v>
      </c>
      <c r="D18" s="23">
        <f t="shared" si="7"/>
        <v>0.90569269768263272</v>
      </c>
      <c r="E18" s="24">
        <f t="shared" si="8"/>
        <v>1452.6648496394268</v>
      </c>
      <c r="F18" s="25">
        <f t="shared" si="9"/>
        <v>181.29257323500048</v>
      </c>
      <c r="G18" s="25">
        <f t="shared" si="10"/>
        <v>1133.0785827187528</v>
      </c>
      <c r="H18" s="25">
        <f t="shared" si="11"/>
        <v>164.97624164385044</v>
      </c>
      <c r="I18" s="25">
        <f t="shared" si="12"/>
        <v>1116.7622511276027</v>
      </c>
      <c r="J18" s="23">
        <v>7548.2257989999998</v>
      </c>
      <c r="K18" s="25">
        <f t="shared" si="13"/>
        <v>14.795029731033654</v>
      </c>
    </row>
    <row r="19" spans="1:11" x14ac:dyDescent="0.25">
      <c r="A19" s="21" t="s">
        <v>695</v>
      </c>
      <c r="B19" s="22">
        <v>2229.739</v>
      </c>
      <c r="C19" s="21">
        <v>202.34299999999999</v>
      </c>
      <c r="D19" s="23">
        <f t="shared" si="7"/>
        <v>0.90143128980698817</v>
      </c>
      <c r="E19" s="24">
        <f t="shared" si="8"/>
        <v>512.27064094603031</v>
      </c>
      <c r="F19" s="25">
        <f t="shared" si="9"/>
        <v>63.931375990064588</v>
      </c>
      <c r="G19" s="25">
        <f t="shared" si="10"/>
        <v>399.57109993790368</v>
      </c>
      <c r="H19" s="25">
        <f t="shared" si="11"/>
        <v>58.177552150958775</v>
      </c>
      <c r="I19" s="25">
        <f t="shared" si="12"/>
        <v>393.81727609879783</v>
      </c>
      <c r="J19" s="23">
        <v>7389.3977860000005</v>
      </c>
      <c r="K19" s="25">
        <f t="shared" si="13"/>
        <v>5.3294908124302971</v>
      </c>
    </row>
    <row r="20" spans="1:11" x14ac:dyDescent="0.25">
      <c r="A20" s="21" t="s">
        <v>696</v>
      </c>
      <c r="B20" s="22"/>
      <c r="C20" s="21"/>
      <c r="D20" s="23"/>
      <c r="E20" s="24"/>
      <c r="F20" s="25"/>
      <c r="G20" s="25"/>
      <c r="H20" s="25"/>
      <c r="I20" s="25"/>
      <c r="J20" s="23"/>
      <c r="K20" s="25"/>
    </row>
    <row r="21" spans="1:11" ht="15.75" customHeight="1" x14ac:dyDescent="0.25">
      <c r="A21" s="21" t="s">
        <v>697</v>
      </c>
      <c r="B21" s="22">
        <v>1692.91</v>
      </c>
      <c r="C21" s="21">
        <v>194.24928</v>
      </c>
      <c r="D21" s="23">
        <f>-0.138*LN(100*(B21/C21)) + 1.8681</f>
        <v>0.93380796689350365</v>
      </c>
      <c r="E21" s="24">
        <f>0.35*((B21*D21)-(C21*2.7))</f>
        <v>369.73292623178844</v>
      </c>
      <c r="F21" s="25">
        <f>156*((1-0.2)*E21)/1000</f>
        <v>46.142669193727194</v>
      </c>
      <c r="G21" s="25">
        <f>F21/0.16</f>
        <v>288.39168246079498</v>
      </c>
      <c r="H21" s="25">
        <f>F21*0.91</f>
        <v>41.989828966291746</v>
      </c>
      <c r="I21" s="25">
        <f>0.91*F21+(1-0.16)*G21</f>
        <v>284.23884223335949</v>
      </c>
      <c r="J21" s="23">
        <v>8110.4038309999996</v>
      </c>
      <c r="K21" s="25">
        <f>I21/J21*100</f>
        <v>3.5046200923673778</v>
      </c>
    </row>
    <row r="22" spans="1:11" ht="15.75" customHeight="1" x14ac:dyDescent="0.25">
      <c r="A22" s="21" t="s">
        <v>698</v>
      </c>
      <c r="B22" s="22"/>
      <c r="C22" s="21"/>
      <c r="D22" s="23"/>
      <c r="E22" s="24"/>
      <c r="F22" s="25"/>
      <c r="G22" s="25"/>
      <c r="H22" s="25"/>
      <c r="I22" s="25"/>
      <c r="J22" s="23"/>
      <c r="K22" s="25"/>
    </row>
    <row r="23" spans="1:11" ht="15.75" customHeight="1" x14ac:dyDescent="0.25">
      <c r="A23" s="21" t="s">
        <v>699</v>
      </c>
      <c r="B23" s="22">
        <v>7733.5379999999996</v>
      </c>
      <c r="C23" s="21">
        <v>951.01210000000003</v>
      </c>
      <c r="D23" s="23">
        <f t="shared" ref="D23:D28" si="14">-0.138*LN(100*(B23/C23)) + 1.8681</f>
        <v>0.94336681147654011</v>
      </c>
      <c r="E23" s="24">
        <f t="shared" ref="E23:E28" si="15">0.35*((B23*D23)-(C23*2.7))</f>
        <v>1654.7406450724304</v>
      </c>
      <c r="F23" s="25">
        <f t="shared" ref="F23:F28" si="16">156*((1-0.2)*E23)/1000</f>
        <v>206.5116325050393</v>
      </c>
      <c r="G23" s="25">
        <f t="shared" ref="G23:G28" si="17">F23/0.16</f>
        <v>1290.6977031564957</v>
      </c>
      <c r="H23" s="25">
        <f t="shared" ref="H23:H28" si="18">F23*0.91</f>
        <v>187.92558557958577</v>
      </c>
      <c r="I23" s="25">
        <f t="shared" ref="I23:I28" si="19">0.91*F23+(1-0.16)*G23</f>
        <v>1272.1116562310419</v>
      </c>
      <c r="J23" s="23">
        <v>15090.251104999999</v>
      </c>
      <c r="K23" s="25">
        <f t="shared" ref="K23:K28" si="20">I23/J23*100</f>
        <v>8.4300231147879359</v>
      </c>
    </row>
    <row r="24" spans="1:11" ht="15.75" customHeight="1" x14ac:dyDescent="0.25">
      <c r="A24" s="21" t="s">
        <v>700</v>
      </c>
      <c r="B24" s="22">
        <v>36434.014000000003</v>
      </c>
      <c r="C24" s="21">
        <v>3237.4879999999998</v>
      </c>
      <c r="D24" s="23">
        <f t="shared" si="14"/>
        <v>0.89852921489307069</v>
      </c>
      <c r="E24" s="24">
        <f t="shared" si="15"/>
        <v>8398.5329381881002</v>
      </c>
      <c r="F24" s="25">
        <f t="shared" si="16"/>
        <v>1048.1369106858749</v>
      </c>
      <c r="G24" s="25">
        <f t="shared" si="17"/>
        <v>6550.8556917867181</v>
      </c>
      <c r="H24" s="25">
        <f t="shared" si="18"/>
        <v>953.80458872414624</v>
      </c>
      <c r="I24" s="25">
        <f t="shared" si="19"/>
        <v>6456.5233698249895</v>
      </c>
      <c r="J24" s="23">
        <v>8523.2930699999997</v>
      </c>
      <c r="K24" s="25">
        <f t="shared" si="20"/>
        <v>75.751511966078496</v>
      </c>
    </row>
    <row r="25" spans="1:11" ht="15.75" customHeight="1" x14ac:dyDescent="0.25">
      <c r="A25" s="21" t="s">
        <v>701</v>
      </c>
      <c r="B25" s="22">
        <v>2240.2800000000002</v>
      </c>
      <c r="C25" s="21">
        <v>206.38986</v>
      </c>
      <c r="D25" s="23">
        <f t="shared" si="14"/>
        <v>0.90351320024262372</v>
      </c>
      <c r="E25" s="24">
        <f t="shared" si="15"/>
        <v>513.40447558384085</v>
      </c>
      <c r="F25" s="25">
        <f t="shared" si="16"/>
        <v>64.072878552863344</v>
      </c>
      <c r="G25" s="25">
        <f t="shared" si="17"/>
        <v>400.45549095539587</v>
      </c>
      <c r="H25" s="25">
        <f t="shared" si="18"/>
        <v>58.306319483105646</v>
      </c>
      <c r="I25" s="25">
        <f t="shared" si="19"/>
        <v>394.68893188563817</v>
      </c>
      <c r="J25" s="23">
        <v>6099.6952419999998</v>
      </c>
      <c r="K25" s="25">
        <f t="shared" si="20"/>
        <v>6.4706336337588155</v>
      </c>
    </row>
    <row r="26" spans="1:11" ht="15.75" customHeight="1" x14ac:dyDescent="0.25">
      <c r="A26" s="21" t="s">
        <v>702</v>
      </c>
      <c r="B26" s="22">
        <v>14246.352000000001</v>
      </c>
      <c r="C26" s="21">
        <v>1396.1667</v>
      </c>
      <c r="D26" s="23">
        <f t="shared" si="14"/>
        <v>0.91204419028473105</v>
      </c>
      <c r="E26" s="24">
        <f t="shared" si="15"/>
        <v>3228.2783695229409</v>
      </c>
      <c r="F26" s="25">
        <f t="shared" si="16"/>
        <v>402.88914051646304</v>
      </c>
      <c r="G26" s="25">
        <f t="shared" si="17"/>
        <v>2518.0571282278938</v>
      </c>
      <c r="H26" s="25">
        <f t="shared" si="18"/>
        <v>366.62911786998137</v>
      </c>
      <c r="I26" s="25">
        <f t="shared" si="19"/>
        <v>2481.7971055814119</v>
      </c>
      <c r="J26" s="23">
        <v>10924.950692</v>
      </c>
      <c r="K26" s="25">
        <f t="shared" si="20"/>
        <v>22.716780840015637</v>
      </c>
    </row>
    <row r="27" spans="1:11" ht="15.75" customHeight="1" x14ac:dyDescent="0.25">
      <c r="A27" s="21" t="s">
        <v>703</v>
      </c>
      <c r="B27" s="22">
        <v>168.88460000000001</v>
      </c>
      <c r="C27" s="21">
        <v>46.538890000000002</v>
      </c>
      <c r="D27" s="23">
        <f t="shared" si="14"/>
        <v>1.054714542199372</v>
      </c>
      <c r="E27" s="24">
        <f t="shared" si="15"/>
        <v>18.364514200733421</v>
      </c>
      <c r="F27" s="25">
        <f t="shared" si="16"/>
        <v>2.2918913722515306</v>
      </c>
      <c r="G27" s="25">
        <f t="shared" si="17"/>
        <v>14.324321076572065</v>
      </c>
      <c r="H27" s="25">
        <f t="shared" si="18"/>
        <v>2.0856211487488929</v>
      </c>
      <c r="I27" s="25">
        <f t="shared" si="19"/>
        <v>14.118050853069427</v>
      </c>
      <c r="J27" s="23">
        <v>1911.1827270000001</v>
      </c>
      <c r="K27" s="25">
        <f t="shared" si="20"/>
        <v>0.73870753715060267</v>
      </c>
    </row>
    <row r="28" spans="1:11" ht="15.75" customHeight="1" x14ac:dyDescent="0.25">
      <c r="A28" s="21" t="s">
        <v>704</v>
      </c>
      <c r="B28" s="22">
        <v>45217.08</v>
      </c>
      <c r="C28" s="21">
        <v>4127.7972</v>
      </c>
      <c r="D28" s="23">
        <f t="shared" si="14"/>
        <v>0.90225163736840663</v>
      </c>
      <c r="E28" s="24">
        <f t="shared" si="15"/>
        <v>10378.246209456382</v>
      </c>
      <c r="F28" s="25">
        <f t="shared" si="16"/>
        <v>1295.2051269401563</v>
      </c>
      <c r="G28" s="25">
        <f t="shared" si="17"/>
        <v>8095.0320433759771</v>
      </c>
      <c r="H28" s="25">
        <f t="shared" si="18"/>
        <v>1178.6366655155423</v>
      </c>
      <c r="I28" s="25">
        <f t="shared" si="19"/>
        <v>7978.4635819513633</v>
      </c>
      <c r="J28" s="23">
        <v>3159.8666250000001</v>
      </c>
      <c r="K28" s="25">
        <f t="shared" si="20"/>
        <v>252.49368181643942</v>
      </c>
    </row>
    <row r="29" spans="1:11" ht="15.75" customHeight="1" x14ac:dyDescent="0.25">
      <c r="A29" s="21" t="s">
        <v>705</v>
      </c>
      <c r="B29" s="22"/>
      <c r="C29" s="21"/>
      <c r="D29" s="23"/>
      <c r="E29" s="24"/>
      <c r="F29" s="25"/>
      <c r="G29" s="25"/>
      <c r="H29" s="25"/>
      <c r="I29" s="25"/>
      <c r="J29" s="23"/>
      <c r="K29" s="25"/>
    </row>
    <row r="30" spans="1:11" ht="15.75" customHeight="1" x14ac:dyDescent="0.25">
      <c r="A30" s="21" t="s">
        <v>706</v>
      </c>
      <c r="B30" s="22"/>
      <c r="C30" s="21"/>
      <c r="D30" s="23"/>
      <c r="E30" s="24"/>
      <c r="F30" s="25"/>
      <c r="G30" s="25"/>
      <c r="H30" s="25"/>
      <c r="I30" s="25"/>
      <c r="J30" s="23"/>
      <c r="K30" s="25"/>
    </row>
    <row r="31" spans="1:11" ht="15.75" customHeight="1" x14ac:dyDescent="0.25">
      <c r="A31" s="21" t="s">
        <v>707</v>
      </c>
      <c r="B31" s="22">
        <v>289.2552</v>
      </c>
      <c r="C31" s="21">
        <v>32.374880000000005</v>
      </c>
      <c r="D31" s="23">
        <f t="shared" ref="D31:D39" si="21">-0.138*LN(100*(B31/C31)) + 1.8681</f>
        <v>0.93037665319486385</v>
      </c>
      <c r="E31" s="24">
        <f t="shared" ref="E31:E39" si="22">0.35*((B31*D31)-(C31*2.7))</f>
        <v>63.596438113323835</v>
      </c>
      <c r="F31" s="25">
        <f t="shared" ref="F31:F39" si="23">156*((1-0.2)*E31)/1000</f>
        <v>7.9368354765428144</v>
      </c>
      <c r="G31" s="25">
        <f t="shared" ref="G31:G39" si="24">F31/0.16</f>
        <v>49.605221728392586</v>
      </c>
      <c r="H31" s="25">
        <f t="shared" ref="H31:H39" si="25">F31*0.91</f>
        <v>7.222520283653961</v>
      </c>
      <c r="I31" s="25">
        <f t="shared" ref="I31:I39" si="26">0.91*F31+(1-0.16)*G31</f>
        <v>48.890906535503731</v>
      </c>
      <c r="J31" s="23">
        <v>11716.228991</v>
      </c>
      <c r="K31" s="25">
        <f t="shared" ref="K31:K39" si="27">I31/J31*100</f>
        <v>0.41729217287456588</v>
      </c>
    </row>
    <row r="32" spans="1:11" ht="15.75" customHeight="1" x14ac:dyDescent="0.25">
      <c r="A32" s="21" t="s">
        <v>708</v>
      </c>
      <c r="B32" s="22">
        <v>183.261</v>
      </c>
      <c r="C32" s="21">
        <v>50.585749999999997</v>
      </c>
      <c r="D32" s="23">
        <f t="shared" si="21"/>
        <v>1.0549471942097999</v>
      </c>
      <c r="E32" s="24">
        <f t="shared" si="22"/>
        <v>19.86220346532874</v>
      </c>
      <c r="F32" s="25">
        <f t="shared" si="23"/>
        <v>2.4788029924730268</v>
      </c>
      <c r="G32" s="25">
        <f t="shared" si="24"/>
        <v>15.492518702956417</v>
      </c>
      <c r="H32" s="25">
        <f t="shared" si="25"/>
        <v>2.2557107231504543</v>
      </c>
      <c r="I32" s="25">
        <f t="shared" si="26"/>
        <v>15.269426433633845</v>
      </c>
      <c r="J32" s="23">
        <v>3425.2159280000001</v>
      </c>
      <c r="K32" s="25">
        <f t="shared" si="27"/>
        <v>0.4457945646232509</v>
      </c>
    </row>
    <row r="33" spans="1:11" ht="15.75" customHeight="1" x14ac:dyDescent="0.25">
      <c r="A33" s="21" t="s">
        <v>709</v>
      </c>
      <c r="B33" s="22">
        <v>1993.9</v>
      </c>
      <c r="C33" s="21">
        <v>416.82658000000004</v>
      </c>
      <c r="D33" s="23">
        <f t="shared" si="21"/>
        <v>1.0165920139773215</v>
      </c>
      <c r="E33" s="24">
        <f t="shared" si="22"/>
        <v>315.54286773428345</v>
      </c>
      <c r="F33" s="25">
        <f t="shared" si="23"/>
        <v>39.379749893238575</v>
      </c>
      <c r="G33" s="25">
        <f t="shared" si="24"/>
        <v>246.12343683274108</v>
      </c>
      <c r="H33" s="25">
        <f t="shared" si="25"/>
        <v>35.835572402847106</v>
      </c>
      <c r="I33" s="25">
        <f t="shared" si="26"/>
        <v>242.57925934234962</v>
      </c>
      <c r="J33" s="23">
        <v>17914.019211999999</v>
      </c>
      <c r="K33" s="25">
        <f t="shared" si="27"/>
        <v>1.3541308428420904</v>
      </c>
    </row>
    <row r="34" spans="1:11" ht="15.75" customHeight="1" x14ac:dyDescent="0.25">
      <c r="A34" s="21" t="s">
        <v>710</v>
      </c>
      <c r="B34" s="22">
        <v>2697.9879999999998</v>
      </c>
      <c r="C34" s="21">
        <v>400.63914</v>
      </c>
      <c r="D34" s="23">
        <f t="shared" si="21"/>
        <v>0.96939284987179219</v>
      </c>
      <c r="E34" s="24">
        <f t="shared" si="22"/>
        <v>536.78960938396381</v>
      </c>
      <c r="F34" s="25">
        <f t="shared" si="23"/>
        <v>66.991343251118678</v>
      </c>
      <c r="G34" s="25">
        <f t="shared" si="24"/>
        <v>418.69589531949174</v>
      </c>
      <c r="H34" s="25">
        <f t="shared" si="25"/>
        <v>60.962122358518002</v>
      </c>
      <c r="I34" s="25">
        <f t="shared" si="26"/>
        <v>412.66667442689106</v>
      </c>
      <c r="J34" s="23">
        <v>16252.923036</v>
      </c>
      <c r="K34" s="25">
        <f t="shared" si="27"/>
        <v>2.539030508621988</v>
      </c>
    </row>
    <row r="35" spans="1:11" ht="15.75" customHeight="1" x14ac:dyDescent="0.25">
      <c r="A35" s="21" t="s">
        <v>711</v>
      </c>
      <c r="B35" s="22">
        <v>6284.4679999999998</v>
      </c>
      <c r="C35" s="21">
        <v>789.1377</v>
      </c>
      <c r="D35" s="23">
        <f t="shared" si="21"/>
        <v>0.94625091585823606</v>
      </c>
      <c r="E35" s="24">
        <f t="shared" si="22"/>
        <v>1335.6041337386216</v>
      </c>
      <c r="F35" s="25">
        <f t="shared" si="23"/>
        <v>166.68339589057996</v>
      </c>
      <c r="G35" s="25">
        <f t="shared" si="24"/>
        <v>1041.7712243161247</v>
      </c>
      <c r="H35" s="25">
        <f t="shared" si="25"/>
        <v>151.68189026042776</v>
      </c>
      <c r="I35" s="25">
        <f t="shared" si="26"/>
        <v>1026.7697186859725</v>
      </c>
      <c r="J35" s="23">
        <v>1480.1689699999999</v>
      </c>
      <c r="K35" s="25">
        <f t="shared" si="27"/>
        <v>69.368412626970056</v>
      </c>
    </row>
    <row r="36" spans="1:11" ht="15.75" customHeight="1" x14ac:dyDescent="0.25">
      <c r="A36" s="21" t="s">
        <v>712</v>
      </c>
      <c r="B36" s="22">
        <v>14333.22</v>
      </c>
      <c r="C36" s="21">
        <v>1436.6353000000001</v>
      </c>
      <c r="D36" s="23">
        <f t="shared" si="21"/>
        <v>0.91514840732347003</v>
      </c>
      <c r="E36" s="24">
        <f t="shared" si="22"/>
        <v>3233.3378506859171</v>
      </c>
      <c r="F36" s="25">
        <f t="shared" si="23"/>
        <v>403.5205637656025</v>
      </c>
      <c r="G36" s="25">
        <f t="shared" si="24"/>
        <v>2522.0035235350156</v>
      </c>
      <c r="H36" s="25">
        <f t="shared" si="25"/>
        <v>367.20371302669827</v>
      </c>
      <c r="I36" s="25">
        <f t="shared" si="26"/>
        <v>2485.686672796111</v>
      </c>
      <c r="J36" s="23">
        <v>16524.472831999999</v>
      </c>
      <c r="K36" s="25">
        <f t="shared" si="27"/>
        <v>15.042456712945935</v>
      </c>
    </row>
    <row r="37" spans="1:11" ht="15.75" customHeight="1" x14ac:dyDescent="0.25">
      <c r="A37" s="21" t="s">
        <v>713</v>
      </c>
      <c r="B37" s="22">
        <v>1097.28</v>
      </c>
      <c r="C37" s="21">
        <v>145.68696</v>
      </c>
      <c r="D37" s="23">
        <f t="shared" si="21"/>
        <v>0.95394664898486004</v>
      </c>
      <c r="E37" s="24">
        <f t="shared" si="22"/>
        <v>228.68712544933749</v>
      </c>
      <c r="F37" s="25">
        <f t="shared" si="23"/>
        <v>28.540153256077318</v>
      </c>
      <c r="G37" s="25">
        <f t="shared" si="24"/>
        <v>178.37595785048322</v>
      </c>
      <c r="H37" s="25">
        <f t="shared" si="25"/>
        <v>25.971539463030361</v>
      </c>
      <c r="I37" s="25">
        <f t="shared" si="26"/>
        <v>175.80734405743624</v>
      </c>
      <c r="J37" s="23">
        <v>6696.6914269999997</v>
      </c>
      <c r="K37" s="25">
        <f t="shared" si="27"/>
        <v>2.6252866206229668</v>
      </c>
    </row>
    <row r="38" spans="1:11" ht="15.75" customHeight="1" x14ac:dyDescent="0.25">
      <c r="A38" s="21" t="s">
        <v>714</v>
      </c>
      <c r="B38" s="22">
        <v>397.89100000000002</v>
      </c>
      <c r="C38" s="21">
        <v>40.468599999999995</v>
      </c>
      <c r="D38" s="23">
        <f t="shared" si="21"/>
        <v>0.91716657508783062</v>
      </c>
      <c r="E38" s="24">
        <f t="shared" si="22"/>
        <v>89.483487004895196</v>
      </c>
      <c r="F38" s="25">
        <f t="shared" si="23"/>
        <v>11.167539178210919</v>
      </c>
      <c r="G38" s="25">
        <f t="shared" si="24"/>
        <v>69.797119863818239</v>
      </c>
      <c r="H38" s="25">
        <f t="shared" si="25"/>
        <v>10.162460652171937</v>
      </c>
      <c r="I38" s="25">
        <f t="shared" si="26"/>
        <v>68.792041337779253</v>
      </c>
      <c r="J38" s="23">
        <v>5229.8773650000003</v>
      </c>
      <c r="K38" s="25">
        <f t="shared" si="27"/>
        <v>1.315366241628483</v>
      </c>
    </row>
    <row r="39" spans="1:11" ht="15.75" customHeight="1" x14ac:dyDescent="0.25">
      <c r="A39" s="21" t="s">
        <v>715</v>
      </c>
      <c r="B39" s="22">
        <v>3505.2</v>
      </c>
      <c r="C39" s="21">
        <v>607.029</v>
      </c>
      <c r="D39" s="23">
        <f t="shared" si="21"/>
        <v>0.99061368585601473</v>
      </c>
      <c r="E39" s="24">
        <f t="shared" si="22"/>
        <v>641.66227708187591</v>
      </c>
      <c r="F39" s="25">
        <f t="shared" si="23"/>
        <v>80.079452179818105</v>
      </c>
      <c r="G39" s="25">
        <f t="shared" si="24"/>
        <v>500.49657612386312</v>
      </c>
      <c r="H39" s="25">
        <f t="shared" si="25"/>
        <v>72.872301483634473</v>
      </c>
      <c r="I39" s="25">
        <f t="shared" si="26"/>
        <v>493.28942542767948</v>
      </c>
      <c r="J39" s="23">
        <v>15739.871987</v>
      </c>
      <c r="K39" s="25">
        <f t="shared" si="27"/>
        <v>3.1340116732531307</v>
      </c>
    </row>
    <row r="40" spans="1:11" ht="15.75" customHeight="1" x14ac:dyDescent="0.25">
      <c r="A40" s="21" t="s">
        <v>716</v>
      </c>
      <c r="B40" s="22"/>
      <c r="C40" s="21"/>
      <c r="D40" s="23"/>
      <c r="E40" s="24"/>
      <c r="F40" s="25"/>
      <c r="G40" s="25"/>
      <c r="H40" s="25"/>
      <c r="I40" s="25"/>
      <c r="J40" s="23"/>
      <c r="K40" s="25"/>
    </row>
    <row r="41" spans="1:11" ht="15.75" customHeight="1" x14ac:dyDescent="0.25">
      <c r="A41" s="21" t="s">
        <v>717</v>
      </c>
      <c r="B41" s="22">
        <v>1240.5360000000001</v>
      </c>
      <c r="C41" s="21">
        <v>157.82754</v>
      </c>
      <c r="D41" s="23">
        <f t="shared" ref="D41:D45" si="28">-0.138*LN(100*(B41/C41)) + 1.8681</f>
        <v>0.94805867939285138</v>
      </c>
      <c r="E41" s="24">
        <f t="shared" ref="E41:E45" si="29">0.35*((B41*D41)-(C41*2.7))</f>
        <v>262.48829736475159</v>
      </c>
      <c r="F41" s="25">
        <f t="shared" ref="F41:F45" si="30">156*((1-0.2)*E41)/1000</f>
        <v>32.758539511121</v>
      </c>
      <c r="G41" s="25">
        <f t="shared" ref="G41:G45" si="31">F41/0.16</f>
        <v>204.74087194450624</v>
      </c>
      <c r="H41" s="25">
        <f t="shared" ref="H41:H45" si="32">F41*0.91</f>
        <v>29.81027095512011</v>
      </c>
      <c r="I41" s="25">
        <f t="shared" ref="I41:I45" si="33">0.91*F41+(1-0.16)*G41</f>
        <v>201.79260338850534</v>
      </c>
      <c r="J41" s="23">
        <v>9521.7314299999998</v>
      </c>
      <c r="K41" s="25">
        <f t="shared" ref="K41:K45" si="34">I41/J41*100</f>
        <v>2.1192847631967431</v>
      </c>
    </row>
    <row r="42" spans="1:11" ht="15.75" customHeight="1" x14ac:dyDescent="0.25">
      <c r="A42" s="21" t="s">
        <v>718</v>
      </c>
      <c r="B42" s="22">
        <v>18310.86</v>
      </c>
      <c r="C42" s="21">
        <v>1982.9613999999999</v>
      </c>
      <c r="D42" s="23">
        <f t="shared" si="28"/>
        <v>0.92582590826021682</v>
      </c>
      <c r="E42" s="24">
        <f t="shared" si="29"/>
        <v>4059.5354836839856</v>
      </c>
      <c r="F42" s="25">
        <f t="shared" si="30"/>
        <v>506.63002836376143</v>
      </c>
      <c r="G42" s="25">
        <f t="shared" si="31"/>
        <v>3166.4376772735091</v>
      </c>
      <c r="H42" s="25">
        <f t="shared" si="32"/>
        <v>461.03332581102291</v>
      </c>
      <c r="I42" s="25">
        <f t="shared" si="33"/>
        <v>3120.8409747207706</v>
      </c>
      <c r="J42" s="23">
        <v>1701.6378609999999</v>
      </c>
      <c r="K42" s="25">
        <f t="shared" si="34"/>
        <v>183.40218246476655</v>
      </c>
    </row>
    <row r="43" spans="1:11" ht="15.75" customHeight="1" x14ac:dyDescent="0.25">
      <c r="A43" s="21" t="s">
        <v>719</v>
      </c>
      <c r="B43" s="22">
        <v>3519.17</v>
      </c>
      <c r="C43" s="21">
        <v>348.02995999999996</v>
      </c>
      <c r="D43" s="23">
        <f t="shared" si="28"/>
        <v>0.91329703526476946</v>
      </c>
      <c r="E43" s="24">
        <f t="shared" si="29"/>
        <v>796.02832245745162</v>
      </c>
      <c r="F43" s="25">
        <f t="shared" si="30"/>
        <v>99.344334642689972</v>
      </c>
      <c r="G43" s="25">
        <f t="shared" si="31"/>
        <v>620.90209151681233</v>
      </c>
      <c r="H43" s="25">
        <f t="shared" si="32"/>
        <v>90.403344524847881</v>
      </c>
      <c r="I43" s="25">
        <f t="shared" si="33"/>
        <v>611.96110139897019</v>
      </c>
      <c r="J43" s="23">
        <v>11816.231814000001</v>
      </c>
      <c r="K43" s="25">
        <f t="shared" si="34"/>
        <v>5.1789869311290255</v>
      </c>
    </row>
    <row r="44" spans="1:11" ht="15.75" customHeight="1" x14ac:dyDescent="0.25">
      <c r="A44" s="21" t="s">
        <v>720</v>
      </c>
      <c r="B44" s="22">
        <v>5884.6719999999996</v>
      </c>
      <c r="C44" s="21">
        <v>910.54349999999999</v>
      </c>
      <c r="D44" s="23">
        <f t="shared" si="28"/>
        <v>0.97506959825740114</v>
      </c>
      <c r="E44" s="24">
        <f t="shared" si="29"/>
        <v>1147.8240595208017</v>
      </c>
      <c r="F44" s="25">
        <f t="shared" si="30"/>
        <v>143.24844262819607</v>
      </c>
      <c r="G44" s="25">
        <f t="shared" si="31"/>
        <v>895.30276642622539</v>
      </c>
      <c r="H44" s="25">
        <f t="shared" si="32"/>
        <v>130.35608279165842</v>
      </c>
      <c r="I44" s="25">
        <f t="shared" si="33"/>
        <v>882.41040658968768</v>
      </c>
      <c r="J44" s="23">
        <v>47852.702194999998</v>
      </c>
      <c r="K44" s="25">
        <f t="shared" si="34"/>
        <v>1.8440137465881463</v>
      </c>
    </row>
    <row r="45" spans="1:11" ht="15.75" customHeight="1" x14ac:dyDescent="0.25">
      <c r="A45" s="21" t="s">
        <v>721</v>
      </c>
      <c r="B45" s="22">
        <v>109.7534</v>
      </c>
      <c r="C45" s="21">
        <v>34.398309999999995</v>
      </c>
      <c r="D45" s="23">
        <f t="shared" si="28"/>
        <v>1.0724749681258392</v>
      </c>
      <c r="E45" s="24">
        <f t="shared" si="29"/>
        <v>8.6913180083458705</v>
      </c>
      <c r="F45" s="25">
        <f t="shared" si="30"/>
        <v>1.0846764874415646</v>
      </c>
      <c r="G45" s="25">
        <f t="shared" si="31"/>
        <v>6.7792280465097789</v>
      </c>
      <c r="H45" s="25">
        <f t="shared" si="32"/>
        <v>0.98705560357182387</v>
      </c>
      <c r="I45" s="25">
        <f t="shared" si="33"/>
        <v>6.681607162640038</v>
      </c>
      <c r="J45" s="23">
        <v>4360.2184749999997</v>
      </c>
      <c r="K45" s="25">
        <f t="shared" si="34"/>
        <v>0.15324019199840758</v>
      </c>
    </row>
    <row r="46" spans="1:11" ht="15.75" customHeight="1" x14ac:dyDescent="0.25">
      <c r="A46" s="21" t="s">
        <v>722</v>
      </c>
      <c r="B46" s="22"/>
      <c r="C46" s="21"/>
      <c r="D46" s="23"/>
      <c r="E46" s="24"/>
      <c r="F46" s="25"/>
      <c r="G46" s="25"/>
      <c r="H46" s="25"/>
      <c r="I46" s="25"/>
      <c r="J46" s="23"/>
      <c r="K46" s="25"/>
    </row>
    <row r="47" spans="1:11" ht="15.75" customHeight="1" x14ac:dyDescent="0.25">
      <c r="A47" s="21" t="s">
        <v>723</v>
      </c>
      <c r="B47" s="22">
        <v>1301.4960000000001</v>
      </c>
      <c r="C47" s="21">
        <v>226.62416000000002</v>
      </c>
      <c r="D47" s="23">
        <f t="shared" ref="D47:D52" si="35">-0.138*LN(100*(B47/C47)) + 1.8681</f>
        <v>0.99136573131393868</v>
      </c>
      <c r="E47" s="24">
        <f t="shared" ref="E47:E52" si="36">0.35*((B47*D47)-(C47*2.7))</f>
        <v>237.4306556447581</v>
      </c>
      <c r="F47" s="25">
        <f t="shared" ref="F47:F52" si="37">156*((1-0.2)*E47)/1000</f>
        <v>29.631345824465814</v>
      </c>
      <c r="G47" s="25">
        <f t="shared" ref="G47:G52" si="38">F47/0.16</f>
        <v>185.19591140291135</v>
      </c>
      <c r="H47" s="25">
        <f t="shared" ref="H47:H52" si="39">F47*0.91</f>
        <v>26.96452470026389</v>
      </c>
      <c r="I47" s="25">
        <f t="shared" ref="I47:I52" si="40">0.91*F47+(1-0.16)*G47</f>
        <v>182.52909027870942</v>
      </c>
      <c r="J47" s="23">
        <v>13746.651968</v>
      </c>
      <c r="K47" s="25">
        <f t="shared" ref="K47:K52" si="41">I47/J47*100</f>
        <v>1.3278076051071044</v>
      </c>
    </row>
    <row r="48" spans="1:11" ht="15.75" customHeight="1" x14ac:dyDescent="0.25">
      <c r="A48" s="21" t="s">
        <v>724</v>
      </c>
      <c r="B48" s="22">
        <v>492.25200000000001</v>
      </c>
      <c r="C48" s="21">
        <v>78.91377</v>
      </c>
      <c r="D48" s="23">
        <f t="shared" si="35"/>
        <v>0.97995887837920281</v>
      </c>
      <c r="E48" s="24">
        <f t="shared" si="36"/>
        <v>94.261838579971752</v>
      </c>
      <c r="F48" s="25">
        <f t="shared" si="37"/>
        <v>11.763877454780475</v>
      </c>
      <c r="G48" s="25">
        <f t="shared" si="38"/>
        <v>73.524234092377966</v>
      </c>
      <c r="H48" s="25">
        <f t="shared" si="39"/>
        <v>10.705128483850233</v>
      </c>
      <c r="I48" s="25">
        <f t="shared" si="40"/>
        <v>72.465485121447728</v>
      </c>
      <c r="J48" s="23">
        <v>8766.5431800000006</v>
      </c>
      <c r="K48" s="25">
        <f t="shared" si="41"/>
        <v>0.82661413550977025</v>
      </c>
    </row>
    <row r="49" spans="1:11" ht="15.75" customHeight="1" x14ac:dyDescent="0.25">
      <c r="A49" s="21" t="s">
        <v>725</v>
      </c>
      <c r="B49" s="22">
        <v>138.9888</v>
      </c>
      <c r="C49" s="21">
        <v>20.638985999999999</v>
      </c>
      <c r="D49" s="23">
        <f t="shared" si="35"/>
        <v>0.96939132142100992</v>
      </c>
      <c r="E49" s="24">
        <f t="shared" si="36"/>
        <v>27.653246003152159</v>
      </c>
      <c r="F49" s="25">
        <f t="shared" si="37"/>
        <v>3.4511251011933894</v>
      </c>
      <c r="G49" s="25">
        <f t="shared" si="38"/>
        <v>21.569531882458683</v>
      </c>
      <c r="H49" s="25">
        <f t="shared" si="39"/>
        <v>3.1405238420859845</v>
      </c>
      <c r="I49" s="25">
        <f t="shared" si="40"/>
        <v>21.258930623351276</v>
      </c>
      <c r="J49" s="23">
        <v>2677.0231060000001</v>
      </c>
      <c r="K49" s="25">
        <f t="shared" si="41"/>
        <v>0.79412578007652335</v>
      </c>
    </row>
    <row r="50" spans="1:11" ht="15.75" customHeight="1" x14ac:dyDescent="0.25">
      <c r="A50" s="21" t="s">
        <v>726</v>
      </c>
      <c r="B50" s="22">
        <v>12875.005999999999</v>
      </c>
      <c r="C50" s="21">
        <v>1598.5097000000001</v>
      </c>
      <c r="D50" s="23">
        <f t="shared" si="35"/>
        <v>0.94468868496008829</v>
      </c>
      <c r="E50" s="24">
        <f t="shared" si="36"/>
        <v>2746.4137039476359</v>
      </c>
      <c r="F50" s="25">
        <f t="shared" si="37"/>
        <v>342.75243025266502</v>
      </c>
      <c r="G50" s="25">
        <f t="shared" si="38"/>
        <v>2142.2026890791562</v>
      </c>
      <c r="H50" s="25">
        <f t="shared" si="39"/>
        <v>311.90471152992518</v>
      </c>
      <c r="I50" s="25">
        <f t="shared" si="40"/>
        <v>2111.3549703564163</v>
      </c>
      <c r="J50" s="23">
        <v>8856.3708349999997</v>
      </c>
      <c r="K50" s="25">
        <f t="shared" si="41"/>
        <v>23.839956678557673</v>
      </c>
    </row>
    <row r="51" spans="1:11" ht="15.75" customHeight="1" x14ac:dyDescent="0.25">
      <c r="A51" s="21" t="s">
        <v>727</v>
      </c>
      <c r="B51" s="22">
        <v>167.33519999999999</v>
      </c>
      <c r="C51" s="21">
        <v>38.445169999999997</v>
      </c>
      <c r="D51" s="23">
        <f t="shared" si="35"/>
        <v>1.0296208179305977</v>
      </c>
      <c r="E51" s="24">
        <f t="shared" si="36"/>
        <v>23.971446272403043</v>
      </c>
      <c r="F51" s="25">
        <f t="shared" si="37"/>
        <v>2.9916364947959</v>
      </c>
      <c r="G51" s="25">
        <f t="shared" si="38"/>
        <v>18.697728092474375</v>
      </c>
      <c r="H51" s="25">
        <f t="shared" si="39"/>
        <v>2.7223892102642693</v>
      </c>
      <c r="I51" s="25">
        <f t="shared" si="40"/>
        <v>18.428480807942744</v>
      </c>
      <c r="J51" s="23">
        <v>1167.759515</v>
      </c>
      <c r="K51" s="25">
        <f t="shared" si="41"/>
        <v>1.5781058147013038</v>
      </c>
    </row>
    <row r="52" spans="1:11" ht="15.75" customHeight="1" x14ac:dyDescent="0.25">
      <c r="A52" s="26" t="s">
        <v>728</v>
      </c>
      <c r="B52" s="27">
        <f t="shared" ref="B52:C52" si="42">SUM(B2:B51)</f>
        <v>379000.5992</v>
      </c>
      <c r="C52" s="27">
        <f t="shared" si="42"/>
        <v>36600.609799299993</v>
      </c>
      <c r="D52" s="23">
        <f t="shared" si="35"/>
        <v>0.9100152562543955</v>
      </c>
      <c r="E52" s="24">
        <f t="shared" si="36"/>
        <v>86126.138330206595</v>
      </c>
      <c r="F52" s="25">
        <f t="shared" si="37"/>
        <v>10748.542063609782</v>
      </c>
      <c r="G52" s="25">
        <f t="shared" si="38"/>
        <v>67178.387897561144</v>
      </c>
      <c r="H52" s="25">
        <f t="shared" si="39"/>
        <v>9781.1732778849018</v>
      </c>
      <c r="I52" s="25">
        <f t="shared" si="40"/>
        <v>66211.019111836256</v>
      </c>
      <c r="J52" s="25">
        <f>SUM(J2:J51)</f>
        <v>407733.29058999999</v>
      </c>
      <c r="K52" s="25">
        <f t="shared" si="41"/>
        <v>16.238806258872632</v>
      </c>
    </row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306C"/>
  </sheetPr>
  <dimension ref="A1:Z1017"/>
  <sheetViews>
    <sheetView topLeftCell="A30" workbookViewId="0">
      <selection activeCell="E82" sqref="E82:F96"/>
    </sheetView>
  </sheetViews>
  <sheetFormatPr defaultColWidth="14.42578125" defaultRowHeight="15" customHeight="1" x14ac:dyDescent="0.25"/>
  <cols>
    <col min="1" max="1" width="59.85546875" customWidth="1"/>
    <col min="2" max="2" width="15.28515625" bestFit="1" customWidth="1"/>
    <col min="3" max="3" width="12.85546875" customWidth="1"/>
    <col min="4" max="4" width="12.28515625" customWidth="1"/>
    <col min="5" max="5" width="16.5703125" customWidth="1"/>
    <col min="6" max="26" width="8.7109375" customWidth="1"/>
  </cols>
  <sheetData>
    <row r="1" spans="1:26" ht="14.25" customHeight="1" x14ac:dyDescent="0.25">
      <c r="A1" s="74" t="s">
        <v>729</v>
      </c>
      <c r="B1" s="74" t="s">
        <v>14</v>
      </c>
      <c r="C1" s="74" t="s">
        <v>730</v>
      </c>
      <c r="D1" s="74" t="s">
        <v>731</v>
      </c>
      <c r="E1" s="75" t="s">
        <v>55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25">
      <c r="A2" s="76" t="s">
        <v>6761</v>
      </c>
      <c r="B2" s="76" t="s">
        <v>6807</v>
      </c>
      <c r="C2" s="76">
        <v>-72.902900000000002</v>
      </c>
      <c r="D2" s="76">
        <v>41.290100000000002</v>
      </c>
      <c r="E2" s="76">
        <v>35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x14ac:dyDescent="0.25">
      <c r="A3" s="76" t="s">
        <v>6762</v>
      </c>
      <c r="B3" s="76" t="s">
        <v>1000</v>
      </c>
      <c r="C3" s="76">
        <v>-83.727699999999999</v>
      </c>
      <c r="D3" s="76">
        <v>33.757170000000002</v>
      </c>
      <c r="E3" s="76">
        <v>2</v>
      </c>
    </row>
    <row r="4" spans="1:26" x14ac:dyDescent="0.25">
      <c r="A4" s="76" t="s">
        <v>6763</v>
      </c>
      <c r="B4" s="76" t="s">
        <v>6808</v>
      </c>
      <c r="C4" s="76">
        <v>-70.328100000000006</v>
      </c>
      <c r="D4" s="76">
        <v>43.691400000000002</v>
      </c>
      <c r="E4" s="76">
        <v>1</v>
      </c>
    </row>
    <row r="5" spans="1:26" x14ac:dyDescent="0.25">
      <c r="A5" s="76" t="s">
        <v>6764</v>
      </c>
      <c r="B5" s="76" t="s">
        <v>6809</v>
      </c>
      <c r="C5" s="76">
        <v>-70.484499999999997</v>
      </c>
      <c r="D5" s="76">
        <v>41.717700000000001</v>
      </c>
      <c r="E5" s="76">
        <v>1</v>
      </c>
    </row>
    <row r="6" spans="1:26" x14ac:dyDescent="0.25">
      <c r="A6" s="76" t="s">
        <v>6765</v>
      </c>
      <c r="B6" s="76" t="s">
        <v>6810</v>
      </c>
      <c r="C6" s="76">
        <v>-72.0047</v>
      </c>
      <c r="D6" s="76">
        <v>44.076999999999998</v>
      </c>
      <c r="E6" s="76">
        <v>8</v>
      </c>
    </row>
    <row r="7" spans="1:26" x14ac:dyDescent="0.25">
      <c r="A7" s="76" t="s">
        <v>737</v>
      </c>
      <c r="B7" s="76" t="s">
        <v>6811</v>
      </c>
      <c r="C7" s="76">
        <v>-81.308369999999996</v>
      </c>
      <c r="D7" s="76">
        <v>35.605800000000002</v>
      </c>
      <c r="E7" s="76">
        <v>2</v>
      </c>
    </row>
    <row r="8" spans="1:26" x14ac:dyDescent="0.25">
      <c r="A8" s="76" t="s">
        <v>6766</v>
      </c>
      <c r="B8" s="76" t="s">
        <v>6812</v>
      </c>
      <c r="C8" s="76">
        <v>-80.049599999999998</v>
      </c>
      <c r="D8" s="76">
        <v>42.143000000000001</v>
      </c>
      <c r="E8" s="76">
        <v>45</v>
      </c>
    </row>
    <row r="9" spans="1:26" x14ac:dyDescent="0.25">
      <c r="A9" s="76" t="s">
        <v>6767</v>
      </c>
      <c r="B9" s="76" t="s">
        <v>6812</v>
      </c>
      <c r="C9" s="76">
        <v>-76.938999999999993</v>
      </c>
      <c r="D9" s="76">
        <v>40.212200000000003</v>
      </c>
      <c r="E9" s="76">
        <v>19</v>
      </c>
    </row>
    <row r="10" spans="1:26" x14ac:dyDescent="0.25">
      <c r="A10" s="76" t="s">
        <v>6768</v>
      </c>
      <c r="B10" s="76" t="s">
        <v>6813</v>
      </c>
      <c r="C10" s="76">
        <v>-79.969800000000006</v>
      </c>
      <c r="D10" s="76">
        <v>32.877200000000002</v>
      </c>
      <c r="E10" s="76">
        <v>5</v>
      </c>
    </row>
    <row r="11" spans="1:26" x14ac:dyDescent="0.25">
      <c r="A11" s="76" t="s">
        <v>6769</v>
      </c>
      <c r="B11" s="76" t="s">
        <v>5230</v>
      </c>
      <c r="C11" s="76">
        <v>-76.842200000000005</v>
      </c>
      <c r="D11" s="76">
        <v>37.515000000000001</v>
      </c>
      <c r="E11" s="76">
        <v>5</v>
      </c>
    </row>
    <row r="12" spans="1:26" x14ac:dyDescent="0.25">
      <c r="A12" s="76" t="s">
        <v>6770</v>
      </c>
      <c r="B12" s="76" t="s">
        <v>6814</v>
      </c>
      <c r="C12" s="76">
        <v>-89.803899999999999</v>
      </c>
      <c r="D12" s="76">
        <v>42.363799999999998</v>
      </c>
      <c r="E12" s="76">
        <v>4</v>
      </c>
    </row>
    <row r="13" spans="1:26" x14ac:dyDescent="0.25">
      <c r="A13" s="76" t="s">
        <v>6771</v>
      </c>
      <c r="B13" s="76" t="s">
        <v>6814</v>
      </c>
      <c r="C13" s="76">
        <v>-88.014300000000006</v>
      </c>
      <c r="D13" s="76">
        <v>40.7624</v>
      </c>
      <c r="E13" s="76">
        <v>62</v>
      </c>
    </row>
    <row r="14" spans="1:26" x14ac:dyDescent="0.25">
      <c r="A14" s="76" t="s">
        <v>6772</v>
      </c>
      <c r="B14" s="76" t="s">
        <v>6814</v>
      </c>
      <c r="C14" s="76">
        <v>-87.619100000000003</v>
      </c>
      <c r="D14" s="76">
        <v>40.129199999999997</v>
      </c>
      <c r="E14" s="76">
        <v>50</v>
      </c>
    </row>
    <row r="15" spans="1:26" x14ac:dyDescent="0.25">
      <c r="A15" s="76" t="s">
        <v>6772</v>
      </c>
      <c r="B15" s="76" t="s">
        <v>6814</v>
      </c>
      <c r="C15" s="76">
        <v>-88.590199999999996</v>
      </c>
      <c r="D15" s="76">
        <v>41.306699999999999</v>
      </c>
      <c r="E15" s="76">
        <v>76</v>
      </c>
    </row>
    <row r="16" spans="1:26" x14ac:dyDescent="0.25">
      <c r="A16" s="76" t="s">
        <v>6773</v>
      </c>
      <c r="B16" s="76" t="s">
        <v>1635</v>
      </c>
      <c r="C16" s="76">
        <v>-85.490600000000001</v>
      </c>
      <c r="D16" s="76">
        <v>40.951900000000002</v>
      </c>
      <c r="E16" s="76">
        <v>3</v>
      </c>
    </row>
    <row r="17" spans="1:5" x14ac:dyDescent="0.25">
      <c r="A17" s="76" t="s">
        <v>6774</v>
      </c>
      <c r="B17" s="76" t="s">
        <v>1635</v>
      </c>
      <c r="C17" s="76">
        <v>-85.890100000000004</v>
      </c>
      <c r="D17" s="76">
        <v>41.122999999999998</v>
      </c>
      <c r="E17" s="76">
        <v>99</v>
      </c>
    </row>
    <row r="18" spans="1:5" x14ac:dyDescent="0.25">
      <c r="A18" s="76" t="s">
        <v>6775</v>
      </c>
      <c r="B18" s="76" t="s">
        <v>1349</v>
      </c>
      <c r="C18" s="76">
        <v>-94.1875</v>
      </c>
      <c r="D18" s="76">
        <v>43.077599999999997</v>
      </c>
      <c r="E18" s="76">
        <v>76</v>
      </c>
    </row>
    <row r="19" spans="1:5" x14ac:dyDescent="0.25">
      <c r="A19" s="76" t="s">
        <v>6776</v>
      </c>
      <c r="B19" s="76" t="s">
        <v>1349</v>
      </c>
      <c r="C19" s="76">
        <v>-96.362300000000005</v>
      </c>
      <c r="D19" s="76">
        <v>42.305199999999999</v>
      </c>
      <c r="E19" s="76">
        <v>76</v>
      </c>
    </row>
    <row r="20" spans="1:5" ht="15.75" customHeight="1" x14ac:dyDescent="0.25">
      <c r="A20" s="76" t="s">
        <v>6777</v>
      </c>
      <c r="B20" s="76" t="s">
        <v>1349</v>
      </c>
      <c r="C20" s="76">
        <v>-93.264499999999998</v>
      </c>
      <c r="D20" s="76">
        <v>42.512099999999997</v>
      </c>
      <c r="E20" s="76">
        <v>70</v>
      </c>
    </row>
    <row r="21" spans="1:5" ht="15.75" customHeight="1" x14ac:dyDescent="0.25">
      <c r="A21" s="76" t="s">
        <v>6778</v>
      </c>
      <c r="B21" s="76" t="s">
        <v>1349</v>
      </c>
      <c r="C21" s="76">
        <v>-90.335543000000001</v>
      </c>
      <c r="D21" s="76">
        <v>41.801130000000001</v>
      </c>
      <c r="E21" s="76">
        <v>10</v>
      </c>
    </row>
    <row r="22" spans="1:5" ht="15.75" customHeight="1" x14ac:dyDescent="0.25">
      <c r="A22" s="76" t="s">
        <v>6779</v>
      </c>
      <c r="B22" s="76" t="s">
        <v>1349</v>
      </c>
      <c r="C22" s="76">
        <v>-91.668599999999998</v>
      </c>
      <c r="D22" s="76">
        <v>41.306899999999999</v>
      </c>
      <c r="E22" s="76">
        <v>36</v>
      </c>
    </row>
    <row r="23" spans="1:5" ht="15.75" customHeight="1" x14ac:dyDescent="0.25">
      <c r="A23" s="76" t="s">
        <v>6780</v>
      </c>
      <c r="B23" s="76" t="s">
        <v>1349</v>
      </c>
      <c r="C23" s="76">
        <v>-91.526300000000006</v>
      </c>
      <c r="D23" s="76">
        <v>41.192</v>
      </c>
      <c r="E23" s="76">
        <v>10</v>
      </c>
    </row>
    <row r="24" spans="1:5" ht="15.75" customHeight="1" x14ac:dyDescent="0.25">
      <c r="A24" s="76" t="s">
        <v>6772</v>
      </c>
      <c r="B24" s="76" t="s">
        <v>1349</v>
      </c>
      <c r="C24" s="76">
        <v>-93.264399999999995</v>
      </c>
      <c r="D24" s="76">
        <v>43.134399999999999</v>
      </c>
      <c r="E24" s="76">
        <v>38</v>
      </c>
    </row>
    <row r="25" spans="1:5" ht="15.75" customHeight="1" x14ac:dyDescent="0.25">
      <c r="A25" s="76" t="s">
        <v>6772</v>
      </c>
      <c r="B25" s="76" t="s">
        <v>1349</v>
      </c>
      <c r="C25" s="76">
        <v>-93.019400000000005</v>
      </c>
      <c r="D25" s="76">
        <v>41.732900000000001</v>
      </c>
      <c r="E25" s="76">
        <v>38</v>
      </c>
    </row>
    <row r="26" spans="1:5" ht="15.75" customHeight="1" x14ac:dyDescent="0.25">
      <c r="A26" s="76" t="s">
        <v>6772</v>
      </c>
      <c r="B26" s="76" t="s">
        <v>1349</v>
      </c>
      <c r="C26" s="76">
        <v>-94.641499999999994</v>
      </c>
      <c r="D26" s="76">
        <v>42.045699999999997</v>
      </c>
      <c r="E26" s="76">
        <v>49</v>
      </c>
    </row>
    <row r="27" spans="1:5" ht="15.75" customHeight="1" x14ac:dyDescent="0.25">
      <c r="A27" s="76" t="s">
        <v>6781</v>
      </c>
      <c r="B27" s="76" t="s">
        <v>1349</v>
      </c>
      <c r="C27" s="76">
        <v>-91.021799999999999</v>
      </c>
      <c r="D27" s="76">
        <v>42.4514</v>
      </c>
      <c r="E27" s="76">
        <v>36</v>
      </c>
    </row>
    <row r="28" spans="1:5" ht="15.75" customHeight="1" x14ac:dyDescent="0.25">
      <c r="A28" s="76" t="s">
        <v>6782</v>
      </c>
      <c r="B28" s="76" t="s">
        <v>1349</v>
      </c>
      <c r="C28" s="76">
        <v>-95.091099999999997</v>
      </c>
      <c r="D28" s="76">
        <v>42.255499999999998</v>
      </c>
      <c r="E28" s="76">
        <v>45</v>
      </c>
    </row>
    <row r="29" spans="1:5" ht="15.75" customHeight="1" x14ac:dyDescent="0.25">
      <c r="A29" s="76" t="s">
        <v>6777</v>
      </c>
      <c r="B29" s="76" t="s">
        <v>6815</v>
      </c>
      <c r="C29" s="76">
        <v>-97.327699999999993</v>
      </c>
      <c r="D29" s="76">
        <v>37.708500000000001</v>
      </c>
      <c r="E29" s="76">
        <v>91</v>
      </c>
    </row>
    <row r="30" spans="1:5" ht="15.75" customHeight="1" x14ac:dyDescent="0.25">
      <c r="A30" s="76" t="s">
        <v>6783</v>
      </c>
      <c r="B30" s="76" t="s">
        <v>6816</v>
      </c>
      <c r="C30" s="76">
        <v>-87.142899999999997</v>
      </c>
      <c r="D30" s="76">
        <v>37.785200000000003</v>
      </c>
      <c r="E30" s="76">
        <v>56</v>
      </c>
    </row>
    <row r="31" spans="1:5" ht="15.75" customHeight="1" x14ac:dyDescent="0.25">
      <c r="A31" s="76" t="s">
        <v>6784</v>
      </c>
      <c r="B31" s="76" t="s">
        <v>6817</v>
      </c>
      <c r="C31" s="76">
        <v>-84.073800000000006</v>
      </c>
      <c r="D31" s="76">
        <v>41.887700000000002</v>
      </c>
      <c r="E31" s="76">
        <v>15</v>
      </c>
    </row>
    <row r="32" spans="1:5" ht="15.75" customHeight="1" x14ac:dyDescent="0.25">
      <c r="A32" s="76" t="s">
        <v>6785</v>
      </c>
      <c r="B32" s="76" t="s">
        <v>6817</v>
      </c>
      <c r="C32" s="76">
        <v>-82.816000000000003</v>
      </c>
      <c r="D32" s="76">
        <v>43.416699999999999</v>
      </c>
      <c r="E32" s="76">
        <v>1</v>
      </c>
    </row>
    <row r="33" spans="1:5" ht="15.75" customHeight="1" x14ac:dyDescent="0.25">
      <c r="A33" s="76" t="s">
        <v>736</v>
      </c>
      <c r="B33" s="76" t="s">
        <v>6818</v>
      </c>
      <c r="C33" s="76">
        <v>-93.242900000000006</v>
      </c>
      <c r="D33" s="76">
        <v>45.500599999999999</v>
      </c>
      <c r="E33" s="76">
        <v>3</v>
      </c>
    </row>
    <row r="34" spans="1:5" ht="15.75" customHeight="1" x14ac:dyDescent="0.25">
      <c r="A34" s="76" t="s">
        <v>6786</v>
      </c>
      <c r="B34" s="76" t="s">
        <v>6818</v>
      </c>
      <c r="C34" s="76">
        <v>-95.456500000000005</v>
      </c>
      <c r="D34" s="76">
        <v>43.7057</v>
      </c>
      <c r="E34" s="76">
        <v>36</v>
      </c>
    </row>
    <row r="35" spans="1:5" ht="15.75" customHeight="1" x14ac:dyDescent="0.25">
      <c r="A35" s="76" t="s">
        <v>6772</v>
      </c>
      <c r="B35" s="76" t="s">
        <v>6818</v>
      </c>
      <c r="C35" s="76">
        <v>-93.300299999999993</v>
      </c>
      <c r="D35" s="76">
        <v>43.574100000000001</v>
      </c>
      <c r="E35" s="76">
        <v>46</v>
      </c>
    </row>
    <row r="36" spans="1:5" ht="15.75" customHeight="1" x14ac:dyDescent="0.25">
      <c r="A36" s="76" t="s">
        <v>6775</v>
      </c>
      <c r="B36" s="76" t="s">
        <v>6819</v>
      </c>
      <c r="C36" s="76">
        <v>-94.873599999999996</v>
      </c>
      <c r="D36" s="76">
        <v>39.727800000000002</v>
      </c>
      <c r="E36" s="76">
        <v>42</v>
      </c>
    </row>
    <row r="37" spans="1:5" ht="15.75" customHeight="1" x14ac:dyDescent="0.25">
      <c r="A37" s="76" t="s">
        <v>6787</v>
      </c>
      <c r="B37" s="76" t="s">
        <v>6819</v>
      </c>
      <c r="C37" s="76">
        <v>-94.578100000000006</v>
      </c>
      <c r="D37" s="76">
        <v>37.834699999999998</v>
      </c>
      <c r="E37" s="76">
        <v>50</v>
      </c>
    </row>
    <row r="38" spans="1:5" ht="15.75" customHeight="1" x14ac:dyDescent="0.25">
      <c r="A38" s="76" t="s">
        <v>6788</v>
      </c>
      <c r="B38" s="76" t="s">
        <v>6819</v>
      </c>
      <c r="C38" s="76">
        <v>-91.882800000000003</v>
      </c>
      <c r="D38" s="76">
        <v>39.1691</v>
      </c>
      <c r="E38" s="76">
        <v>50</v>
      </c>
    </row>
    <row r="39" spans="1:5" ht="15.75" customHeight="1" x14ac:dyDescent="0.25">
      <c r="A39" s="76" t="s">
        <v>6789</v>
      </c>
      <c r="B39" s="76" t="s">
        <v>6819</v>
      </c>
      <c r="C39" s="76">
        <v>-94.555099999999996</v>
      </c>
      <c r="D39" s="76">
        <v>39.120800000000003</v>
      </c>
      <c r="E39" s="76">
        <v>70</v>
      </c>
    </row>
    <row r="40" spans="1:5" ht="15.75" customHeight="1" x14ac:dyDescent="0.25">
      <c r="A40" s="76" t="s">
        <v>6790</v>
      </c>
      <c r="B40" s="76" t="s">
        <v>6819</v>
      </c>
      <c r="C40" s="76">
        <v>-94.876300000000001</v>
      </c>
      <c r="D40" s="76">
        <v>39.7136</v>
      </c>
      <c r="E40" s="76">
        <v>35</v>
      </c>
    </row>
    <row r="41" spans="1:5" ht="15.75" customHeight="1" x14ac:dyDescent="0.25">
      <c r="A41" s="76" t="s">
        <v>6791</v>
      </c>
      <c r="B41" s="76" t="s">
        <v>6820</v>
      </c>
      <c r="C41" s="76">
        <v>-100.8837</v>
      </c>
      <c r="D41" s="76">
        <v>48.022500000000001</v>
      </c>
      <c r="E41" s="76">
        <v>85</v>
      </c>
    </row>
    <row r="42" spans="1:5" ht="15.75" customHeight="1" x14ac:dyDescent="0.25">
      <c r="A42" s="76" t="s">
        <v>6792</v>
      </c>
      <c r="B42" s="76" t="s">
        <v>3262</v>
      </c>
      <c r="C42" s="76">
        <v>-101.4388</v>
      </c>
      <c r="D42" s="76">
        <v>36.712499999999999</v>
      </c>
      <c r="E42" s="76">
        <v>40</v>
      </c>
    </row>
    <row r="43" spans="1:5" ht="15.75" customHeight="1" x14ac:dyDescent="0.25">
      <c r="A43" s="76" t="s">
        <v>6793</v>
      </c>
      <c r="B43" s="76" t="s">
        <v>6821</v>
      </c>
      <c r="C43" s="76">
        <v>-89.988399999999999</v>
      </c>
      <c r="D43" s="76">
        <v>35.104500000000002</v>
      </c>
      <c r="E43" s="76">
        <v>36</v>
      </c>
    </row>
    <row r="44" spans="1:5" ht="15.75" customHeight="1" x14ac:dyDescent="0.25">
      <c r="A44" s="76" t="s">
        <v>6772</v>
      </c>
      <c r="B44" s="76" t="s">
        <v>6822</v>
      </c>
      <c r="C44" s="76">
        <v>-89.335899999999995</v>
      </c>
      <c r="D44" s="76">
        <v>43.255299999999998</v>
      </c>
      <c r="E44" s="76">
        <v>28</v>
      </c>
    </row>
    <row r="45" spans="1:5" ht="15.75" customHeight="1" x14ac:dyDescent="0.25">
      <c r="A45" s="76" t="s">
        <v>6794</v>
      </c>
      <c r="B45" s="76" t="s">
        <v>6823</v>
      </c>
      <c r="C45" s="76">
        <v>-87.625900000000001</v>
      </c>
      <c r="D45" s="76">
        <v>33.009799999999998</v>
      </c>
      <c r="E45" s="76">
        <v>20</v>
      </c>
    </row>
    <row r="46" spans="1:5" ht="15.75" customHeight="1" x14ac:dyDescent="0.25">
      <c r="A46" s="76" t="s">
        <v>6795</v>
      </c>
      <c r="B46" s="76" t="s">
        <v>4954</v>
      </c>
      <c r="C46" s="76">
        <v>-91.943399999999997</v>
      </c>
      <c r="D46" s="76">
        <v>33.134300000000003</v>
      </c>
      <c r="E46" s="76">
        <v>15</v>
      </c>
    </row>
    <row r="47" spans="1:5" ht="15.75" customHeight="1" x14ac:dyDescent="0.25">
      <c r="A47" s="76" t="s">
        <v>6796</v>
      </c>
      <c r="B47" s="76" t="s">
        <v>4954</v>
      </c>
      <c r="C47" s="76">
        <v>-91.525000000000006</v>
      </c>
      <c r="D47" s="76">
        <v>35.7226</v>
      </c>
      <c r="E47" s="76">
        <v>60</v>
      </c>
    </row>
    <row r="48" spans="1:5" ht="15.75" customHeight="1" x14ac:dyDescent="0.25">
      <c r="A48" s="76" t="s">
        <v>6795</v>
      </c>
      <c r="B48" s="76" t="s">
        <v>6824</v>
      </c>
      <c r="C48" s="76">
        <v>-88.991</v>
      </c>
      <c r="D48" s="76">
        <v>34.530999999999999</v>
      </c>
      <c r="E48" s="76">
        <v>12</v>
      </c>
    </row>
    <row r="49" spans="1:5" ht="15.75" customHeight="1" x14ac:dyDescent="0.25">
      <c r="A49" s="76" t="s">
        <v>6797</v>
      </c>
      <c r="B49" s="76" t="s">
        <v>6824</v>
      </c>
      <c r="C49" s="76">
        <v>-91.0501</v>
      </c>
      <c r="D49" s="76">
        <v>33.424599999999998</v>
      </c>
      <c r="E49" s="76">
        <v>17</v>
      </c>
    </row>
    <row r="50" spans="1:5" ht="15.75" customHeight="1" x14ac:dyDescent="0.25">
      <c r="A50" s="76" t="s">
        <v>6795</v>
      </c>
      <c r="B50" s="76" t="s">
        <v>6825</v>
      </c>
      <c r="C50" s="76">
        <v>-97.430499999999995</v>
      </c>
      <c r="D50" s="76">
        <v>32.3992</v>
      </c>
      <c r="E50" s="76">
        <v>14</v>
      </c>
    </row>
    <row r="51" spans="1:5" ht="15.75" customHeight="1" x14ac:dyDescent="0.25">
      <c r="A51" s="76" t="s">
        <v>6798</v>
      </c>
      <c r="B51" s="76" t="s">
        <v>6825</v>
      </c>
      <c r="C51" s="76">
        <v>-95.300600000000003</v>
      </c>
      <c r="D51" s="76">
        <v>29.316500000000001</v>
      </c>
      <c r="E51" s="76">
        <v>0</v>
      </c>
    </row>
    <row r="52" spans="1:5" ht="15.75" customHeight="1" x14ac:dyDescent="0.25">
      <c r="A52" s="76" t="s">
        <v>6799</v>
      </c>
      <c r="B52" s="76" t="s">
        <v>6825</v>
      </c>
      <c r="C52" s="76">
        <v>-106.5455</v>
      </c>
      <c r="D52" s="76">
        <v>31.8062</v>
      </c>
      <c r="E52" s="76">
        <v>15</v>
      </c>
    </row>
    <row r="53" spans="1:5" ht="15.75" customHeight="1" x14ac:dyDescent="0.25">
      <c r="A53" s="76" t="s">
        <v>6800</v>
      </c>
      <c r="B53" s="76" t="s">
        <v>6825</v>
      </c>
      <c r="C53" s="76">
        <v>-93.927800000000005</v>
      </c>
      <c r="D53" s="76">
        <v>29.960100000000001</v>
      </c>
      <c r="E53" s="76">
        <v>144</v>
      </c>
    </row>
    <row r="54" spans="1:5" ht="15.75" customHeight="1" x14ac:dyDescent="0.25">
      <c r="A54" s="76" t="s">
        <v>6801</v>
      </c>
      <c r="B54" s="76" t="s">
        <v>6826</v>
      </c>
      <c r="C54" s="76">
        <v>-121.3669</v>
      </c>
      <c r="D54" s="76">
        <v>37.956099999999999</v>
      </c>
      <c r="E54" s="76">
        <v>20</v>
      </c>
    </row>
    <row r="55" spans="1:5" ht="15.75" customHeight="1" x14ac:dyDescent="0.25">
      <c r="A55" s="76" t="s">
        <v>6802</v>
      </c>
      <c r="B55" s="76" t="s">
        <v>6826</v>
      </c>
      <c r="C55" s="76">
        <v>-119.1583</v>
      </c>
      <c r="D55" s="76">
        <v>35.178199999999997</v>
      </c>
      <c r="E55" s="76">
        <v>36</v>
      </c>
    </row>
    <row r="56" spans="1:5" ht="15.75" customHeight="1" x14ac:dyDescent="0.25">
      <c r="A56" s="76" t="s">
        <v>6803</v>
      </c>
      <c r="B56" s="76" t="s">
        <v>6826</v>
      </c>
      <c r="C56" s="76">
        <v>-116.1581</v>
      </c>
      <c r="D56" s="76">
        <v>33.657699999999998</v>
      </c>
      <c r="E56" s="76">
        <v>12</v>
      </c>
    </row>
    <row r="57" spans="1:5" ht="15.75" customHeight="1" x14ac:dyDescent="0.25">
      <c r="A57" s="76" t="s">
        <v>6804</v>
      </c>
      <c r="B57" s="76" t="s">
        <v>6826</v>
      </c>
      <c r="C57" s="76">
        <v>-117.13979999999999</v>
      </c>
      <c r="D57" s="76">
        <v>32.695300000000003</v>
      </c>
      <c r="E57" s="76">
        <v>12</v>
      </c>
    </row>
    <row r="58" spans="1:5" ht="15.75" customHeight="1" x14ac:dyDescent="0.25">
      <c r="A58" s="76" t="s">
        <v>6805</v>
      </c>
      <c r="B58" s="76" t="s">
        <v>6827</v>
      </c>
      <c r="C58" s="76">
        <v>-155.0504</v>
      </c>
      <c r="D58" s="76">
        <v>19.633600000000001</v>
      </c>
      <c r="E58" s="76">
        <v>6</v>
      </c>
    </row>
    <row r="59" spans="1:5" ht="15.75" customHeight="1" x14ac:dyDescent="0.25">
      <c r="A59" s="76" t="s">
        <v>6806</v>
      </c>
      <c r="B59" s="76" t="s">
        <v>6828</v>
      </c>
      <c r="C59" s="76">
        <v>-122.9808</v>
      </c>
      <c r="D59" s="76">
        <v>44.886099999999999</v>
      </c>
      <c r="E59" s="76">
        <v>12</v>
      </c>
    </row>
    <row r="60" spans="1:5" ht="15.75" customHeight="1" x14ac:dyDescent="0.25">
      <c r="A60" s="76" t="s">
        <v>6772</v>
      </c>
      <c r="B60" s="76" t="s">
        <v>1137</v>
      </c>
      <c r="C60" s="76">
        <v>-123.85420000000001</v>
      </c>
      <c r="D60" s="76">
        <v>46.9681</v>
      </c>
      <c r="E60" s="76">
        <v>107</v>
      </c>
    </row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5:5" ht="15.75" customHeight="1" x14ac:dyDescent="0.25"/>
    <row r="82" spans="5:5" ht="15.75" customHeight="1" x14ac:dyDescent="0.25"/>
    <row r="83" spans="5:5" ht="15.75" customHeight="1" x14ac:dyDescent="0.25"/>
    <row r="84" spans="5:5" ht="15.75" customHeight="1" x14ac:dyDescent="0.25"/>
    <row r="85" spans="5:5" ht="15.75" customHeight="1" x14ac:dyDescent="0.25"/>
    <row r="86" spans="5:5" ht="15.75" customHeight="1" x14ac:dyDescent="0.25">
      <c r="E86" s="32"/>
    </row>
    <row r="87" spans="5:5" ht="15.75" customHeight="1" x14ac:dyDescent="0.25"/>
    <row r="88" spans="5:5" ht="15.75" customHeight="1" x14ac:dyDescent="0.25"/>
    <row r="89" spans="5:5" ht="15.75" customHeight="1" x14ac:dyDescent="0.25"/>
    <row r="90" spans="5:5" ht="15.75" customHeight="1" x14ac:dyDescent="0.25"/>
    <row r="91" spans="5:5" ht="15.75" customHeight="1" x14ac:dyDescent="0.25"/>
    <row r="92" spans="5:5" ht="15.75" customHeight="1" x14ac:dyDescent="0.25"/>
    <row r="93" spans="5:5" ht="15.75" customHeight="1" x14ac:dyDescent="0.25"/>
    <row r="94" spans="5:5" ht="15.75" customHeight="1" x14ac:dyDescent="0.25"/>
    <row r="95" spans="5:5" ht="15.75" customHeight="1" x14ac:dyDescent="0.25"/>
    <row r="96" spans="5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autoFilter ref="B1:B1017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3D5C-831E-4B1A-923D-A875A60D36C3}">
  <sheetPr>
    <tabColor rgb="FF08306C"/>
  </sheetPr>
  <dimension ref="A1:F19"/>
  <sheetViews>
    <sheetView workbookViewId="0">
      <selection activeCell="I26" sqref="I26"/>
    </sheetView>
  </sheetViews>
  <sheetFormatPr defaultRowHeight="15" x14ac:dyDescent="0.25"/>
  <cols>
    <col min="1" max="1" width="15.42578125" customWidth="1"/>
    <col min="2" max="2" width="35.7109375" customWidth="1"/>
    <col min="3" max="3" width="12.28515625" bestFit="1" customWidth="1"/>
    <col min="4" max="4" width="35" bestFit="1" customWidth="1"/>
    <col min="5" max="5" width="12" bestFit="1" customWidth="1"/>
    <col min="6" max="6" width="12.7109375" bestFit="1" customWidth="1"/>
  </cols>
  <sheetData>
    <row r="1" spans="1:6" x14ac:dyDescent="0.25">
      <c r="A1" s="72" t="s">
        <v>14</v>
      </c>
      <c r="B1" s="70" t="s">
        <v>6831</v>
      </c>
      <c r="C1" s="70" t="s">
        <v>1179</v>
      </c>
      <c r="D1" s="70" t="s">
        <v>6759</v>
      </c>
      <c r="E1" s="4" t="s">
        <v>731</v>
      </c>
      <c r="F1" s="4" t="s">
        <v>730</v>
      </c>
    </row>
    <row r="2" spans="1:6" x14ac:dyDescent="0.25">
      <c r="A2" s="79" t="s">
        <v>6815</v>
      </c>
      <c r="B2" s="80" t="s">
        <v>6829</v>
      </c>
      <c r="C2" s="80" t="s">
        <v>6830</v>
      </c>
      <c r="D2" s="81">
        <v>85</v>
      </c>
      <c r="E2" s="73">
        <v>37.183002901046002</v>
      </c>
      <c r="F2" s="73">
        <v>-101.385524789698</v>
      </c>
    </row>
    <row r="3" spans="1:6" x14ac:dyDescent="0.25">
      <c r="A3" s="79" t="s">
        <v>6820</v>
      </c>
      <c r="B3" s="80" t="s">
        <v>6832</v>
      </c>
      <c r="C3" s="80" t="s">
        <v>5132</v>
      </c>
      <c r="D3" s="81">
        <v>191.5</v>
      </c>
      <c r="E3" s="73">
        <v>46.8790287379137</v>
      </c>
      <c r="F3" s="73">
        <v>-102.79064457323901</v>
      </c>
    </row>
    <row r="4" spans="1:6" x14ac:dyDescent="0.25">
      <c r="A4" s="79" t="s">
        <v>3262</v>
      </c>
      <c r="B4" s="80" t="s">
        <v>6833</v>
      </c>
      <c r="C4" s="80" t="s">
        <v>6834</v>
      </c>
      <c r="D4" s="81">
        <v>121.4</v>
      </c>
      <c r="E4" s="73">
        <v>34.623062838634702</v>
      </c>
      <c r="F4" s="73">
        <v>-97.172988732114305</v>
      </c>
    </row>
    <row r="5" spans="1:6" x14ac:dyDescent="0.25">
      <c r="A5" s="79" t="s">
        <v>6835</v>
      </c>
      <c r="B5" s="80" t="s">
        <v>6836</v>
      </c>
      <c r="C5" s="80" t="s">
        <v>6837</v>
      </c>
      <c r="D5" s="81">
        <v>981.8</v>
      </c>
      <c r="E5" s="73">
        <v>29.997926049629299</v>
      </c>
      <c r="F5" s="73">
        <v>-90.388909961089993</v>
      </c>
    </row>
    <row r="6" spans="1:6" x14ac:dyDescent="0.25">
      <c r="A6" s="79" t="s">
        <v>6835</v>
      </c>
      <c r="B6" s="80" t="s">
        <v>6772</v>
      </c>
      <c r="C6" s="80" t="s">
        <v>6838</v>
      </c>
      <c r="D6" s="81">
        <v>100.5</v>
      </c>
      <c r="E6" s="73">
        <v>30.204885235732899</v>
      </c>
      <c r="F6" s="73">
        <v>-91.008686961084095</v>
      </c>
    </row>
    <row r="7" spans="1:6" x14ac:dyDescent="0.25">
      <c r="A7" s="79" t="s">
        <v>6835</v>
      </c>
      <c r="B7" s="80" t="s">
        <v>6856</v>
      </c>
      <c r="C7" s="80" t="s">
        <v>6837</v>
      </c>
      <c r="D7" s="81">
        <v>53.7</v>
      </c>
      <c r="E7" s="73">
        <v>29.999159745437201</v>
      </c>
      <c r="F7" s="73">
        <v>-90.414006559162601</v>
      </c>
    </row>
    <row r="8" spans="1:6" x14ac:dyDescent="0.25">
      <c r="A8" s="79" t="s">
        <v>6824</v>
      </c>
      <c r="B8" s="80" t="s">
        <v>6839</v>
      </c>
      <c r="C8" s="80" t="s">
        <v>530</v>
      </c>
      <c r="D8" s="81">
        <v>25</v>
      </c>
      <c r="E8" s="73">
        <v>32.334883451709601</v>
      </c>
      <c r="F8" s="73">
        <v>-90.230902128490598</v>
      </c>
    </row>
    <row r="9" spans="1:6" x14ac:dyDescent="0.25">
      <c r="A9" s="79" t="s">
        <v>6840</v>
      </c>
      <c r="B9" s="80" t="s">
        <v>6841</v>
      </c>
      <c r="C9" s="80" t="s">
        <v>6842</v>
      </c>
      <c r="D9" s="81">
        <v>141.4</v>
      </c>
      <c r="E9" s="73">
        <v>32.843328892172998</v>
      </c>
      <c r="F9" s="73">
        <v>-104.417737404275</v>
      </c>
    </row>
    <row r="10" spans="1:6" x14ac:dyDescent="0.25">
      <c r="A10" s="79" t="s">
        <v>6825</v>
      </c>
      <c r="B10" s="80" t="s">
        <v>6836</v>
      </c>
      <c r="C10" s="80" t="s">
        <v>6843</v>
      </c>
      <c r="D10" s="81">
        <v>536.6</v>
      </c>
      <c r="E10" s="73">
        <v>29.850651504777499</v>
      </c>
      <c r="F10" s="73">
        <v>-93.959939218764902</v>
      </c>
    </row>
    <row r="11" spans="1:6" x14ac:dyDescent="0.25">
      <c r="A11" s="79" t="s">
        <v>6844</v>
      </c>
      <c r="B11" s="80" t="s">
        <v>6845</v>
      </c>
      <c r="C11" s="80" t="s">
        <v>6846</v>
      </c>
      <c r="D11" s="81">
        <v>184</v>
      </c>
      <c r="E11" s="73">
        <v>47.523277180030398</v>
      </c>
      <c r="F11" s="73">
        <v>-111.235484873991</v>
      </c>
    </row>
    <row r="12" spans="1:6" x14ac:dyDescent="0.25">
      <c r="A12" s="79" t="s">
        <v>1536</v>
      </c>
      <c r="B12" s="80" t="s">
        <v>6847</v>
      </c>
      <c r="C12" s="80" t="s">
        <v>6587</v>
      </c>
      <c r="D12" s="81">
        <v>92</v>
      </c>
      <c r="E12" s="73">
        <v>41.164426465182501</v>
      </c>
      <c r="F12" s="73">
        <v>-104.769618338716</v>
      </c>
    </row>
    <row r="13" spans="1:6" x14ac:dyDescent="0.25">
      <c r="A13" s="79" t="s">
        <v>1536</v>
      </c>
      <c r="B13" s="80" t="s">
        <v>6848</v>
      </c>
      <c r="C13" s="80" t="s">
        <v>6849</v>
      </c>
      <c r="D13" s="81">
        <v>116.9</v>
      </c>
      <c r="E13" s="73">
        <v>41.775580467582799</v>
      </c>
      <c r="F13" s="73">
        <v>-107.11312961056301</v>
      </c>
    </row>
    <row r="14" spans="1:6" x14ac:dyDescent="0.25">
      <c r="A14" s="79" t="s">
        <v>6826</v>
      </c>
      <c r="B14" s="80" t="s">
        <v>6850</v>
      </c>
      <c r="C14" s="80" t="s">
        <v>6851</v>
      </c>
      <c r="D14" s="81">
        <v>42</v>
      </c>
      <c r="E14" s="73">
        <v>33.9001461251477</v>
      </c>
      <c r="F14" s="73">
        <v>-118.150250647479</v>
      </c>
    </row>
    <row r="15" spans="1:6" x14ac:dyDescent="0.25">
      <c r="A15" s="79" t="s">
        <v>6826</v>
      </c>
      <c r="B15" s="80" t="s">
        <v>6857</v>
      </c>
      <c r="C15" s="80" t="s">
        <v>6852</v>
      </c>
      <c r="D15" s="81">
        <v>30.7</v>
      </c>
      <c r="E15" s="73">
        <v>33.916179008977302</v>
      </c>
      <c r="F15" s="73">
        <v>-118.41892658796</v>
      </c>
    </row>
    <row r="16" spans="1:6" x14ac:dyDescent="0.25">
      <c r="A16" s="79" t="s">
        <v>6826</v>
      </c>
      <c r="B16" s="80" t="s">
        <v>6858</v>
      </c>
      <c r="C16" s="80" t="s">
        <v>1195</v>
      </c>
      <c r="D16" s="81">
        <v>6</v>
      </c>
      <c r="E16" s="73">
        <v>35.296995599410103</v>
      </c>
      <c r="F16" s="73">
        <v>-118.91853479161</v>
      </c>
    </row>
    <row r="17" spans="1:6" x14ac:dyDescent="0.25">
      <c r="A17" s="79" t="s">
        <v>6826</v>
      </c>
      <c r="B17" s="80" t="s">
        <v>6853</v>
      </c>
      <c r="C17" s="80" t="s">
        <v>6854</v>
      </c>
      <c r="D17" s="81">
        <v>180</v>
      </c>
      <c r="E17" s="73">
        <v>38.046124798459203</v>
      </c>
      <c r="F17" s="73">
        <v>-122.258697447339</v>
      </c>
    </row>
    <row r="18" spans="1:6" x14ac:dyDescent="0.25">
      <c r="A18" s="79" t="s">
        <v>1137</v>
      </c>
      <c r="B18" s="80" t="s">
        <v>6859</v>
      </c>
      <c r="C18" s="80" t="s">
        <v>6855</v>
      </c>
      <c r="D18" s="81">
        <v>111.1</v>
      </c>
      <c r="E18" s="73">
        <v>48.891615006697997</v>
      </c>
      <c r="F18" s="73">
        <v>-122.73335062971</v>
      </c>
    </row>
    <row r="19" spans="1:6" x14ac:dyDescent="0.25">
      <c r="D19" s="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D1EC-3828-46DC-9035-BD199D3199FF}">
  <sheetPr>
    <tabColor rgb="FF08306C"/>
  </sheetPr>
  <dimension ref="A1:Y37"/>
  <sheetViews>
    <sheetView workbookViewId="0">
      <selection activeCell="J20" sqref="J20"/>
    </sheetView>
  </sheetViews>
  <sheetFormatPr defaultColWidth="14.42578125" defaultRowHeight="15" x14ac:dyDescent="0.25"/>
  <cols>
    <col min="1" max="1" width="31.5703125" customWidth="1"/>
    <col min="3" max="3" width="27.5703125" customWidth="1"/>
  </cols>
  <sheetData>
    <row r="1" spans="1:25" x14ac:dyDescent="0.25">
      <c r="A1" s="69" t="s">
        <v>6668</v>
      </c>
      <c r="B1" s="69" t="s">
        <v>14</v>
      </c>
      <c r="C1" s="69" t="s">
        <v>1854</v>
      </c>
      <c r="D1" s="69" t="s">
        <v>1179</v>
      </c>
      <c r="E1" s="69" t="s">
        <v>1855</v>
      </c>
      <c r="F1" s="69" t="s">
        <v>731</v>
      </c>
      <c r="G1" s="69" t="s">
        <v>730</v>
      </c>
      <c r="H1" s="70" t="s">
        <v>56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spans="1:25" x14ac:dyDescent="0.25">
      <c r="A2" s="71" t="s">
        <v>6669</v>
      </c>
      <c r="B2" s="71" t="s">
        <v>60</v>
      </c>
      <c r="C2" s="71" t="s">
        <v>6670</v>
      </c>
      <c r="D2" s="71" t="s">
        <v>6671</v>
      </c>
      <c r="E2" s="71">
        <v>85260</v>
      </c>
      <c r="F2" s="71">
        <v>33.618310000000001</v>
      </c>
      <c r="G2" s="71">
        <v>-111.91977</v>
      </c>
      <c r="H2" s="71" t="s">
        <v>6672</v>
      </c>
    </row>
    <row r="3" spans="1:25" x14ac:dyDescent="0.25">
      <c r="A3" s="71" t="s">
        <v>6673</v>
      </c>
      <c r="B3" s="71" t="s">
        <v>68</v>
      </c>
      <c r="C3" s="71" t="s">
        <v>6674</v>
      </c>
      <c r="D3" s="71" t="s">
        <v>6675</v>
      </c>
      <c r="E3" s="71">
        <v>96161</v>
      </c>
      <c r="F3" s="71">
        <v>39.319209999999998</v>
      </c>
      <c r="G3" s="71">
        <v>-120.14516</v>
      </c>
      <c r="H3" s="71" t="s">
        <v>6672</v>
      </c>
    </row>
    <row r="4" spans="1:25" x14ac:dyDescent="0.25">
      <c r="A4" s="71" t="s">
        <v>6676</v>
      </c>
      <c r="B4" s="71" t="s">
        <v>68</v>
      </c>
      <c r="C4" s="71" t="s">
        <v>6677</v>
      </c>
      <c r="D4" s="71" t="s">
        <v>6678</v>
      </c>
      <c r="E4" s="71">
        <v>95655</v>
      </c>
      <c r="F4" s="71">
        <v>38.564340000000001</v>
      </c>
      <c r="G4" s="71">
        <v>-121.29727</v>
      </c>
      <c r="H4" s="71" t="s">
        <v>6679</v>
      </c>
    </row>
    <row r="5" spans="1:25" x14ac:dyDescent="0.25">
      <c r="A5" s="71" t="s">
        <v>6680</v>
      </c>
      <c r="B5" s="71" t="s">
        <v>68</v>
      </c>
      <c r="C5" s="71" t="s">
        <v>6681</v>
      </c>
      <c r="D5" s="71" t="s">
        <v>4025</v>
      </c>
      <c r="E5" s="71">
        <v>95403</v>
      </c>
      <c r="F5" s="71">
        <v>38.508929999999999</v>
      </c>
      <c r="G5" s="71">
        <v>-122.8052</v>
      </c>
      <c r="H5" s="71" t="s">
        <v>6672</v>
      </c>
    </row>
    <row r="6" spans="1:25" x14ac:dyDescent="0.25">
      <c r="A6" s="71" t="s">
        <v>6682</v>
      </c>
      <c r="B6" s="71" t="s">
        <v>68</v>
      </c>
      <c r="C6" s="71" t="s">
        <v>6683</v>
      </c>
      <c r="D6" s="71" t="s">
        <v>73</v>
      </c>
      <c r="E6" s="71">
        <v>95206</v>
      </c>
      <c r="F6" s="71">
        <v>37.894399999999997</v>
      </c>
      <c r="G6" s="71">
        <v>-121.24751000000001</v>
      </c>
      <c r="H6" s="71" t="s">
        <v>6672</v>
      </c>
    </row>
    <row r="7" spans="1:25" x14ac:dyDescent="0.25">
      <c r="A7" s="71" t="s">
        <v>6684</v>
      </c>
      <c r="B7" s="71" t="s">
        <v>68</v>
      </c>
      <c r="C7" s="71" t="s">
        <v>6685</v>
      </c>
      <c r="D7" s="71" t="s">
        <v>2712</v>
      </c>
      <c r="E7" s="71">
        <v>94621</v>
      </c>
      <c r="F7" s="71">
        <v>37.729930000000003</v>
      </c>
      <c r="G7" s="71">
        <v>-122.21288</v>
      </c>
      <c r="H7" s="71" t="s">
        <v>6672</v>
      </c>
    </row>
    <row r="8" spans="1:25" x14ac:dyDescent="0.25">
      <c r="A8" s="71" t="s">
        <v>6686</v>
      </c>
      <c r="B8" s="71" t="s">
        <v>68</v>
      </c>
      <c r="C8" s="71" t="s">
        <v>6687</v>
      </c>
      <c r="D8" s="71" t="s">
        <v>3993</v>
      </c>
      <c r="E8" s="71">
        <v>94128</v>
      </c>
      <c r="F8" s="71">
        <v>37.628160000000001</v>
      </c>
      <c r="G8" s="71">
        <v>-122.38482999999999</v>
      </c>
      <c r="H8" s="71" t="s">
        <v>6672</v>
      </c>
    </row>
    <row r="9" spans="1:25" x14ac:dyDescent="0.25">
      <c r="A9" s="71" t="s">
        <v>6688</v>
      </c>
      <c r="B9" s="71" t="s">
        <v>68</v>
      </c>
      <c r="C9" s="71" t="s">
        <v>6689</v>
      </c>
      <c r="D9" s="71" t="s">
        <v>1911</v>
      </c>
      <c r="E9" s="71">
        <v>95050</v>
      </c>
      <c r="F9" s="71">
        <v>37.361409999999999</v>
      </c>
      <c r="G9" s="71">
        <v>-121.93483999999999</v>
      </c>
      <c r="H9" s="71" t="s">
        <v>6672</v>
      </c>
    </row>
    <row r="10" spans="1:25" x14ac:dyDescent="0.25">
      <c r="A10" s="71" t="s">
        <v>6690</v>
      </c>
      <c r="B10" s="71" t="s">
        <v>68</v>
      </c>
      <c r="C10" s="71" t="s">
        <v>6691</v>
      </c>
      <c r="D10" s="71" t="s">
        <v>1971</v>
      </c>
      <c r="E10" s="71">
        <v>93940</v>
      </c>
      <c r="F10" s="71">
        <v>36.58914</v>
      </c>
      <c r="G10" s="71">
        <v>-121.85964</v>
      </c>
      <c r="H10" s="71" t="s">
        <v>6672</v>
      </c>
    </row>
    <row r="11" spans="1:25" x14ac:dyDescent="0.25">
      <c r="A11" s="71" t="s">
        <v>6692</v>
      </c>
      <c r="B11" s="71" t="s">
        <v>68</v>
      </c>
      <c r="C11" s="71" t="s">
        <v>6693</v>
      </c>
      <c r="D11" s="71" t="s">
        <v>1205</v>
      </c>
      <c r="E11" s="71">
        <v>93703</v>
      </c>
      <c r="F11" s="71">
        <v>36.778219999999997</v>
      </c>
      <c r="G11" s="71">
        <v>-119.73112</v>
      </c>
      <c r="H11" s="71" t="s">
        <v>6672</v>
      </c>
    </row>
    <row r="12" spans="1:25" x14ac:dyDescent="0.25">
      <c r="A12" s="71" t="s">
        <v>6694</v>
      </c>
      <c r="B12" s="71" t="s">
        <v>68</v>
      </c>
      <c r="C12" s="71" t="s">
        <v>6695</v>
      </c>
      <c r="D12" s="71" t="s">
        <v>1064</v>
      </c>
      <c r="E12" s="71">
        <v>90045</v>
      </c>
      <c r="F12" s="71">
        <v>33.933669999999999</v>
      </c>
      <c r="G12" s="71">
        <v>-118.39537</v>
      </c>
      <c r="H12" s="71" t="s">
        <v>6672</v>
      </c>
    </row>
    <row r="13" spans="1:25" x14ac:dyDescent="0.25">
      <c r="A13" s="71" t="s">
        <v>6696</v>
      </c>
      <c r="B13" s="71" t="s">
        <v>68</v>
      </c>
      <c r="C13" s="71" t="s">
        <v>6697</v>
      </c>
      <c r="D13" s="71" t="s">
        <v>1064</v>
      </c>
      <c r="E13" s="71">
        <v>90045</v>
      </c>
      <c r="F13" s="71">
        <v>33.932409999999997</v>
      </c>
      <c r="G13" s="71">
        <v>-118.39892999999999</v>
      </c>
      <c r="H13" s="71" t="s">
        <v>6672</v>
      </c>
    </row>
    <row r="14" spans="1:25" x14ac:dyDescent="0.25">
      <c r="A14" s="71" t="s">
        <v>6698</v>
      </c>
      <c r="B14" s="71" t="s">
        <v>68</v>
      </c>
      <c r="C14" s="71" t="s">
        <v>6699</v>
      </c>
      <c r="D14" s="71" t="s">
        <v>6700</v>
      </c>
      <c r="E14" s="71">
        <v>90807</v>
      </c>
      <c r="F14" s="71">
        <v>33.815660000000001</v>
      </c>
      <c r="G14" s="71">
        <v>-118.1589</v>
      </c>
      <c r="H14" s="71" t="s">
        <v>6672</v>
      </c>
    </row>
    <row r="15" spans="1:25" x14ac:dyDescent="0.25">
      <c r="A15" s="71" t="s">
        <v>6701</v>
      </c>
      <c r="B15" s="71" t="s">
        <v>68</v>
      </c>
      <c r="C15" s="71" t="s">
        <v>6702</v>
      </c>
      <c r="D15" s="71" t="s">
        <v>6700</v>
      </c>
      <c r="E15" s="71">
        <v>90806</v>
      </c>
      <c r="F15" s="71">
        <v>33.811819999999997</v>
      </c>
      <c r="G15" s="71">
        <v>-118.15279</v>
      </c>
      <c r="H15" s="71" t="s">
        <v>6672</v>
      </c>
    </row>
    <row r="16" spans="1:25" x14ac:dyDescent="0.25">
      <c r="A16" s="71" t="s">
        <v>6703</v>
      </c>
      <c r="B16" s="71" t="s">
        <v>68</v>
      </c>
      <c r="C16" s="71" t="s">
        <v>6704</v>
      </c>
      <c r="D16" s="71" t="s">
        <v>6705</v>
      </c>
      <c r="E16" s="71">
        <v>91406</v>
      </c>
      <c r="F16" s="71">
        <v>34.219479999999997</v>
      </c>
      <c r="G16" s="71">
        <v>-118.49455</v>
      </c>
      <c r="H16" s="71" t="s">
        <v>6672</v>
      </c>
    </row>
    <row r="17" spans="1:8" x14ac:dyDescent="0.25">
      <c r="A17" s="71" t="s">
        <v>6706</v>
      </c>
      <c r="B17" s="71" t="s">
        <v>68</v>
      </c>
      <c r="C17" s="71" t="s">
        <v>6707</v>
      </c>
      <c r="D17" s="71" t="s">
        <v>6705</v>
      </c>
      <c r="E17" s="71">
        <v>91406</v>
      </c>
      <c r="F17" s="71">
        <v>34.200400000000002</v>
      </c>
      <c r="G17" s="71">
        <v>-118.48741</v>
      </c>
      <c r="H17" s="71" t="s">
        <v>6672</v>
      </c>
    </row>
    <row r="18" spans="1:8" x14ac:dyDescent="0.25">
      <c r="A18" s="71" t="s">
        <v>6708</v>
      </c>
      <c r="B18" s="71" t="s">
        <v>68</v>
      </c>
      <c r="C18" s="71" t="s">
        <v>6709</v>
      </c>
      <c r="D18" s="71" t="s">
        <v>6705</v>
      </c>
      <c r="E18" s="71">
        <v>91406</v>
      </c>
      <c r="F18" s="71">
        <v>34.20429</v>
      </c>
      <c r="G18" s="71">
        <v>-118.49202</v>
      </c>
      <c r="H18" s="71" t="s">
        <v>6672</v>
      </c>
    </row>
    <row r="19" spans="1:8" x14ac:dyDescent="0.25">
      <c r="A19" s="71" t="s">
        <v>6710</v>
      </c>
      <c r="B19" s="71" t="s">
        <v>68</v>
      </c>
      <c r="C19" s="71" t="s">
        <v>6711</v>
      </c>
      <c r="D19" s="71" t="s">
        <v>4066</v>
      </c>
      <c r="E19" s="71">
        <v>93010</v>
      </c>
      <c r="F19" s="71">
        <v>34.20919</v>
      </c>
      <c r="G19" s="71">
        <v>-119.07532999999999</v>
      </c>
      <c r="H19" s="71" t="s">
        <v>6672</v>
      </c>
    </row>
    <row r="20" spans="1:8" x14ac:dyDescent="0.25">
      <c r="A20" s="71" t="s">
        <v>6712</v>
      </c>
      <c r="B20" s="71" t="s">
        <v>68</v>
      </c>
      <c r="C20" s="71" t="s">
        <v>6713</v>
      </c>
      <c r="D20" s="71" t="s">
        <v>4066</v>
      </c>
      <c r="E20" s="71">
        <v>93010</v>
      </c>
      <c r="F20" s="71">
        <v>34.210160000000002</v>
      </c>
      <c r="G20" s="71">
        <v>-119.09223</v>
      </c>
      <c r="H20" s="71" t="s">
        <v>6672</v>
      </c>
    </row>
    <row r="21" spans="1:8" x14ac:dyDescent="0.25">
      <c r="A21" s="71" t="s">
        <v>6714</v>
      </c>
      <c r="B21" s="71" t="s">
        <v>68</v>
      </c>
      <c r="C21" s="71" t="s">
        <v>6715</v>
      </c>
      <c r="D21" s="71" t="s">
        <v>6716</v>
      </c>
      <c r="E21" s="71">
        <v>93117</v>
      </c>
      <c r="F21" s="71">
        <v>34.433039999999998</v>
      </c>
      <c r="G21" s="71">
        <v>-119.83481999999999</v>
      </c>
      <c r="H21" s="71" t="s">
        <v>6672</v>
      </c>
    </row>
    <row r="22" spans="1:8" x14ac:dyDescent="0.25">
      <c r="A22" s="71" t="s">
        <v>6717</v>
      </c>
      <c r="B22" s="71" t="s">
        <v>68</v>
      </c>
      <c r="C22" s="71" t="s">
        <v>6718</v>
      </c>
      <c r="D22" s="71" t="s">
        <v>6719</v>
      </c>
      <c r="E22" s="71">
        <v>92707</v>
      </c>
      <c r="F22" s="71">
        <v>33.671460000000003</v>
      </c>
      <c r="G22" s="71">
        <v>-117.86687000000001</v>
      </c>
      <c r="H22" s="71" t="s">
        <v>6672</v>
      </c>
    </row>
    <row r="23" spans="1:8" x14ac:dyDescent="0.25">
      <c r="A23" s="71" t="s">
        <v>6720</v>
      </c>
      <c r="B23" s="71" t="s">
        <v>68</v>
      </c>
      <c r="C23" s="71" t="s">
        <v>6721</v>
      </c>
      <c r="D23" s="71" t="s">
        <v>1996</v>
      </c>
      <c r="E23" s="71">
        <v>92101</v>
      </c>
      <c r="F23" s="71">
        <v>32.73386</v>
      </c>
      <c r="G23" s="71">
        <v>-117.1782</v>
      </c>
      <c r="H23" s="71" t="s">
        <v>6672</v>
      </c>
    </row>
    <row r="24" spans="1:8" x14ac:dyDescent="0.25">
      <c r="A24" s="71" t="s">
        <v>6722</v>
      </c>
      <c r="B24" s="71" t="s">
        <v>68</v>
      </c>
      <c r="C24" s="71" t="s">
        <v>6723</v>
      </c>
      <c r="D24" s="71" t="s">
        <v>6724</v>
      </c>
      <c r="E24" s="71">
        <v>92274</v>
      </c>
      <c r="F24" s="71">
        <v>33.639209999999999</v>
      </c>
      <c r="G24" s="71">
        <v>-116.16131</v>
      </c>
      <c r="H24" s="71" t="s">
        <v>6672</v>
      </c>
    </row>
    <row r="25" spans="1:8" x14ac:dyDescent="0.25">
      <c r="A25" s="71" t="s">
        <v>6725</v>
      </c>
      <c r="B25" s="71" t="s">
        <v>68</v>
      </c>
      <c r="C25" s="71" t="s">
        <v>6726</v>
      </c>
      <c r="D25" s="71" t="s">
        <v>6727</v>
      </c>
      <c r="E25" s="71">
        <v>92262</v>
      </c>
      <c r="F25" s="71">
        <v>33.826520000000002</v>
      </c>
      <c r="G25" s="71">
        <v>-116.51002</v>
      </c>
      <c r="H25" s="71" t="s">
        <v>6672</v>
      </c>
    </row>
    <row r="26" spans="1:8" x14ac:dyDescent="0.25">
      <c r="A26" s="71" t="s">
        <v>6728</v>
      </c>
      <c r="B26" s="71" t="s">
        <v>84</v>
      </c>
      <c r="C26" s="71" t="s">
        <v>6729</v>
      </c>
      <c r="D26" s="71" t="s">
        <v>6730</v>
      </c>
      <c r="E26" s="71">
        <v>81650</v>
      </c>
      <c r="F26" s="71">
        <v>39.522640000000003</v>
      </c>
      <c r="G26" s="71">
        <v>-107.71808</v>
      </c>
      <c r="H26" s="71" t="s">
        <v>6731</v>
      </c>
    </row>
    <row r="27" spans="1:8" x14ac:dyDescent="0.25">
      <c r="A27" s="71" t="s">
        <v>6732</v>
      </c>
      <c r="B27" s="71" t="s">
        <v>84</v>
      </c>
      <c r="C27" s="71" t="s">
        <v>6733</v>
      </c>
      <c r="D27" s="71" t="s">
        <v>6734</v>
      </c>
      <c r="E27" s="71">
        <v>81637</v>
      </c>
      <c r="F27" s="71">
        <v>39.638719999999999</v>
      </c>
      <c r="G27" s="71">
        <v>-106.93245</v>
      </c>
      <c r="H27" s="71" t="s">
        <v>6672</v>
      </c>
    </row>
    <row r="28" spans="1:8" x14ac:dyDescent="0.25">
      <c r="A28" s="71" t="s">
        <v>6735</v>
      </c>
      <c r="B28" s="71" t="s">
        <v>84</v>
      </c>
      <c r="C28" s="71" t="s">
        <v>6736</v>
      </c>
      <c r="D28" s="71" t="s">
        <v>6737</v>
      </c>
      <c r="E28" s="71">
        <v>81611</v>
      </c>
      <c r="F28" s="71">
        <v>39.223109999999998</v>
      </c>
      <c r="G28" s="71">
        <v>-106.86678000000001</v>
      </c>
      <c r="H28" s="71" t="s">
        <v>6672</v>
      </c>
    </row>
    <row r="29" spans="1:8" x14ac:dyDescent="0.25">
      <c r="A29" s="71" t="s">
        <v>6738</v>
      </c>
      <c r="B29" s="71" t="s">
        <v>84</v>
      </c>
      <c r="C29" s="71" t="s">
        <v>6739</v>
      </c>
      <c r="D29" s="71" t="s">
        <v>2685</v>
      </c>
      <c r="E29" s="71">
        <v>81401</v>
      </c>
      <c r="F29" s="71">
        <v>38.497929999999997</v>
      </c>
      <c r="G29" s="71">
        <v>-107.89624000000001</v>
      </c>
      <c r="H29" s="71" t="s">
        <v>6731</v>
      </c>
    </row>
    <row r="30" spans="1:8" x14ac:dyDescent="0.25">
      <c r="A30" s="71" t="s">
        <v>6740</v>
      </c>
      <c r="B30" s="71" t="s">
        <v>84</v>
      </c>
      <c r="C30" s="71" t="s">
        <v>6741</v>
      </c>
      <c r="D30" s="71" t="s">
        <v>6742</v>
      </c>
      <c r="E30" s="71">
        <v>81639</v>
      </c>
      <c r="F30" s="71">
        <v>40.480609999999999</v>
      </c>
      <c r="G30" s="71">
        <v>-107.21427</v>
      </c>
      <c r="H30" s="71" t="s">
        <v>6731</v>
      </c>
    </row>
    <row r="31" spans="1:8" x14ac:dyDescent="0.25">
      <c r="A31" s="71" t="s">
        <v>6743</v>
      </c>
      <c r="B31" s="71" t="s">
        <v>84</v>
      </c>
      <c r="C31" s="71" t="s">
        <v>6744</v>
      </c>
      <c r="D31" s="71" t="s">
        <v>6745</v>
      </c>
      <c r="E31" s="71">
        <v>81435</v>
      </c>
      <c r="F31" s="71">
        <v>37.953360000000004</v>
      </c>
      <c r="G31" s="71">
        <v>-107.89664999999999</v>
      </c>
      <c r="H31" s="71" t="s">
        <v>6672</v>
      </c>
    </row>
    <row r="32" spans="1:8" x14ac:dyDescent="0.25">
      <c r="A32" s="71" t="s">
        <v>6746</v>
      </c>
      <c r="B32" s="71" t="s">
        <v>1506</v>
      </c>
      <c r="C32" s="71" t="s">
        <v>6747</v>
      </c>
      <c r="D32" s="71" t="s">
        <v>6748</v>
      </c>
      <c r="E32" s="71">
        <v>59714</v>
      </c>
      <c r="F32" s="71">
        <v>45.7746</v>
      </c>
      <c r="G32" s="71">
        <v>-111.15528</v>
      </c>
      <c r="H32" s="71" t="s">
        <v>6672</v>
      </c>
    </row>
    <row r="33" spans="1:8" x14ac:dyDescent="0.25">
      <c r="A33" s="71" t="s">
        <v>6749</v>
      </c>
      <c r="B33" s="71" t="s">
        <v>571</v>
      </c>
      <c r="C33" s="71" t="s">
        <v>6750</v>
      </c>
      <c r="D33" s="71" t="s">
        <v>5890</v>
      </c>
      <c r="E33" s="71">
        <v>97124</v>
      </c>
      <c r="F33" s="71">
        <v>45.548209999999997</v>
      </c>
      <c r="G33" s="71">
        <v>-122.94938</v>
      </c>
      <c r="H33" s="71" t="s">
        <v>6672</v>
      </c>
    </row>
    <row r="34" spans="1:8" x14ac:dyDescent="0.25">
      <c r="A34" s="71" t="s">
        <v>6751</v>
      </c>
      <c r="B34" s="71" t="s">
        <v>631</v>
      </c>
      <c r="C34" s="71" t="s">
        <v>6752</v>
      </c>
      <c r="D34" s="71" t="s">
        <v>2273</v>
      </c>
      <c r="E34" s="71">
        <v>77061</v>
      </c>
      <c r="F34" s="71">
        <v>29.64612</v>
      </c>
      <c r="G34" s="71">
        <v>-95.270660000000007</v>
      </c>
      <c r="H34" s="71" t="s">
        <v>6672</v>
      </c>
    </row>
    <row r="35" spans="1:8" x14ac:dyDescent="0.25">
      <c r="A35" s="71" t="s">
        <v>6753</v>
      </c>
      <c r="B35" s="71" t="s">
        <v>631</v>
      </c>
      <c r="C35" s="71" t="s">
        <v>6754</v>
      </c>
      <c r="D35" s="71" t="s">
        <v>3550</v>
      </c>
      <c r="E35" s="71">
        <v>78719</v>
      </c>
      <c r="F35" s="71">
        <v>30.184699999999999</v>
      </c>
      <c r="G35" s="71">
        <v>-97.662440000000004</v>
      </c>
      <c r="H35" s="71" t="s">
        <v>6672</v>
      </c>
    </row>
    <row r="36" spans="1:8" x14ac:dyDescent="0.25">
      <c r="A36" s="71" t="s">
        <v>6755</v>
      </c>
      <c r="B36" s="71" t="s">
        <v>1175</v>
      </c>
      <c r="C36" s="71" t="s">
        <v>6756</v>
      </c>
      <c r="D36" s="71" t="s">
        <v>6424</v>
      </c>
      <c r="E36" s="71">
        <v>98108</v>
      </c>
      <c r="F36" s="71">
        <v>47.524140000000003</v>
      </c>
      <c r="G36" s="71">
        <v>-122.29443000000001</v>
      </c>
      <c r="H36" s="71" t="s">
        <v>6672</v>
      </c>
    </row>
    <row r="37" spans="1:8" x14ac:dyDescent="0.25">
      <c r="A37" s="71" t="s">
        <v>6757</v>
      </c>
      <c r="B37" s="71" t="s">
        <v>1175</v>
      </c>
      <c r="C37" s="71" t="s">
        <v>6758</v>
      </c>
      <c r="D37" s="71" t="s">
        <v>6424</v>
      </c>
      <c r="E37" s="71">
        <v>98108</v>
      </c>
      <c r="F37" s="71">
        <v>47.537680000000002</v>
      </c>
      <c r="G37" s="71">
        <v>-122.30414</v>
      </c>
      <c r="H37" s="71" t="s">
        <v>6672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06C"/>
  </sheetPr>
  <dimension ref="A1:G1000"/>
  <sheetViews>
    <sheetView workbookViewId="0">
      <pane ySplit="1" topLeftCell="A89" activePane="bottomLeft" state="frozen"/>
      <selection pane="bottomLeft" activeCell="F117" sqref="F117:F120"/>
    </sheetView>
  </sheetViews>
  <sheetFormatPr defaultColWidth="14.42578125" defaultRowHeight="15" customHeight="1" x14ac:dyDescent="0.25"/>
  <cols>
    <col min="1" max="1" width="45.5703125" customWidth="1"/>
    <col min="2" max="2" width="8.7109375" customWidth="1"/>
    <col min="3" max="3" width="12.28515625" customWidth="1"/>
    <col min="4" max="4" width="12.85546875" customWidth="1"/>
    <col min="5" max="5" width="23.85546875" customWidth="1"/>
    <col min="6" max="6" width="11.85546875" customWidth="1"/>
    <col min="7" max="20" width="8.7109375" customWidth="1"/>
  </cols>
  <sheetData>
    <row r="1" spans="1:7" ht="45" x14ac:dyDescent="0.25">
      <c r="A1" s="28" t="s">
        <v>739</v>
      </c>
      <c r="B1" s="28" t="s">
        <v>14</v>
      </c>
      <c r="C1" s="28" t="s">
        <v>731</v>
      </c>
      <c r="D1" s="28" t="s">
        <v>730</v>
      </c>
      <c r="E1" s="28" t="s">
        <v>740</v>
      </c>
      <c r="F1" s="29" t="s">
        <v>741</v>
      </c>
      <c r="G1" s="33"/>
    </row>
    <row r="2" spans="1:7" x14ac:dyDescent="0.25">
      <c r="A2" s="5" t="s">
        <v>742</v>
      </c>
      <c r="B2" s="5" t="s">
        <v>743</v>
      </c>
      <c r="C2" s="5">
        <v>33.074910000000003</v>
      </c>
      <c r="D2" s="5">
        <v>-88.244470000000007</v>
      </c>
      <c r="E2" s="5" t="s">
        <v>744</v>
      </c>
      <c r="F2" s="34">
        <v>369000</v>
      </c>
      <c r="G2" s="11"/>
    </row>
    <row r="3" spans="1:7" x14ac:dyDescent="0.25">
      <c r="A3" s="5" t="s">
        <v>745</v>
      </c>
      <c r="B3" s="5" t="s">
        <v>743</v>
      </c>
      <c r="C3" s="5">
        <v>32.466540000000002</v>
      </c>
      <c r="D3" s="5">
        <v>-87.956890000000001</v>
      </c>
      <c r="E3" s="5" t="s">
        <v>744</v>
      </c>
      <c r="F3" s="34">
        <v>360000</v>
      </c>
      <c r="G3" s="11"/>
    </row>
    <row r="4" spans="1:7" x14ac:dyDescent="0.25">
      <c r="A4" s="5" t="s">
        <v>746</v>
      </c>
      <c r="B4" s="5" t="s">
        <v>743</v>
      </c>
      <c r="C4" s="5">
        <v>31.33362</v>
      </c>
      <c r="D4" s="5">
        <v>-88.439049999999995</v>
      </c>
      <c r="E4" s="5" t="s">
        <v>744</v>
      </c>
      <c r="F4" s="34">
        <v>30000</v>
      </c>
      <c r="G4" s="11"/>
    </row>
    <row r="5" spans="1:7" x14ac:dyDescent="0.25">
      <c r="A5" s="5" t="s">
        <v>747</v>
      </c>
      <c r="B5" s="5" t="s">
        <v>743</v>
      </c>
      <c r="C5" s="5">
        <v>31.501349999999999</v>
      </c>
      <c r="D5" s="5">
        <v>-87.915530000000004</v>
      </c>
      <c r="E5" s="5" t="s">
        <v>744</v>
      </c>
      <c r="F5" s="34">
        <v>150000</v>
      </c>
      <c r="G5" s="11"/>
    </row>
    <row r="6" spans="1:7" x14ac:dyDescent="0.25">
      <c r="A6" s="5" t="s">
        <v>748</v>
      </c>
      <c r="B6" s="5" t="s">
        <v>749</v>
      </c>
      <c r="C6" s="5">
        <v>34.170479999999998</v>
      </c>
      <c r="D6" s="5">
        <v>-93.133889999999994</v>
      </c>
      <c r="E6" s="5" t="s">
        <v>744</v>
      </c>
      <c r="F6" s="34">
        <v>40000</v>
      </c>
      <c r="G6" s="11"/>
    </row>
    <row r="7" spans="1:7" x14ac:dyDescent="0.25">
      <c r="A7" s="5" t="s">
        <v>750</v>
      </c>
      <c r="B7" s="5" t="s">
        <v>749</v>
      </c>
      <c r="C7" s="5">
        <v>35.250450000000001</v>
      </c>
      <c r="D7" s="5">
        <v>-93.128079999999997</v>
      </c>
      <c r="E7" s="5" t="s">
        <v>744</v>
      </c>
      <c r="F7" s="34">
        <v>40000</v>
      </c>
      <c r="G7" s="11"/>
    </row>
    <row r="8" spans="1:7" x14ac:dyDescent="0.25">
      <c r="A8" s="5" t="s">
        <v>751</v>
      </c>
      <c r="B8" s="5" t="s">
        <v>749</v>
      </c>
      <c r="C8" s="5">
        <v>35.867702600000001</v>
      </c>
      <c r="D8" s="5">
        <v>-92.155101199999905</v>
      </c>
      <c r="E8" s="5" t="s">
        <v>752</v>
      </c>
      <c r="F8" s="34">
        <v>31800</v>
      </c>
      <c r="G8" s="11"/>
    </row>
    <row r="9" spans="1:7" x14ac:dyDescent="0.25">
      <c r="A9" s="5" t="s">
        <v>753</v>
      </c>
      <c r="B9" s="5" t="s">
        <v>749</v>
      </c>
      <c r="C9" s="5">
        <v>34.265406400000003</v>
      </c>
      <c r="D9" s="5">
        <v>-92.072207899999896</v>
      </c>
      <c r="E9" s="5" t="s">
        <v>754</v>
      </c>
      <c r="F9" s="34">
        <v>675000</v>
      </c>
      <c r="G9" s="11"/>
    </row>
    <row r="10" spans="1:7" x14ac:dyDescent="0.25">
      <c r="A10" s="5" t="s">
        <v>755</v>
      </c>
      <c r="B10" s="5" t="s">
        <v>756</v>
      </c>
      <c r="C10" s="5">
        <v>34.258715000000002</v>
      </c>
      <c r="D10" s="5">
        <v>-109.997266999999</v>
      </c>
      <c r="E10" s="5" t="s">
        <v>754</v>
      </c>
      <c r="F10" s="34">
        <v>72600</v>
      </c>
      <c r="G10" s="11"/>
    </row>
    <row r="11" spans="1:7" x14ac:dyDescent="0.25">
      <c r="A11" s="5" t="s">
        <v>757</v>
      </c>
      <c r="B11" s="5" t="s">
        <v>758</v>
      </c>
      <c r="C11" s="5">
        <v>39.240639999999999</v>
      </c>
      <c r="D11" s="5">
        <v>-123.2037</v>
      </c>
      <c r="E11" s="5" t="s">
        <v>744</v>
      </c>
      <c r="F11" s="34">
        <v>34900</v>
      </c>
      <c r="G11" s="11"/>
    </row>
    <row r="12" spans="1:7" x14ac:dyDescent="0.25">
      <c r="A12" s="5" t="s">
        <v>759</v>
      </c>
      <c r="B12" s="5" t="s">
        <v>758</v>
      </c>
      <c r="C12" s="5">
        <v>38.808760900000003</v>
      </c>
      <c r="D12" s="5">
        <v>-121.316606999999</v>
      </c>
      <c r="E12" s="5" t="s">
        <v>754</v>
      </c>
      <c r="F12" s="34">
        <v>90700</v>
      </c>
      <c r="G12" s="11"/>
    </row>
    <row r="13" spans="1:7" x14ac:dyDescent="0.25">
      <c r="A13" s="5" t="s">
        <v>760</v>
      </c>
      <c r="B13" s="5" t="s">
        <v>84</v>
      </c>
      <c r="C13" s="5">
        <v>37.344340000000003</v>
      </c>
      <c r="D13" s="5">
        <v>-108.30392000000001</v>
      </c>
      <c r="E13" s="5" t="s">
        <v>744</v>
      </c>
      <c r="F13" s="34">
        <v>27200</v>
      </c>
      <c r="G13" s="11"/>
    </row>
    <row r="14" spans="1:7" x14ac:dyDescent="0.25">
      <c r="A14" s="5" t="s">
        <v>761</v>
      </c>
      <c r="B14" s="5" t="s">
        <v>762</v>
      </c>
      <c r="C14" s="5">
        <v>30.7399366</v>
      </c>
      <c r="D14" s="5">
        <v>-85.391653599999898</v>
      </c>
      <c r="E14" s="5" t="s">
        <v>763</v>
      </c>
      <c r="F14" s="34">
        <v>780000</v>
      </c>
      <c r="G14" s="11"/>
    </row>
    <row r="15" spans="1:7" x14ac:dyDescent="0.25">
      <c r="A15" s="5" t="s">
        <v>764</v>
      </c>
      <c r="B15" s="5" t="s">
        <v>765</v>
      </c>
      <c r="C15" s="5">
        <v>31.815398900000002</v>
      </c>
      <c r="D15" s="5">
        <v>-82.467336699999905</v>
      </c>
      <c r="E15" s="5" t="s">
        <v>744</v>
      </c>
      <c r="F15" s="34">
        <v>181400</v>
      </c>
      <c r="G15" s="11"/>
    </row>
    <row r="16" spans="1:7" x14ac:dyDescent="0.25">
      <c r="A16" s="5" t="s">
        <v>766</v>
      </c>
      <c r="B16" s="5" t="s">
        <v>765</v>
      </c>
      <c r="C16" s="5">
        <v>31.29318</v>
      </c>
      <c r="D16" s="5">
        <v>-82.824809999999999</v>
      </c>
      <c r="E16" s="5" t="s">
        <v>744</v>
      </c>
      <c r="F16" s="34">
        <v>150000</v>
      </c>
      <c r="G16" s="11"/>
    </row>
    <row r="17" spans="1:7" x14ac:dyDescent="0.25">
      <c r="A17" s="5" t="s">
        <v>767</v>
      </c>
      <c r="B17" s="5" t="s">
        <v>765</v>
      </c>
      <c r="C17" s="5">
        <v>31.258188758907899</v>
      </c>
      <c r="D17" s="5">
        <v>-82.410278300000002</v>
      </c>
      <c r="E17" s="5" t="s">
        <v>768</v>
      </c>
      <c r="F17" s="34">
        <v>800000</v>
      </c>
      <c r="G17" s="11"/>
    </row>
    <row r="18" spans="1:7" x14ac:dyDescent="0.25">
      <c r="A18" s="5" t="s">
        <v>769</v>
      </c>
      <c r="B18" s="5" t="s">
        <v>765</v>
      </c>
      <c r="C18" s="5">
        <v>31.853996599999899</v>
      </c>
      <c r="D18" s="5">
        <v>-82.573235099999906</v>
      </c>
      <c r="E18" s="5" t="s">
        <v>754</v>
      </c>
      <c r="F18" s="34">
        <v>317500</v>
      </c>
      <c r="G18" s="11"/>
    </row>
    <row r="19" spans="1:7" x14ac:dyDescent="0.25">
      <c r="A19" s="5" t="s">
        <v>770</v>
      </c>
      <c r="B19" s="5" t="s">
        <v>765</v>
      </c>
      <c r="C19" s="5">
        <v>32.335059999999999</v>
      </c>
      <c r="D19" s="5">
        <v>-84.128770000000003</v>
      </c>
      <c r="E19" s="5" t="s">
        <v>754</v>
      </c>
      <c r="F19" s="34">
        <v>112000</v>
      </c>
      <c r="G19" s="11"/>
    </row>
    <row r="20" spans="1:7" x14ac:dyDescent="0.25">
      <c r="A20" s="5" t="s">
        <v>771</v>
      </c>
      <c r="B20" s="5" t="s">
        <v>765</v>
      </c>
      <c r="C20" s="5">
        <v>32.530131900000001</v>
      </c>
      <c r="D20" s="5">
        <v>-82.340421899999996</v>
      </c>
      <c r="E20" s="5" t="s">
        <v>754</v>
      </c>
      <c r="F20" s="34">
        <v>226800</v>
      </c>
      <c r="G20" s="11"/>
    </row>
    <row r="21" spans="1:7" x14ac:dyDescent="0.25">
      <c r="A21" s="5" t="s">
        <v>772</v>
      </c>
      <c r="B21" s="5" t="s">
        <v>765</v>
      </c>
      <c r="C21" s="5">
        <v>31.922633999999999</v>
      </c>
      <c r="D21" s="5">
        <v>-82.679670199999904</v>
      </c>
      <c r="E21" s="5" t="s">
        <v>754</v>
      </c>
      <c r="F21" s="34">
        <v>122500</v>
      </c>
      <c r="G21" s="11"/>
    </row>
    <row r="22" spans="1:7" x14ac:dyDescent="0.25">
      <c r="A22" s="5" t="s">
        <v>773</v>
      </c>
      <c r="B22" s="5" t="s">
        <v>765</v>
      </c>
      <c r="C22" s="5">
        <v>31.183198099999998</v>
      </c>
      <c r="D22" s="5">
        <v>-82.136331999999896</v>
      </c>
      <c r="E22" s="5" t="s">
        <v>754</v>
      </c>
      <c r="F22" s="34">
        <v>81600</v>
      </c>
      <c r="G22" s="11"/>
    </row>
    <row r="23" spans="1:7" x14ac:dyDescent="0.25">
      <c r="A23" s="5" t="s">
        <v>774</v>
      </c>
      <c r="B23" s="5" t="s">
        <v>775</v>
      </c>
      <c r="C23" s="5">
        <v>41.710382000000003</v>
      </c>
      <c r="D23" s="5">
        <v>-93.448179999999994</v>
      </c>
      <c r="E23" s="5" t="s">
        <v>776</v>
      </c>
      <c r="F23" s="34">
        <v>9100</v>
      </c>
      <c r="G23" s="11"/>
    </row>
    <row r="24" spans="1:7" ht="15.75" customHeight="1" x14ac:dyDescent="0.25">
      <c r="A24" s="5" t="s">
        <v>777</v>
      </c>
      <c r="B24" s="5" t="s">
        <v>778</v>
      </c>
      <c r="C24" s="5">
        <v>42.287834199999999</v>
      </c>
      <c r="D24" s="5">
        <v>-111.3956594</v>
      </c>
      <c r="E24" s="5" t="s">
        <v>754</v>
      </c>
      <c r="F24" s="34">
        <v>13600</v>
      </c>
      <c r="G24" s="11"/>
    </row>
    <row r="25" spans="1:7" ht="15.75" customHeight="1" x14ac:dyDescent="0.25">
      <c r="A25" s="5" t="s">
        <v>779</v>
      </c>
      <c r="B25" s="5" t="s">
        <v>778</v>
      </c>
      <c r="C25" s="5">
        <v>45.036459200000003</v>
      </c>
      <c r="D25" s="5">
        <v>-113.9230554</v>
      </c>
      <c r="E25" s="5" t="s">
        <v>744</v>
      </c>
      <c r="F25" s="34">
        <v>2200</v>
      </c>
      <c r="G25" s="11"/>
    </row>
    <row r="26" spans="1:7" ht="15.75" customHeight="1" x14ac:dyDescent="0.25">
      <c r="A26" s="5" t="s">
        <v>780</v>
      </c>
      <c r="B26" s="5" t="s">
        <v>778</v>
      </c>
      <c r="C26" s="5">
        <v>48.307674599999999</v>
      </c>
      <c r="D26" s="5">
        <v>-116.522531299999</v>
      </c>
      <c r="E26" s="5" t="s">
        <v>754</v>
      </c>
      <c r="F26" s="34">
        <v>59000</v>
      </c>
      <c r="G26" s="11"/>
    </row>
    <row r="27" spans="1:7" ht="15.75" customHeight="1" x14ac:dyDescent="0.25">
      <c r="A27" s="5" t="s">
        <v>781</v>
      </c>
      <c r="B27" s="5" t="s">
        <v>778</v>
      </c>
      <c r="C27" s="5">
        <v>47.744528000000003</v>
      </c>
      <c r="D27" s="5">
        <v>-117.011515</v>
      </c>
      <c r="E27" s="5" t="s">
        <v>754</v>
      </c>
      <c r="F27" s="34">
        <v>54400</v>
      </c>
      <c r="G27" s="11"/>
    </row>
    <row r="28" spans="1:7" ht="15.75" customHeight="1" x14ac:dyDescent="0.25">
      <c r="A28" s="5" t="s">
        <v>782</v>
      </c>
      <c r="B28" s="5" t="s">
        <v>778</v>
      </c>
      <c r="C28" s="5">
        <v>48.721514199999902</v>
      </c>
      <c r="D28" s="5">
        <v>-116.223809599999</v>
      </c>
      <c r="E28" s="5" t="s">
        <v>754</v>
      </c>
      <c r="F28" s="34">
        <v>45400</v>
      </c>
      <c r="G28" s="11"/>
    </row>
    <row r="29" spans="1:7" ht="15.75" customHeight="1" x14ac:dyDescent="0.25">
      <c r="A29" s="5" t="s">
        <v>783</v>
      </c>
      <c r="B29" s="5" t="s">
        <v>778</v>
      </c>
      <c r="C29" s="5">
        <v>45.940511000000001</v>
      </c>
      <c r="D29" s="5">
        <v>-116.149777999999</v>
      </c>
      <c r="E29" s="5" t="s">
        <v>744</v>
      </c>
      <c r="F29" s="34">
        <v>5900</v>
      </c>
      <c r="G29" s="11"/>
    </row>
    <row r="30" spans="1:7" ht="15.75" customHeight="1" x14ac:dyDescent="0.25">
      <c r="A30" s="5" t="s">
        <v>784</v>
      </c>
      <c r="B30" s="5" t="s">
        <v>778</v>
      </c>
      <c r="C30" s="5">
        <v>44.023380000000003</v>
      </c>
      <c r="D30" s="5">
        <v>-116.91754</v>
      </c>
      <c r="E30" s="5" t="s">
        <v>744</v>
      </c>
      <c r="F30" s="34">
        <v>30000</v>
      </c>
      <c r="G30" s="11"/>
    </row>
    <row r="31" spans="1:7" ht="15.75" customHeight="1" x14ac:dyDescent="0.25">
      <c r="A31" s="5" t="s">
        <v>785</v>
      </c>
      <c r="B31" s="5" t="s">
        <v>786</v>
      </c>
      <c r="C31" s="5">
        <v>39.762051</v>
      </c>
      <c r="D31" s="5">
        <v>-86.195914999999999</v>
      </c>
      <c r="E31" s="5" t="s">
        <v>752</v>
      </c>
      <c r="F31" s="34">
        <v>21800</v>
      </c>
      <c r="G31" s="11"/>
    </row>
    <row r="32" spans="1:7" ht="15.75" customHeight="1" x14ac:dyDescent="0.25">
      <c r="A32" s="5" t="s">
        <v>787</v>
      </c>
      <c r="B32" s="5" t="s">
        <v>786</v>
      </c>
      <c r="C32" s="5">
        <v>38.402464999999999</v>
      </c>
      <c r="D32" s="5">
        <v>-85.940967000000001</v>
      </c>
      <c r="E32" s="5" t="s">
        <v>752</v>
      </c>
      <c r="F32" s="34">
        <v>1700</v>
      </c>
      <c r="G32" s="11"/>
    </row>
    <row r="33" spans="1:7" ht="15.75" customHeight="1" x14ac:dyDescent="0.25">
      <c r="A33" s="5" t="s">
        <v>788</v>
      </c>
      <c r="B33" s="5" t="s">
        <v>786</v>
      </c>
      <c r="C33" s="5">
        <v>38.337668000000001</v>
      </c>
      <c r="D33" s="5">
        <v>-86.859558999999905</v>
      </c>
      <c r="E33" s="5" t="s">
        <v>752</v>
      </c>
      <c r="F33" s="34">
        <v>4500</v>
      </c>
      <c r="G33" s="11"/>
    </row>
    <row r="34" spans="1:7" ht="15.75" customHeight="1" x14ac:dyDescent="0.25">
      <c r="A34" s="5" t="s">
        <v>789</v>
      </c>
      <c r="B34" s="5" t="s">
        <v>790</v>
      </c>
      <c r="C34" s="5">
        <v>37.139514499999997</v>
      </c>
      <c r="D34" s="5">
        <v>-84.636686400000002</v>
      </c>
      <c r="E34" s="5" t="s">
        <v>752</v>
      </c>
      <c r="F34" s="34">
        <v>65300</v>
      </c>
      <c r="G34" s="11"/>
    </row>
    <row r="35" spans="1:7" ht="15.75" customHeight="1" x14ac:dyDescent="0.25">
      <c r="A35" s="5" t="s">
        <v>791</v>
      </c>
      <c r="B35" s="5" t="s">
        <v>790</v>
      </c>
      <c r="C35" s="5">
        <v>36.637711400000001</v>
      </c>
      <c r="D35" s="5">
        <v>-85.794051799999906</v>
      </c>
      <c r="E35" s="5" t="s">
        <v>752</v>
      </c>
      <c r="F35" s="34">
        <v>7300</v>
      </c>
      <c r="G35" s="11"/>
    </row>
    <row r="36" spans="1:7" ht="15.75" customHeight="1" x14ac:dyDescent="0.25">
      <c r="A36" s="5" t="s">
        <v>792</v>
      </c>
      <c r="B36" s="5" t="s">
        <v>793</v>
      </c>
      <c r="C36" s="5">
        <v>31.183540000000001</v>
      </c>
      <c r="D36" s="5">
        <v>-91.034760000000006</v>
      </c>
      <c r="E36" s="5" t="s">
        <v>744</v>
      </c>
      <c r="F36" s="34">
        <v>560000</v>
      </c>
      <c r="G36" s="11"/>
    </row>
    <row r="37" spans="1:7" ht="15.75" customHeight="1" x14ac:dyDescent="0.25">
      <c r="A37" s="5" t="s">
        <v>794</v>
      </c>
      <c r="B37" s="5" t="s">
        <v>793</v>
      </c>
      <c r="C37" s="5">
        <v>32.550522999999998</v>
      </c>
      <c r="D37" s="5">
        <v>-91.954894999999993</v>
      </c>
      <c r="E37" s="5" t="s">
        <v>754</v>
      </c>
      <c r="F37" s="34">
        <v>660000</v>
      </c>
      <c r="G37" s="11"/>
    </row>
    <row r="38" spans="1:7" ht="15.75" customHeight="1" x14ac:dyDescent="0.25">
      <c r="A38" s="5" t="s">
        <v>795</v>
      </c>
      <c r="B38" s="5" t="s">
        <v>793</v>
      </c>
      <c r="C38" s="5">
        <v>32.951900700000003</v>
      </c>
      <c r="D38" s="5">
        <v>-91.885383699999906</v>
      </c>
      <c r="E38" s="5" t="s">
        <v>754</v>
      </c>
      <c r="F38" s="34">
        <v>585000</v>
      </c>
      <c r="G38" s="11"/>
    </row>
    <row r="39" spans="1:7" ht="15.75" customHeight="1" x14ac:dyDescent="0.25">
      <c r="A39" s="5" t="s">
        <v>796</v>
      </c>
      <c r="B39" s="5" t="s">
        <v>797</v>
      </c>
      <c r="C39" s="5">
        <v>44.805846000000003</v>
      </c>
      <c r="D39" s="5">
        <v>-70.218653500000002</v>
      </c>
      <c r="E39" s="5" t="s">
        <v>744</v>
      </c>
      <c r="F39" s="34">
        <v>47900</v>
      </c>
      <c r="G39" s="11"/>
    </row>
    <row r="40" spans="1:7" ht="15.75" customHeight="1" x14ac:dyDescent="0.25">
      <c r="A40" s="5" t="s">
        <v>798</v>
      </c>
      <c r="B40" s="5" t="s">
        <v>797</v>
      </c>
      <c r="C40" s="5">
        <v>44.945175900000002</v>
      </c>
      <c r="D40" s="5">
        <v>-69.658564200000001</v>
      </c>
      <c r="E40" s="5" t="s">
        <v>744</v>
      </c>
      <c r="F40" s="34">
        <v>99800</v>
      </c>
      <c r="G40" s="11"/>
    </row>
    <row r="41" spans="1:7" ht="15.75" customHeight="1" x14ac:dyDescent="0.25">
      <c r="A41" s="5" t="s">
        <v>799</v>
      </c>
      <c r="B41" s="5" t="s">
        <v>797</v>
      </c>
      <c r="C41" s="5">
        <v>46.633186500000001</v>
      </c>
      <c r="D41" s="5">
        <v>-68.434015599999995</v>
      </c>
      <c r="E41" s="5" t="s">
        <v>744</v>
      </c>
      <c r="F41" s="34">
        <v>7300</v>
      </c>
      <c r="G41" s="11"/>
    </row>
    <row r="42" spans="1:7" ht="15.75" customHeight="1" x14ac:dyDescent="0.25">
      <c r="A42" s="5" t="s">
        <v>800</v>
      </c>
      <c r="B42" s="5" t="s">
        <v>797</v>
      </c>
      <c r="C42" s="5">
        <v>43.425753</v>
      </c>
      <c r="D42" s="5">
        <v>-70.686308999999994</v>
      </c>
      <c r="E42" s="5" t="s">
        <v>744</v>
      </c>
      <c r="F42" s="34">
        <v>33600</v>
      </c>
      <c r="G42" s="11"/>
    </row>
    <row r="43" spans="1:7" ht="15.75" customHeight="1" x14ac:dyDescent="0.25">
      <c r="A43" s="5" t="s">
        <v>801</v>
      </c>
      <c r="B43" s="5" t="s">
        <v>802</v>
      </c>
      <c r="C43" s="5">
        <v>41.769576699999902</v>
      </c>
      <c r="D43" s="5">
        <v>-85.666863999999904</v>
      </c>
      <c r="E43" s="5" t="s">
        <v>752</v>
      </c>
      <c r="F43" s="34">
        <v>103400</v>
      </c>
      <c r="G43" s="11"/>
    </row>
    <row r="44" spans="1:7" ht="15.75" customHeight="1" x14ac:dyDescent="0.25">
      <c r="A44" s="5" t="s">
        <v>803</v>
      </c>
      <c r="B44" s="5" t="s">
        <v>802</v>
      </c>
      <c r="C44" s="5">
        <v>42.758180400000001</v>
      </c>
      <c r="D44" s="5">
        <v>-86.087950299999903</v>
      </c>
      <c r="E44" s="5" t="s">
        <v>752</v>
      </c>
      <c r="F44" s="34">
        <v>45400</v>
      </c>
      <c r="G44" s="11"/>
    </row>
    <row r="45" spans="1:7" ht="15.75" customHeight="1" x14ac:dyDescent="0.25">
      <c r="A45" s="5" t="s">
        <v>804</v>
      </c>
      <c r="B45" s="5" t="s">
        <v>802</v>
      </c>
      <c r="C45" s="5">
        <v>45.775048200000001</v>
      </c>
      <c r="D45" s="5">
        <v>-87.839417799999893</v>
      </c>
      <c r="E45" s="5" t="s">
        <v>744</v>
      </c>
      <c r="F45" s="34">
        <v>8200</v>
      </c>
      <c r="G45" s="11"/>
    </row>
    <row r="46" spans="1:7" ht="15.75" customHeight="1" x14ac:dyDescent="0.25">
      <c r="A46" s="5" t="s">
        <v>805</v>
      </c>
      <c r="B46" s="5" t="s">
        <v>806</v>
      </c>
      <c r="C46" s="5">
        <v>45.141266999999999</v>
      </c>
      <c r="D46" s="5">
        <v>-93.001580999999902</v>
      </c>
      <c r="E46" s="5" t="s">
        <v>744</v>
      </c>
      <c r="F46" s="34">
        <v>13600</v>
      </c>
      <c r="G46" s="11"/>
    </row>
    <row r="47" spans="1:7" ht="15.75" customHeight="1" x14ac:dyDescent="0.25">
      <c r="A47" s="5" t="s">
        <v>807</v>
      </c>
      <c r="B47" s="5" t="s">
        <v>806</v>
      </c>
      <c r="C47" s="5">
        <v>43.581670000000003</v>
      </c>
      <c r="D47" s="5">
        <v>-91.51361</v>
      </c>
      <c r="E47" s="5" t="s">
        <v>744</v>
      </c>
      <c r="F47" s="34">
        <v>6800</v>
      </c>
      <c r="G47" s="11"/>
    </row>
    <row r="48" spans="1:7" ht="15.75" customHeight="1" x14ac:dyDescent="0.25">
      <c r="A48" s="5" t="s">
        <v>808</v>
      </c>
      <c r="B48" s="5" t="s">
        <v>809</v>
      </c>
      <c r="C48" s="5">
        <v>37.164422500000001</v>
      </c>
      <c r="D48" s="5">
        <v>-92.750367299999994</v>
      </c>
      <c r="E48" s="5" t="s">
        <v>752</v>
      </c>
      <c r="F48" s="34">
        <v>127000</v>
      </c>
      <c r="G48" s="11"/>
    </row>
    <row r="49" spans="1:7" ht="15.75" customHeight="1" x14ac:dyDescent="0.25">
      <c r="A49" s="5" t="s">
        <v>810</v>
      </c>
      <c r="B49" s="5" t="s">
        <v>809</v>
      </c>
      <c r="C49" s="5">
        <v>37.410453395182799</v>
      </c>
      <c r="D49" s="35">
        <v>-93.848199153974704</v>
      </c>
      <c r="E49" s="34" t="s">
        <v>752</v>
      </c>
      <c r="F49" s="34">
        <v>4500</v>
      </c>
      <c r="G49" s="11"/>
    </row>
    <row r="50" spans="1:7" ht="15.75" customHeight="1" x14ac:dyDescent="0.25">
      <c r="A50" s="5" t="s">
        <v>811</v>
      </c>
      <c r="B50" s="5" t="s">
        <v>809</v>
      </c>
      <c r="C50" s="5">
        <v>37.000610000000002</v>
      </c>
      <c r="D50" s="35">
        <v>-91.677610000000001</v>
      </c>
      <c r="E50" s="34" t="s">
        <v>752</v>
      </c>
      <c r="F50" s="34">
        <v>10900</v>
      </c>
      <c r="G50" s="11"/>
    </row>
    <row r="51" spans="1:7" ht="15.75" customHeight="1" x14ac:dyDescent="0.25">
      <c r="A51" s="5" t="s">
        <v>812</v>
      </c>
      <c r="B51" s="5" t="s">
        <v>813</v>
      </c>
      <c r="C51" s="5">
        <v>31.591380000000001</v>
      </c>
      <c r="D51" s="35">
        <v>-90.435000000000002</v>
      </c>
      <c r="E51" s="34" t="s">
        <v>752</v>
      </c>
      <c r="F51" s="34">
        <v>75000</v>
      </c>
      <c r="G51" s="11"/>
    </row>
    <row r="52" spans="1:7" ht="15.75" customHeight="1" x14ac:dyDescent="0.25">
      <c r="A52" s="5" t="s">
        <v>814</v>
      </c>
      <c r="B52" s="5" t="s">
        <v>813</v>
      </c>
      <c r="C52" s="5">
        <v>30.9189374322319</v>
      </c>
      <c r="D52" s="35">
        <v>-88.550292902156102</v>
      </c>
      <c r="E52" s="34" t="s">
        <v>744</v>
      </c>
      <c r="F52" s="34">
        <v>750000</v>
      </c>
      <c r="G52" s="11"/>
    </row>
    <row r="53" spans="1:7" ht="15.75" customHeight="1" x14ac:dyDescent="0.25">
      <c r="A53" s="5" t="s">
        <v>815</v>
      </c>
      <c r="B53" s="5" t="s">
        <v>816</v>
      </c>
      <c r="C53" s="5">
        <v>34.797460000000001</v>
      </c>
      <c r="D53" s="5">
        <v>-79.461119999999994</v>
      </c>
      <c r="E53" s="34" t="s">
        <v>744</v>
      </c>
      <c r="F53" s="34">
        <v>45400</v>
      </c>
      <c r="G53" s="11"/>
    </row>
    <row r="54" spans="1:7" ht="15.75" customHeight="1" x14ac:dyDescent="0.25">
      <c r="A54" s="5" t="s">
        <v>817</v>
      </c>
      <c r="B54" s="5" t="s">
        <v>816</v>
      </c>
      <c r="C54" s="5">
        <v>36.2688548</v>
      </c>
      <c r="D54" s="5">
        <v>-76.965467599999997</v>
      </c>
      <c r="E54" s="5" t="s">
        <v>744</v>
      </c>
      <c r="F54" s="34">
        <v>410000</v>
      </c>
      <c r="G54" s="11"/>
    </row>
    <row r="55" spans="1:7" ht="15.75" customHeight="1" x14ac:dyDescent="0.25">
      <c r="A55" s="5" t="s">
        <v>818</v>
      </c>
      <c r="B55" s="5" t="s">
        <v>816</v>
      </c>
      <c r="C55" s="5">
        <v>34.932499</v>
      </c>
      <c r="D55" s="5">
        <v>-79.634630000000001</v>
      </c>
      <c r="E55" s="5" t="s">
        <v>744</v>
      </c>
      <c r="F55" s="34">
        <v>600000</v>
      </c>
      <c r="G55" s="11"/>
    </row>
    <row r="56" spans="1:7" ht="15.75" customHeight="1" x14ac:dyDescent="0.25">
      <c r="A56" s="5" t="s">
        <v>819</v>
      </c>
      <c r="B56" s="5" t="s">
        <v>816</v>
      </c>
      <c r="C56" s="5">
        <v>36.504898799999999</v>
      </c>
      <c r="D56" s="5">
        <v>-77.611429199999904</v>
      </c>
      <c r="E56" s="5" t="s">
        <v>744</v>
      </c>
      <c r="F56" s="34">
        <v>750000</v>
      </c>
      <c r="G56" s="11"/>
    </row>
    <row r="57" spans="1:7" ht="15.75" customHeight="1" x14ac:dyDescent="0.25">
      <c r="A57" s="5" t="s">
        <v>820</v>
      </c>
      <c r="B57" s="5" t="s">
        <v>816</v>
      </c>
      <c r="C57" s="5">
        <v>35.118828100000002</v>
      </c>
      <c r="D57" s="5">
        <v>-78.184197400000002</v>
      </c>
      <c r="E57" s="5" t="s">
        <v>744</v>
      </c>
      <c r="F57" s="34">
        <v>600000</v>
      </c>
      <c r="G57" s="11"/>
    </row>
    <row r="58" spans="1:7" ht="15.75" customHeight="1" x14ac:dyDescent="0.25">
      <c r="A58" s="5" t="s">
        <v>821</v>
      </c>
      <c r="B58" s="5" t="s">
        <v>816</v>
      </c>
      <c r="C58" s="5">
        <v>36.452891000000001</v>
      </c>
      <c r="D58" s="5">
        <v>-81.410336999999998</v>
      </c>
      <c r="E58" s="5" t="s">
        <v>754</v>
      </c>
      <c r="F58" s="34">
        <v>30000</v>
      </c>
      <c r="G58" s="11"/>
    </row>
    <row r="59" spans="1:7" ht="15.75" customHeight="1" x14ac:dyDescent="0.25">
      <c r="A59" s="5" t="s">
        <v>822</v>
      </c>
      <c r="B59" s="5" t="s">
        <v>823</v>
      </c>
      <c r="C59" s="5">
        <v>41.419792600000001</v>
      </c>
      <c r="D59" s="5">
        <v>-96.491947600000003</v>
      </c>
      <c r="E59" s="5" t="s">
        <v>744</v>
      </c>
      <c r="F59" s="34">
        <v>2000</v>
      </c>
      <c r="G59" s="11"/>
    </row>
    <row r="60" spans="1:7" ht="15.75" customHeight="1" x14ac:dyDescent="0.25">
      <c r="A60" s="5" t="s">
        <v>824</v>
      </c>
      <c r="B60" s="5" t="s">
        <v>825</v>
      </c>
      <c r="C60" s="5">
        <v>42.798449099999999</v>
      </c>
      <c r="D60" s="5">
        <v>-71.982788900000003</v>
      </c>
      <c r="E60" s="5" t="s">
        <v>744</v>
      </c>
      <c r="F60" s="34">
        <v>71900</v>
      </c>
      <c r="G60" s="11"/>
    </row>
    <row r="61" spans="1:7" ht="15.75" customHeight="1" x14ac:dyDescent="0.25">
      <c r="A61" s="5" t="s">
        <v>826</v>
      </c>
      <c r="B61" s="5" t="s">
        <v>827</v>
      </c>
      <c r="C61" s="5">
        <v>35.204092115637799</v>
      </c>
      <c r="D61" s="36">
        <v>-107.9054378</v>
      </c>
      <c r="E61" s="5" t="s">
        <v>744</v>
      </c>
      <c r="F61" s="34">
        <v>4100</v>
      </c>
      <c r="G61" s="11"/>
    </row>
    <row r="62" spans="1:7" ht="15.75" customHeight="1" x14ac:dyDescent="0.25">
      <c r="A62" s="5" t="s">
        <v>828</v>
      </c>
      <c r="B62" s="5" t="s">
        <v>827</v>
      </c>
      <c r="C62" s="5">
        <v>35.019629999999999</v>
      </c>
      <c r="D62" s="36">
        <v>-106.65823</v>
      </c>
      <c r="E62" s="5" t="s">
        <v>744</v>
      </c>
      <c r="F62" s="34">
        <v>4100</v>
      </c>
      <c r="G62" s="11"/>
    </row>
    <row r="63" spans="1:7" ht="15.75" customHeight="1" x14ac:dyDescent="0.25">
      <c r="A63" s="5" t="s">
        <v>829</v>
      </c>
      <c r="B63" s="5" t="s">
        <v>827</v>
      </c>
      <c r="C63" s="5">
        <v>36.8607467</v>
      </c>
      <c r="D63" s="5">
        <v>-104.46391800000001</v>
      </c>
      <c r="E63" s="5" t="s">
        <v>754</v>
      </c>
      <c r="F63" s="34">
        <v>9100</v>
      </c>
      <c r="G63" s="11"/>
    </row>
    <row r="64" spans="1:7" ht="15.75" customHeight="1" x14ac:dyDescent="0.25">
      <c r="A64" s="5" t="s">
        <v>830</v>
      </c>
      <c r="B64" s="5" t="s">
        <v>831</v>
      </c>
      <c r="C64" s="5">
        <v>42.526580000000003</v>
      </c>
      <c r="D64" s="5">
        <v>-78.455269999999999</v>
      </c>
      <c r="E64" s="5" t="s">
        <v>763</v>
      </c>
      <c r="F64" s="34">
        <v>41900</v>
      </c>
      <c r="G64" s="11"/>
    </row>
    <row r="65" spans="1:7" ht="15.75" customHeight="1" x14ac:dyDescent="0.25">
      <c r="A65" s="5" t="s">
        <v>832</v>
      </c>
      <c r="B65" s="5" t="s">
        <v>831</v>
      </c>
      <c r="C65" s="5">
        <v>44.908928499999902</v>
      </c>
      <c r="D65" s="5">
        <v>-74.891591099999999</v>
      </c>
      <c r="E65" s="5" t="s">
        <v>744</v>
      </c>
      <c r="F65" s="34">
        <v>108900</v>
      </c>
      <c r="G65" s="11"/>
    </row>
    <row r="66" spans="1:7" ht="15.75" customHeight="1" x14ac:dyDescent="0.25">
      <c r="A66" s="5" t="s">
        <v>833</v>
      </c>
      <c r="B66" s="5" t="s">
        <v>831</v>
      </c>
      <c r="C66" s="5">
        <v>42.408127</v>
      </c>
      <c r="D66" s="5">
        <v>-74.625496999999996</v>
      </c>
      <c r="E66" s="5" t="s">
        <v>752</v>
      </c>
      <c r="F66" s="34">
        <v>900</v>
      </c>
      <c r="G66" s="11"/>
    </row>
    <row r="67" spans="1:7" ht="15.75" customHeight="1" x14ac:dyDescent="0.25">
      <c r="A67" s="5" t="s">
        <v>834</v>
      </c>
      <c r="B67" s="5" t="s">
        <v>831</v>
      </c>
      <c r="C67" s="5">
        <v>42.045031399999999</v>
      </c>
      <c r="D67" s="5">
        <v>-75.415859499999996</v>
      </c>
      <c r="E67" s="5" t="s">
        <v>744</v>
      </c>
      <c r="F67" s="34">
        <v>73500</v>
      </c>
      <c r="G67" s="11"/>
    </row>
    <row r="68" spans="1:7" ht="15.75" customHeight="1" x14ac:dyDescent="0.25">
      <c r="A68" s="5" t="s">
        <v>835</v>
      </c>
      <c r="B68" s="5" t="s">
        <v>831</v>
      </c>
      <c r="C68" s="5">
        <v>43.096368699999999</v>
      </c>
      <c r="D68" s="5">
        <v>-75.084475699999899</v>
      </c>
      <c r="E68" s="5" t="s">
        <v>744</v>
      </c>
      <c r="F68" s="34">
        <v>49900</v>
      </c>
      <c r="G68" s="11"/>
    </row>
    <row r="69" spans="1:7" ht="15.75" customHeight="1" x14ac:dyDescent="0.25">
      <c r="A69" s="5" t="s">
        <v>836</v>
      </c>
      <c r="B69" s="5" t="s">
        <v>837</v>
      </c>
      <c r="C69" s="5">
        <v>39.562128000000001</v>
      </c>
      <c r="D69" s="5">
        <v>-82.943219099999894</v>
      </c>
      <c r="E69" s="5" t="s">
        <v>744</v>
      </c>
      <c r="F69" s="34">
        <v>40800</v>
      </c>
      <c r="G69" s="11"/>
    </row>
    <row r="70" spans="1:7" ht="15.75" customHeight="1" x14ac:dyDescent="0.25">
      <c r="A70" s="5" t="s">
        <v>838</v>
      </c>
      <c r="B70" s="5" t="s">
        <v>837</v>
      </c>
      <c r="C70" s="5">
        <v>39.820323000000002</v>
      </c>
      <c r="D70" s="5">
        <v>-83.643090000000001</v>
      </c>
      <c r="E70" s="5" t="s">
        <v>752</v>
      </c>
      <c r="F70" s="34">
        <v>54400</v>
      </c>
      <c r="G70" s="11"/>
    </row>
    <row r="71" spans="1:7" ht="15.75" customHeight="1" x14ac:dyDescent="0.25">
      <c r="A71" s="5" t="s">
        <v>839</v>
      </c>
      <c r="B71" s="5" t="s">
        <v>837</v>
      </c>
      <c r="C71" s="5">
        <v>40.523722999999997</v>
      </c>
      <c r="D71" s="5">
        <v>-81.611928000000006</v>
      </c>
      <c r="E71" s="5" t="s">
        <v>752</v>
      </c>
      <c r="F71" s="34">
        <v>2300</v>
      </c>
      <c r="G71" s="11"/>
    </row>
    <row r="72" spans="1:7" ht="15.75" customHeight="1" x14ac:dyDescent="0.25">
      <c r="A72" s="5" t="s">
        <v>840</v>
      </c>
      <c r="B72" s="5" t="s">
        <v>841</v>
      </c>
      <c r="C72" s="5">
        <v>45.664416499999902</v>
      </c>
      <c r="D72" s="5">
        <v>-118.8637377</v>
      </c>
      <c r="E72" s="5" t="s">
        <v>744</v>
      </c>
      <c r="F72" s="34">
        <v>20000</v>
      </c>
      <c r="G72" s="11"/>
    </row>
    <row r="73" spans="1:7" ht="15.75" customHeight="1" x14ac:dyDescent="0.25">
      <c r="A73" s="5" t="s">
        <v>842</v>
      </c>
      <c r="B73" s="5" t="s">
        <v>841</v>
      </c>
      <c r="C73" s="5">
        <v>45.891894000000001</v>
      </c>
      <c r="D73" s="5">
        <v>-122.809909</v>
      </c>
      <c r="E73" s="5" t="s">
        <v>754</v>
      </c>
      <c r="F73" s="34">
        <v>43500</v>
      </c>
      <c r="G73" s="11"/>
    </row>
    <row r="74" spans="1:7" ht="15.75" customHeight="1" x14ac:dyDescent="0.25">
      <c r="A74" s="5" t="s">
        <v>843</v>
      </c>
      <c r="B74" s="5" t="s">
        <v>841</v>
      </c>
      <c r="C74" s="5">
        <v>44.749263900000003</v>
      </c>
      <c r="D74" s="5">
        <v>-122.503851</v>
      </c>
      <c r="E74" s="5" t="s">
        <v>754</v>
      </c>
      <c r="F74" s="34">
        <v>26300</v>
      </c>
      <c r="G74" s="11"/>
    </row>
    <row r="75" spans="1:7" ht="15.75" customHeight="1" x14ac:dyDescent="0.25">
      <c r="A75" s="5" t="s">
        <v>844</v>
      </c>
      <c r="B75" s="5" t="s">
        <v>841</v>
      </c>
      <c r="C75" s="5">
        <v>44.373491999999999</v>
      </c>
      <c r="D75" s="5">
        <v>-123.010787999999</v>
      </c>
      <c r="E75" s="5" t="s">
        <v>754</v>
      </c>
      <c r="F75" s="34">
        <v>99500</v>
      </c>
      <c r="G75" s="11"/>
    </row>
    <row r="76" spans="1:7" ht="15.75" customHeight="1" x14ac:dyDescent="0.25">
      <c r="A76" s="5" t="s">
        <v>845</v>
      </c>
      <c r="B76" s="5" t="s">
        <v>841</v>
      </c>
      <c r="C76" s="5">
        <v>45.681280999999998</v>
      </c>
      <c r="D76" s="5">
        <v>-121.85470299999901</v>
      </c>
      <c r="E76" s="5" t="s">
        <v>744</v>
      </c>
      <c r="F76" s="34">
        <v>24500</v>
      </c>
      <c r="G76" s="11"/>
    </row>
    <row r="77" spans="1:7" ht="15.75" customHeight="1" x14ac:dyDescent="0.25">
      <c r="A77" s="5" t="s">
        <v>846</v>
      </c>
      <c r="B77" s="5" t="s">
        <v>847</v>
      </c>
      <c r="C77" s="5">
        <v>41.812958100000003</v>
      </c>
      <c r="D77" s="5">
        <v>-76.786893699999993</v>
      </c>
      <c r="E77" s="5" t="s">
        <v>752</v>
      </c>
      <c r="F77" s="34">
        <v>63500</v>
      </c>
      <c r="G77" s="11"/>
    </row>
    <row r="78" spans="1:7" ht="15.75" customHeight="1" x14ac:dyDescent="0.25">
      <c r="A78" s="5" t="s">
        <v>848</v>
      </c>
      <c r="B78" s="5" t="s">
        <v>847</v>
      </c>
      <c r="C78" s="5">
        <v>41.899340000000002</v>
      </c>
      <c r="D78" s="5">
        <v>-77.778880000000001</v>
      </c>
      <c r="E78" s="5" t="s">
        <v>752</v>
      </c>
      <c r="F78" s="34">
        <v>33700</v>
      </c>
      <c r="G78" s="11"/>
    </row>
    <row r="79" spans="1:7" ht="15.75" customHeight="1" x14ac:dyDescent="0.25">
      <c r="A79" s="5" t="s">
        <v>849</v>
      </c>
      <c r="B79" s="5" t="s">
        <v>847</v>
      </c>
      <c r="C79" s="5">
        <v>40.4086</v>
      </c>
      <c r="D79" s="5">
        <v>-78.761579999999995</v>
      </c>
      <c r="E79" s="5" t="s">
        <v>763</v>
      </c>
      <c r="F79" s="34">
        <v>22700</v>
      </c>
      <c r="G79" s="11"/>
    </row>
    <row r="80" spans="1:7" ht="15.75" customHeight="1" x14ac:dyDescent="0.25">
      <c r="A80" s="5" t="s">
        <v>850</v>
      </c>
      <c r="B80" s="5" t="s">
        <v>847</v>
      </c>
      <c r="C80" s="5">
        <v>40.543316699999998</v>
      </c>
      <c r="D80" s="5">
        <v>-77.369493199999894</v>
      </c>
      <c r="E80" s="5" t="s">
        <v>752</v>
      </c>
      <c r="F80" s="34">
        <v>113400</v>
      </c>
      <c r="G80" s="11"/>
    </row>
    <row r="81" spans="1:7" ht="15.75" customHeight="1" x14ac:dyDescent="0.25">
      <c r="A81" s="5" t="s">
        <v>851</v>
      </c>
      <c r="B81" s="5" t="s">
        <v>847</v>
      </c>
      <c r="C81" s="5">
        <v>39.818539399999999</v>
      </c>
      <c r="D81" s="5">
        <v>-80.026088000000001</v>
      </c>
      <c r="E81" s="5" t="s">
        <v>752</v>
      </c>
      <c r="F81" s="34">
        <v>45400</v>
      </c>
      <c r="G81" s="11"/>
    </row>
    <row r="82" spans="1:7" ht="15.75" customHeight="1" x14ac:dyDescent="0.25">
      <c r="A82" s="5" t="s">
        <v>852</v>
      </c>
      <c r="B82" s="5" t="s">
        <v>847</v>
      </c>
      <c r="C82" s="5">
        <v>40.104816</v>
      </c>
      <c r="D82" s="5">
        <v>-76.236818</v>
      </c>
      <c r="E82" s="5" t="s">
        <v>744</v>
      </c>
      <c r="F82" s="34">
        <v>1800</v>
      </c>
      <c r="G82" s="11"/>
    </row>
    <row r="83" spans="1:7" ht="15.75" customHeight="1" x14ac:dyDescent="0.25">
      <c r="A83" s="5" t="s">
        <v>853</v>
      </c>
      <c r="B83" s="5" t="s">
        <v>847</v>
      </c>
      <c r="C83" s="5">
        <v>41.864063000000002</v>
      </c>
      <c r="D83" s="5">
        <v>-79.328351999999995</v>
      </c>
      <c r="E83" s="5" t="s">
        <v>744</v>
      </c>
      <c r="F83" s="34">
        <v>57100</v>
      </c>
      <c r="G83" s="11"/>
    </row>
    <row r="84" spans="1:7" ht="15.75" customHeight="1" x14ac:dyDescent="0.25">
      <c r="A84" s="5" t="s">
        <v>854</v>
      </c>
      <c r="B84" s="5" t="s">
        <v>847</v>
      </c>
      <c r="C84" s="5">
        <v>40.796622900000003</v>
      </c>
      <c r="D84" s="5">
        <v>-78.494500000000002</v>
      </c>
      <c r="E84" s="5" t="s">
        <v>752</v>
      </c>
      <c r="F84" s="34">
        <v>4500</v>
      </c>
      <c r="G84" s="11"/>
    </row>
    <row r="85" spans="1:7" ht="15.75" customHeight="1" x14ac:dyDescent="0.25">
      <c r="A85" s="5" t="s">
        <v>855</v>
      </c>
      <c r="B85" s="5" t="s">
        <v>847</v>
      </c>
      <c r="C85" s="5">
        <v>39.936243999999903</v>
      </c>
      <c r="D85" s="5">
        <v>-76.9802889999999</v>
      </c>
      <c r="E85" s="5" t="s">
        <v>752</v>
      </c>
      <c r="F85" s="34">
        <v>8200</v>
      </c>
      <c r="G85" s="11"/>
    </row>
    <row r="86" spans="1:7" ht="15.75" customHeight="1" x14ac:dyDescent="0.25">
      <c r="A86" s="5" t="s">
        <v>856</v>
      </c>
      <c r="B86" s="5" t="s">
        <v>857</v>
      </c>
      <c r="C86" s="5">
        <v>34.229295999999998</v>
      </c>
      <c r="D86" s="5">
        <v>-82.063145000000006</v>
      </c>
      <c r="E86" s="5" t="s">
        <v>744</v>
      </c>
      <c r="F86" s="34">
        <v>600000</v>
      </c>
      <c r="G86" s="11"/>
    </row>
    <row r="87" spans="1:7" ht="15.75" customHeight="1" x14ac:dyDescent="0.25">
      <c r="A87" s="5" t="s">
        <v>858</v>
      </c>
      <c r="B87" s="5" t="s">
        <v>857</v>
      </c>
      <c r="C87" s="5">
        <v>33.018920000000001</v>
      </c>
      <c r="D87" s="35">
        <v>-81.316659999999999</v>
      </c>
      <c r="E87" s="5" t="s">
        <v>744</v>
      </c>
      <c r="F87" s="34">
        <v>29000</v>
      </c>
      <c r="G87" s="11"/>
    </row>
    <row r="88" spans="1:7" ht="15.75" customHeight="1" x14ac:dyDescent="0.25">
      <c r="A88" s="5" t="s">
        <v>859</v>
      </c>
      <c r="B88" s="5" t="s">
        <v>860</v>
      </c>
      <c r="C88" s="5">
        <v>44.033427195803597</v>
      </c>
      <c r="D88" s="37">
        <v>-103.181907288509</v>
      </c>
      <c r="E88" s="34" t="s">
        <v>754</v>
      </c>
      <c r="F88" s="34">
        <v>22600</v>
      </c>
      <c r="G88" s="11"/>
    </row>
    <row r="89" spans="1:7" ht="15.75" customHeight="1" x14ac:dyDescent="0.25">
      <c r="A89" s="5" t="s">
        <v>861</v>
      </c>
      <c r="B89" s="5" t="s">
        <v>860</v>
      </c>
      <c r="C89" s="5">
        <v>44.495956799999902</v>
      </c>
      <c r="D89" s="5">
        <v>-103.8807863</v>
      </c>
      <c r="E89" s="5" t="s">
        <v>754</v>
      </c>
      <c r="F89" s="34">
        <v>40800</v>
      </c>
      <c r="G89" s="11"/>
    </row>
    <row r="90" spans="1:7" ht="15.75" customHeight="1" x14ac:dyDescent="0.25">
      <c r="A90" s="5" t="s">
        <v>862</v>
      </c>
      <c r="B90" s="5" t="s">
        <v>863</v>
      </c>
      <c r="C90" s="5">
        <v>35.169842600000003</v>
      </c>
      <c r="D90" s="5">
        <v>-87.7462775999999</v>
      </c>
      <c r="E90" s="5" t="s">
        <v>752</v>
      </c>
      <c r="F90" s="34">
        <v>13600</v>
      </c>
      <c r="G90" s="11"/>
    </row>
    <row r="91" spans="1:7" ht="15.75" customHeight="1" x14ac:dyDescent="0.25">
      <c r="A91" s="5" t="s">
        <v>864</v>
      </c>
      <c r="B91" s="5" t="s">
        <v>863</v>
      </c>
      <c r="C91" s="5">
        <v>36.3021204</v>
      </c>
      <c r="D91" s="5">
        <v>-88.378011099999895</v>
      </c>
      <c r="E91" s="5" t="s">
        <v>752</v>
      </c>
      <c r="F91" s="34">
        <v>33100</v>
      </c>
      <c r="G91" s="11"/>
    </row>
    <row r="92" spans="1:7" ht="15.75" customHeight="1" x14ac:dyDescent="0.25">
      <c r="A92" s="5" t="s">
        <v>865</v>
      </c>
      <c r="B92" s="5" t="s">
        <v>863</v>
      </c>
      <c r="C92" s="5">
        <v>35.044046199999997</v>
      </c>
      <c r="D92" s="5">
        <v>-85.641513599999996</v>
      </c>
      <c r="E92" s="5" t="s">
        <v>752</v>
      </c>
      <c r="F92" s="34">
        <v>100000</v>
      </c>
      <c r="G92" s="11"/>
    </row>
    <row r="93" spans="1:7" ht="15.75" customHeight="1" x14ac:dyDescent="0.25">
      <c r="A93" s="5" t="s">
        <v>866</v>
      </c>
      <c r="B93" s="5" t="s">
        <v>867</v>
      </c>
      <c r="C93" s="5">
        <v>30.68111</v>
      </c>
      <c r="D93" s="5">
        <v>-95.497309999999999</v>
      </c>
      <c r="E93" s="5" t="s">
        <v>744</v>
      </c>
      <c r="F93" s="34">
        <v>75000</v>
      </c>
      <c r="G93" s="11"/>
    </row>
    <row r="94" spans="1:7" ht="15.75" customHeight="1" x14ac:dyDescent="0.25">
      <c r="A94" s="5" t="s">
        <v>868</v>
      </c>
      <c r="B94" s="5" t="s">
        <v>867</v>
      </c>
      <c r="C94" s="5">
        <v>31.6191605</v>
      </c>
      <c r="D94" s="5">
        <v>-94.683745599999995</v>
      </c>
      <c r="E94" s="5" t="s">
        <v>754</v>
      </c>
      <c r="F94" s="34">
        <v>36300</v>
      </c>
      <c r="G94" s="11"/>
    </row>
    <row r="95" spans="1:7" ht="15.75" customHeight="1" x14ac:dyDescent="0.25">
      <c r="A95" s="5" t="s">
        <v>869</v>
      </c>
      <c r="B95" s="5" t="s">
        <v>867</v>
      </c>
      <c r="C95" s="5">
        <v>30.7425</v>
      </c>
      <c r="D95" s="5">
        <v>-94.432249999999996</v>
      </c>
      <c r="E95" s="5" t="s">
        <v>754</v>
      </c>
      <c r="F95" s="34">
        <v>460000</v>
      </c>
      <c r="G95" s="11"/>
    </row>
    <row r="96" spans="1:7" ht="15.75" customHeight="1" x14ac:dyDescent="0.25">
      <c r="A96" s="5" t="s">
        <v>870</v>
      </c>
      <c r="B96" s="5" t="s">
        <v>871</v>
      </c>
      <c r="C96" s="5">
        <v>40.7501113</v>
      </c>
      <c r="D96" s="5">
        <v>-111.9682249</v>
      </c>
      <c r="E96" s="5" t="s">
        <v>744</v>
      </c>
      <c r="F96" s="34">
        <v>8200</v>
      </c>
      <c r="G96" s="11"/>
    </row>
    <row r="97" spans="1:7" ht="15.75" customHeight="1" x14ac:dyDescent="0.25">
      <c r="A97" s="5" t="s">
        <v>872</v>
      </c>
      <c r="B97" s="5" t="s">
        <v>873</v>
      </c>
      <c r="C97" s="5">
        <v>36.812742299999996</v>
      </c>
      <c r="D97" s="5">
        <v>-81.649554899999998</v>
      </c>
      <c r="E97" s="5" t="s">
        <v>744</v>
      </c>
      <c r="F97" s="34">
        <v>40800</v>
      </c>
      <c r="G97" s="11"/>
    </row>
    <row r="98" spans="1:7" ht="15.75" customHeight="1" x14ac:dyDescent="0.25">
      <c r="A98" s="5" t="s">
        <v>874</v>
      </c>
      <c r="B98" s="5" t="s">
        <v>873</v>
      </c>
      <c r="C98" s="5">
        <v>37.032290138711801</v>
      </c>
      <c r="D98" s="37">
        <v>-77.109174719489104</v>
      </c>
      <c r="E98" s="34" t="s">
        <v>744</v>
      </c>
      <c r="F98" s="34">
        <v>100000</v>
      </c>
      <c r="G98" s="11"/>
    </row>
    <row r="99" spans="1:7" ht="15.75" customHeight="1" x14ac:dyDescent="0.25">
      <c r="A99" s="5" t="s">
        <v>875</v>
      </c>
      <c r="B99" s="5" t="s">
        <v>873</v>
      </c>
      <c r="C99" s="5">
        <v>37.032820000000001</v>
      </c>
      <c r="D99" s="5">
        <v>-77.105469999999997</v>
      </c>
      <c r="E99" s="5" t="s">
        <v>754</v>
      </c>
      <c r="F99" s="34">
        <v>90700</v>
      </c>
      <c r="G99" s="11"/>
    </row>
    <row r="100" spans="1:7" ht="15.75" customHeight="1" x14ac:dyDescent="0.25">
      <c r="A100" s="5" t="s">
        <v>876</v>
      </c>
      <c r="B100" s="5" t="s">
        <v>873</v>
      </c>
      <c r="C100" s="5">
        <v>36.650649199999997</v>
      </c>
      <c r="D100" s="5">
        <v>-76.971031199999899</v>
      </c>
      <c r="E100" s="5" t="s">
        <v>744</v>
      </c>
      <c r="F100" s="34">
        <v>760000</v>
      </c>
      <c r="G100" s="11"/>
    </row>
    <row r="101" spans="1:7" ht="15.75" customHeight="1" x14ac:dyDescent="0.25">
      <c r="A101" s="5" t="s">
        <v>877</v>
      </c>
      <c r="B101" s="5" t="s">
        <v>873</v>
      </c>
      <c r="C101" s="5">
        <v>37.963340000000002</v>
      </c>
      <c r="D101" s="5">
        <v>-77.776420000000002</v>
      </c>
      <c r="E101" s="5" t="s">
        <v>744</v>
      </c>
      <c r="F101" s="34">
        <v>108900</v>
      </c>
      <c r="G101" s="11"/>
    </row>
    <row r="102" spans="1:7" ht="15.75" customHeight="1" x14ac:dyDescent="0.25">
      <c r="A102" s="5" t="s">
        <v>878</v>
      </c>
      <c r="B102" s="5" t="s">
        <v>873</v>
      </c>
      <c r="C102" s="5">
        <v>36.940186599999997</v>
      </c>
      <c r="D102" s="5">
        <v>-78.088215999999903</v>
      </c>
      <c r="E102" s="5" t="s">
        <v>744</v>
      </c>
      <c r="F102" s="34">
        <v>79800</v>
      </c>
      <c r="G102" s="11"/>
    </row>
    <row r="103" spans="1:7" ht="15.75" customHeight="1" x14ac:dyDescent="0.25">
      <c r="A103" s="5" t="s">
        <v>879</v>
      </c>
      <c r="B103" s="5" t="s">
        <v>873</v>
      </c>
      <c r="C103" s="5">
        <v>37.921239</v>
      </c>
      <c r="D103" s="5">
        <v>-76.872320000000002</v>
      </c>
      <c r="E103" s="5" t="s">
        <v>752</v>
      </c>
      <c r="F103" s="34">
        <v>36300</v>
      </c>
      <c r="G103" s="11"/>
    </row>
    <row r="104" spans="1:7" ht="15.75" customHeight="1" x14ac:dyDescent="0.25">
      <c r="A104" s="5" t="s">
        <v>880</v>
      </c>
      <c r="B104" s="5" t="s">
        <v>873</v>
      </c>
      <c r="C104" s="5">
        <v>36.646866199999998</v>
      </c>
      <c r="D104" s="5">
        <v>-80.939808599999907</v>
      </c>
      <c r="E104" s="5" t="s">
        <v>752</v>
      </c>
      <c r="F104" s="34">
        <v>30000</v>
      </c>
      <c r="G104" s="11"/>
    </row>
    <row r="105" spans="1:7" ht="15.75" customHeight="1" x14ac:dyDescent="0.25">
      <c r="A105" s="5" t="s">
        <v>881</v>
      </c>
      <c r="B105" s="5" t="s">
        <v>882</v>
      </c>
      <c r="C105" s="5">
        <v>43.529139000000001</v>
      </c>
      <c r="D105" s="5">
        <v>-72.957060999999996</v>
      </c>
      <c r="E105" s="5" t="s">
        <v>754</v>
      </c>
      <c r="F105" s="34">
        <v>11000</v>
      </c>
      <c r="G105" s="11"/>
    </row>
    <row r="106" spans="1:7" ht="15.75" customHeight="1" x14ac:dyDescent="0.25">
      <c r="A106" s="5" t="s">
        <v>883</v>
      </c>
      <c r="B106" s="5" t="s">
        <v>884</v>
      </c>
      <c r="C106" s="5">
        <v>47.2659874</v>
      </c>
      <c r="D106" s="5">
        <v>-122.3593918</v>
      </c>
      <c r="E106" s="5" t="s">
        <v>754</v>
      </c>
      <c r="F106" s="34">
        <v>31800</v>
      </c>
      <c r="G106" s="11"/>
    </row>
    <row r="107" spans="1:7" ht="15.75" customHeight="1" x14ac:dyDescent="0.25">
      <c r="A107" s="5" t="s">
        <v>885</v>
      </c>
      <c r="B107" s="5" t="s">
        <v>884</v>
      </c>
      <c r="C107" s="5">
        <v>47.248429899999998</v>
      </c>
      <c r="D107" s="5">
        <v>-123.0967369</v>
      </c>
      <c r="E107" s="5" t="s">
        <v>754</v>
      </c>
      <c r="F107" s="34">
        <v>59000</v>
      </c>
      <c r="G107" s="11"/>
    </row>
    <row r="108" spans="1:7" ht="15.75" customHeight="1" x14ac:dyDescent="0.25">
      <c r="A108" s="5" t="s">
        <v>886</v>
      </c>
      <c r="B108" s="5" t="s">
        <v>887</v>
      </c>
      <c r="C108" s="5">
        <v>42.583368999999998</v>
      </c>
      <c r="D108" s="5">
        <v>-87.885385999999897</v>
      </c>
      <c r="E108" s="5" t="s">
        <v>744</v>
      </c>
      <c r="F108" s="34">
        <v>45400</v>
      </c>
      <c r="G108" s="11"/>
    </row>
    <row r="109" spans="1:7" ht="15.75" customHeight="1" x14ac:dyDescent="0.25">
      <c r="A109" s="5" t="s">
        <v>888</v>
      </c>
      <c r="B109" s="5" t="s">
        <v>887</v>
      </c>
      <c r="C109" s="5">
        <v>45.991723899999997</v>
      </c>
      <c r="D109" s="5">
        <v>-91.526997899999898</v>
      </c>
      <c r="E109" s="5" t="s">
        <v>744</v>
      </c>
      <c r="F109" s="34">
        <v>63502</v>
      </c>
      <c r="G109" s="11"/>
    </row>
    <row r="110" spans="1:7" ht="15.75" customHeight="1" x14ac:dyDescent="0.25">
      <c r="A110" s="5" t="s">
        <v>889</v>
      </c>
      <c r="B110" s="5" t="s">
        <v>887</v>
      </c>
      <c r="C110" s="5">
        <v>45.442340999999999</v>
      </c>
      <c r="D110" s="5">
        <v>-91.100367000000006</v>
      </c>
      <c r="E110" s="5" t="s">
        <v>744</v>
      </c>
      <c r="F110" s="34">
        <v>81600</v>
      </c>
      <c r="G110" s="11"/>
    </row>
    <row r="111" spans="1:7" ht="15.75" customHeight="1" x14ac:dyDescent="0.25">
      <c r="A111" s="5" t="s">
        <v>890</v>
      </c>
      <c r="B111" s="5" t="s">
        <v>887</v>
      </c>
      <c r="C111" s="5">
        <v>45.034961000000003</v>
      </c>
      <c r="D111" s="5">
        <v>-89.844764999999995</v>
      </c>
      <c r="E111" s="5" t="s">
        <v>744</v>
      </c>
      <c r="F111" s="34">
        <v>27200</v>
      </c>
      <c r="G111" s="11"/>
    </row>
    <row r="112" spans="1:7" ht="15.75" customHeight="1" x14ac:dyDescent="0.25">
      <c r="A112" s="5" t="s">
        <v>891</v>
      </c>
      <c r="B112" s="5" t="s">
        <v>887</v>
      </c>
      <c r="C112" s="5">
        <v>45.058385399999999</v>
      </c>
      <c r="D112" s="5">
        <v>-87.727313600000002</v>
      </c>
      <c r="E112" s="5" t="s">
        <v>752</v>
      </c>
      <c r="F112" s="34">
        <v>56200</v>
      </c>
      <c r="G112" s="11"/>
    </row>
    <row r="113" spans="1:7" ht="15.75" customHeight="1" x14ac:dyDescent="0.25">
      <c r="A113" s="5" t="s">
        <v>892</v>
      </c>
      <c r="B113" s="5" t="s">
        <v>887</v>
      </c>
      <c r="C113" s="5">
        <v>46.442936000000003</v>
      </c>
      <c r="D113" s="5">
        <v>-90.193128000000002</v>
      </c>
      <c r="E113" s="5" t="s">
        <v>752</v>
      </c>
      <c r="F113" s="34">
        <v>4500</v>
      </c>
      <c r="G113" s="11"/>
    </row>
    <row r="114" spans="1:7" ht="15.75" customHeight="1" x14ac:dyDescent="0.25">
      <c r="A114" s="5" t="s">
        <v>893</v>
      </c>
      <c r="B114" s="5" t="s">
        <v>894</v>
      </c>
      <c r="C114" s="5">
        <v>39.465817000000001</v>
      </c>
      <c r="D114" s="5">
        <v>-79.647837999999993</v>
      </c>
      <c r="E114" s="5" t="s">
        <v>752</v>
      </c>
      <c r="F114" s="34">
        <v>45400</v>
      </c>
      <c r="G114" s="11"/>
    </row>
    <row r="115" spans="1:7" ht="15.75" customHeight="1" x14ac:dyDescent="0.25">
      <c r="A115" s="5" t="s">
        <v>895</v>
      </c>
      <c r="B115" s="5" t="s">
        <v>894</v>
      </c>
      <c r="C115" s="5">
        <v>38.918909900000003</v>
      </c>
      <c r="D115" s="5">
        <v>-79.858965899999902</v>
      </c>
      <c r="E115" s="5" t="s">
        <v>752</v>
      </c>
      <c r="F115" s="34">
        <v>66000</v>
      </c>
      <c r="G115" s="11"/>
    </row>
    <row r="116" spans="1:7" ht="15.75" customHeight="1" x14ac:dyDescent="0.25">
      <c r="A116" s="5" t="s">
        <v>896</v>
      </c>
      <c r="B116" s="5" t="s">
        <v>894</v>
      </c>
      <c r="C116" s="5">
        <v>38.889863200000001</v>
      </c>
      <c r="D116" s="5">
        <v>-80.735668199999907</v>
      </c>
      <c r="E116" s="5" t="s">
        <v>752</v>
      </c>
      <c r="F116" s="34">
        <v>111500</v>
      </c>
      <c r="G116" s="11"/>
    </row>
    <row r="117" spans="1:7" ht="15.75" customHeight="1" x14ac:dyDescent="0.25"/>
    <row r="118" spans="1:7" ht="15.75" customHeight="1" x14ac:dyDescent="0.25">
      <c r="F118" s="84"/>
    </row>
    <row r="119" spans="1:7" ht="15.75" customHeight="1" x14ac:dyDescent="0.25"/>
    <row r="120" spans="1:7" ht="15.75" customHeight="1" x14ac:dyDescent="0.25"/>
    <row r="121" spans="1:7" ht="15.75" customHeight="1" x14ac:dyDescent="0.25"/>
    <row r="122" spans="1:7" ht="15.75" customHeight="1" x14ac:dyDescent="0.25"/>
    <row r="123" spans="1:7" ht="15.75" customHeight="1" x14ac:dyDescent="0.25"/>
    <row r="124" spans="1:7" ht="15.75" customHeight="1" x14ac:dyDescent="0.25"/>
    <row r="125" spans="1:7" ht="15.75" customHeight="1" x14ac:dyDescent="0.25"/>
    <row r="126" spans="1:7" ht="15.75" customHeight="1" x14ac:dyDescent="0.25"/>
    <row r="127" spans="1:7" ht="15.75" customHeight="1" x14ac:dyDescent="0.25"/>
    <row r="128" spans="1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306C"/>
  </sheetPr>
  <dimension ref="A1:F1013"/>
  <sheetViews>
    <sheetView workbookViewId="0">
      <pane ySplit="1" topLeftCell="A2" activePane="bottomLeft" state="frozen"/>
      <selection pane="bottomLeft" activeCell="N5" sqref="N5"/>
    </sheetView>
  </sheetViews>
  <sheetFormatPr defaultColWidth="14.42578125" defaultRowHeight="15" customHeight="1" x14ac:dyDescent="0.25"/>
  <cols>
    <col min="1" max="1" width="37.42578125" customWidth="1"/>
    <col min="2" max="3" width="14.28515625" customWidth="1"/>
    <col min="4" max="4" width="12.85546875" customWidth="1"/>
    <col min="5" max="5" width="16.140625" customWidth="1"/>
    <col min="6" max="6" width="15.140625" customWidth="1"/>
    <col min="7" max="19" width="8.7109375" customWidth="1"/>
  </cols>
  <sheetData>
    <row r="1" spans="1:6" ht="60" x14ac:dyDescent="0.25">
      <c r="A1" s="38" t="s">
        <v>897</v>
      </c>
      <c r="B1" s="39" t="s">
        <v>6863</v>
      </c>
      <c r="C1" s="39" t="s">
        <v>6864</v>
      </c>
      <c r="D1" s="39" t="s">
        <v>898</v>
      </c>
      <c r="E1" s="39" t="s">
        <v>6865</v>
      </c>
      <c r="F1" s="40" t="s">
        <v>899</v>
      </c>
    </row>
    <row r="2" spans="1:6" x14ac:dyDescent="0.25">
      <c r="A2" t="s">
        <v>900</v>
      </c>
      <c r="B2" s="90">
        <v>9.820703</v>
      </c>
      <c r="C2" s="90">
        <v>9.5410699999999995</v>
      </c>
      <c r="D2" s="34">
        <v>1753489</v>
      </c>
      <c r="E2" s="90">
        <v>0.176872</v>
      </c>
      <c r="F2" s="41">
        <v>46855</v>
      </c>
    </row>
    <row r="3" spans="1:6" x14ac:dyDescent="0.25">
      <c r="A3" t="s">
        <v>902</v>
      </c>
      <c r="B3" s="90">
        <v>4.5</v>
      </c>
      <c r="C3" s="90">
        <v>4.4230179999999999</v>
      </c>
      <c r="D3" s="34">
        <v>510265</v>
      </c>
      <c r="E3" s="90">
        <v>4.2053E-2</v>
      </c>
      <c r="F3" s="41">
        <v>4086</v>
      </c>
    </row>
    <row r="4" spans="1:6" x14ac:dyDescent="0.25">
      <c r="A4" t="s">
        <v>903</v>
      </c>
      <c r="B4" s="90">
        <v>3.7090000000000001</v>
      </c>
      <c r="C4" s="90">
        <v>0.77476800000000001</v>
      </c>
      <c r="D4" s="34">
        <v>240488</v>
      </c>
      <c r="E4" s="90">
        <v>0.46329999999999999</v>
      </c>
      <c r="F4" s="41">
        <v>127957</v>
      </c>
    </row>
    <row r="5" spans="1:6" x14ac:dyDescent="0.25">
      <c r="A5" t="s">
        <v>901</v>
      </c>
      <c r="B5" s="90">
        <v>3.45</v>
      </c>
      <c r="C5" s="90">
        <v>3.2627489999999999</v>
      </c>
      <c r="D5" s="34">
        <v>484077</v>
      </c>
      <c r="E5" s="90">
        <v>3.9296999999999999E-2</v>
      </c>
      <c r="F5" s="41">
        <v>15888</v>
      </c>
    </row>
    <row r="6" spans="1:6" x14ac:dyDescent="0.25">
      <c r="A6" t="s">
        <v>907</v>
      </c>
      <c r="B6" s="90">
        <v>2.25</v>
      </c>
      <c r="C6" s="90">
        <v>7.8509999999999996E-2</v>
      </c>
      <c r="D6" s="34">
        <v>29753</v>
      </c>
      <c r="E6" s="90">
        <v>1.0037499999999999</v>
      </c>
      <c r="F6" s="41">
        <v>313636</v>
      </c>
    </row>
    <row r="7" spans="1:6" x14ac:dyDescent="0.25">
      <c r="A7" t="s">
        <v>905</v>
      </c>
      <c r="B7" s="90">
        <v>1.98</v>
      </c>
      <c r="C7" s="90">
        <v>1.307525</v>
      </c>
      <c r="D7" s="34">
        <v>314542</v>
      </c>
      <c r="E7" s="90">
        <v>0.13584399999999999</v>
      </c>
      <c r="F7" s="41">
        <v>32277</v>
      </c>
    </row>
    <row r="8" spans="1:6" x14ac:dyDescent="0.25">
      <c r="A8" t="s">
        <v>906</v>
      </c>
      <c r="B8" s="90">
        <v>1.738</v>
      </c>
      <c r="C8" s="90">
        <v>0.191826</v>
      </c>
      <c r="D8" s="34">
        <v>52561</v>
      </c>
      <c r="E8" s="90">
        <v>0.28689199999999998</v>
      </c>
      <c r="F8" s="41">
        <v>83240</v>
      </c>
    </row>
    <row r="9" spans="1:6" x14ac:dyDescent="0.25">
      <c r="A9" t="s">
        <v>909</v>
      </c>
      <c r="B9" s="90">
        <v>1.7250000000000001</v>
      </c>
      <c r="C9" s="90">
        <v>0.79636099999999999</v>
      </c>
      <c r="D9" s="34">
        <v>255843</v>
      </c>
      <c r="E9" s="90">
        <v>0.28941</v>
      </c>
      <c r="F9" s="41">
        <v>85764</v>
      </c>
    </row>
    <row r="10" spans="1:6" x14ac:dyDescent="0.25">
      <c r="A10" t="s">
        <v>904</v>
      </c>
      <c r="B10" s="90">
        <v>1.4561120000000001</v>
      </c>
      <c r="C10" s="90">
        <v>0.90244599999999997</v>
      </c>
      <c r="D10" s="34">
        <v>98663</v>
      </c>
      <c r="E10" s="90">
        <v>4.1599999999999997E-4</v>
      </c>
      <c r="F10" s="41">
        <v>458</v>
      </c>
    </row>
    <row r="11" spans="1:6" x14ac:dyDescent="0.25">
      <c r="A11" t="s">
        <v>908</v>
      </c>
      <c r="B11" s="90">
        <v>1.385</v>
      </c>
      <c r="C11" s="90">
        <v>1.156828</v>
      </c>
      <c r="D11" s="34">
        <v>280059</v>
      </c>
      <c r="E11" s="90">
        <v>4.4568999999999998E-2</v>
      </c>
      <c r="F11" s="41">
        <v>11253</v>
      </c>
    </row>
    <row r="12" spans="1:6" x14ac:dyDescent="0.25">
      <c r="A12" t="s">
        <v>910</v>
      </c>
      <c r="B12" s="90">
        <v>1.2644709999999999</v>
      </c>
      <c r="C12" s="90">
        <v>0.39862500000000001</v>
      </c>
      <c r="D12" s="34">
        <v>121327</v>
      </c>
      <c r="E12" s="90">
        <v>0.27957599999999999</v>
      </c>
      <c r="F12" s="41">
        <v>64144</v>
      </c>
    </row>
    <row r="13" spans="1:6" x14ac:dyDescent="0.25">
      <c r="A13" t="s">
        <v>916</v>
      </c>
      <c r="B13" s="90">
        <v>0.92355100000000001</v>
      </c>
      <c r="C13" s="90">
        <v>0.16075400000000001</v>
      </c>
      <c r="D13" s="34">
        <v>53671</v>
      </c>
      <c r="E13" s="90">
        <v>6.8488999999999994E-2</v>
      </c>
      <c r="F13" s="41">
        <v>31489</v>
      </c>
    </row>
    <row r="14" spans="1:6" x14ac:dyDescent="0.25">
      <c r="A14" t="s">
        <v>914</v>
      </c>
      <c r="B14" s="90">
        <v>0.9</v>
      </c>
      <c r="C14" s="90">
        <v>0.86028300000000002</v>
      </c>
      <c r="D14" s="34">
        <v>121548</v>
      </c>
      <c r="E14" s="90">
        <v>2.9269999999999999E-3</v>
      </c>
      <c r="F14" s="41">
        <v>1213</v>
      </c>
    </row>
    <row r="15" spans="1:6" x14ac:dyDescent="0.25">
      <c r="A15" t="s">
        <v>911</v>
      </c>
      <c r="B15" s="90">
        <v>0.873</v>
      </c>
      <c r="C15" s="90">
        <v>9.4820000000000008E-3</v>
      </c>
      <c r="D15" s="34">
        <v>2968</v>
      </c>
      <c r="E15" s="90">
        <v>0</v>
      </c>
      <c r="F15" s="41">
        <v>0</v>
      </c>
    </row>
    <row r="16" spans="1:6" x14ac:dyDescent="0.25">
      <c r="A16" t="s">
        <v>930</v>
      </c>
      <c r="B16" s="90">
        <v>0.72</v>
      </c>
      <c r="C16" s="90">
        <v>0</v>
      </c>
      <c r="D16" s="34">
        <v>0</v>
      </c>
      <c r="E16" s="90">
        <v>3.7269019999999999</v>
      </c>
      <c r="F16" s="41">
        <v>563598</v>
      </c>
    </row>
    <row r="17" spans="1:6" x14ac:dyDescent="0.25">
      <c r="A17" t="s">
        <v>920</v>
      </c>
      <c r="B17" s="90">
        <v>0.7</v>
      </c>
      <c r="C17" s="90">
        <v>0.56378799999999996</v>
      </c>
      <c r="D17" s="34">
        <v>109619</v>
      </c>
      <c r="E17" s="90">
        <v>5.5389999999999997E-3</v>
      </c>
      <c r="F17" s="41">
        <v>996</v>
      </c>
    </row>
    <row r="18" spans="1:6" x14ac:dyDescent="0.25">
      <c r="A18" t="s">
        <v>913</v>
      </c>
      <c r="B18" s="90">
        <v>0.64685999999999999</v>
      </c>
      <c r="C18" s="90">
        <v>0.74206899999999998</v>
      </c>
      <c r="D18" s="34">
        <v>260625</v>
      </c>
      <c r="E18" s="90">
        <v>0.61583699999999997</v>
      </c>
      <c r="F18" s="41">
        <v>159233</v>
      </c>
    </row>
    <row r="19" spans="1:6" x14ac:dyDescent="0.25">
      <c r="A19" t="s">
        <v>924</v>
      </c>
      <c r="B19" s="90">
        <v>0.63</v>
      </c>
      <c r="C19" s="90">
        <v>0.61549100000000001</v>
      </c>
      <c r="D19" s="34">
        <v>74676</v>
      </c>
      <c r="E19" s="90">
        <v>6.9999999999999999E-6</v>
      </c>
      <c r="F19" s="41">
        <v>5</v>
      </c>
    </row>
    <row r="20" spans="1:6" x14ac:dyDescent="0.25">
      <c r="A20" t="s">
        <v>915</v>
      </c>
      <c r="B20" s="90">
        <v>0.60499999999999998</v>
      </c>
      <c r="C20" s="90">
        <v>0.438056</v>
      </c>
      <c r="D20" s="34">
        <v>122260</v>
      </c>
      <c r="E20" s="90">
        <v>8.0612000000000003E-2</v>
      </c>
      <c r="F20" s="41">
        <v>20550</v>
      </c>
    </row>
    <row r="21" spans="1:6" ht="15.75" customHeight="1" x14ac:dyDescent="0.25">
      <c r="A21" t="s">
        <v>912</v>
      </c>
      <c r="B21" s="90">
        <v>0.55800000000000005</v>
      </c>
      <c r="C21" s="90">
        <v>0.41003099999999998</v>
      </c>
      <c r="D21" s="34">
        <v>97676</v>
      </c>
      <c r="E21" s="90">
        <v>3.0560000000000001E-3</v>
      </c>
      <c r="F21" s="41">
        <v>1136</v>
      </c>
    </row>
    <row r="22" spans="1:6" ht="15.75" customHeight="1" x14ac:dyDescent="0.25">
      <c r="A22" t="s">
        <v>917</v>
      </c>
      <c r="B22" s="90">
        <v>0.55700000000000005</v>
      </c>
      <c r="C22" s="90">
        <v>0.26906600000000003</v>
      </c>
      <c r="D22" s="34">
        <v>36735</v>
      </c>
      <c r="E22" s="90">
        <v>4.3E-3</v>
      </c>
      <c r="F22" s="41">
        <v>586</v>
      </c>
    </row>
    <row r="23" spans="1:6" ht="15.75" customHeight="1" x14ac:dyDescent="0.25">
      <c r="A23" t="s">
        <v>918</v>
      </c>
      <c r="B23" s="90">
        <v>0.51035299999999995</v>
      </c>
      <c r="C23" s="90">
        <v>0.39610699999999999</v>
      </c>
      <c r="D23" s="34">
        <v>99897</v>
      </c>
      <c r="E23" s="90">
        <v>6.3231999999999997E-2</v>
      </c>
      <c r="F23" s="41">
        <v>19361</v>
      </c>
    </row>
    <row r="24" spans="1:6" ht="15.75" customHeight="1" x14ac:dyDescent="0.25">
      <c r="A24" t="s">
        <v>919</v>
      </c>
      <c r="B24" s="90">
        <v>0.5</v>
      </c>
      <c r="C24" s="90">
        <v>0.48209999999999997</v>
      </c>
      <c r="D24" s="34">
        <v>93411</v>
      </c>
      <c r="E24" s="90">
        <v>1E-4</v>
      </c>
      <c r="F24" s="41">
        <v>24</v>
      </c>
    </row>
    <row r="25" spans="1:6" ht="15.75" customHeight="1" x14ac:dyDescent="0.25">
      <c r="A25" t="s">
        <v>921</v>
      </c>
      <c r="B25" s="90">
        <v>0.47</v>
      </c>
      <c r="C25" s="90">
        <v>0.32200000000000001</v>
      </c>
      <c r="D25" s="34">
        <v>95030</v>
      </c>
      <c r="E25" s="90">
        <v>2.9000000000000001E-2</v>
      </c>
      <c r="F25" s="41">
        <v>7621</v>
      </c>
    </row>
    <row r="26" spans="1:6" ht="15.75" customHeight="1" x14ac:dyDescent="0.25">
      <c r="A26" t="s">
        <v>923</v>
      </c>
      <c r="B26" s="90">
        <v>0.43</v>
      </c>
      <c r="C26" s="90">
        <v>5.3049999999999998E-3</v>
      </c>
      <c r="D26" s="34">
        <v>4103</v>
      </c>
      <c r="E26" s="90">
        <v>2.0579939999999999</v>
      </c>
      <c r="F26" s="41">
        <v>654264</v>
      </c>
    </row>
    <row r="27" spans="1:6" ht="15.75" customHeight="1" x14ac:dyDescent="0.25">
      <c r="A27" t="s">
        <v>922</v>
      </c>
      <c r="B27" s="90">
        <v>0.39200000000000002</v>
      </c>
      <c r="C27" s="90">
        <v>0.04</v>
      </c>
      <c r="D27" s="34">
        <v>10381</v>
      </c>
      <c r="E27" s="90">
        <v>6.0999999999999999E-2</v>
      </c>
      <c r="F27" s="41">
        <v>14415</v>
      </c>
    </row>
    <row r="28" spans="1:6" ht="15.75" customHeight="1" x14ac:dyDescent="0.25">
      <c r="A28" t="s">
        <v>925</v>
      </c>
      <c r="B28" s="90">
        <v>0.35399999999999998</v>
      </c>
      <c r="C28" s="90">
        <v>4.8299999999999998E-4</v>
      </c>
      <c r="D28" s="34">
        <v>264</v>
      </c>
      <c r="E28" s="90">
        <v>0.14119899999999999</v>
      </c>
      <c r="F28" s="41">
        <v>52678</v>
      </c>
    </row>
    <row r="29" spans="1:6" ht="15.75" customHeight="1" x14ac:dyDescent="0.25">
      <c r="A29" t="s">
        <v>926</v>
      </c>
      <c r="B29" s="90">
        <v>0.32441300000000001</v>
      </c>
      <c r="C29" s="90">
        <v>0.33657999999999999</v>
      </c>
      <c r="D29" s="34">
        <v>91849</v>
      </c>
      <c r="E29" s="90">
        <v>1.7979999999999999E-2</v>
      </c>
      <c r="F29" s="41">
        <v>5087</v>
      </c>
    </row>
    <row r="30" spans="1:6" ht="15.75" customHeight="1" x14ac:dyDescent="0.25">
      <c r="A30" t="s">
        <v>928</v>
      </c>
      <c r="B30" s="90">
        <v>0.32400000000000001</v>
      </c>
      <c r="C30" s="90">
        <v>3.3000000000000003E-5</v>
      </c>
      <c r="D30" s="34">
        <v>13</v>
      </c>
      <c r="E30" s="90">
        <v>7.9440999999999998E-2</v>
      </c>
      <c r="F30" s="41">
        <v>18353</v>
      </c>
    </row>
    <row r="31" spans="1:6" ht="15.75" customHeight="1" x14ac:dyDescent="0.25">
      <c r="A31" t="s">
        <v>927</v>
      </c>
      <c r="B31" s="90">
        <v>0.313</v>
      </c>
      <c r="C31" s="90">
        <v>1.0999999999999999E-2</v>
      </c>
      <c r="D31" s="34">
        <v>5795</v>
      </c>
      <c r="E31" s="90">
        <v>6.3639999999999999</v>
      </c>
      <c r="F31" s="41">
        <v>1531593</v>
      </c>
    </row>
    <row r="32" spans="1:6" ht="15.75" customHeight="1" x14ac:dyDescent="0.25">
      <c r="A32" t="s">
        <v>931</v>
      </c>
      <c r="B32" s="90">
        <v>0.290327</v>
      </c>
      <c r="C32" s="90">
        <v>0.16459299999999999</v>
      </c>
      <c r="D32" s="34">
        <v>43787</v>
      </c>
      <c r="E32" s="90">
        <v>3.4655999999999999E-2</v>
      </c>
      <c r="F32" s="41">
        <v>4564</v>
      </c>
    </row>
    <row r="33" spans="1:6" ht="15.75" customHeight="1" x14ac:dyDescent="0.25">
      <c r="A33" t="s">
        <v>6877</v>
      </c>
      <c r="B33" s="90">
        <v>0.26819999999999999</v>
      </c>
      <c r="C33" s="90">
        <v>0.34093299999999999</v>
      </c>
      <c r="D33" s="34">
        <v>131197</v>
      </c>
      <c r="E33" s="90">
        <v>2.3277549999999998</v>
      </c>
      <c r="F33" s="41">
        <v>528757</v>
      </c>
    </row>
    <row r="34" spans="1:6" ht="15.75" customHeight="1" x14ac:dyDescent="0.25">
      <c r="A34" t="s">
        <v>936</v>
      </c>
      <c r="B34" s="90">
        <v>0.23599999999999999</v>
      </c>
      <c r="C34" s="90">
        <v>5.7959999999999999E-3</v>
      </c>
      <c r="D34" s="34">
        <v>1239</v>
      </c>
      <c r="E34" s="90">
        <v>1.3701E-2</v>
      </c>
      <c r="F34" s="41">
        <v>4310</v>
      </c>
    </row>
    <row r="35" spans="1:6" ht="15.75" customHeight="1" x14ac:dyDescent="0.25">
      <c r="A35" t="s">
        <v>994</v>
      </c>
      <c r="B35" s="90">
        <v>0.23030900000000001</v>
      </c>
      <c r="C35" s="90"/>
      <c r="D35" s="34"/>
      <c r="E35" s="90">
        <v>0</v>
      </c>
      <c r="F35" s="41">
        <v>5</v>
      </c>
    </row>
    <row r="36" spans="1:6" ht="15.75" customHeight="1" x14ac:dyDescent="0.25">
      <c r="A36" t="s">
        <v>942</v>
      </c>
      <c r="B36" s="90">
        <v>0.22</v>
      </c>
      <c r="C36" s="90">
        <v>0.20696800000000001</v>
      </c>
      <c r="D36" s="34">
        <v>28762</v>
      </c>
      <c r="E36" s="90">
        <v>9.8729999999999998E-3</v>
      </c>
      <c r="F36" s="41">
        <v>658</v>
      </c>
    </row>
    <row r="37" spans="1:6" ht="15.75" customHeight="1" x14ac:dyDescent="0.25">
      <c r="A37" t="s">
        <v>929</v>
      </c>
      <c r="B37" s="90">
        <v>0.20741299999999999</v>
      </c>
      <c r="C37" s="90">
        <v>9.4846E-2</v>
      </c>
      <c r="D37" s="34">
        <v>30113</v>
      </c>
      <c r="E37" s="90">
        <v>8.3365999999999996E-2</v>
      </c>
      <c r="F37" s="41">
        <v>22904</v>
      </c>
    </row>
    <row r="38" spans="1:6" ht="15.75" customHeight="1" x14ac:dyDescent="0.25">
      <c r="A38" t="s">
        <v>932</v>
      </c>
      <c r="B38" s="90">
        <v>0.18</v>
      </c>
      <c r="C38" s="90">
        <v>0.265455</v>
      </c>
      <c r="D38" s="34">
        <v>100168</v>
      </c>
      <c r="E38" s="90">
        <v>2.6742330000000001</v>
      </c>
      <c r="F38" s="41">
        <v>605484</v>
      </c>
    </row>
    <row r="39" spans="1:6" ht="15.75" customHeight="1" x14ac:dyDescent="0.25">
      <c r="A39" t="s">
        <v>934</v>
      </c>
      <c r="B39" s="90">
        <v>0.16400000000000001</v>
      </c>
      <c r="C39" s="90">
        <v>0.13925799999999999</v>
      </c>
      <c r="D39" s="34">
        <v>52563</v>
      </c>
      <c r="E39" s="90">
        <v>0.13208800000000001</v>
      </c>
      <c r="F39" s="41">
        <v>37827</v>
      </c>
    </row>
    <row r="40" spans="1:6" ht="15.75" customHeight="1" x14ac:dyDescent="0.25">
      <c r="A40" t="s">
        <v>935</v>
      </c>
      <c r="B40" s="90">
        <v>0.156</v>
      </c>
      <c r="C40" s="90">
        <v>2.4239999999999999E-3</v>
      </c>
      <c r="D40" s="34">
        <v>206</v>
      </c>
      <c r="E40" s="90">
        <v>5.8033700000000001</v>
      </c>
      <c r="F40" s="41">
        <v>1254403</v>
      </c>
    </row>
    <row r="41" spans="1:6" ht="15.75" customHeight="1" x14ac:dyDescent="0.25">
      <c r="A41" t="s">
        <v>944</v>
      </c>
      <c r="B41" s="90">
        <v>0.15</v>
      </c>
      <c r="C41" s="90">
        <v>6.6780000000000006E-2</v>
      </c>
      <c r="D41" s="34">
        <v>16685</v>
      </c>
      <c r="E41" s="90">
        <v>6.9653999999999994E-2</v>
      </c>
      <c r="F41" s="41">
        <v>15078</v>
      </c>
    </row>
    <row r="42" spans="1:6" ht="15.75" customHeight="1" x14ac:dyDescent="0.25">
      <c r="A42" t="s">
        <v>933</v>
      </c>
      <c r="B42" s="90">
        <v>0.14299999999999999</v>
      </c>
      <c r="C42" s="90">
        <v>7.6071E-2</v>
      </c>
      <c r="D42" s="34">
        <v>18857</v>
      </c>
      <c r="E42" s="90">
        <v>6.4099999999999997E-4</v>
      </c>
      <c r="F42" s="41">
        <v>163</v>
      </c>
    </row>
    <row r="43" spans="1:6" ht="15.75" customHeight="1" x14ac:dyDescent="0.25">
      <c r="A43" t="s">
        <v>939</v>
      </c>
      <c r="B43" s="90">
        <v>9.9909999999999999E-2</v>
      </c>
      <c r="C43" s="90">
        <v>4.8725999999999998E-2</v>
      </c>
      <c r="D43" s="34">
        <v>7543</v>
      </c>
      <c r="E43" s="90">
        <v>6.1729999999999997E-3</v>
      </c>
      <c r="F43" s="41">
        <v>3337</v>
      </c>
    </row>
    <row r="44" spans="1:6" ht="15.75" customHeight="1" x14ac:dyDescent="0.25">
      <c r="A44" t="s">
        <v>938</v>
      </c>
      <c r="B44" s="90">
        <v>9.8533999999999997E-2</v>
      </c>
      <c r="C44" s="90">
        <v>6.5180000000000002E-2</v>
      </c>
      <c r="D44" s="34">
        <v>16409</v>
      </c>
      <c r="E44" s="90">
        <v>3.1700000000000001E-4</v>
      </c>
      <c r="F44" s="41">
        <v>71</v>
      </c>
    </row>
    <row r="45" spans="1:6" ht="15.75" customHeight="1" x14ac:dyDescent="0.25">
      <c r="A45" t="s">
        <v>940</v>
      </c>
      <c r="B45" s="90">
        <v>7.4999999999999997E-2</v>
      </c>
      <c r="C45" s="90"/>
      <c r="D45" s="34"/>
      <c r="E45" s="90">
        <v>2.3960000000000001E-3</v>
      </c>
      <c r="F45" s="41">
        <v>669</v>
      </c>
    </row>
    <row r="46" spans="1:6" ht="15.75" customHeight="1" x14ac:dyDescent="0.25">
      <c r="A46" t="s">
        <v>941</v>
      </c>
      <c r="B46" s="90">
        <v>6.3E-2</v>
      </c>
      <c r="C46" s="90">
        <v>1.4480000000000001E-3</v>
      </c>
      <c r="D46" s="34">
        <v>859</v>
      </c>
      <c r="E46" s="90">
        <v>1.3901999999999999E-2</v>
      </c>
      <c r="F46" s="41">
        <v>5748</v>
      </c>
    </row>
    <row r="47" spans="1:6" ht="15.75" customHeight="1" x14ac:dyDescent="0.25">
      <c r="A47" t="s">
        <v>937</v>
      </c>
      <c r="B47" s="90">
        <v>6.2E-2</v>
      </c>
      <c r="C47" s="90">
        <v>7.9710000000000007E-3</v>
      </c>
      <c r="D47" s="34">
        <v>617</v>
      </c>
      <c r="E47" s="34"/>
      <c r="F47" s="41"/>
    </row>
    <row r="48" spans="1:6" ht="15.75" customHeight="1" x14ac:dyDescent="0.25">
      <c r="A48" t="s">
        <v>943</v>
      </c>
      <c r="B48" s="90">
        <v>5.9360000000000003E-2</v>
      </c>
      <c r="C48" s="90">
        <v>3.4970000000000001E-3</v>
      </c>
      <c r="D48" s="34">
        <v>954</v>
      </c>
      <c r="E48" s="34">
        <v>4.3781E-2</v>
      </c>
      <c r="F48" s="41">
        <v>8042</v>
      </c>
    </row>
    <row r="49" spans="1:6" ht="15.75" customHeight="1" x14ac:dyDescent="0.25">
      <c r="A49" t="s">
        <v>945</v>
      </c>
      <c r="B49" s="90">
        <v>0.04</v>
      </c>
      <c r="C49" s="90">
        <v>3.2535000000000001E-2</v>
      </c>
      <c r="D49" s="34">
        <v>6081</v>
      </c>
      <c r="E49" s="34">
        <v>2.6210000000000001E-3</v>
      </c>
      <c r="F49" s="41">
        <v>688</v>
      </c>
    </row>
    <row r="50" spans="1:6" ht="15.75" customHeight="1" x14ac:dyDescent="0.25">
      <c r="A50" t="s">
        <v>946</v>
      </c>
      <c r="B50" s="90">
        <v>3.7538000000000002E-2</v>
      </c>
      <c r="C50" s="90">
        <v>3.0691E-2</v>
      </c>
      <c r="D50" s="34">
        <v>9600</v>
      </c>
      <c r="E50" s="34">
        <v>6.3888E-2</v>
      </c>
      <c r="F50" s="41">
        <v>15597</v>
      </c>
    </row>
    <row r="51" spans="1:6" ht="15.75" customHeight="1" x14ac:dyDescent="0.25">
      <c r="A51" t="s">
        <v>947</v>
      </c>
      <c r="B51" s="90">
        <v>2.9000000000000001E-2</v>
      </c>
      <c r="C51" s="90">
        <v>1.5E-5</v>
      </c>
      <c r="D51" s="34">
        <v>0</v>
      </c>
      <c r="E51" s="34">
        <v>3.0000000000000001E-6</v>
      </c>
      <c r="F51" s="41">
        <v>1</v>
      </c>
    </row>
    <row r="52" spans="1:6" ht="15.75" customHeight="1" x14ac:dyDescent="0.25">
      <c r="A52" t="s">
        <v>948</v>
      </c>
      <c r="B52" s="90">
        <v>2.5000000000000001E-2</v>
      </c>
      <c r="C52" s="90">
        <v>4.934E-3</v>
      </c>
      <c r="D52" s="34">
        <v>1278</v>
      </c>
      <c r="E52" s="34">
        <v>9.9999999999999995E-7</v>
      </c>
      <c r="F52" s="41">
        <v>0</v>
      </c>
    </row>
    <row r="53" spans="1:6" ht="15.75" customHeight="1" x14ac:dyDescent="0.25">
      <c r="A53" t="s">
        <v>951</v>
      </c>
      <c r="B53" s="90">
        <v>2.3E-2</v>
      </c>
      <c r="C53" s="90">
        <v>9.3392000000000003E-2</v>
      </c>
      <c r="D53" s="34">
        <v>19994</v>
      </c>
      <c r="E53" s="34">
        <v>7.9131000000000007E-2</v>
      </c>
      <c r="F53" s="41">
        <v>15946</v>
      </c>
    </row>
    <row r="54" spans="1:6" ht="15.75" customHeight="1" x14ac:dyDescent="0.25">
      <c r="A54" t="s">
        <v>950</v>
      </c>
      <c r="B54" s="90">
        <v>2.2172000000000001E-2</v>
      </c>
      <c r="C54" s="90">
        <v>6.8999999999999997E-5</v>
      </c>
      <c r="D54" s="34">
        <v>52</v>
      </c>
      <c r="E54" s="34">
        <v>9.9999999999999995E-7</v>
      </c>
      <c r="F54" s="41">
        <v>1</v>
      </c>
    </row>
    <row r="55" spans="1:6" ht="15.75" customHeight="1" x14ac:dyDescent="0.25">
      <c r="A55" t="s">
        <v>949</v>
      </c>
      <c r="B55" s="90">
        <v>2.1773000000000001E-2</v>
      </c>
      <c r="C55" s="90">
        <v>2.1999999999999999E-5</v>
      </c>
      <c r="D55" s="34">
        <v>6</v>
      </c>
      <c r="E55" s="34">
        <v>1.8779999999999999E-3</v>
      </c>
      <c r="F55" s="41">
        <v>344</v>
      </c>
    </row>
    <row r="56" spans="1:6" ht="15.75" customHeight="1" x14ac:dyDescent="0.25">
      <c r="A56" t="s">
        <v>953</v>
      </c>
      <c r="B56" s="90">
        <v>8.9999999999999993E-3</v>
      </c>
      <c r="C56" s="90">
        <v>5.574E-3</v>
      </c>
      <c r="D56" s="34">
        <v>1279</v>
      </c>
      <c r="E56" s="34">
        <v>1.9999999999999999E-6</v>
      </c>
      <c r="F56" s="41">
        <v>1</v>
      </c>
    </row>
    <row r="57" spans="1:6" ht="15.75" customHeight="1" x14ac:dyDescent="0.25">
      <c r="A57" t="s">
        <v>952</v>
      </c>
      <c r="B57" s="90">
        <v>6.6160000000000004E-3</v>
      </c>
      <c r="C57" s="90">
        <v>1.2354E-2</v>
      </c>
      <c r="D57" s="34">
        <v>2332</v>
      </c>
      <c r="E57" s="34">
        <v>1.9667E-2</v>
      </c>
      <c r="F57" s="41">
        <v>3140</v>
      </c>
    </row>
    <row r="58" spans="1:6" ht="15.75" customHeight="1" x14ac:dyDescent="0.25">
      <c r="A58" t="s">
        <v>954</v>
      </c>
      <c r="B58" s="90">
        <v>5.3749999999999996E-3</v>
      </c>
      <c r="C58" s="90">
        <v>1.0269999999999999E-3</v>
      </c>
      <c r="D58" s="34">
        <v>185</v>
      </c>
      <c r="E58" s="34">
        <v>3.4999999999999997E-5</v>
      </c>
      <c r="F58" s="41">
        <v>10</v>
      </c>
    </row>
    <row r="59" spans="1:6" ht="15.75" customHeight="1" x14ac:dyDescent="0.25">
      <c r="A59" t="s">
        <v>955</v>
      </c>
      <c r="B59" s="90">
        <v>5.0000000000000001E-3</v>
      </c>
      <c r="C59" s="90">
        <v>1.6119999999999999E-3</v>
      </c>
      <c r="D59" s="34">
        <v>313</v>
      </c>
      <c r="E59" s="34">
        <v>1.6930000000000001E-3</v>
      </c>
      <c r="F59" s="41">
        <v>61</v>
      </c>
    </row>
    <row r="60" spans="1:6" ht="15.75" customHeight="1" x14ac:dyDescent="0.25">
      <c r="A60" t="s">
        <v>958</v>
      </c>
      <c r="B60" s="90">
        <v>4.0000000000000001E-3</v>
      </c>
      <c r="C60" s="90">
        <v>3.0000000000000001E-6</v>
      </c>
      <c r="D60" s="34">
        <v>7</v>
      </c>
      <c r="E60" s="34">
        <v>3.3000000000000003E-5</v>
      </c>
      <c r="F60" s="41">
        <v>21</v>
      </c>
    </row>
    <row r="61" spans="1:6" ht="15.75" customHeight="1" x14ac:dyDescent="0.25">
      <c r="A61" t="s">
        <v>972</v>
      </c>
      <c r="B61" s="90">
        <v>3.0000000000000001E-3</v>
      </c>
      <c r="C61" s="90">
        <v>2.7789999999999998E-3</v>
      </c>
      <c r="D61" s="34">
        <v>638</v>
      </c>
      <c r="E61" s="34">
        <v>2.7070000000000002E-3</v>
      </c>
      <c r="F61" s="41">
        <v>390</v>
      </c>
    </row>
    <row r="62" spans="1:6" ht="15.75" customHeight="1" x14ac:dyDescent="0.25">
      <c r="A62" t="s">
        <v>959</v>
      </c>
      <c r="B62" s="90">
        <v>1E-4</v>
      </c>
      <c r="C62" s="90">
        <v>1E-4</v>
      </c>
      <c r="D62" s="34">
        <v>20</v>
      </c>
      <c r="E62" s="34">
        <v>2.0000000000000001E-4</v>
      </c>
      <c r="F62" s="41">
        <v>72</v>
      </c>
    </row>
    <row r="63" spans="1:6" ht="15.75" customHeight="1" x14ac:dyDescent="0.25">
      <c r="A63" t="s">
        <v>960</v>
      </c>
      <c r="B63" s="90">
        <v>0</v>
      </c>
      <c r="C63" s="90">
        <v>0</v>
      </c>
      <c r="D63" s="34">
        <v>0</v>
      </c>
      <c r="E63" s="34">
        <v>4.0000000000000003E-5</v>
      </c>
      <c r="F63" s="41">
        <v>26</v>
      </c>
    </row>
    <row r="64" spans="1:6" ht="15.75" customHeight="1" x14ac:dyDescent="0.25">
      <c r="A64" t="s">
        <v>961</v>
      </c>
      <c r="B64" s="90">
        <v>0</v>
      </c>
      <c r="C64" s="90"/>
      <c r="D64" s="34"/>
      <c r="E64" s="34">
        <v>2.0000000000000002E-5</v>
      </c>
      <c r="F64" s="41">
        <v>7</v>
      </c>
    </row>
    <row r="65" spans="1:6" ht="15.75" customHeight="1" x14ac:dyDescent="0.25">
      <c r="A65" t="s">
        <v>962</v>
      </c>
      <c r="B65" s="90">
        <v>0</v>
      </c>
      <c r="C65" s="90">
        <v>0</v>
      </c>
      <c r="D65" s="34">
        <v>0</v>
      </c>
      <c r="E65" s="34">
        <v>2.7850000000000001E-3</v>
      </c>
      <c r="F65" s="41">
        <v>827</v>
      </c>
    </row>
    <row r="66" spans="1:6" ht="15.75" customHeight="1" x14ac:dyDescent="0.25">
      <c r="A66" t="s">
        <v>956</v>
      </c>
      <c r="B66" s="90">
        <v>0</v>
      </c>
      <c r="C66" s="90">
        <v>0</v>
      </c>
      <c r="D66" s="34">
        <v>0</v>
      </c>
      <c r="E66" s="34">
        <v>2.6999999999999999E-5</v>
      </c>
      <c r="F66" s="41">
        <v>33</v>
      </c>
    </row>
    <row r="67" spans="1:6" ht="15.75" customHeight="1" x14ac:dyDescent="0.25">
      <c r="A67" t="s">
        <v>963</v>
      </c>
      <c r="B67" s="90">
        <v>0</v>
      </c>
      <c r="C67" s="90">
        <v>0</v>
      </c>
      <c r="D67" s="34">
        <v>0</v>
      </c>
      <c r="E67" s="34">
        <v>1E-3</v>
      </c>
      <c r="F67" s="41">
        <v>593</v>
      </c>
    </row>
    <row r="68" spans="1:6" ht="15.75" customHeight="1" x14ac:dyDescent="0.25">
      <c r="A68" t="s">
        <v>964</v>
      </c>
      <c r="B68" s="90">
        <v>0</v>
      </c>
      <c r="C68" s="90">
        <v>0</v>
      </c>
      <c r="D68" s="34">
        <v>0</v>
      </c>
      <c r="E68" s="34">
        <v>3.6470000000000001E-3</v>
      </c>
      <c r="F68" s="41">
        <v>494</v>
      </c>
    </row>
    <row r="69" spans="1:6" ht="15.75" customHeight="1" x14ac:dyDescent="0.25">
      <c r="A69" t="s">
        <v>966</v>
      </c>
      <c r="B69" s="90">
        <v>0</v>
      </c>
      <c r="C69" s="90">
        <v>2.3E-5</v>
      </c>
      <c r="D69" s="34">
        <v>3</v>
      </c>
      <c r="E69" s="34">
        <v>2.4000000000000001E-5</v>
      </c>
      <c r="F69" s="41">
        <v>8</v>
      </c>
    </row>
    <row r="70" spans="1:6" ht="15.75" customHeight="1" x14ac:dyDescent="0.25">
      <c r="A70" t="s">
        <v>967</v>
      </c>
      <c r="B70" s="90">
        <v>0</v>
      </c>
      <c r="C70" s="90"/>
      <c r="D70" s="34"/>
      <c r="E70" s="34"/>
      <c r="F70" s="41"/>
    </row>
    <row r="71" spans="1:6" ht="15.75" customHeight="1" x14ac:dyDescent="0.25">
      <c r="A71" t="s">
        <v>968</v>
      </c>
      <c r="B71" s="90">
        <v>0</v>
      </c>
      <c r="C71" s="90">
        <v>0</v>
      </c>
      <c r="D71" s="34">
        <v>0</v>
      </c>
      <c r="E71" s="34">
        <v>6.6799999999999997E-4</v>
      </c>
      <c r="F71" s="41">
        <v>217</v>
      </c>
    </row>
    <row r="72" spans="1:6" ht="15.75" customHeight="1" x14ac:dyDescent="0.25">
      <c r="A72" t="s">
        <v>969</v>
      </c>
      <c r="B72" s="90">
        <v>0</v>
      </c>
      <c r="C72" s="90"/>
      <c r="D72" s="34"/>
      <c r="E72" s="34">
        <v>9.9999999999999995E-7</v>
      </c>
      <c r="F72" s="41">
        <v>7</v>
      </c>
    </row>
    <row r="73" spans="1:6" ht="15.75" customHeight="1" x14ac:dyDescent="0.25">
      <c r="A73" t="s">
        <v>970</v>
      </c>
      <c r="B73" s="90">
        <v>0</v>
      </c>
      <c r="C73" s="90">
        <v>4.0200000000000001E-4</v>
      </c>
      <c r="D73" s="34">
        <v>151</v>
      </c>
      <c r="E73" s="34">
        <v>4.4608000000000002E-2</v>
      </c>
      <c r="F73" s="41">
        <v>16558</v>
      </c>
    </row>
    <row r="74" spans="1:6" ht="15.75" customHeight="1" x14ac:dyDescent="0.25">
      <c r="A74" t="s">
        <v>971</v>
      </c>
      <c r="B74" s="90">
        <v>0</v>
      </c>
      <c r="C74" s="90">
        <v>0</v>
      </c>
      <c r="D74" s="34">
        <v>0</v>
      </c>
      <c r="E74" s="34">
        <v>6.9999999999999999E-6</v>
      </c>
      <c r="F74" s="41">
        <v>5</v>
      </c>
    </row>
    <row r="75" spans="1:6" ht="15.75" customHeight="1" x14ac:dyDescent="0.25">
      <c r="A75" t="s">
        <v>973</v>
      </c>
      <c r="B75" s="90">
        <v>0</v>
      </c>
      <c r="C75" s="90">
        <v>2.1999999999999999E-5</v>
      </c>
      <c r="D75" s="34">
        <v>4</v>
      </c>
      <c r="E75" s="34">
        <v>5.7000000000000003E-5</v>
      </c>
      <c r="F75" s="41">
        <v>28</v>
      </c>
    </row>
    <row r="76" spans="1:6" ht="15.75" customHeight="1" x14ac:dyDescent="0.25">
      <c r="A76" t="s">
        <v>1052</v>
      </c>
      <c r="B76" s="90"/>
      <c r="C76" s="90"/>
      <c r="D76" s="34"/>
      <c r="E76" s="34">
        <v>1.0399999999999999E-4</v>
      </c>
      <c r="F76" s="41">
        <v>29</v>
      </c>
    </row>
    <row r="77" spans="1:6" ht="15.75" customHeight="1" x14ac:dyDescent="0.25">
      <c r="A77" t="s">
        <v>974</v>
      </c>
      <c r="B77" s="90"/>
      <c r="C77" s="90">
        <v>1.8E-5</v>
      </c>
      <c r="D77" s="34">
        <v>2</v>
      </c>
      <c r="E77" s="34">
        <v>1.1429999999999999E-3</v>
      </c>
      <c r="F77" s="41">
        <v>488</v>
      </c>
    </row>
    <row r="78" spans="1:6" ht="15.75" customHeight="1" x14ac:dyDescent="0.25">
      <c r="A78" t="s">
        <v>975</v>
      </c>
      <c r="B78" s="90"/>
      <c r="C78" s="90"/>
      <c r="D78" s="34"/>
      <c r="E78" s="34">
        <v>0</v>
      </c>
      <c r="F78" s="41">
        <v>1</v>
      </c>
    </row>
    <row r="79" spans="1:6" ht="15.75" customHeight="1" x14ac:dyDescent="0.25">
      <c r="A79" t="s">
        <v>6866</v>
      </c>
      <c r="B79" s="90"/>
      <c r="C79" s="90"/>
      <c r="D79" s="34"/>
      <c r="E79" s="34">
        <v>1.9999999999999999E-6</v>
      </c>
      <c r="F79" s="41">
        <v>6</v>
      </c>
    </row>
    <row r="80" spans="1:6" ht="15.75" customHeight="1" x14ac:dyDescent="0.25">
      <c r="A80" t="s">
        <v>976</v>
      </c>
      <c r="B80" s="90"/>
      <c r="C80" s="90">
        <v>9.1299999999999997E-4</v>
      </c>
      <c r="D80" s="34">
        <v>213</v>
      </c>
      <c r="E80" s="34">
        <v>2.0000000000000002E-5</v>
      </c>
      <c r="F80" s="41">
        <v>13</v>
      </c>
    </row>
    <row r="81" spans="1:6" ht="15.75" customHeight="1" x14ac:dyDescent="0.25">
      <c r="A81" t="s">
        <v>977</v>
      </c>
      <c r="B81" s="90"/>
      <c r="C81" s="90"/>
      <c r="D81" s="34"/>
      <c r="E81" s="34">
        <v>8.7999999999999998E-5</v>
      </c>
      <c r="F81" s="41">
        <v>25</v>
      </c>
    </row>
    <row r="82" spans="1:6" ht="15.75" customHeight="1" x14ac:dyDescent="0.25">
      <c r="A82" t="s">
        <v>978</v>
      </c>
      <c r="B82" s="90"/>
      <c r="C82" s="90">
        <v>3.1329999999999999E-3</v>
      </c>
      <c r="D82" s="34">
        <v>812</v>
      </c>
      <c r="E82" s="34">
        <v>4.8799999999999999E-4</v>
      </c>
      <c r="F82" s="41">
        <v>136</v>
      </c>
    </row>
    <row r="83" spans="1:6" ht="15.75" customHeight="1" x14ac:dyDescent="0.25">
      <c r="A83" t="s">
        <v>979</v>
      </c>
      <c r="B83" s="90"/>
      <c r="C83" s="90"/>
      <c r="D83" s="34"/>
      <c r="E83" s="34">
        <v>0</v>
      </c>
      <c r="F83" s="41">
        <v>0</v>
      </c>
    </row>
    <row r="84" spans="1:6" ht="15.75" customHeight="1" x14ac:dyDescent="0.25">
      <c r="A84" t="s">
        <v>980</v>
      </c>
      <c r="B84" s="90"/>
      <c r="C84" s="90"/>
      <c r="D84" s="34"/>
      <c r="E84" s="34">
        <v>9.9999999999999995E-7</v>
      </c>
      <c r="F84" s="41">
        <v>1</v>
      </c>
    </row>
    <row r="85" spans="1:6" ht="15.75" customHeight="1" x14ac:dyDescent="0.25">
      <c r="A85" t="s">
        <v>981</v>
      </c>
      <c r="B85" s="90"/>
      <c r="C85" s="90">
        <v>1.11E-4</v>
      </c>
      <c r="D85" s="34">
        <v>19</v>
      </c>
      <c r="E85" s="34">
        <v>1.9999999999999999E-6</v>
      </c>
      <c r="F85" s="41">
        <v>5</v>
      </c>
    </row>
    <row r="86" spans="1:6" ht="15.75" customHeight="1" x14ac:dyDescent="0.25">
      <c r="A86" t="s">
        <v>6867</v>
      </c>
      <c r="B86" s="90"/>
      <c r="C86" s="90"/>
      <c r="D86" s="34"/>
      <c r="E86" s="34">
        <v>0</v>
      </c>
      <c r="F86" s="41">
        <v>0</v>
      </c>
    </row>
    <row r="87" spans="1:6" ht="15.75" customHeight="1" x14ac:dyDescent="0.25">
      <c r="A87" t="s">
        <v>982</v>
      </c>
      <c r="B87" s="90"/>
      <c r="C87" s="90"/>
      <c r="D87" s="34"/>
      <c r="E87" s="34">
        <v>4.6E-5</v>
      </c>
      <c r="F87" s="41">
        <v>63</v>
      </c>
    </row>
    <row r="88" spans="1:6" ht="15.75" customHeight="1" x14ac:dyDescent="0.25">
      <c r="A88" t="s">
        <v>983</v>
      </c>
      <c r="B88" s="90"/>
      <c r="C88" s="90">
        <v>0</v>
      </c>
      <c r="D88" s="34">
        <v>0</v>
      </c>
      <c r="E88" s="34">
        <v>1.5999999999999999E-5</v>
      </c>
      <c r="F88" s="41">
        <v>14</v>
      </c>
    </row>
    <row r="89" spans="1:6" ht="15.75" customHeight="1" x14ac:dyDescent="0.25">
      <c r="A89" t="s">
        <v>984</v>
      </c>
      <c r="B89" s="90"/>
      <c r="C89" s="90"/>
      <c r="D89" s="34"/>
      <c r="E89" s="34">
        <v>0</v>
      </c>
      <c r="F89" s="41">
        <v>1</v>
      </c>
    </row>
    <row r="90" spans="1:6" ht="15.75" customHeight="1" x14ac:dyDescent="0.25">
      <c r="A90" t="s">
        <v>985</v>
      </c>
      <c r="B90" s="90"/>
      <c r="C90" s="90"/>
      <c r="D90" s="34"/>
      <c r="E90" s="34">
        <v>0</v>
      </c>
      <c r="F90" s="41">
        <v>1</v>
      </c>
    </row>
    <row r="91" spans="1:6" ht="15.75" customHeight="1" x14ac:dyDescent="0.25">
      <c r="A91" t="s">
        <v>986</v>
      </c>
      <c r="B91" s="90"/>
      <c r="C91" s="90">
        <v>0</v>
      </c>
      <c r="D91" s="34">
        <v>0</v>
      </c>
      <c r="E91" s="34">
        <v>1.2E-5</v>
      </c>
      <c r="F91" s="41">
        <v>5</v>
      </c>
    </row>
    <row r="92" spans="1:6" ht="15.75" customHeight="1" x14ac:dyDescent="0.25">
      <c r="A92" t="s">
        <v>6868</v>
      </c>
      <c r="B92" s="90"/>
      <c r="C92" s="90">
        <v>1.7699999999999999E-4</v>
      </c>
      <c r="D92" s="34">
        <v>46</v>
      </c>
      <c r="E92" s="34">
        <v>2.0000000000000002E-5</v>
      </c>
      <c r="F92" s="41">
        <v>8</v>
      </c>
    </row>
    <row r="93" spans="1:6" ht="15.75" customHeight="1" x14ac:dyDescent="0.25">
      <c r="A93" t="s">
        <v>987</v>
      </c>
      <c r="B93" s="90"/>
      <c r="C93" s="90"/>
      <c r="D93" s="34"/>
      <c r="E93" s="34">
        <v>1.9999999999999999E-6</v>
      </c>
      <c r="F93" s="41">
        <v>4</v>
      </c>
    </row>
    <row r="94" spans="1:6" ht="15.75" customHeight="1" x14ac:dyDescent="0.25">
      <c r="A94" t="s">
        <v>988</v>
      </c>
      <c r="B94" s="90"/>
      <c r="C94" s="90">
        <v>0</v>
      </c>
      <c r="D94" s="34">
        <v>0</v>
      </c>
      <c r="E94" s="34">
        <v>1.2999999999999999E-4</v>
      </c>
      <c r="F94" s="41">
        <v>51</v>
      </c>
    </row>
    <row r="95" spans="1:6" ht="15.75" customHeight="1" x14ac:dyDescent="0.25">
      <c r="A95" t="s">
        <v>6869</v>
      </c>
      <c r="B95" s="90"/>
      <c r="C95" s="90"/>
      <c r="D95" s="34"/>
      <c r="E95" s="34">
        <v>4.8999999999999998E-5</v>
      </c>
      <c r="F95" s="41">
        <v>18</v>
      </c>
    </row>
    <row r="96" spans="1:6" ht="15.75" customHeight="1" x14ac:dyDescent="0.25">
      <c r="A96" t="s">
        <v>989</v>
      </c>
      <c r="B96" s="90"/>
      <c r="C96" s="90">
        <v>3.9360000000000003E-3</v>
      </c>
      <c r="D96" s="34">
        <v>600</v>
      </c>
      <c r="E96" s="34">
        <v>6.2760000000000003E-3</v>
      </c>
      <c r="F96" s="41">
        <v>1931</v>
      </c>
    </row>
    <row r="97" spans="1:6" ht="15.75" customHeight="1" x14ac:dyDescent="0.25">
      <c r="A97" t="s">
        <v>990</v>
      </c>
      <c r="B97" s="90"/>
      <c r="C97" s="90">
        <v>1.16E-4</v>
      </c>
      <c r="D97" s="34">
        <v>47</v>
      </c>
      <c r="E97" s="34">
        <v>5.0000000000000004E-6</v>
      </c>
      <c r="F97" s="41">
        <v>7</v>
      </c>
    </row>
    <row r="98" spans="1:6" ht="15.75" customHeight="1" x14ac:dyDescent="0.25">
      <c r="A98" t="s">
        <v>991</v>
      </c>
      <c r="B98" s="90"/>
      <c r="C98" s="90"/>
      <c r="D98" s="34"/>
      <c r="E98" s="34">
        <v>2.0999999999999999E-5</v>
      </c>
      <c r="F98" s="41">
        <v>10</v>
      </c>
    </row>
    <row r="99" spans="1:6" ht="15.75" customHeight="1" x14ac:dyDescent="0.25">
      <c r="A99" t="s">
        <v>6870</v>
      </c>
      <c r="B99" s="90"/>
      <c r="C99" s="90"/>
      <c r="D99" s="34"/>
      <c r="E99" s="34">
        <v>0</v>
      </c>
      <c r="F99" s="41">
        <v>0</v>
      </c>
    </row>
    <row r="100" spans="1:6" ht="15.75" customHeight="1" x14ac:dyDescent="0.25">
      <c r="A100" t="s">
        <v>992</v>
      </c>
      <c r="B100" s="90"/>
      <c r="C100" s="90"/>
      <c r="D100" s="34"/>
      <c r="E100" s="34">
        <v>3.761E-3</v>
      </c>
      <c r="F100" s="41">
        <v>337</v>
      </c>
    </row>
    <row r="101" spans="1:6" ht="15.75" customHeight="1" x14ac:dyDescent="0.25">
      <c r="A101" t="s">
        <v>6871</v>
      </c>
      <c r="B101" s="90"/>
      <c r="C101" s="90">
        <v>0</v>
      </c>
      <c r="D101" s="34">
        <v>0</v>
      </c>
      <c r="E101" s="34"/>
      <c r="F101" s="41"/>
    </row>
    <row r="102" spans="1:6" ht="15.75" customHeight="1" x14ac:dyDescent="0.25">
      <c r="A102" t="s">
        <v>993</v>
      </c>
      <c r="B102" s="90"/>
      <c r="C102" s="90"/>
      <c r="D102" s="34"/>
      <c r="E102" s="34">
        <v>9.9999999999999995E-7</v>
      </c>
      <c r="F102" s="41">
        <v>6</v>
      </c>
    </row>
    <row r="103" spans="1:6" ht="15.75" customHeight="1" x14ac:dyDescent="0.25">
      <c r="A103" t="s">
        <v>995</v>
      </c>
      <c r="B103" s="90"/>
      <c r="C103" s="90"/>
      <c r="D103" s="34"/>
      <c r="E103" s="34">
        <v>0</v>
      </c>
      <c r="F103" s="41">
        <v>1</v>
      </c>
    </row>
    <row r="104" spans="1:6" ht="15.75" customHeight="1" x14ac:dyDescent="0.25">
      <c r="A104" t="s">
        <v>996</v>
      </c>
      <c r="B104" s="90"/>
      <c r="C104" s="90">
        <v>1.616E-3</v>
      </c>
      <c r="D104" s="34">
        <v>22</v>
      </c>
      <c r="E104" s="34">
        <v>2.9E-5</v>
      </c>
      <c r="F104" s="41">
        <v>8</v>
      </c>
    </row>
    <row r="105" spans="1:6" ht="15.75" customHeight="1" x14ac:dyDescent="0.25">
      <c r="A105" t="s">
        <v>997</v>
      </c>
      <c r="B105" s="90"/>
      <c r="C105" s="90"/>
      <c r="D105" s="34"/>
      <c r="E105" s="34">
        <v>0</v>
      </c>
      <c r="F105" s="41">
        <v>4</v>
      </c>
    </row>
    <row r="106" spans="1:6" ht="15.75" customHeight="1" x14ac:dyDescent="0.25">
      <c r="A106" t="s">
        <v>998</v>
      </c>
      <c r="B106" s="90"/>
      <c r="C106" s="90">
        <v>0</v>
      </c>
      <c r="D106" s="34">
        <v>0</v>
      </c>
      <c r="E106" s="34">
        <v>1.3899999999999999E-4</v>
      </c>
      <c r="F106" s="41">
        <v>48</v>
      </c>
    </row>
    <row r="107" spans="1:6" ht="15.75" customHeight="1" x14ac:dyDescent="0.25">
      <c r="A107" t="s">
        <v>999</v>
      </c>
      <c r="B107" s="90"/>
      <c r="C107" s="90"/>
      <c r="D107" s="34"/>
      <c r="E107" s="34">
        <v>0</v>
      </c>
      <c r="F107" s="41">
        <v>3</v>
      </c>
    </row>
    <row r="108" spans="1:6" ht="15.75" customHeight="1" x14ac:dyDescent="0.25">
      <c r="A108" t="s">
        <v>6872</v>
      </c>
      <c r="B108" s="90"/>
      <c r="C108" s="90"/>
      <c r="D108" s="34"/>
      <c r="E108" s="34">
        <v>3.6000000000000003E-6</v>
      </c>
      <c r="F108" s="41">
        <v>2.76</v>
      </c>
    </row>
    <row r="109" spans="1:6" ht="15.75" customHeight="1" x14ac:dyDescent="0.25">
      <c r="A109" t="s">
        <v>1000</v>
      </c>
      <c r="B109" s="90"/>
      <c r="C109" s="90">
        <v>2.3699999999999999E-4</v>
      </c>
      <c r="D109" s="34">
        <v>82</v>
      </c>
      <c r="E109" s="34">
        <v>8.9099999999999997E-4</v>
      </c>
      <c r="F109" s="41">
        <v>209</v>
      </c>
    </row>
    <row r="110" spans="1:6" ht="15.75" customHeight="1" x14ac:dyDescent="0.25">
      <c r="A110" t="s">
        <v>1001</v>
      </c>
      <c r="B110" s="90"/>
      <c r="C110" s="90">
        <v>3.6000000000000002E-4</v>
      </c>
      <c r="D110" s="34">
        <v>88</v>
      </c>
      <c r="E110" s="34">
        <v>1.9000000000000001E-5</v>
      </c>
      <c r="F110" s="41">
        <v>18</v>
      </c>
    </row>
    <row r="111" spans="1:6" ht="15.75" customHeight="1" x14ac:dyDescent="0.25">
      <c r="A111" t="s">
        <v>1002</v>
      </c>
      <c r="B111" s="90"/>
      <c r="C111" s="90"/>
      <c r="D111" s="34"/>
      <c r="E111" s="34">
        <v>1.9999999999999999E-6</v>
      </c>
      <c r="F111" s="41">
        <v>1</v>
      </c>
    </row>
    <row r="112" spans="1:6" ht="15.75" customHeight="1" x14ac:dyDescent="0.25">
      <c r="A112" t="s">
        <v>1003</v>
      </c>
      <c r="B112" s="90"/>
      <c r="C112" s="90"/>
      <c r="D112" s="34"/>
      <c r="E112" s="34">
        <v>1.0000000000000001E-5</v>
      </c>
      <c r="F112" s="41">
        <v>11</v>
      </c>
    </row>
    <row r="113" spans="1:6" ht="15.75" customHeight="1" x14ac:dyDescent="0.25">
      <c r="A113" t="s">
        <v>1004</v>
      </c>
      <c r="B113" s="90"/>
      <c r="C113" s="90">
        <v>0</v>
      </c>
      <c r="D113" s="34">
        <v>0</v>
      </c>
      <c r="E113" s="34">
        <v>1.5E-5</v>
      </c>
      <c r="F113" s="41">
        <v>20</v>
      </c>
    </row>
    <row r="114" spans="1:6" ht="15.75" customHeight="1" x14ac:dyDescent="0.25">
      <c r="A114" t="s">
        <v>6873</v>
      </c>
      <c r="B114" s="90"/>
      <c r="C114" s="90"/>
      <c r="D114" s="34"/>
      <c r="E114" s="34">
        <v>0</v>
      </c>
      <c r="F114" s="41">
        <v>0</v>
      </c>
    </row>
    <row r="115" spans="1:6" ht="15.75" customHeight="1" x14ac:dyDescent="0.25">
      <c r="A115" t="s">
        <v>6874</v>
      </c>
      <c r="B115" s="90"/>
      <c r="C115" s="90"/>
      <c r="D115" s="34"/>
      <c r="E115" s="34">
        <v>9.9999999999999995E-7</v>
      </c>
      <c r="F115" s="41">
        <v>3</v>
      </c>
    </row>
    <row r="116" spans="1:6" ht="15.75" customHeight="1" x14ac:dyDescent="0.25">
      <c r="A116" t="s">
        <v>1005</v>
      </c>
      <c r="B116" s="90"/>
      <c r="C116" s="90">
        <v>3.1999999999999999E-5</v>
      </c>
      <c r="D116" s="34">
        <v>8</v>
      </c>
      <c r="E116" s="34">
        <v>1.5100000000000001E-4</v>
      </c>
      <c r="F116" s="41">
        <v>28</v>
      </c>
    </row>
    <row r="117" spans="1:6" ht="15.75" customHeight="1" x14ac:dyDescent="0.25">
      <c r="A117" t="s">
        <v>6875</v>
      </c>
      <c r="B117" s="90"/>
      <c r="C117" s="90">
        <v>0</v>
      </c>
      <c r="D117" s="34">
        <v>0</v>
      </c>
      <c r="E117" s="34"/>
      <c r="F117" s="41"/>
    </row>
    <row r="118" spans="1:6" ht="15.75" customHeight="1" x14ac:dyDescent="0.25">
      <c r="A118" t="s">
        <v>1006</v>
      </c>
      <c r="B118" s="90"/>
      <c r="C118" s="90"/>
      <c r="D118" s="34"/>
      <c r="E118" s="34">
        <v>5.7000000000000003E-5</v>
      </c>
      <c r="F118" s="41">
        <v>25</v>
      </c>
    </row>
    <row r="119" spans="1:6" ht="15.75" customHeight="1" x14ac:dyDescent="0.25">
      <c r="A119" t="s">
        <v>1007</v>
      </c>
      <c r="B119" s="90"/>
      <c r="C119" s="90">
        <v>6.0000000000000002E-6</v>
      </c>
      <c r="D119" s="34">
        <v>1</v>
      </c>
      <c r="E119" s="34">
        <v>6.1679999999999999E-3</v>
      </c>
      <c r="F119" s="41">
        <v>1128</v>
      </c>
    </row>
    <row r="120" spans="1:6" ht="15.75" customHeight="1" x14ac:dyDescent="0.25">
      <c r="A120" t="s">
        <v>1008</v>
      </c>
      <c r="B120" s="90"/>
      <c r="C120" s="90">
        <v>9.9999999999999995E-7</v>
      </c>
      <c r="D120" s="34">
        <v>1</v>
      </c>
      <c r="E120" s="34">
        <v>9.9999999999999995E-7</v>
      </c>
      <c r="F120" s="41">
        <v>1</v>
      </c>
    </row>
    <row r="121" spans="1:6" ht="15.75" customHeight="1" x14ac:dyDescent="0.25">
      <c r="A121" t="s">
        <v>1009</v>
      </c>
      <c r="B121" s="90"/>
      <c r="C121" s="90">
        <v>0</v>
      </c>
      <c r="D121" s="34">
        <v>0</v>
      </c>
      <c r="E121" s="34">
        <v>4.3999999999999999E-5</v>
      </c>
      <c r="F121" s="41">
        <v>12</v>
      </c>
    </row>
    <row r="122" spans="1:6" ht="15.75" customHeight="1" x14ac:dyDescent="0.25">
      <c r="A122" t="s">
        <v>965</v>
      </c>
      <c r="B122" s="90"/>
      <c r="C122" s="90">
        <v>9.9999999999999995E-7</v>
      </c>
      <c r="D122" s="34">
        <v>13</v>
      </c>
      <c r="E122" s="34">
        <v>3.6000000000000002E-4</v>
      </c>
      <c r="F122" s="41">
        <v>92</v>
      </c>
    </row>
    <row r="123" spans="1:6" ht="15.75" customHeight="1" x14ac:dyDescent="0.25">
      <c r="A123" t="s">
        <v>1010</v>
      </c>
      <c r="B123" s="90"/>
      <c r="C123" s="90">
        <v>0</v>
      </c>
      <c r="D123" s="34">
        <v>0</v>
      </c>
      <c r="E123" s="34">
        <v>2.1100000000000001E-4</v>
      </c>
      <c r="F123" s="41">
        <v>60</v>
      </c>
    </row>
    <row r="124" spans="1:6" ht="15.75" customHeight="1" x14ac:dyDescent="0.25">
      <c r="A124" t="s">
        <v>1011</v>
      </c>
      <c r="B124" s="90"/>
      <c r="C124" s="90">
        <v>1.4999999999999999E-4</v>
      </c>
      <c r="D124" s="34">
        <v>5</v>
      </c>
      <c r="E124" s="34">
        <v>9.9999999999999995E-7</v>
      </c>
      <c r="F124" s="41">
        <v>10</v>
      </c>
    </row>
    <row r="125" spans="1:6" ht="15.75" customHeight="1" x14ac:dyDescent="0.25">
      <c r="A125" t="s">
        <v>1012</v>
      </c>
      <c r="B125" s="90"/>
      <c r="C125" s="90"/>
      <c r="D125" s="34"/>
      <c r="E125" s="34">
        <v>1.75E-4</v>
      </c>
      <c r="F125" s="41">
        <v>49</v>
      </c>
    </row>
    <row r="126" spans="1:6" ht="15.75" customHeight="1" x14ac:dyDescent="0.25">
      <c r="A126" t="s">
        <v>1013</v>
      </c>
      <c r="B126" s="90"/>
      <c r="C126" s="90">
        <v>0</v>
      </c>
      <c r="D126" s="34">
        <v>0</v>
      </c>
      <c r="E126" s="34">
        <v>0</v>
      </c>
      <c r="F126" s="41">
        <v>0</v>
      </c>
    </row>
    <row r="127" spans="1:6" ht="15.75" customHeight="1" x14ac:dyDescent="0.25">
      <c r="A127" t="s">
        <v>1014</v>
      </c>
      <c r="B127" s="90"/>
      <c r="C127" s="90"/>
      <c r="D127" s="34"/>
      <c r="E127" s="34">
        <v>0</v>
      </c>
      <c r="F127" s="41">
        <v>0</v>
      </c>
    </row>
    <row r="128" spans="1:6" ht="15.75" customHeight="1" x14ac:dyDescent="0.25">
      <c r="A128" t="s">
        <v>1015</v>
      </c>
      <c r="B128" s="90"/>
      <c r="C128" s="90"/>
      <c r="D128" s="34"/>
      <c r="E128" s="34">
        <v>6.9999999999999999E-6</v>
      </c>
      <c r="F128" s="41">
        <v>3</v>
      </c>
    </row>
    <row r="129" spans="1:6" ht="15.75" customHeight="1" x14ac:dyDescent="0.25">
      <c r="A129" t="s">
        <v>1016</v>
      </c>
      <c r="B129" s="90"/>
      <c r="C129" s="90"/>
      <c r="D129" s="34"/>
      <c r="E129" s="34">
        <v>1.9999999999999999E-6</v>
      </c>
      <c r="F129" s="41">
        <v>1</v>
      </c>
    </row>
    <row r="130" spans="1:6" ht="15.75" customHeight="1" x14ac:dyDescent="0.25">
      <c r="A130" t="s">
        <v>1017</v>
      </c>
      <c r="B130" s="90"/>
      <c r="C130" s="90">
        <v>1.9999999999999999E-6</v>
      </c>
      <c r="D130" s="34">
        <v>1</v>
      </c>
      <c r="E130" s="34">
        <v>1.5999999999999999E-5</v>
      </c>
      <c r="F130" s="41">
        <v>4</v>
      </c>
    </row>
    <row r="131" spans="1:6" ht="15.75" customHeight="1" x14ac:dyDescent="0.25">
      <c r="A131" t="s">
        <v>1018</v>
      </c>
      <c r="B131" s="90"/>
      <c r="C131" s="90"/>
      <c r="D131" s="34"/>
      <c r="E131" s="34">
        <v>0</v>
      </c>
      <c r="F131" s="41">
        <v>0</v>
      </c>
    </row>
    <row r="132" spans="1:6" ht="15.75" customHeight="1" x14ac:dyDescent="0.25">
      <c r="A132" t="s">
        <v>1019</v>
      </c>
      <c r="B132" s="90"/>
      <c r="C132" s="90">
        <v>3.1000000000000001E-5</v>
      </c>
      <c r="D132" s="34">
        <v>14</v>
      </c>
      <c r="E132" s="34">
        <v>5.0000000000000004E-6</v>
      </c>
      <c r="F132" s="41">
        <v>1</v>
      </c>
    </row>
    <row r="133" spans="1:6" ht="15.75" customHeight="1" x14ac:dyDescent="0.25">
      <c r="A133" t="s">
        <v>6876</v>
      </c>
      <c r="B133" s="90"/>
      <c r="C133" s="90"/>
      <c r="D133" s="34"/>
      <c r="E133" s="34">
        <v>0</v>
      </c>
      <c r="F133" s="41">
        <v>0</v>
      </c>
    </row>
    <row r="134" spans="1:6" ht="15.75" customHeight="1" x14ac:dyDescent="0.25">
      <c r="A134" t="s">
        <v>957</v>
      </c>
      <c r="B134" s="90"/>
      <c r="C134" s="90">
        <v>3.5100000000000002E-4</v>
      </c>
      <c r="D134" s="34">
        <v>62</v>
      </c>
      <c r="E134" s="34"/>
      <c r="F134" s="41"/>
    </row>
    <row r="135" spans="1:6" ht="15.75" customHeight="1" x14ac:dyDescent="0.25">
      <c r="A135" t="s">
        <v>1020</v>
      </c>
      <c r="B135" s="90"/>
      <c r="C135" s="90">
        <v>1.3999999999999999E-4</v>
      </c>
      <c r="D135" s="34">
        <v>44</v>
      </c>
      <c r="E135" s="34">
        <v>0</v>
      </c>
      <c r="F135" s="41">
        <v>1</v>
      </c>
    </row>
    <row r="136" spans="1:6" ht="15.75" customHeight="1" x14ac:dyDescent="0.25">
      <c r="A136" t="s">
        <v>1021</v>
      </c>
      <c r="B136" s="90"/>
      <c r="C136" s="90"/>
      <c r="D136" s="34"/>
      <c r="E136" s="34">
        <v>0</v>
      </c>
      <c r="F136" s="41">
        <v>1</v>
      </c>
    </row>
    <row r="137" spans="1:6" ht="15.75" customHeight="1" x14ac:dyDescent="0.25">
      <c r="A137" t="s">
        <v>1022</v>
      </c>
      <c r="B137" s="90"/>
      <c r="C137" s="90">
        <v>4.2400000000000001E-4</v>
      </c>
      <c r="D137" s="34">
        <v>47</v>
      </c>
      <c r="E137" s="34">
        <v>0</v>
      </c>
      <c r="F137" s="41">
        <v>0</v>
      </c>
    </row>
    <row r="138" spans="1:6" ht="15.75" customHeight="1" x14ac:dyDescent="0.25">
      <c r="A138" t="s">
        <v>1023</v>
      </c>
      <c r="B138" s="90"/>
      <c r="C138" s="90">
        <v>0</v>
      </c>
      <c r="D138" s="34">
        <v>0</v>
      </c>
      <c r="E138" s="34">
        <v>2.5999999999999998E-5</v>
      </c>
      <c r="F138" s="41">
        <v>11</v>
      </c>
    </row>
    <row r="139" spans="1:6" ht="15.75" customHeight="1" x14ac:dyDescent="0.25">
      <c r="A139" t="s">
        <v>1024</v>
      </c>
      <c r="B139" s="90"/>
      <c r="C139" s="90">
        <v>2.7820000000000001E-5</v>
      </c>
      <c r="D139" s="34">
        <v>3.76</v>
      </c>
      <c r="E139" s="34">
        <v>3.0000000000000001E-5</v>
      </c>
      <c r="F139" s="41">
        <v>7</v>
      </c>
    </row>
    <row r="140" spans="1:6" ht="15.75" customHeight="1" x14ac:dyDescent="0.25">
      <c r="A140" t="s">
        <v>1025</v>
      </c>
      <c r="B140" s="90"/>
      <c r="C140" s="90"/>
      <c r="D140" s="34"/>
      <c r="E140" s="34">
        <v>2.5599999999999999E-4</v>
      </c>
      <c r="F140" s="41">
        <v>75</v>
      </c>
    </row>
    <row r="141" spans="1:6" ht="15.75" customHeight="1" x14ac:dyDescent="0.25">
      <c r="A141" t="s">
        <v>1026</v>
      </c>
      <c r="B141" s="90"/>
      <c r="C141" s="90">
        <v>0</v>
      </c>
      <c r="D141" s="34">
        <v>0</v>
      </c>
      <c r="E141" s="34">
        <v>0</v>
      </c>
      <c r="F141" s="41">
        <v>1</v>
      </c>
    </row>
    <row r="142" spans="1:6" ht="15.75" customHeight="1" x14ac:dyDescent="0.25">
      <c r="A142" t="s">
        <v>1027</v>
      </c>
      <c r="B142" s="90"/>
      <c r="C142" s="90">
        <v>0</v>
      </c>
      <c r="D142" s="34">
        <v>0</v>
      </c>
      <c r="E142" s="34">
        <v>1.44E-4</v>
      </c>
      <c r="F142" s="41">
        <v>14</v>
      </c>
    </row>
    <row r="143" spans="1:6" ht="15.75" customHeight="1" x14ac:dyDescent="0.25">
      <c r="A143" t="s">
        <v>1028</v>
      </c>
      <c r="B143" s="90"/>
      <c r="C143" s="90"/>
      <c r="D143" s="34"/>
      <c r="E143" s="34">
        <v>0</v>
      </c>
      <c r="F143" s="41">
        <v>0</v>
      </c>
    </row>
    <row r="144" spans="1:6" ht="15.75" customHeight="1" x14ac:dyDescent="0.25">
      <c r="A144" t="s">
        <v>1029</v>
      </c>
      <c r="B144" s="90"/>
      <c r="C144" s="90"/>
      <c r="D144" s="34"/>
      <c r="E144" s="34">
        <v>1.21E-4</v>
      </c>
      <c r="F144" s="41">
        <v>34</v>
      </c>
    </row>
    <row r="145" spans="1:6" ht="15.75" customHeight="1" x14ac:dyDescent="0.25">
      <c r="A145" t="s">
        <v>1030</v>
      </c>
      <c r="B145" s="90"/>
      <c r="C145" s="90">
        <v>4.1999999999999998E-5</v>
      </c>
      <c r="D145" s="34">
        <v>46</v>
      </c>
      <c r="E145" s="34">
        <v>2.4499999999999999E-4</v>
      </c>
      <c r="F145" s="41">
        <v>178</v>
      </c>
    </row>
    <row r="146" spans="1:6" ht="15.75" customHeight="1" x14ac:dyDescent="0.25">
      <c r="A146" t="s">
        <v>259</v>
      </c>
      <c r="B146" s="90"/>
      <c r="C146" s="90"/>
      <c r="D146" s="34"/>
      <c r="E146" s="34">
        <v>1.5E-5</v>
      </c>
      <c r="F146" s="41">
        <v>4</v>
      </c>
    </row>
    <row r="147" spans="1:6" ht="15.75" customHeight="1" x14ac:dyDescent="0.25">
      <c r="A147" t="s">
        <v>1031</v>
      </c>
      <c r="B147" s="90"/>
      <c r="C147" s="90"/>
      <c r="D147" s="34"/>
      <c r="E147" s="34">
        <v>6.9999999999999999E-6</v>
      </c>
      <c r="F147" s="41">
        <v>23</v>
      </c>
    </row>
    <row r="148" spans="1:6" ht="15.75" customHeight="1" x14ac:dyDescent="0.25">
      <c r="A148" t="s">
        <v>1032</v>
      </c>
      <c r="B148" s="90"/>
      <c r="C148" s="90"/>
      <c r="D148" s="34"/>
      <c r="E148" s="34">
        <v>2.9640000000000001E-3</v>
      </c>
      <c r="F148" s="41">
        <v>468</v>
      </c>
    </row>
    <row r="149" spans="1:6" ht="15.75" customHeight="1" x14ac:dyDescent="0.25">
      <c r="A149" t="s">
        <v>1033</v>
      </c>
      <c r="B149" s="90"/>
      <c r="C149" s="90">
        <v>1.46E-4</v>
      </c>
      <c r="D149" s="34">
        <v>42</v>
      </c>
      <c r="E149" s="34">
        <v>2.2000000000000001E-4</v>
      </c>
      <c r="F149" s="41">
        <v>47</v>
      </c>
    </row>
    <row r="150" spans="1:6" ht="15.75" customHeight="1" x14ac:dyDescent="0.25">
      <c r="A150" t="s">
        <v>1034</v>
      </c>
      <c r="B150" s="90"/>
      <c r="C150" s="90">
        <v>0</v>
      </c>
      <c r="D150" s="34">
        <v>1</v>
      </c>
      <c r="E150" s="34">
        <v>1.3899999999999999E-4</v>
      </c>
      <c r="F150" s="41">
        <v>189</v>
      </c>
    </row>
    <row r="151" spans="1:6" ht="15.75" customHeight="1" x14ac:dyDescent="0.25">
      <c r="A151" t="s">
        <v>1035</v>
      </c>
      <c r="B151" s="90"/>
      <c r="C151" s="90">
        <v>5.2300000000000003E-4</v>
      </c>
      <c r="D151" s="34">
        <v>35</v>
      </c>
      <c r="E151" s="34">
        <v>1.5579999999999999E-3</v>
      </c>
      <c r="F151" s="41">
        <v>512</v>
      </c>
    </row>
    <row r="152" spans="1:6" ht="15.75" customHeight="1" x14ac:dyDescent="0.25">
      <c r="A152" t="s">
        <v>1036</v>
      </c>
      <c r="B152" s="90"/>
      <c r="C152" s="90"/>
      <c r="D152" s="34"/>
      <c r="E152" s="34">
        <v>8.6000000000000003E-5</v>
      </c>
      <c r="F152" s="41">
        <v>24</v>
      </c>
    </row>
    <row r="153" spans="1:6" ht="15.75" customHeight="1" x14ac:dyDescent="0.25">
      <c r="A153" t="s">
        <v>1037</v>
      </c>
      <c r="B153" s="90"/>
      <c r="C153" s="90">
        <v>3.6000000000000002E-4</v>
      </c>
      <c r="D153" s="34">
        <v>82</v>
      </c>
      <c r="E153" s="34">
        <v>9.9999999999999995E-7</v>
      </c>
      <c r="F153" s="41">
        <v>15</v>
      </c>
    </row>
    <row r="154" spans="1:6" ht="15.75" customHeight="1" x14ac:dyDescent="0.25">
      <c r="A154" t="s">
        <v>1038</v>
      </c>
      <c r="B154" s="90"/>
      <c r="C154" s="90"/>
      <c r="D154" s="34"/>
      <c r="E154" s="34">
        <v>6.0000000000000002E-5</v>
      </c>
      <c r="F154" s="41">
        <v>13</v>
      </c>
    </row>
    <row r="155" spans="1:6" ht="15.75" customHeight="1" x14ac:dyDescent="0.25">
      <c r="A155" t="s">
        <v>1039</v>
      </c>
      <c r="B155" s="90"/>
      <c r="C155" s="90"/>
      <c r="D155" s="34"/>
      <c r="E155" s="34">
        <v>1.5999999999999999E-5</v>
      </c>
      <c r="F155" s="41">
        <v>4</v>
      </c>
    </row>
    <row r="156" spans="1:6" ht="15.75" customHeight="1" x14ac:dyDescent="0.25">
      <c r="A156" t="s">
        <v>1040</v>
      </c>
      <c r="B156" s="90"/>
      <c r="C156" s="90"/>
      <c r="D156" s="34"/>
      <c r="E156" s="34">
        <v>5.692E-3</v>
      </c>
      <c r="F156" s="41">
        <v>1947</v>
      </c>
    </row>
    <row r="157" spans="1:6" ht="15.75" customHeight="1" x14ac:dyDescent="0.25">
      <c r="A157" t="s">
        <v>1041</v>
      </c>
      <c r="B157" s="90"/>
      <c r="C157" s="90">
        <v>0</v>
      </c>
      <c r="D157" s="34">
        <v>3</v>
      </c>
      <c r="E157" s="34">
        <v>2.0000000000000001E-4</v>
      </c>
      <c r="F157" s="41">
        <v>79</v>
      </c>
    </row>
    <row r="158" spans="1:6" ht="15.75" customHeight="1" x14ac:dyDescent="0.25">
      <c r="A158" t="s">
        <v>1042</v>
      </c>
      <c r="B158" s="90"/>
      <c r="C158" s="90"/>
      <c r="D158" s="34"/>
      <c r="E158" s="34">
        <v>2.0999999999999999E-5</v>
      </c>
      <c r="F158" s="41">
        <v>7</v>
      </c>
    </row>
    <row r="159" spans="1:6" ht="15.75" customHeight="1" x14ac:dyDescent="0.25">
      <c r="A159" t="s">
        <v>1043</v>
      </c>
      <c r="B159" s="90"/>
      <c r="C159" s="90"/>
      <c r="D159" s="34"/>
      <c r="E159" s="34">
        <v>0</v>
      </c>
      <c r="F159" s="41">
        <v>0</v>
      </c>
    </row>
    <row r="160" spans="1:6" ht="15.75" customHeight="1" x14ac:dyDescent="0.25">
      <c r="A160" t="s">
        <v>6878</v>
      </c>
      <c r="B160" s="90"/>
      <c r="C160" s="90">
        <v>4.6999999999999997E-5</v>
      </c>
      <c r="D160" s="34">
        <v>13</v>
      </c>
      <c r="E160" s="34"/>
      <c r="F160" s="41"/>
    </row>
    <row r="161" spans="1:6" ht="15.75" customHeight="1" x14ac:dyDescent="0.25">
      <c r="A161" t="s">
        <v>1044</v>
      </c>
      <c r="B161" s="90"/>
      <c r="C161" s="90">
        <v>6.8999999999999997E-5</v>
      </c>
      <c r="D161" s="34">
        <v>41</v>
      </c>
      <c r="E161" s="34">
        <v>2.1150000000000001E-3</v>
      </c>
      <c r="F161" s="41">
        <v>638</v>
      </c>
    </row>
    <row r="162" spans="1:6" ht="15.75" customHeight="1" x14ac:dyDescent="0.25">
      <c r="A162" t="s">
        <v>1045</v>
      </c>
      <c r="B162" s="90"/>
      <c r="C162" s="90">
        <v>3.0000000000000001E-6</v>
      </c>
      <c r="D162" s="34">
        <v>11</v>
      </c>
      <c r="E162" s="34">
        <v>3.8999999999999999E-5</v>
      </c>
      <c r="F162" s="41">
        <v>9</v>
      </c>
    </row>
    <row r="163" spans="1:6" ht="15.75" customHeight="1" x14ac:dyDescent="0.25">
      <c r="A163" t="s">
        <v>1046</v>
      </c>
      <c r="B163" s="90"/>
      <c r="C163" s="90"/>
      <c r="D163" s="34"/>
      <c r="E163" s="34">
        <v>0</v>
      </c>
      <c r="F163" s="41">
        <v>0</v>
      </c>
    </row>
    <row r="164" spans="1:6" ht="15.75" customHeight="1" x14ac:dyDescent="0.25">
      <c r="A164" t="s">
        <v>6879</v>
      </c>
      <c r="B164" s="90"/>
      <c r="C164" s="90">
        <v>6.8999999999999997E-5</v>
      </c>
      <c r="D164" s="34">
        <v>14</v>
      </c>
      <c r="E164" s="34">
        <v>9.9999999999999995E-7</v>
      </c>
      <c r="F164" s="41">
        <v>0</v>
      </c>
    </row>
    <row r="165" spans="1:6" ht="15.75" customHeight="1" x14ac:dyDescent="0.25">
      <c r="A165" t="s">
        <v>1047</v>
      </c>
      <c r="B165" s="90"/>
      <c r="C165" s="90"/>
      <c r="D165" s="34"/>
      <c r="E165" s="34">
        <v>2.0000000000000002E-5</v>
      </c>
      <c r="F165" s="41">
        <v>8</v>
      </c>
    </row>
    <row r="166" spans="1:6" ht="15.75" customHeight="1" x14ac:dyDescent="0.25">
      <c r="A166" t="s">
        <v>1048</v>
      </c>
      <c r="B166" s="90"/>
      <c r="C166" s="90">
        <v>0</v>
      </c>
      <c r="D166" s="34">
        <v>0</v>
      </c>
      <c r="E166" s="34">
        <v>0</v>
      </c>
      <c r="F166" s="41">
        <v>0</v>
      </c>
    </row>
    <row r="167" spans="1:6" ht="15.75" customHeight="1" x14ac:dyDescent="0.25">
      <c r="A167" t="s">
        <v>1049</v>
      </c>
      <c r="B167" s="90"/>
      <c r="C167" s="90"/>
      <c r="D167" s="34"/>
      <c r="E167" s="34">
        <v>9.9999999999999995E-7</v>
      </c>
      <c r="F167" s="41">
        <v>15</v>
      </c>
    </row>
    <row r="168" spans="1:6" ht="15.75" customHeight="1" x14ac:dyDescent="0.25">
      <c r="A168" t="s">
        <v>1050</v>
      </c>
      <c r="B168" s="90"/>
      <c r="C168" s="90">
        <v>1.01E-4</v>
      </c>
      <c r="D168" s="34">
        <v>26</v>
      </c>
      <c r="E168" s="34">
        <v>2.7789999999999998E-3</v>
      </c>
      <c r="F168" s="41">
        <v>776</v>
      </c>
    </row>
    <row r="169" spans="1:6" ht="15.75" customHeight="1" x14ac:dyDescent="0.25">
      <c r="A169" t="s">
        <v>1051</v>
      </c>
      <c r="B169" s="90"/>
      <c r="C169" s="90">
        <v>0</v>
      </c>
      <c r="D169" s="34">
        <v>0</v>
      </c>
      <c r="E169" s="34"/>
      <c r="F169" s="41"/>
    </row>
    <row r="170" spans="1:6" ht="15.75" customHeight="1" x14ac:dyDescent="0.25">
      <c r="A170" t="s">
        <v>6880</v>
      </c>
      <c r="B170" s="90"/>
      <c r="C170" s="90"/>
      <c r="D170" s="34"/>
      <c r="E170" s="34">
        <v>0</v>
      </c>
      <c r="F170" s="41">
        <v>0</v>
      </c>
    </row>
    <row r="171" spans="1:6" ht="15.75" customHeight="1" x14ac:dyDescent="0.25">
      <c r="A171" t="s">
        <v>1053</v>
      </c>
      <c r="B171" s="90"/>
      <c r="C171" s="90">
        <v>6.3E-5</v>
      </c>
      <c r="D171" s="34">
        <v>10</v>
      </c>
      <c r="E171" s="34">
        <v>9.9999999999999995E-7</v>
      </c>
      <c r="F171" s="41">
        <v>0</v>
      </c>
    </row>
    <row r="172" spans="1:6" ht="15.75" customHeight="1" x14ac:dyDescent="0.25"/>
    <row r="173" spans="1:6" ht="15.75" customHeight="1" x14ac:dyDescent="0.25">
      <c r="B173" s="91">
        <f>SUM(B2:B172)</f>
        <v>46.94409000000001</v>
      </c>
      <c r="C173" s="91">
        <f t="shared" ref="C173:F173" si="0">SUM(C2:C172)</f>
        <v>30.185059819999999</v>
      </c>
      <c r="D173" s="91">
        <f t="shared" si="0"/>
        <v>5915944.7599999998</v>
      </c>
      <c r="E173" s="91">
        <f t="shared" si="0"/>
        <v>27.561495600000004</v>
      </c>
      <c r="F173" s="91">
        <f t="shared" si="0"/>
        <v>6424857.7599999998</v>
      </c>
    </row>
    <row r="174" spans="1:6" ht="15.75" customHeight="1" x14ac:dyDescent="0.25"/>
    <row r="175" spans="1:6" ht="15.75" customHeight="1" x14ac:dyDescent="0.25"/>
    <row r="176" spans="1: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306C"/>
  </sheetPr>
  <dimension ref="A1:Z962"/>
  <sheetViews>
    <sheetView workbookViewId="0">
      <pane ySplit="1" topLeftCell="A48" activePane="bottomLeft" state="frozen"/>
      <selection pane="bottomLeft" activeCell="E68" sqref="E68"/>
    </sheetView>
  </sheetViews>
  <sheetFormatPr defaultColWidth="14.42578125" defaultRowHeight="15" customHeight="1" x14ac:dyDescent="0.25"/>
  <cols>
    <col min="1" max="1" width="42.140625" customWidth="1"/>
    <col min="2" max="2" width="9.140625" customWidth="1"/>
    <col min="3" max="3" width="12" customWidth="1"/>
    <col min="4" max="5" width="9.140625" customWidth="1"/>
    <col min="6" max="6" width="14.28515625" customWidth="1"/>
    <col min="7" max="8" width="9.140625" customWidth="1"/>
    <col min="9" max="9" width="10.5703125" customWidth="1"/>
    <col min="10" max="10" width="15" customWidth="1"/>
    <col min="11" max="26" width="9.140625" customWidth="1"/>
  </cols>
  <sheetData>
    <row r="1" spans="1:26" ht="60" x14ac:dyDescent="0.25">
      <c r="A1" s="29" t="s">
        <v>1054</v>
      </c>
      <c r="B1" s="29" t="s">
        <v>14</v>
      </c>
      <c r="C1" s="29" t="s">
        <v>1055</v>
      </c>
      <c r="D1" s="29" t="s">
        <v>731</v>
      </c>
      <c r="E1" s="29" t="s">
        <v>730</v>
      </c>
      <c r="F1" s="29" t="s">
        <v>1056</v>
      </c>
      <c r="G1" s="29" t="s">
        <v>1057</v>
      </c>
      <c r="H1" s="29" t="s">
        <v>1058</v>
      </c>
      <c r="I1" s="29" t="s">
        <v>1059</v>
      </c>
      <c r="J1" s="29" t="s">
        <v>1060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25">
      <c r="A2" s="5" t="s">
        <v>1061</v>
      </c>
      <c r="B2" s="5" t="s">
        <v>68</v>
      </c>
      <c r="C2" s="5" t="s">
        <v>1062</v>
      </c>
      <c r="D2" s="5">
        <v>37.385300000000001</v>
      </c>
      <c r="E2" s="5">
        <v>-121.14100000000001</v>
      </c>
      <c r="F2" s="85">
        <v>24</v>
      </c>
      <c r="G2" s="85">
        <v>19.899999999999999</v>
      </c>
      <c r="H2" s="85">
        <v>19.899999999999999</v>
      </c>
      <c r="I2" s="5">
        <v>3</v>
      </c>
      <c r="J2" s="5">
        <v>131183</v>
      </c>
    </row>
    <row r="3" spans="1:26" x14ac:dyDescent="0.25">
      <c r="A3" s="5" t="s">
        <v>1063</v>
      </c>
      <c r="B3" s="5" t="s">
        <v>68</v>
      </c>
      <c r="C3" s="5" t="s">
        <v>1064</v>
      </c>
      <c r="D3" s="5">
        <v>33.759236000000001</v>
      </c>
      <c r="E3" s="5">
        <v>-118.23992200000001</v>
      </c>
      <c r="F3" s="85">
        <v>35.6</v>
      </c>
      <c r="G3" s="85">
        <v>28</v>
      </c>
      <c r="H3" s="85">
        <v>26</v>
      </c>
      <c r="I3" s="5">
        <v>2</v>
      </c>
      <c r="J3" s="5">
        <v>188532</v>
      </c>
    </row>
    <row r="4" spans="1:26" x14ac:dyDescent="0.25">
      <c r="A4" s="5" t="s">
        <v>1065</v>
      </c>
      <c r="B4" s="5" t="s">
        <v>1066</v>
      </c>
      <c r="C4" s="5" t="s">
        <v>1067</v>
      </c>
      <c r="D4" s="5">
        <v>41.475000000000001</v>
      </c>
      <c r="E4" s="5">
        <v>-72.068799999999996</v>
      </c>
      <c r="F4" s="85">
        <v>18.3</v>
      </c>
      <c r="G4" s="85">
        <v>16.3</v>
      </c>
      <c r="H4" s="85">
        <v>18.100000000000001</v>
      </c>
      <c r="I4" s="5">
        <v>3</v>
      </c>
      <c r="J4" s="5">
        <v>122423</v>
      </c>
    </row>
    <row r="5" spans="1:26" x14ac:dyDescent="0.25">
      <c r="A5" s="5" t="s">
        <v>1068</v>
      </c>
      <c r="B5" s="5" t="s">
        <v>1066</v>
      </c>
      <c r="C5" s="5" t="s">
        <v>1069</v>
      </c>
      <c r="D5" s="5">
        <v>41.6492</v>
      </c>
      <c r="E5" s="5">
        <v>-72.915300000000002</v>
      </c>
      <c r="F5" s="85">
        <v>16.3</v>
      </c>
      <c r="G5" s="85">
        <v>13.2</v>
      </c>
      <c r="H5" s="85">
        <v>13.2</v>
      </c>
      <c r="I5" s="5">
        <v>0.5</v>
      </c>
      <c r="J5" s="5">
        <v>103215</v>
      </c>
    </row>
    <row r="6" spans="1:26" x14ac:dyDescent="0.25">
      <c r="A6" s="5" t="s">
        <v>1070</v>
      </c>
      <c r="B6" s="5" t="s">
        <v>1066</v>
      </c>
      <c r="C6" s="5" t="s">
        <v>1071</v>
      </c>
      <c r="D6" s="5">
        <v>41.162500000000001</v>
      </c>
      <c r="E6" s="5">
        <v>-73.208299999999994</v>
      </c>
      <c r="F6" s="85">
        <v>67</v>
      </c>
      <c r="G6" s="85">
        <v>58</v>
      </c>
      <c r="H6" s="85">
        <v>59</v>
      </c>
      <c r="I6" s="5">
        <v>10</v>
      </c>
      <c r="J6" s="5">
        <v>467149</v>
      </c>
    </row>
    <row r="7" spans="1:26" x14ac:dyDescent="0.25">
      <c r="A7" s="5" t="s">
        <v>1072</v>
      </c>
      <c r="B7" s="5" t="s">
        <v>1066</v>
      </c>
      <c r="C7" s="5" t="s">
        <v>1067</v>
      </c>
      <c r="D7" s="5">
        <v>41.584429</v>
      </c>
      <c r="E7" s="5">
        <v>-72.041629</v>
      </c>
      <c r="F7" s="85">
        <v>14.6</v>
      </c>
      <c r="G7" s="85">
        <v>13</v>
      </c>
      <c r="H7" s="85">
        <v>13</v>
      </c>
      <c r="I7" s="5">
        <v>2</v>
      </c>
      <c r="J7" s="5">
        <v>100141</v>
      </c>
    </row>
    <row r="8" spans="1:26" x14ac:dyDescent="0.25">
      <c r="A8" s="5" t="s">
        <v>1073</v>
      </c>
      <c r="B8" s="5" t="s">
        <v>1074</v>
      </c>
      <c r="C8" s="5" t="s">
        <v>1075</v>
      </c>
      <c r="D8" s="5">
        <v>25.835599999999999</v>
      </c>
      <c r="E8" s="5">
        <v>-80.3566</v>
      </c>
      <c r="F8" s="85">
        <v>77</v>
      </c>
      <c r="G8" s="85">
        <v>71.599999999999994</v>
      </c>
      <c r="H8" s="85">
        <v>72.400000000000006</v>
      </c>
      <c r="I8" s="5">
        <v>10</v>
      </c>
      <c r="J8" s="5">
        <v>300222</v>
      </c>
    </row>
    <row r="9" spans="1:26" x14ac:dyDescent="0.25">
      <c r="A9" s="5" t="s">
        <v>1076</v>
      </c>
      <c r="B9" s="5" t="s">
        <v>1074</v>
      </c>
      <c r="C9" s="5" t="s">
        <v>1077</v>
      </c>
      <c r="D9" s="5">
        <v>26.771388999999999</v>
      </c>
      <c r="E9" s="5">
        <v>-80.141943999999995</v>
      </c>
      <c r="F9" s="85">
        <v>62.3</v>
      </c>
      <c r="G9" s="85">
        <v>50</v>
      </c>
      <c r="H9" s="85">
        <v>50</v>
      </c>
      <c r="I9" s="5">
        <v>0</v>
      </c>
      <c r="J9" s="5">
        <v>346757</v>
      </c>
    </row>
    <row r="10" spans="1:26" x14ac:dyDescent="0.25">
      <c r="A10" s="5" t="s">
        <v>1078</v>
      </c>
      <c r="B10" s="5" t="s">
        <v>1074</v>
      </c>
      <c r="C10" s="5" t="s">
        <v>1079</v>
      </c>
      <c r="D10" s="5">
        <v>28.740206000000001</v>
      </c>
      <c r="E10" s="5">
        <v>-81.889188000000004</v>
      </c>
      <c r="F10" s="85">
        <v>15.5</v>
      </c>
      <c r="G10" s="85">
        <v>12.5</v>
      </c>
      <c r="H10" s="85">
        <v>12.5</v>
      </c>
      <c r="I10" s="5">
        <v>2.5</v>
      </c>
      <c r="J10" s="5">
        <v>83247</v>
      </c>
    </row>
    <row r="11" spans="1:26" x14ac:dyDescent="0.25">
      <c r="A11" s="5" t="s">
        <v>1080</v>
      </c>
      <c r="B11" s="5" t="s">
        <v>1074</v>
      </c>
      <c r="C11" s="5" t="s">
        <v>1081</v>
      </c>
      <c r="D11" s="5">
        <v>28.368099999999998</v>
      </c>
      <c r="E11" s="5">
        <v>-82.558300000000003</v>
      </c>
      <c r="F11" s="85">
        <v>31.2</v>
      </c>
      <c r="G11" s="85">
        <v>26</v>
      </c>
      <c r="H11" s="85">
        <v>26</v>
      </c>
      <c r="I11" s="5">
        <v>5</v>
      </c>
      <c r="J11" s="5">
        <v>162968</v>
      </c>
    </row>
    <row r="12" spans="1:26" x14ac:dyDescent="0.25">
      <c r="A12" s="5" t="s">
        <v>1082</v>
      </c>
      <c r="B12" s="5" t="s">
        <v>1074</v>
      </c>
      <c r="C12" s="5" t="s">
        <v>1083</v>
      </c>
      <c r="D12" s="5">
        <v>27.954901</v>
      </c>
      <c r="E12" s="5">
        <v>-82.340468999999999</v>
      </c>
      <c r="F12" s="85">
        <v>47</v>
      </c>
      <c r="G12" s="85">
        <v>42</v>
      </c>
      <c r="H12" s="85">
        <v>42</v>
      </c>
      <c r="I12" s="5">
        <v>8</v>
      </c>
      <c r="J12" s="5">
        <v>239230</v>
      </c>
    </row>
    <row r="13" spans="1:26" x14ac:dyDescent="0.25">
      <c r="A13" s="5" t="s">
        <v>1084</v>
      </c>
      <c r="B13" s="5" t="s">
        <v>1074</v>
      </c>
      <c r="C13" s="5" t="s">
        <v>1083</v>
      </c>
      <c r="D13" s="5">
        <v>27.949528000000001</v>
      </c>
      <c r="E13" s="5">
        <v>-82.421182000000002</v>
      </c>
      <c r="F13" s="85">
        <v>22.1</v>
      </c>
      <c r="G13" s="85">
        <v>18</v>
      </c>
      <c r="H13" s="85">
        <v>18</v>
      </c>
      <c r="I13" s="5">
        <v>9</v>
      </c>
      <c r="J13" s="5">
        <v>130289</v>
      </c>
    </row>
    <row r="14" spans="1:26" x14ac:dyDescent="0.25">
      <c r="A14" s="5" t="s">
        <v>1085</v>
      </c>
      <c r="B14" s="5" t="s">
        <v>1074</v>
      </c>
      <c r="C14" s="5" t="s">
        <v>1086</v>
      </c>
      <c r="D14" s="5">
        <v>27.8733</v>
      </c>
      <c r="E14" s="5">
        <v>-82.674099999999996</v>
      </c>
      <c r="F14" s="85">
        <v>76.5</v>
      </c>
      <c r="G14" s="85">
        <v>58.1</v>
      </c>
      <c r="H14" s="85">
        <v>58.1</v>
      </c>
      <c r="I14" s="5">
        <v>11</v>
      </c>
      <c r="J14" s="5">
        <v>427707</v>
      </c>
    </row>
    <row r="15" spans="1:26" x14ac:dyDescent="0.25">
      <c r="A15" s="5" t="s">
        <v>1087</v>
      </c>
      <c r="B15" s="5" t="s">
        <v>1074</v>
      </c>
      <c r="C15" s="5" t="s">
        <v>1088</v>
      </c>
      <c r="D15" s="5">
        <v>26.0687</v>
      </c>
      <c r="E15" s="5">
        <v>-80.198599999999999</v>
      </c>
      <c r="F15" s="85">
        <v>66</v>
      </c>
      <c r="G15" s="85">
        <v>54</v>
      </c>
      <c r="H15" s="85">
        <v>54</v>
      </c>
      <c r="I15" s="5">
        <v>10</v>
      </c>
      <c r="J15" s="5">
        <v>435933</v>
      </c>
    </row>
    <row r="16" spans="1:26" ht="15.75" customHeight="1" x14ac:dyDescent="0.25">
      <c r="A16" s="5" t="s">
        <v>1089</v>
      </c>
      <c r="B16" s="5" t="s">
        <v>1074</v>
      </c>
      <c r="C16" s="5" t="s">
        <v>1090</v>
      </c>
      <c r="D16" s="5">
        <v>26.631549</v>
      </c>
      <c r="E16" s="5">
        <v>-81.760655999999997</v>
      </c>
      <c r="F16" s="85">
        <v>59</v>
      </c>
      <c r="G16" s="85">
        <v>55</v>
      </c>
      <c r="H16" s="85">
        <v>55</v>
      </c>
      <c r="I16" s="5">
        <v>29</v>
      </c>
      <c r="J16" s="5">
        <v>327428</v>
      </c>
    </row>
    <row r="17" spans="1:10" ht="15.75" customHeight="1" x14ac:dyDescent="0.25">
      <c r="A17" s="5" t="s">
        <v>1091</v>
      </c>
      <c r="B17" s="5" t="s">
        <v>1074</v>
      </c>
      <c r="C17" s="5" t="s">
        <v>1077</v>
      </c>
      <c r="D17" s="5">
        <v>26.772438999999999</v>
      </c>
      <c r="E17" s="5">
        <v>-80.141814999999994</v>
      </c>
      <c r="F17" s="85">
        <v>96</v>
      </c>
      <c r="G17" s="85">
        <v>85</v>
      </c>
      <c r="H17" s="85">
        <v>90</v>
      </c>
      <c r="I17" s="5">
        <v>0.1</v>
      </c>
      <c r="J17" s="5">
        <v>533818</v>
      </c>
    </row>
    <row r="18" spans="1:10" ht="15.75" customHeight="1" x14ac:dyDescent="0.25">
      <c r="A18" s="5" t="s">
        <v>1092</v>
      </c>
      <c r="B18" s="5" t="s">
        <v>1093</v>
      </c>
      <c r="C18" s="5" t="s">
        <v>1094</v>
      </c>
      <c r="D18" s="5">
        <v>21.300035999999999</v>
      </c>
      <c r="E18" s="5">
        <v>-158.098615</v>
      </c>
      <c r="F18" s="85">
        <v>97.300000000000011</v>
      </c>
      <c r="G18" s="85">
        <v>86</v>
      </c>
      <c r="H18" s="85">
        <v>86</v>
      </c>
      <c r="I18" s="5">
        <v>10</v>
      </c>
      <c r="J18" s="5">
        <v>363857</v>
      </c>
    </row>
    <row r="19" spans="1:10" ht="15.75" customHeight="1" x14ac:dyDescent="0.25">
      <c r="A19" s="5" t="s">
        <v>1095</v>
      </c>
      <c r="B19" s="5" t="s">
        <v>269</v>
      </c>
      <c r="C19" s="5" t="s">
        <v>272</v>
      </c>
      <c r="D19" s="5">
        <v>39.734456000000002</v>
      </c>
      <c r="E19" s="5">
        <v>-86.189075000000003</v>
      </c>
      <c r="F19" s="85">
        <v>6.5</v>
      </c>
      <c r="G19" s="85">
        <v>5</v>
      </c>
      <c r="H19" s="85">
        <v>5</v>
      </c>
      <c r="I19" s="5">
        <v>1</v>
      </c>
      <c r="J19" s="5">
        <v>41938</v>
      </c>
    </row>
    <row r="20" spans="1:10" ht="15.75" customHeight="1" x14ac:dyDescent="0.25">
      <c r="A20" s="5" t="s">
        <v>1096</v>
      </c>
      <c r="B20" s="5" t="s">
        <v>734</v>
      </c>
      <c r="C20" s="5" t="s">
        <v>1097</v>
      </c>
      <c r="D20" s="5">
        <v>41.802199999999999</v>
      </c>
      <c r="E20" s="5">
        <v>-70.787499999999994</v>
      </c>
      <c r="F20" s="85">
        <v>98.5</v>
      </c>
      <c r="G20" s="85">
        <v>80</v>
      </c>
      <c r="H20" s="85">
        <v>80</v>
      </c>
      <c r="I20" s="5">
        <v>15</v>
      </c>
      <c r="J20" s="5">
        <v>593073</v>
      </c>
    </row>
    <row r="21" spans="1:10" ht="15.75" customHeight="1" x14ac:dyDescent="0.25">
      <c r="A21" s="5" t="s">
        <v>1098</v>
      </c>
      <c r="B21" s="5" t="s">
        <v>734</v>
      </c>
      <c r="C21" s="5" t="s">
        <v>1099</v>
      </c>
      <c r="D21" s="5">
        <v>42.765000000000001</v>
      </c>
      <c r="E21" s="5">
        <v>-71.124200000000002</v>
      </c>
      <c r="F21" s="85">
        <v>46</v>
      </c>
      <c r="G21" s="85">
        <v>42.8</v>
      </c>
      <c r="H21" s="85">
        <v>43.2</v>
      </c>
      <c r="I21" s="5">
        <v>4.0999999999999996</v>
      </c>
      <c r="J21" s="5">
        <v>337250</v>
      </c>
    </row>
    <row r="22" spans="1:10" ht="15.75" customHeight="1" x14ac:dyDescent="0.25">
      <c r="A22" s="5" t="s">
        <v>1100</v>
      </c>
      <c r="B22" s="5" t="s">
        <v>734</v>
      </c>
      <c r="C22" s="5" t="s">
        <v>1099</v>
      </c>
      <c r="D22" s="5">
        <v>42.726199999999999</v>
      </c>
      <c r="E22" s="5">
        <v>-71.121899999999997</v>
      </c>
      <c r="F22" s="85">
        <v>40.299999999999997</v>
      </c>
      <c r="G22" s="85">
        <v>30</v>
      </c>
      <c r="H22" s="85">
        <v>30</v>
      </c>
      <c r="I22" s="5">
        <v>8</v>
      </c>
      <c r="J22" s="5">
        <v>232754</v>
      </c>
    </row>
    <row r="23" spans="1:10" ht="15.75" customHeight="1" x14ac:dyDescent="0.25">
      <c r="A23" s="5" t="s">
        <v>1101</v>
      </c>
      <c r="B23" s="5" t="s">
        <v>734</v>
      </c>
      <c r="C23" s="5" t="s">
        <v>1102</v>
      </c>
      <c r="D23" s="5">
        <v>42.221400000000003</v>
      </c>
      <c r="E23" s="5">
        <v>-71.766900000000007</v>
      </c>
      <c r="F23" s="85">
        <v>47.6</v>
      </c>
      <c r="G23" s="85">
        <v>40</v>
      </c>
      <c r="H23" s="85">
        <v>40</v>
      </c>
      <c r="I23" s="5">
        <v>14</v>
      </c>
      <c r="J23" s="5">
        <v>320576</v>
      </c>
    </row>
    <row r="24" spans="1:10" ht="15.75" customHeight="1" x14ac:dyDescent="0.25">
      <c r="A24" s="5" t="s">
        <v>1103</v>
      </c>
      <c r="B24" s="5" t="s">
        <v>734</v>
      </c>
      <c r="C24" s="5" t="s">
        <v>1099</v>
      </c>
      <c r="D24" s="5">
        <v>42.447000000000003</v>
      </c>
      <c r="E24" s="5">
        <v>-70.980400000000003</v>
      </c>
      <c r="F24" s="85">
        <v>57.8</v>
      </c>
      <c r="G24" s="85">
        <v>32.799999999999997</v>
      </c>
      <c r="H24" s="85">
        <v>32.799999999999997</v>
      </c>
      <c r="I24" s="5">
        <v>7</v>
      </c>
      <c r="J24" s="5">
        <v>178628</v>
      </c>
    </row>
    <row r="25" spans="1:10" ht="15.75" customHeight="1" x14ac:dyDescent="0.25">
      <c r="A25" s="5" t="s">
        <v>1104</v>
      </c>
      <c r="B25" s="5" t="s">
        <v>1105</v>
      </c>
      <c r="C25" s="5" t="s">
        <v>1106</v>
      </c>
      <c r="D25" s="5">
        <v>39.266041000000001</v>
      </c>
      <c r="E25" s="5">
        <v>-76.629653000000005</v>
      </c>
      <c r="F25" s="85">
        <v>64.5</v>
      </c>
      <c r="G25" s="85">
        <v>61.3</v>
      </c>
      <c r="H25" s="85">
        <v>61.3</v>
      </c>
      <c r="I25" s="5">
        <v>12</v>
      </c>
      <c r="J25" s="5">
        <v>337277</v>
      </c>
    </row>
    <row r="26" spans="1:10" ht="15.75" customHeight="1" x14ac:dyDescent="0.25">
      <c r="A26" s="5" t="s">
        <v>1107</v>
      </c>
      <c r="B26" s="5" t="s">
        <v>1105</v>
      </c>
      <c r="C26" s="5" t="s">
        <v>1108</v>
      </c>
      <c r="D26" s="5">
        <v>39.200600000000001</v>
      </c>
      <c r="E26" s="5">
        <v>-77.455600000000004</v>
      </c>
      <c r="F26" s="85">
        <v>67.8</v>
      </c>
      <c r="G26" s="85">
        <v>54</v>
      </c>
      <c r="H26" s="85">
        <v>56</v>
      </c>
      <c r="I26" s="5">
        <v>1</v>
      </c>
      <c r="J26" s="5">
        <v>352401</v>
      </c>
    </row>
    <row r="27" spans="1:10" ht="15.75" customHeight="1" x14ac:dyDescent="0.25">
      <c r="A27" s="5" t="s">
        <v>1109</v>
      </c>
      <c r="B27" s="5" t="s">
        <v>735</v>
      </c>
      <c r="C27" s="5" t="s">
        <v>1110</v>
      </c>
      <c r="D27" s="5">
        <v>44.067791999999997</v>
      </c>
      <c r="E27" s="5">
        <v>-70.260830999999996</v>
      </c>
      <c r="F27" s="85">
        <v>5</v>
      </c>
      <c r="G27" s="85">
        <v>2.7</v>
      </c>
      <c r="H27" s="85">
        <v>2.7</v>
      </c>
      <c r="I27" s="5">
        <v>1.9</v>
      </c>
      <c r="J27" s="5">
        <v>14299</v>
      </c>
    </row>
    <row r="28" spans="1:10" ht="15.75" customHeight="1" x14ac:dyDescent="0.25">
      <c r="A28" s="5" t="s">
        <v>1111</v>
      </c>
      <c r="B28" s="5" t="s">
        <v>735</v>
      </c>
      <c r="C28" s="5" t="s">
        <v>1112</v>
      </c>
      <c r="D28" s="5">
        <v>44.738300000000002</v>
      </c>
      <c r="E28" s="5">
        <v>-68.825800000000001</v>
      </c>
      <c r="F28" s="85">
        <v>25.3</v>
      </c>
      <c r="G28" s="85">
        <v>21.2</v>
      </c>
      <c r="H28" s="85">
        <v>21.2</v>
      </c>
      <c r="I28" s="5">
        <v>5</v>
      </c>
      <c r="J28" s="5">
        <v>44958</v>
      </c>
    </row>
    <row r="29" spans="1:10" ht="15.75" customHeight="1" x14ac:dyDescent="0.25">
      <c r="A29" s="5" t="s">
        <v>1113</v>
      </c>
      <c r="B29" s="5" t="s">
        <v>735</v>
      </c>
      <c r="C29" s="5" t="s">
        <v>1114</v>
      </c>
      <c r="D29" s="5">
        <v>43.6556</v>
      </c>
      <c r="E29" s="5">
        <v>-70.334699999999998</v>
      </c>
      <c r="F29" s="85">
        <v>13.3</v>
      </c>
      <c r="G29" s="85">
        <v>11.5</v>
      </c>
      <c r="H29" s="85">
        <v>11.5</v>
      </c>
      <c r="I29" s="5">
        <v>3</v>
      </c>
      <c r="J29" s="5">
        <v>88154</v>
      </c>
    </row>
    <row r="30" spans="1:10" ht="15.75" customHeight="1" x14ac:dyDescent="0.25">
      <c r="A30" s="5" t="s">
        <v>1115</v>
      </c>
      <c r="B30" s="5" t="s">
        <v>359</v>
      </c>
      <c r="C30" s="5" t="s">
        <v>1116</v>
      </c>
      <c r="D30" s="5">
        <v>42.949575000000003</v>
      </c>
      <c r="E30" s="5">
        <v>-85.693208999999996</v>
      </c>
      <c r="F30" s="85">
        <v>18</v>
      </c>
      <c r="G30" s="85">
        <v>15.7</v>
      </c>
      <c r="H30" s="85">
        <v>15.7</v>
      </c>
      <c r="I30" s="5">
        <v>1</v>
      </c>
      <c r="J30" s="5">
        <v>101400</v>
      </c>
    </row>
    <row r="31" spans="1:10" ht="15.75" customHeight="1" x14ac:dyDescent="0.25">
      <c r="A31" s="5" t="s">
        <v>1117</v>
      </c>
      <c r="B31" s="5" t="s">
        <v>376</v>
      </c>
      <c r="C31" s="5" t="s">
        <v>1118</v>
      </c>
      <c r="D31" s="5">
        <v>44.569200000000002</v>
      </c>
      <c r="E31" s="5">
        <v>-92.516912000000005</v>
      </c>
      <c r="F31" s="85">
        <v>23</v>
      </c>
      <c r="G31" s="85">
        <v>18</v>
      </c>
      <c r="H31" s="85">
        <v>18</v>
      </c>
      <c r="I31" s="5">
        <v>12</v>
      </c>
      <c r="J31" s="5">
        <v>132086</v>
      </c>
    </row>
    <row r="32" spans="1:10" ht="15.75" customHeight="1" x14ac:dyDescent="0.25">
      <c r="A32" s="5" t="s">
        <v>1119</v>
      </c>
      <c r="B32" s="5" t="s">
        <v>376</v>
      </c>
      <c r="C32" s="5" t="s">
        <v>1120</v>
      </c>
      <c r="D32" s="5">
        <v>44.1967</v>
      </c>
      <c r="E32" s="5">
        <v>-94.000900000000001</v>
      </c>
      <c r="F32" s="85">
        <v>25</v>
      </c>
      <c r="G32" s="85">
        <v>18</v>
      </c>
      <c r="H32" s="85">
        <v>18</v>
      </c>
      <c r="I32" s="5">
        <v>2</v>
      </c>
      <c r="J32" s="5">
        <v>96200</v>
      </c>
    </row>
    <row r="33" spans="1:10" ht="15.75" customHeight="1" x14ac:dyDescent="0.25">
      <c r="A33" s="5" t="s">
        <v>1121</v>
      </c>
      <c r="B33" s="5" t="s">
        <v>376</v>
      </c>
      <c r="C33" s="5" t="s">
        <v>262</v>
      </c>
      <c r="D33" s="5">
        <v>44.9833</v>
      </c>
      <c r="E33" s="5">
        <v>-93.280382000000003</v>
      </c>
      <c r="F33" s="85">
        <v>39.5</v>
      </c>
      <c r="G33" s="85">
        <v>33.700000000000003</v>
      </c>
      <c r="H33" s="85">
        <v>33.700000000000003</v>
      </c>
      <c r="I33" s="5">
        <v>6</v>
      </c>
      <c r="J33" s="5">
        <v>220114</v>
      </c>
    </row>
    <row r="34" spans="1:10" ht="15.75" customHeight="1" x14ac:dyDescent="0.25">
      <c r="A34" s="5" t="s">
        <v>1122</v>
      </c>
      <c r="B34" s="5" t="s">
        <v>376</v>
      </c>
      <c r="C34" s="5" t="s">
        <v>1123</v>
      </c>
      <c r="D34" s="5">
        <v>44.026071999999999</v>
      </c>
      <c r="E34" s="5">
        <v>-92.432312999999994</v>
      </c>
      <c r="F34" s="85">
        <v>9.6</v>
      </c>
      <c r="G34" s="85">
        <v>7.6999999999999993</v>
      </c>
      <c r="H34" s="85">
        <v>6.6999999999999993</v>
      </c>
      <c r="I34" s="5">
        <v>1.2000000000000002</v>
      </c>
      <c r="J34" s="5">
        <v>35866.720000000001</v>
      </c>
    </row>
    <row r="35" spans="1:10" ht="15.75" customHeight="1" x14ac:dyDescent="0.25">
      <c r="A35" s="5" t="s">
        <v>1124</v>
      </c>
      <c r="B35" s="5" t="s">
        <v>1125</v>
      </c>
      <c r="C35" s="5" t="s">
        <v>1126</v>
      </c>
      <c r="D35" s="5">
        <v>43.2866</v>
      </c>
      <c r="E35" s="5">
        <v>-71.576899999999995</v>
      </c>
      <c r="F35" s="85">
        <v>14</v>
      </c>
      <c r="G35" s="85">
        <v>12</v>
      </c>
      <c r="H35" s="85">
        <v>12</v>
      </c>
      <c r="I35" s="5">
        <v>4</v>
      </c>
      <c r="J35" s="5">
        <v>100576</v>
      </c>
    </row>
    <row r="36" spans="1:10" ht="15.75" customHeight="1" x14ac:dyDescent="0.25">
      <c r="A36" s="5" t="s">
        <v>1127</v>
      </c>
      <c r="B36" s="5" t="s">
        <v>738</v>
      </c>
      <c r="C36" s="5" t="s">
        <v>1128</v>
      </c>
      <c r="D36" s="5">
        <v>39.909199999999998</v>
      </c>
      <c r="E36" s="5">
        <v>-75.116900000000001</v>
      </c>
      <c r="F36" s="85">
        <v>35</v>
      </c>
      <c r="G36" s="85">
        <v>33</v>
      </c>
      <c r="H36" s="85">
        <v>33</v>
      </c>
      <c r="I36" s="5">
        <v>8</v>
      </c>
      <c r="J36" s="5">
        <v>165476</v>
      </c>
    </row>
    <row r="37" spans="1:10" ht="15.75" customHeight="1" x14ac:dyDescent="0.25">
      <c r="A37" s="5" t="s">
        <v>1129</v>
      </c>
      <c r="B37" s="5" t="s">
        <v>738</v>
      </c>
      <c r="C37" s="5" t="s">
        <v>1099</v>
      </c>
      <c r="D37" s="5">
        <v>40.7376</v>
      </c>
      <c r="E37" s="5">
        <v>-74.125500000000002</v>
      </c>
      <c r="F37" s="85">
        <v>69.8</v>
      </c>
      <c r="G37" s="85">
        <v>60</v>
      </c>
      <c r="H37" s="85">
        <v>60</v>
      </c>
      <c r="I37" s="5">
        <v>10</v>
      </c>
      <c r="J37" s="5">
        <v>487198</v>
      </c>
    </row>
    <row r="38" spans="1:10" ht="15.75" customHeight="1" x14ac:dyDescent="0.25">
      <c r="A38" s="5" t="s">
        <v>1130</v>
      </c>
      <c r="B38" s="5" t="s">
        <v>738</v>
      </c>
      <c r="C38" s="5" t="s">
        <v>1131</v>
      </c>
      <c r="D38" s="5">
        <v>39.8733</v>
      </c>
      <c r="E38" s="5">
        <v>-75.138099999999994</v>
      </c>
      <c r="F38" s="85">
        <v>14</v>
      </c>
      <c r="G38" s="85">
        <v>12</v>
      </c>
      <c r="H38" s="85">
        <v>12</v>
      </c>
      <c r="I38" s="5">
        <v>4</v>
      </c>
      <c r="J38" s="5">
        <v>82898</v>
      </c>
    </row>
    <row r="39" spans="1:10" ht="15.75" customHeight="1" x14ac:dyDescent="0.25">
      <c r="A39" s="5" t="s">
        <v>1132</v>
      </c>
      <c r="B39" s="5" t="s">
        <v>738</v>
      </c>
      <c r="C39" s="5" t="s">
        <v>1133</v>
      </c>
      <c r="D39" s="5">
        <v>40.601264</v>
      </c>
      <c r="E39" s="5">
        <v>-74.266372000000004</v>
      </c>
      <c r="F39" s="85">
        <v>45</v>
      </c>
      <c r="G39" s="85">
        <v>37.5</v>
      </c>
      <c r="H39" s="85">
        <v>38.5</v>
      </c>
      <c r="I39" s="5">
        <v>18</v>
      </c>
      <c r="J39" s="5">
        <v>311612</v>
      </c>
    </row>
    <row r="40" spans="1:10" ht="15.75" customHeight="1" x14ac:dyDescent="0.25">
      <c r="A40" s="5" t="s">
        <v>1134</v>
      </c>
      <c r="B40" s="5" t="s">
        <v>545</v>
      </c>
      <c r="C40" s="5" t="s">
        <v>1135</v>
      </c>
      <c r="D40" s="5">
        <v>41.646999999999998</v>
      </c>
      <c r="E40" s="5">
        <v>-73.942999999999998</v>
      </c>
      <c r="F40" s="85">
        <v>9.1999999999999993</v>
      </c>
      <c r="G40" s="85">
        <v>7.2</v>
      </c>
      <c r="H40" s="85">
        <v>7.4</v>
      </c>
      <c r="I40" s="5">
        <v>4</v>
      </c>
      <c r="J40" s="5">
        <v>40309</v>
      </c>
    </row>
    <row r="41" spans="1:10" ht="15.75" customHeight="1" x14ac:dyDescent="0.25">
      <c r="A41" s="5" t="s">
        <v>1136</v>
      </c>
      <c r="B41" s="5" t="s">
        <v>545</v>
      </c>
      <c r="C41" s="5" t="s">
        <v>1137</v>
      </c>
      <c r="D41" s="5">
        <v>43.305599999999998</v>
      </c>
      <c r="E41" s="5">
        <v>-73.591447000000002</v>
      </c>
      <c r="F41" s="85">
        <v>14.4</v>
      </c>
      <c r="G41" s="85">
        <v>11.5</v>
      </c>
      <c r="H41" s="85">
        <v>11.5</v>
      </c>
      <c r="I41" s="5">
        <v>2</v>
      </c>
      <c r="J41" s="5">
        <v>64480</v>
      </c>
    </row>
    <row r="42" spans="1:10" ht="15.75" customHeight="1" x14ac:dyDescent="0.25">
      <c r="A42" s="5" t="s">
        <v>1138</v>
      </c>
      <c r="B42" s="5" t="s">
        <v>545</v>
      </c>
      <c r="C42" s="5" t="s">
        <v>1139</v>
      </c>
      <c r="D42" s="5">
        <v>40.738900000000001</v>
      </c>
      <c r="E42" s="5">
        <v>-73.590599999999995</v>
      </c>
      <c r="F42" s="85">
        <v>78.599999999999994</v>
      </c>
      <c r="G42" s="85">
        <v>71.8</v>
      </c>
      <c r="H42" s="85">
        <v>71.8</v>
      </c>
      <c r="I42" s="5">
        <v>24</v>
      </c>
      <c r="J42" s="5">
        <v>584496</v>
      </c>
    </row>
    <row r="43" spans="1:10" ht="15.75" customHeight="1" x14ac:dyDescent="0.25">
      <c r="A43" s="5" t="s">
        <v>1140</v>
      </c>
      <c r="B43" s="5" t="s">
        <v>545</v>
      </c>
      <c r="C43" s="5" t="s">
        <v>1141</v>
      </c>
      <c r="D43" s="5">
        <v>43.0839</v>
      </c>
      <c r="E43" s="5">
        <v>-79.005600000000001</v>
      </c>
      <c r="F43" s="85">
        <v>50</v>
      </c>
      <c r="G43" s="85">
        <v>36</v>
      </c>
      <c r="H43" s="85">
        <v>36</v>
      </c>
      <c r="I43" s="5">
        <v>6</v>
      </c>
      <c r="J43" s="5">
        <v>189130</v>
      </c>
    </row>
    <row r="44" spans="1:10" ht="15.75" customHeight="1" x14ac:dyDescent="0.25">
      <c r="A44" s="5" t="s">
        <v>1142</v>
      </c>
      <c r="B44" s="5" t="s">
        <v>545</v>
      </c>
      <c r="C44" s="5" t="s">
        <v>1143</v>
      </c>
      <c r="D44" s="5">
        <v>40.7348</v>
      </c>
      <c r="E44" s="5">
        <v>-73.386799999999994</v>
      </c>
      <c r="F44" s="85">
        <v>17</v>
      </c>
      <c r="G44" s="85">
        <v>14.4</v>
      </c>
      <c r="H44" s="85">
        <v>14.4</v>
      </c>
      <c r="I44" s="5">
        <v>1</v>
      </c>
      <c r="J44" s="5">
        <v>114973</v>
      </c>
    </row>
    <row r="45" spans="1:10" ht="15.75" customHeight="1" x14ac:dyDescent="0.25">
      <c r="A45" s="5" t="s">
        <v>1144</v>
      </c>
      <c r="B45" s="5" t="s">
        <v>545</v>
      </c>
      <c r="C45" s="5" t="s">
        <v>1143</v>
      </c>
      <c r="D45" s="5">
        <v>40.881399999999999</v>
      </c>
      <c r="E45" s="5">
        <v>-73.290599999999998</v>
      </c>
      <c r="F45" s="85">
        <v>28</v>
      </c>
      <c r="G45" s="85">
        <v>24.5</v>
      </c>
      <c r="H45" s="85">
        <v>24.5</v>
      </c>
      <c r="I45" s="5">
        <v>8</v>
      </c>
      <c r="J45" s="5">
        <v>191820</v>
      </c>
    </row>
    <row r="46" spans="1:10" ht="15.75" customHeight="1" x14ac:dyDescent="0.25">
      <c r="A46" s="5" t="s">
        <v>1145</v>
      </c>
      <c r="B46" s="5" t="s">
        <v>545</v>
      </c>
      <c r="C46" s="5" t="s">
        <v>1146</v>
      </c>
      <c r="D46" s="5">
        <v>43.0047</v>
      </c>
      <c r="E46" s="5">
        <v>-76.114900000000006</v>
      </c>
      <c r="F46" s="85">
        <v>39.5</v>
      </c>
      <c r="G46" s="85">
        <v>30</v>
      </c>
      <c r="H46" s="85">
        <v>30</v>
      </c>
      <c r="I46" s="5">
        <v>3.5</v>
      </c>
      <c r="J46" s="5">
        <v>224895</v>
      </c>
    </row>
    <row r="47" spans="1:10" ht="15.75" customHeight="1" x14ac:dyDescent="0.25">
      <c r="A47" s="5" t="s">
        <v>1147</v>
      </c>
      <c r="B47" s="5" t="s">
        <v>545</v>
      </c>
      <c r="C47" s="5" t="s">
        <v>1148</v>
      </c>
      <c r="D47" s="5">
        <v>41.277129000000002</v>
      </c>
      <c r="E47" s="5">
        <v>-73.942344000000006</v>
      </c>
      <c r="F47" s="85">
        <v>59.7</v>
      </c>
      <c r="G47" s="85">
        <v>51</v>
      </c>
      <c r="H47" s="85">
        <v>53</v>
      </c>
      <c r="I47" s="5">
        <v>7</v>
      </c>
      <c r="J47" s="5">
        <v>323152</v>
      </c>
    </row>
    <row r="48" spans="1:10" ht="15.75" customHeight="1" x14ac:dyDescent="0.25">
      <c r="A48" s="5" t="s">
        <v>1149</v>
      </c>
      <c r="B48" s="5" t="s">
        <v>545</v>
      </c>
      <c r="C48" s="5" t="s">
        <v>1150</v>
      </c>
      <c r="D48" s="5">
        <v>43.348807999999998</v>
      </c>
      <c r="E48" s="5">
        <v>-76.425168999999997</v>
      </c>
      <c r="F48" s="85">
        <v>3.6</v>
      </c>
      <c r="G48" s="85">
        <v>3.4</v>
      </c>
      <c r="H48" s="85">
        <v>3.4</v>
      </c>
      <c r="I48" s="5">
        <v>1.2</v>
      </c>
      <c r="J48" s="5">
        <v>7864.76</v>
      </c>
    </row>
    <row r="49" spans="1:10" ht="15.75" customHeight="1" x14ac:dyDescent="0.25">
      <c r="A49" s="5" t="s">
        <v>1151</v>
      </c>
      <c r="B49" s="5" t="s">
        <v>545</v>
      </c>
      <c r="C49" s="5" t="s">
        <v>1143</v>
      </c>
      <c r="D49" s="5">
        <v>40.786900000000003</v>
      </c>
      <c r="E49" s="5">
        <v>-73.106399999999994</v>
      </c>
      <c r="F49" s="85">
        <v>12.5</v>
      </c>
      <c r="G49" s="85">
        <v>11</v>
      </c>
      <c r="H49" s="85">
        <v>11</v>
      </c>
      <c r="I49" s="5">
        <v>1</v>
      </c>
      <c r="J49" s="5">
        <v>42608</v>
      </c>
    </row>
    <row r="50" spans="1:10" ht="15.75" customHeight="1" x14ac:dyDescent="0.25">
      <c r="A50" s="5" t="s">
        <v>1152</v>
      </c>
      <c r="B50" s="5" t="s">
        <v>1153</v>
      </c>
      <c r="C50" s="5" t="s">
        <v>1154</v>
      </c>
      <c r="D50" s="5">
        <v>36.131900000000002</v>
      </c>
      <c r="E50" s="5">
        <v>-96.018100000000004</v>
      </c>
      <c r="F50" s="85">
        <v>16.8</v>
      </c>
      <c r="G50" s="85">
        <v>15.6</v>
      </c>
      <c r="H50" s="85">
        <v>15.8</v>
      </c>
      <c r="I50" s="5">
        <v>0.8</v>
      </c>
      <c r="J50" s="5">
        <v>3178</v>
      </c>
    </row>
    <row r="51" spans="1:10" ht="15.75" customHeight="1" x14ac:dyDescent="0.25">
      <c r="A51" s="5" t="s">
        <v>1155</v>
      </c>
      <c r="B51" s="5" t="s">
        <v>571</v>
      </c>
      <c r="C51" s="5" t="s">
        <v>1156</v>
      </c>
      <c r="D51" s="5">
        <v>45.048467000000002</v>
      </c>
      <c r="E51" s="5">
        <v>-122.962761</v>
      </c>
      <c r="F51" s="85">
        <v>13.1</v>
      </c>
      <c r="G51" s="85">
        <v>11.5</v>
      </c>
      <c r="H51" s="85">
        <v>11.5</v>
      </c>
      <c r="I51" s="5">
        <v>2</v>
      </c>
      <c r="J51" s="5">
        <v>64989</v>
      </c>
    </row>
    <row r="52" spans="1:10" ht="15.75" customHeight="1" x14ac:dyDescent="0.25">
      <c r="A52" s="5" t="s">
        <v>1157</v>
      </c>
      <c r="B52" s="5" t="s">
        <v>575</v>
      </c>
      <c r="C52" s="5" t="s">
        <v>1158</v>
      </c>
      <c r="D52" s="5">
        <v>40.244242</v>
      </c>
      <c r="E52" s="5">
        <v>-76.853871999999996</v>
      </c>
      <c r="F52" s="85">
        <v>24.1</v>
      </c>
      <c r="G52" s="85">
        <v>16.7</v>
      </c>
      <c r="H52" s="85">
        <v>16.7</v>
      </c>
      <c r="I52" s="5">
        <v>4</v>
      </c>
      <c r="J52" s="5">
        <v>112433</v>
      </c>
    </row>
    <row r="53" spans="1:10" ht="15.75" customHeight="1" x14ac:dyDescent="0.25">
      <c r="A53" s="5" t="s">
        <v>1159</v>
      </c>
      <c r="B53" s="5" t="s">
        <v>575</v>
      </c>
      <c r="C53" s="5" t="s">
        <v>1160</v>
      </c>
      <c r="D53" s="5">
        <v>39.826500000000003</v>
      </c>
      <c r="E53" s="5">
        <v>-75.388199999999998</v>
      </c>
      <c r="F53" s="85">
        <v>90</v>
      </c>
      <c r="G53" s="85">
        <v>80</v>
      </c>
      <c r="H53" s="85">
        <v>80</v>
      </c>
      <c r="I53" s="5">
        <v>20</v>
      </c>
      <c r="J53" s="5">
        <v>589304</v>
      </c>
    </row>
    <row r="54" spans="1:10" ht="15.75" customHeight="1" x14ac:dyDescent="0.25">
      <c r="A54" s="5" t="s">
        <v>1161</v>
      </c>
      <c r="B54" s="5" t="s">
        <v>575</v>
      </c>
      <c r="C54" s="5" t="s">
        <v>509</v>
      </c>
      <c r="D54" s="5">
        <v>40.0017</v>
      </c>
      <c r="E54" s="5">
        <v>-76.718299999999999</v>
      </c>
      <c r="F54" s="85">
        <v>36.5</v>
      </c>
      <c r="G54" s="85">
        <v>30</v>
      </c>
      <c r="H54" s="85">
        <v>30</v>
      </c>
      <c r="I54" s="5">
        <v>11.7</v>
      </c>
      <c r="J54" s="5">
        <v>261048</v>
      </c>
    </row>
    <row r="55" spans="1:10" ht="15.75" customHeight="1" x14ac:dyDescent="0.25">
      <c r="A55" s="5" t="s">
        <v>1162</v>
      </c>
      <c r="B55" s="5" t="s">
        <v>575</v>
      </c>
      <c r="C55" s="5" t="s">
        <v>1163</v>
      </c>
      <c r="D55" s="5">
        <v>40.071100000000001</v>
      </c>
      <c r="E55" s="5">
        <v>-76.643600000000006</v>
      </c>
      <c r="F55" s="85">
        <v>35.700000000000003</v>
      </c>
      <c r="G55" s="85">
        <v>32.4</v>
      </c>
      <c r="H55" s="85">
        <v>32.4</v>
      </c>
      <c r="I55" s="5">
        <v>1</v>
      </c>
      <c r="J55" s="5">
        <v>191866</v>
      </c>
    </row>
    <row r="56" spans="1:10" ht="15.75" customHeight="1" x14ac:dyDescent="0.25">
      <c r="A56" s="5" t="s">
        <v>1164</v>
      </c>
      <c r="B56" s="5" t="s">
        <v>575</v>
      </c>
      <c r="C56" s="5" t="s">
        <v>1108</v>
      </c>
      <c r="D56" s="5">
        <v>40.096699999999998</v>
      </c>
      <c r="E56" s="5">
        <v>-75.310299999999998</v>
      </c>
      <c r="F56" s="85">
        <v>32.1</v>
      </c>
      <c r="G56" s="85">
        <v>28</v>
      </c>
      <c r="H56" s="85">
        <v>28</v>
      </c>
      <c r="I56" s="5">
        <v>14</v>
      </c>
      <c r="J56" s="5">
        <v>204686</v>
      </c>
    </row>
    <row r="57" spans="1:10" ht="15.75" customHeight="1" x14ac:dyDescent="0.25">
      <c r="A57" s="5" t="s">
        <v>1165</v>
      </c>
      <c r="B57" s="5" t="s">
        <v>575</v>
      </c>
      <c r="C57" s="5" t="s">
        <v>1166</v>
      </c>
      <c r="D57" s="5">
        <v>40.162633</v>
      </c>
      <c r="E57" s="5">
        <v>-74.768163999999999</v>
      </c>
      <c r="F57" s="85">
        <v>53.3</v>
      </c>
      <c r="G57" s="85">
        <v>43.9</v>
      </c>
      <c r="H57" s="85">
        <v>43.6</v>
      </c>
      <c r="I57" s="5">
        <v>0</v>
      </c>
      <c r="J57" s="5">
        <v>312135</v>
      </c>
    </row>
    <row r="58" spans="1:10" ht="15.75" customHeight="1" x14ac:dyDescent="0.25">
      <c r="A58" s="5" t="s">
        <v>1167</v>
      </c>
      <c r="B58" s="5" t="s">
        <v>1168</v>
      </c>
      <c r="C58" s="5" t="s">
        <v>1169</v>
      </c>
      <c r="D58" s="5">
        <v>38.695</v>
      </c>
      <c r="E58" s="5">
        <v>-77.241100000000003</v>
      </c>
      <c r="F58" s="85">
        <v>124</v>
      </c>
      <c r="G58" s="85">
        <v>98</v>
      </c>
      <c r="H58" s="85">
        <v>98</v>
      </c>
      <c r="I58" s="5">
        <v>20</v>
      </c>
      <c r="J58" s="5">
        <v>693204</v>
      </c>
    </row>
    <row r="59" spans="1:10" ht="15.75" customHeight="1" x14ac:dyDescent="0.25">
      <c r="A59" s="5" t="s">
        <v>1170</v>
      </c>
      <c r="B59" s="5" t="s">
        <v>1168</v>
      </c>
      <c r="C59" s="5" t="s">
        <v>1171</v>
      </c>
      <c r="D59" s="5">
        <v>38.801400000000001</v>
      </c>
      <c r="E59" s="5">
        <v>-77.128799999999998</v>
      </c>
      <c r="F59" s="85">
        <v>29</v>
      </c>
      <c r="G59" s="85">
        <v>29</v>
      </c>
      <c r="H59" s="85">
        <v>29</v>
      </c>
      <c r="I59" s="5">
        <v>3</v>
      </c>
      <c r="J59" s="5">
        <v>147065</v>
      </c>
    </row>
    <row r="60" spans="1:10" ht="15.75" customHeight="1" x14ac:dyDescent="0.25">
      <c r="A60" s="5" t="s">
        <v>1172</v>
      </c>
      <c r="B60" s="5" t="s">
        <v>1168</v>
      </c>
      <c r="C60" s="5" t="s">
        <v>1173</v>
      </c>
      <c r="D60" s="5">
        <v>36.808300000000003</v>
      </c>
      <c r="E60" s="5">
        <v>-76.303600000000003</v>
      </c>
      <c r="F60" s="85">
        <v>60</v>
      </c>
      <c r="G60" s="85">
        <v>46.5</v>
      </c>
      <c r="H60" s="85">
        <v>45.900000000000006</v>
      </c>
      <c r="I60" s="5">
        <v>6</v>
      </c>
      <c r="J60" s="5">
        <v>172106</v>
      </c>
    </row>
    <row r="61" spans="1:10" ht="15.75" customHeight="1" x14ac:dyDescent="0.25">
      <c r="A61" s="5" t="s">
        <v>1174</v>
      </c>
      <c r="B61" s="5" t="s">
        <v>1175</v>
      </c>
      <c r="C61" s="5" t="s">
        <v>1176</v>
      </c>
      <c r="D61" s="5">
        <v>47.626327000000003</v>
      </c>
      <c r="E61" s="5">
        <v>-117.50424</v>
      </c>
      <c r="F61" s="85">
        <v>26</v>
      </c>
      <c r="G61" s="85">
        <v>22.7</v>
      </c>
      <c r="H61" s="85">
        <v>22.7</v>
      </c>
      <c r="I61" s="5">
        <v>4</v>
      </c>
      <c r="J61" s="5">
        <v>119619</v>
      </c>
    </row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306C"/>
  </sheetPr>
  <dimension ref="A1:Z1127"/>
  <sheetViews>
    <sheetView workbookViewId="0">
      <selection activeCell="I11" sqref="I11"/>
    </sheetView>
  </sheetViews>
  <sheetFormatPr defaultColWidth="14.42578125" defaultRowHeight="15" customHeight="1" x14ac:dyDescent="0.25"/>
  <cols>
    <col min="1" max="1" width="28.42578125" customWidth="1"/>
    <col min="2" max="2" width="18.28515625" customWidth="1"/>
    <col min="3" max="3" width="10.42578125" customWidth="1"/>
    <col min="4" max="4" width="14.140625" customWidth="1"/>
    <col min="5" max="5" width="18.7109375" customWidth="1"/>
    <col min="6" max="6" width="9.140625" customWidth="1"/>
    <col min="7" max="7" width="17.28515625" customWidth="1"/>
    <col min="8" max="8" width="12" customWidth="1"/>
    <col min="9" max="26" width="9.140625" customWidth="1"/>
  </cols>
  <sheetData>
    <row r="1" spans="1:26" x14ac:dyDescent="0.25">
      <c r="A1" s="28" t="s">
        <v>1177</v>
      </c>
      <c r="B1" s="28" t="s">
        <v>1178</v>
      </c>
      <c r="C1" s="28" t="s">
        <v>1179</v>
      </c>
      <c r="D1" s="28" t="s">
        <v>1055</v>
      </c>
      <c r="E1" s="28" t="s">
        <v>14</v>
      </c>
      <c r="F1" s="28" t="s">
        <v>731</v>
      </c>
      <c r="G1" s="28" t="s">
        <v>730</v>
      </c>
      <c r="H1" s="30"/>
      <c r="I1" s="30"/>
      <c r="J1" s="30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x14ac:dyDescent="0.25">
      <c r="A2" s="8" t="s">
        <v>1180</v>
      </c>
      <c r="B2" s="5" t="s">
        <v>1181</v>
      </c>
      <c r="C2" s="5" t="s">
        <v>1182</v>
      </c>
      <c r="D2" s="5" t="s">
        <v>1183</v>
      </c>
      <c r="E2" s="5" t="s">
        <v>1184</v>
      </c>
      <c r="F2" s="5">
        <v>35.150917300000003</v>
      </c>
      <c r="G2" s="5">
        <v>-92.744053800000003</v>
      </c>
      <c r="H2" s="30"/>
      <c r="I2" s="30"/>
      <c r="J2" s="30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25">
      <c r="A3" s="8" t="s">
        <v>1185</v>
      </c>
      <c r="B3" s="5" t="s">
        <v>1181</v>
      </c>
      <c r="C3" s="5" t="s">
        <v>1186</v>
      </c>
      <c r="D3" s="5" t="s">
        <v>59</v>
      </c>
      <c r="E3" s="5" t="s">
        <v>60</v>
      </c>
      <c r="F3" s="5">
        <v>33.370274799999997</v>
      </c>
      <c r="G3" s="5">
        <v>-112.58386729999999</v>
      </c>
      <c r="H3" s="30"/>
      <c r="I3" s="30"/>
      <c r="J3" s="30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25">
      <c r="A4" s="8" t="s">
        <v>1187</v>
      </c>
      <c r="B4" s="5" t="s">
        <v>1181</v>
      </c>
      <c r="C4" s="5" t="s">
        <v>1186</v>
      </c>
      <c r="D4" s="5" t="s">
        <v>59</v>
      </c>
      <c r="E4" s="5" t="s">
        <v>60</v>
      </c>
      <c r="F4" s="5">
        <v>33.081740000000003</v>
      </c>
      <c r="G4" s="5">
        <v>-112.66772</v>
      </c>
      <c r="H4" s="30"/>
      <c r="I4" s="30"/>
      <c r="J4" s="30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30" x14ac:dyDescent="0.25">
      <c r="A5" s="8" t="s">
        <v>1188</v>
      </c>
      <c r="B5" s="5" t="s">
        <v>1189</v>
      </c>
      <c r="C5" s="5" t="s">
        <v>59</v>
      </c>
      <c r="D5" s="5" t="s">
        <v>1190</v>
      </c>
      <c r="E5" s="5" t="s">
        <v>60</v>
      </c>
      <c r="F5" s="5">
        <v>33.060969999999998</v>
      </c>
      <c r="G5" s="5">
        <v>-112.11805</v>
      </c>
      <c r="H5" s="30"/>
      <c r="I5" s="30"/>
      <c r="J5" s="30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25">
      <c r="A6" s="8" t="s">
        <v>1191</v>
      </c>
      <c r="B6" s="5" t="s">
        <v>1181</v>
      </c>
      <c r="C6" s="5" t="s">
        <v>1192</v>
      </c>
      <c r="D6" s="5" t="s">
        <v>59</v>
      </c>
      <c r="E6" s="5" t="s">
        <v>60</v>
      </c>
      <c r="F6" s="5">
        <v>32.937040000000003</v>
      </c>
      <c r="G6" s="5">
        <v>-112.80468</v>
      </c>
      <c r="H6" s="30"/>
      <c r="I6" s="30"/>
      <c r="J6" s="30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25">
      <c r="A7" s="8" t="s">
        <v>1193</v>
      </c>
      <c r="B7" s="5" t="s">
        <v>1181</v>
      </c>
      <c r="C7" s="5" t="s">
        <v>1186</v>
      </c>
      <c r="D7" s="5" t="s">
        <v>59</v>
      </c>
      <c r="E7" s="5" t="s">
        <v>60</v>
      </c>
      <c r="F7" s="5">
        <v>33.370274799999997</v>
      </c>
      <c r="G7" s="5">
        <v>-112.58386729999999</v>
      </c>
      <c r="H7" s="30"/>
      <c r="I7" s="30"/>
      <c r="J7" s="30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30" x14ac:dyDescent="0.25">
      <c r="A8" s="8" t="s">
        <v>1194</v>
      </c>
      <c r="B8" s="5" t="s">
        <v>1181</v>
      </c>
      <c r="C8" s="5" t="s">
        <v>1195</v>
      </c>
      <c r="D8" s="5" t="s">
        <v>1196</v>
      </c>
      <c r="E8" s="5" t="s">
        <v>68</v>
      </c>
      <c r="F8" s="5">
        <v>35.373871200000004</v>
      </c>
      <c r="G8" s="5">
        <v>-119.01946390000001</v>
      </c>
      <c r="H8" s="30"/>
      <c r="I8" s="30"/>
      <c r="J8" s="30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30" x14ac:dyDescent="0.25">
      <c r="A9" s="8" t="s">
        <v>1197</v>
      </c>
      <c r="B9" s="5" t="s">
        <v>1181</v>
      </c>
      <c r="C9" s="5" t="s">
        <v>1195</v>
      </c>
      <c r="D9" s="5" t="s">
        <v>1196</v>
      </c>
      <c r="E9" s="5" t="s">
        <v>68</v>
      </c>
      <c r="F9" s="5">
        <v>35.373871200000004</v>
      </c>
      <c r="G9" s="5">
        <v>-119.01946390000001</v>
      </c>
      <c r="H9" s="30"/>
      <c r="I9" s="45"/>
      <c r="J9" s="30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30" x14ac:dyDescent="0.25">
      <c r="A10" s="8" t="s">
        <v>1198</v>
      </c>
      <c r="B10" s="5" t="s">
        <v>1181</v>
      </c>
      <c r="C10" s="5" t="s">
        <v>1195</v>
      </c>
      <c r="D10" s="5" t="s">
        <v>1196</v>
      </c>
      <c r="E10" s="5" t="s">
        <v>68</v>
      </c>
      <c r="F10" s="5">
        <v>35.373871200000004</v>
      </c>
      <c r="G10" s="5">
        <v>-119.01946390000001</v>
      </c>
      <c r="H10" s="30"/>
      <c r="I10" s="45"/>
      <c r="J10" s="30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30" x14ac:dyDescent="0.25">
      <c r="A11" s="8" t="s">
        <v>1199</v>
      </c>
      <c r="B11" s="5" t="s">
        <v>1200</v>
      </c>
      <c r="C11" s="5" t="s">
        <v>1195</v>
      </c>
      <c r="D11" s="5" t="s">
        <v>1196</v>
      </c>
      <c r="E11" s="5" t="s">
        <v>68</v>
      </c>
      <c r="F11" s="5">
        <v>35.373871200000004</v>
      </c>
      <c r="G11" s="5">
        <v>-119.01946390000001</v>
      </c>
      <c r="H11" s="30"/>
      <c r="I11" s="45"/>
      <c r="J11" s="30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30" x14ac:dyDescent="0.25">
      <c r="A12" s="8" t="s">
        <v>1201</v>
      </c>
      <c r="B12" s="5" t="s">
        <v>1181</v>
      </c>
      <c r="C12" s="5" t="s">
        <v>1202</v>
      </c>
      <c r="D12" s="5" t="s">
        <v>1196</v>
      </c>
      <c r="E12" s="5" t="s">
        <v>68</v>
      </c>
      <c r="F12" s="5">
        <v>35.411138999999999</v>
      </c>
      <c r="G12" s="5">
        <v>-199.43318099999999</v>
      </c>
      <c r="H12" s="30"/>
      <c r="I12" s="45"/>
      <c r="J12" s="30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25">
      <c r="A13" s="8" t="s">
        <v>1203</v>
      </c>
      <c r="B13" s="5" t="s">
        <v>1181</v>
      </c>
      <c r="C13" s="5" t="s">
        <v>1204</v>
      </c>
      <c r="D13" s="5" t="s">
        <v>1205</v>
      </c>
      <c r="E13" s="5" t="s">
        <v>68</v>
      </c>
      <c r="F13" s="5">
        <v>36.746040000000001</v>
      </c>
      <c r="G13" s="5">
        <v>-120.24489</v>
      </c>
      <c r="H13" s="30"/>
      <c r="I13" s="45"/>
      <c r="J13" s="30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25">
      <c r="A14" s="8" t="s">
        <v>1206</v>
      </c>
      <c r="B14" s="5" t="s">
        <v>1181</v>
      </c>
      <c r="C14" s="5" t="s">
        <v>1195</v>
      </c>
      <c r="D14" s="5" t="s">
        <v>1196</v>
      </c>
      <c r="E14" s="5" t="s">
        <v>68</v>
      </c>
      <c r="F14" s="5">
        <v>35.267299999999999</v>
      </c>
      <c r="G14" s="5">
        <v>-119.16185</v>
      </c>
      <c r="H14" s="30"/>
      <c r="I14" s="45"/>
      <c r="J14" s="30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25">
      <c r="A15" s="8" t="s">
        <v>1207</v>
      </c>
      <c r="B15" s="5" t="s">
        <v>1181</v>
      </c>
      <c r="C15" s="5" t="s">
        <v>1208</v>
      </c>
      <c r="D15" s="5" t="s">
        <v>1209</v>
      </c>
      <c r="E15" s="5" t="s">
        <v>68</v>
      </c>
      <c r="F15" s="5">
        <v>38.087933</v>
      </c>
      <c r="G15" s="5">
        <v>-122.814380718</v>
      </c>
      <c r="H15" s="30"/>
      <c r="I15" s="45"/>
      <c r="J15" s="30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25">
      <c r="A16" s="8" t="s">
        <v>1210</v>
      </c>
      <c r="B16" s="5" t="s">
        <v>1181</v>
      </c>
      <c r="C16" s="5" t="s">
        <v>1211</v>
      </c>
      <c r="D16" s="5" t="s">
        <v>1211</v>
      </c>
      <c r="E16" s="5" t="s">
        <v>68</v>
      </c>
      <c r="F16" s="5">
        <v>36.160209999999999</v>
      </c>
      <c r="G16" s="5">
        <v>-119.23367</v>
      </c>
      <c r="H16" s="30"/>
      <c r="I16" s="45"/>
      <c r="J16" s="30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25">
      <c r="A17" s="8" t="s">
        <v>1212</v>
      </c>
      <c r="B17" s="5" t="s">
        <v>1181</v>
      </c>
      <c r="C17" s="5" t="s">
        <v>1213</v>
      </c>
      <c r="D17" s="5" t="s">
        <v>1196</v>
      </c>
      <c r="E17" s="5" t="s">
        <v>68</v>
      </c>
      <c r="F17" s="5">
        <v>35.209769999999999</v>
      </c>
      <c r="G17" s="5">
        <v>-119.21299999999999</v>
      </c>
      <c r="H17" s="30"/>
      <c r="I17" s="45"/>
      <c r="J17" s="30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30" x14ac:dyDescent="0.25">
      <c r="A18" s="8" t="s">
        <v>1214</v>
      </c>
      <c r="B18" s="5" t="s">
        <v>1181</v>
      </c>
      <c r="C18" s="5" t="s">
        <v>1215</v>
      </c>
      <c r="D18" s="5" t="s">
        <v>1216</v>
      </c>
      <c r="E18" s="5" t="s">
        <v>68</v>
      </c>
      <c r="F18" s="5">
        <v>38.097197999999999</v>
      </c>
      <c r="G18" s="5">
        <v>-121.387849647</v>
      </c>
      <c r="H18" s="30"/>
      <c r="I18" s="45"/>
      <c r="J18" s="30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25">
      <c r="A19" s="8" t="s">
        <v>1217</v>
      </c>
      <c r="B19" s="5" t="s">
        <v>1181</v>
      </c>
      <c r="C19" s="5" t="s">
        <v>1218</v>
      </c>
      <c r="D19" s="5" t="s">
        <v>1211</v>
      </c>
      <c r="E19" s="5"/>
      <c r="F19" s="5">
        <v>35.942659999999997</v>
      </c>
      <c r="G19" s="5">
        <v>-119.39609</v>
      </c>
      <c r="H19" s="30"/>
      <c r="I19" s="30"/>
      <c r="J19" s="30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25">
      <c r="A20" s="8" t="s">
        <v>1219</v>
      </c>
      <c r="B20" s="5" t="s">
        <v>1181</v>
      </c>
      <c r="C20" s="5" t="s">
        <v>1218</v>
      </c>
      <c r="D20" s="5" t="s">
        <v>1211</v>
      </c>
      <c r="E20" s="5" t="s">
        <v>68</v>
      </c>
      <c r="F20" s="5">
        <v>35.977195999999999</v>
      </c>
      <c r="G20" s="5">
        <v>-119.290396</v>
      </c>
      <c r="H20" s="30"/>
      <c r="I20" s="45"/>
      <c r="J20" s="30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25">
      <c r="A21" s="8" t="s">
        <v>1220</v>
      </c>
      <c r="B21" s="5" t="s">
        <v>1181</v>
      </c>
      <c r="C21" s="5" t="s">
        <v>1221</v>
      </c>
      <c r="D21" s="5" t="s">
        <v>1222</v>
      </c>
      <c r="E21" s="5" t="s">
        <v>68</v>
      </c>
      <c r="F21" s="5">
        <v>36.191549999999999</v>
      </c>
      <c r="G21" s="5">
        <v>-119.64693</v>
      </c>
      <c r="H21" s="30"/>
      <c r="I21" s="45"/>
      <c r="J21" s="30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x14ac:dyDescent="0.25">
      <c r="A22" s="8" t="s">
        <v>1223</v>
      </c>
      <c r="B22" s="5" t="s">
        <v>1181</v>
      </c>
      <c r="C22" s="5" t="s">
        <v>1224</v>
      </c>
      <c r="D22" s="5" t="s">
        <v>1211</v>
      </c>
      <c r="E22" s="5" t="s">
        <v>68</v>
      </c>
      <c r="F22" s="5">
        <v>36.018529999999998</v>
      </c>
      <c r="G22" s="5">
        <v>-119.37996</v>
      </c>
      <c r="H22" s="30"/>
      <c r="I22" s="45"/>
      <c r="J22" s="30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25">
      <c r="A23" s="8" t="s">
        <v>1225</v>
      </c>
      <c r="B23" s="5" t="s">
        <v>1181</v>
      </c>
      <c r="C23" s="5" t="s">
        <v>1224</v>
      </c>
      <c r="D23" s="5" t="s">
        <v>1211</v>
      </c>
      <c r="E23" s="5" t="s">
        <v>68</v>
      </c>
      <c r="F23" s="5">
        <v>36.080249999999999</v>
      </c>
      <c r="G23" s="5">
        <v>-119.43707999999999</v>
      </c>
      <c r="H23" s="30"/>
      <c r="I23" s="45"/>
      <c r="J23" s="30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25">
      <c r="A24" s="8" t="s">
        <v>1226</v>
      </c>
      <c r="B24" s="5" t="s">
        <v>1181</v>
      </c>
      <c r="C24" s="5" t="s">
        <v>1227</v>
      </c>
      <c r="D24" s="5" t="s">
        <v>1227</v>
      </c>
      <c r="E24" s="5" t="s">
        <v>68</v>
      </c>
      <c r="F24" s="5">
        <v>36.993659999999998</v>
      </c>
      <c r="G24" s="5">
        <v>-120.2791</v>
      </c>
      <c r="H24" s="30"/>
      <c r="I24" s="45"/>
      <c r="J24" s="30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25">
      <c r="A25" s="8" t="s">
        <v>1228</v>
      </c>
      <c r="B25" s="5" t="s">
        <v>1181</v>
      </c>
      <c r="C25" s="5" t="s">
        <v>382</v>
      </c>
      <c r="D25" s="5" t="s">
        <v>1229</v>
      </c>
      <c r="E25" s="5" t="s">
        <v>68</v>
      </c>
      <c r="F25" s="5">
        <v>37.347717400000001</v>
      </c>
      <c r="G25" s="5">
        <v>-120.609084</v>
      </c>
      <c r="H25" s="30"/>
      <c r="I25" s="45"/>
      <c r="J25" s="30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25">
      <c r="A26" s="8" t="s">
        <v>1230</v>
      </c>
      <c r="B26" s="5" t="s">
        <v>1181</v>
      </c>
      <c r="C26" s="5" t="s">
        <v>1211</v>
      </c>
      <c r="D26" s="5" t="s">
        <v>1211</v>
      </c>
      <c r="E26" s="5" t="s">
        <v>68</v>
      </c>
      <c r="F26" s="5">
        <v>36.254600000000003</v>
      </c>
      <c r="G26" s="5">
        <v>-119.49930000000001</v>
      </c>
      <c r="H26" s="30"/>
      <c r="I26" s="45"/>
      <c r="J26" s="30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25">
      <c r="A27" s="8" t="s">
        <v>1231</v>
      </c>
      <c r="B27" s="5" t="s">
        <v>1181</v>
      </c>
      <c r="C27" s="5" t="s">
        <v>1221</v>
      </c>
      <c r="D27" s="5" t="s">
        <v>1222</v>
      </c>
      <c r="E27" s="5" t="s">
        <v>68</v>
      </c>
      <c r="F27" s="5">
        <v>36.325270000000003</v>
      </c>
      <c r="G27" s="5">
        <v>-119.51904</v>
      </c>
      <c r="H27" s="30"/>
      <c r="I27" s="45"/>
      <c r="J27" s="30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25">
      <c r="A28" s="8" t="s">
        <v>1232</v>
      </c>
      <c r="B28" s="5" t="s">
        <v>1181</v>
      </c>
      <c r="C28" s="5" t="s">
        <v>1233</v>
      </c>
      <c r="D28" s="5" t="s">
        <v>1227</v>
      </c>
      <c r="E28" s="5" t="s">
        <v>68</v>
      </c>
      <c r="F28" s="5">
        <v>37.147419999999997</v>
      </c>
      <c r="G28" s="5">
        <v>-120.28485000000001</v>
      </c>
      <c r="H28" s="30"/>
      <c r="I28" s="45"/>
      <c r="J28" s="30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25">
      <c r="A29" s="8" t="s">
        <v>1234</v>
      </c>
      <c r="B29" s="5" t="s">
        <v>1181</v>
      </c>
      <c r="C29" s="5" t="s">
        <v>1235</v>
      </c>
      <c r="D29" s="5" t="s">
        <v>1062</v>
      </c>
      <c r="E29" s="5" t="s">
        <v>68</v>
      </c>
      <c r="F29" s="5">
        <v>37.525750000000002</v>
      </c>
      <c r="G29" s="5">
        <v>-120.95796</v>
      </c>
      <c r="H29" s="30"/>
      <c r="I29" s="45"/>
      <c r="J29" s="30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25">
      <c r="A30" s="8" t="s">
        <v>1236</v>
      </c>
      <c r="B30" s="5" t="s">
        <v>1181</v>
      </c>
      <c r="C30" s="5" t="s">
        <v>1237</v>
      </c>
      <c r="D30" s="5" t="s">
        <v>1211</v>
      </c>
      <c r="E30" s="5" t="s">
        <v>68</v>
      </c>
      <c r="F30" s="5">
        <v>36.427390000000003</v>
      </c>
      <c r="G30" s="5">
        <v>-119.42283</v>
      </c>
      <c r="H30" s="30"/>
      <c r="I30" s="45"/>
      <c r="J30" s="30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25">
      <c r="A31" s="8" t="s">
        <v>1238</v>
      </c>
      <c r="B31" s="5" t="s">
        <v>1181</v>
      </c>
      <c r="C31" s="5" t="s">
        <v>1221</v>
      </c>
      <c r="D31" s="5" t="s">
        <v>1222</v>
      </c>
      <c r="E31" s="5" t="s">
        <v>68</v>
      </c>
      <c r="F31" s="5">
        <v>36.197490000000002</v>
      </c>
      <c r="G31" s="5">
        <v>-119.64284000000001</v>
      </c>
      <c r="H31" s="30"/>
      <c r="I31" s="45"/>
      <c r="J31" s="30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25">
      <c r="A32" s="8" t="s">
        <v>1239</v>
      </c>
      <c r="B32" s="5" t="s">
        <v>1181</v>
      </c>
      <c r="C32" s="5" t="s">
        <v>1211</v>
      </c>
      <c r="D32" s="5" t="s">
        <v>1211</v>
      </c>
      <c r="E32" s="5" t="s">
        <v>68</v>
      </c>
      <c r="F32" s="5">
        <v>36.102029999999999</v>
      </c>
      <c r="G32" s="5">
        <v>-119.42010000000001</v>
      </c>
      <c r="H32" s="30"/>
      <c r="I32" s="45"/>
      <c r="J32" s="30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25">
      <c r="A33" s="8" t="s">
        <v>1240</v>
      </c>
      <c r="B33" s="5" t="s">
        <v>1181</v>
      </c>
      <c r="C33" s="5" t="s">
        <v>1224</v>
      </c>
      <c r="D33" s="5" t="s">
        <v>1211</v>
      </c>
      <c r="E33" s="5" t="s">
        <v>68</v>
      </c>
      <c r="F33" s="5">
        <v>36.083570000000002</v>
      </c>
      <c r="G33" s="5">
        <v>-119.33969999999999</v>
      </c>
      <c r="H33" s="30"/>
      <c r="I33" s="45"/>
      <c r="J33" s="30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25">
      <c r="A34" s="8" t="s">
        <v>1241</v>
      </c>
      <c r="B34" s="5" t="s">
        <v>1181</v>
      </c>
      <c r="C34" s="5" t="s">
        <v>1211</v>
      </c>
      <c r="D34" s="5" t="s">
        <v>1211</v>
      </c>
      <c r="E34" s="5" t="s">
        <v>68</v>
      </c>
      <c r="F34" s="5">
        <v>36.11553</v>
      </c>
      <c r="G34" s="5">
        <v>-119.36150000000001</v>
      </c>
      <c r="H34" s="30"/>
      <c r="I34" s="45"/>
      <c r="J34" s="30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25">
      <c r="A35" s="8" t="s">
        <v>1242</v>
      </c>
      <c r="B35" s="5" t="s">
        <v>1181</v>
      </c>
      <c r="C35" s="5" t="s">
        <v>1243</v>
      </c>
      <c r="D35" s="5" t="s">
        <v>1062</v>
      </c>
      <c r="E35" s="5" t="s">
        <v>68</v>
      </c>
      <c r="F35" s="5">
        <v>37.639097200000002</v>
      </c>
      <c r="G35" s="5">
        <v>-120.9968782</v>
      </c>
      <c r="H35" s="30"/>
      <c r="I35" s="45"/>
      <c r="J35" s="30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25">
      <c r="A36" s="8" t="s">
        <v>1244</v>
      </c>
      <c r="B36" s="5" t="s">
        <v>1181</v>
      </c>
      <c r="C36" s="5" t="s">
        <v>1229</v>
      </c>
      <c r="D36" s="5" t="s">
        <v>1229</v>
      </c>
      <c r="E36" s="5" t="s">
        <v>68</v>
      </c>
      <c r="F36" s="5">
        <v>37.202579999999998</v>
      </c>
      <c r="G36" s="5">
        <v>-120.48808</v>
      </c>
      <c r="H36" s="30"/>
      <c r="I36" s="45"/>
      <c r="J36" s="30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25">
      <c r="A37" s="8" t="s">
        <v>1245</v>
      </c>
      <c r="B37" s="5" t="s">
        <v>1181</v>
      </c>
      <c r="C37" s="5" t="s">
        <v>1224</v>
      </c>
      <c r="D37" s="5" t="s">
        <v>1211</v>
      </c>
      <c r="E37" s="5" t="s">
        <v>68</v>
      </c>
      <c r="F37" s="5">
        <v>36.084569999999999</v>
      </c>
      <c r="G37" s="5">
        <v>-119.29686</v>
      </c>
      <c r="H37" s="30"/>
      <c r="I37" s="45"/>
      <c r="J37" s="30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30" x14ac:dyDescent="0.25">
      <c r="A38" s="8" t="s">
        <v>1246</v>
      </c>
      <c r="B38" s="5" t="s">
        <v>1181</v>
      </c>
      <c r="C38" s="5" t="s">
        <v>1237</v>
      </c>
      <c r="D38" s="5" t="s">
        <v>1211</v>
      </c>
      <c r="E38" s="5" t="s">
        <v>68</v>
      </c>
      <c r="F38" s="5">
        <v>36.443600000000004</v>
      </c>
      <c r="G38" s="5">
        <v>-119.37855</v>
      </c>
      <c r="H38" s="30"/>
      <c r="I38" s="45"/>
      <c r="J38" s="30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30" x14ac:dyDescent="0.25">
      <c r="A39" s="8" t="s">
        <v>1247</v>
      </c>
      <c r="B39" s="5" t="s">
        <v>1181</v>
      </c>
      <c r="C39" s="5" t="s">
        <v>1221</v>
      </c>
      <c r="D39" s="5" t="s">
        <v>1222</v>
      </c>
      <c r="E39" s="5" t="s">
        <v>68</v>
      </c>
      <c r="F39" s="5">
        <v>36.211129999999997</v>
      </c>
      <c r="G39" s="5">
        <v>-199.56032999999999</v>
      </c>
      <c r="H39" s="30"/>
      <c r="I39" s="45"/>
      <c r="J39" s="30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25">
      <c r="A40" s="8" t="s">
        <v>1248</v>
      </c>
      <c r="B40" s="5" t="s">
        <v>1181</v>
      </c>
      <c r="C40" s="5" t="s">
        <v>1211</v>
      </c>
      <c r="D40" s="5" t="s">
        <v>1211</v>
      </c>
      <c r="E40" s="5" t="s">
        <v>68</v>
      </c>
      <c r="F40" s="5">
        <v>36.262210000000003</v>
      </c>
      <c r="G40" s="5">
        <v>-119.40442</v>
      </c>
      <c r="H40" s="30"/>
      <c r="I40" s="45"/>
      <c r="J40" s="30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25">
      <c r="A41" s="8" t="s">
        <v>1249</v>
      </c>
      <c r="B41" s="5" t="s">
        <v>1181</v>
      </c>
      <c r="C41" s="5" t="s">
        <v>1218</v>
      </c>
      <c r="D41" s="5" t="s">
        <v>1211</v>
      </c>
      <c r="E41" s="5" t="s">
        <v>68</v>
      </c>
      <c r="F41" s="5">
        <v>36.00994</v>
      </c>
      <c r="G41" s="5">
        <v>-119.27287</v>
      </c>
      <c r="H41" s="30"/>
      <c r="I41" s="45"/>
      <c r="J41" s="30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25">
      <c r="A42" s="8" t="s">
        <v>1250</v>
      </c>
      <c r="B42" s="5" t="s">
        <v>1181</v>
      </c>
      <c r="C42" s="5" t="s">
        <v>1251</v>
      </c>
      <c r="D42" s="5" t="s">
        <v>1211</v>
      </c>
      <c r="E42" s="5" t="s">
        <v>68</v>
      </c>
      <c r="F42" s="5">
        <v>36.2030064</v>
      </c>
      <c r="G42" s="5">
        <v>-119.08816</v>
      </c>
      <c r="H42" s="30"/>
      <c r="I42" s="45"/>
      <c r="J42" s="30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25">
      <c r="A43" s="8" t="s">
        <v>1252</v>
      </c>
      <c r="B43" s="5" t="s">
        <v>1181</v>
      </c>
      <c r="C43" s="5" t="s">
        <v>1221</v>
      </c>
      <c r="D43" s="5" t="s">
        <v>1222</v>
      </c>
      <c r="E43" s="5" t="s">
        <v>68</v>
      </c>
      <c r="F43" s="5">
        <v>36.208939999999998</v>
      </c>
      <c r="G43" s="5">
        <v>-119.59654</v>
      </c>
      <c r="H43" s="30"/>
      <c r="I43" s="45"/>
      <c r="J43" s="30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x14ac:dyDescent="0.25">
      <c r="A44" s="8" t="s">
        <v>1253</v>
      </c>
      <c r="B44" s="5" t="s">
        <v>1181</v>
      </c>
      <c r="C44" s="5" t="s">
        <v>1229</v>
      </c>
      <c r="D44" s="5" t="s">
        <v>1229</v>
      </c>
      <c r="E44" s="5" t="s">
        <v>68</v>
      </c>
      <c r="F44" s="5">
        <v>37.22925</v>
      </c>
      <c r="G44" s="5">
        <v>-120.45246</v>
      </c>
      <c r="H44" s="30"/>
      <c r="I44" s="45"/>
      <c r="J44" s="30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30" x14ac:dyDescent="0.25">
      <c r="A45" s="8" t="s">
        <v>1254</v>
      </c>
      <c r="B45" s="5" t="s">
        <v>1181</v>
      </c>
      <c r="C45" s="5" t="s">
        <v>1237</v>
      </c>
      <c r="D45" s="5" t="s">
        <v>1211</v>
      </c>
      <c r="E45" s="5" t="s">
        <v>68</v>
      </c>
      <c r="F45" s="5">
        <v>36.38044</v>
      </c>
      <c r="G45" s="5">
        <v>-119.36545</v>
      </c>
      <c r="H45" s="30"/>
      <c r="I45" s="45"/>
      <c r="J45" s="30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25">
      <c r="A46" s="8" t="s">
        <v>1255</v>
      </c>
      <c r="B46" s="5" t="s">
        <v>1181</v>
      </c>
      <c r="C46" s="5" t="s">
        <v>1256</v>
      </c>
      <c r="D46" s="5" t="s">
        <v>1229</v>
      </c>
      <c r="E46" s="5" t="s">
        <v>68</v>
      </c>
      <c r="F46" s="5">
        <v>36.350099999999998</v>
      </c>
      <c r="G46" s="5">
        <v>-119.72636</v>
      </c>
      <c r="H46" s="30"/>
      <c r="I46" s="45"/>
      <c r="J46" s="30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25">
      <c r="A47" s="8" t="s">
        <v>1257</v>
      </c>
      <c r="B47" s="5" t="s">
        <v>1181</v>
      </c>
      <c r="C47" s="5" t="s">
        <v>1224</v>
      </c>
      <c r="D47" s="5" t="s">
        <v>1211</v>
      </c>
      <c r="E47" s="5" t="s">
        <v>68</v>
      </c>
      <c r="F47" s="5">
        <v>36.032499999999999</v>
      </c>
      <c r="G47" s="5">
        <v>-119.33973</v>
      </c>
      <c r="H47" s="30"/>
      <c r="I47" s="45"/>
      <c r="J47" s="30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25">
      <c r="A48" s="8" t="s">
        <v>1258</v>
      </c>
      <c r="B48" s="5" t="s">
        <v>1181</v>
      </c>
      <c r="C48" s="5" t="s">
        <v>1259</v>
      </c>
      <c r="D48" s="5" t="s">
        <v>1211</v>
      </c>
      <c r="E48" s="5" t="s">
        <v>68</v>
      </c>
      <c r="F48" s="5">
        <v>35.961170000000003</v>
      </c>
      <c r="G48" s="5">
        <v>-119.36624999999999</v>
      </c>
      <c r="H48" s="30"/>
      <c r="I48" s="45"/>
      <c r="J48" s="30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x14ac:dyDescent="0.25">
      <c r="A49" s="8" t="s">
        <v>1260</v>
      </c>
      <c r="B49" s="5" t="s">
        <v>1181</v>
      </c>
      <c r="C49" s="5" t="s">
        <v>1261</v>
      </c>
      <c r="D49" s="5" t="s">
        <v>1062</v>
      </c>
      <c r="E49" s="5" t="s">
        <v>68</v>
      </c>
      <c r="F49" s="5">
        <v>37.481520000000003</v>
      </c>
      <c r="G49" s="5">
        <v>-121.00189</v>
      </c>
      <c r="H49" s="30"/>
      <c r="I49" s="45"/>
      <c r="J49" s="30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x14ac:dyDescent="0.25">
      <c r="A50" s="8" t="s">
        <v>1262</v>
      </c>
      <c r="B50" s="5" t="s">
        <v>1181</v>
      </c>
      <c r="C50" s="5" t="s">
        <v>1221</v>
      </c>
      <c r="D50" s="5" t="s">
        <v>1222</v>
      </c>
      <c r="E50" s="5" t="s">
        <v>68</v>
      </c>
      <c r="F50" s="5">
        <v>36.229619999999997</v>
      </c>
      <c r="G50" s="5">
        <v>-119.6104</v>
      </c>
      <c r="H50" s="30"/>
      <c r="I50" s="45"/>
      <c r="J50" s="30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x14ac:dyDescent="0.25">
      <c r="A51" s="8" t="s">
        <v>1263</v>
      </c>
      <c r="B51" s="5" t="s">
        <v>1181</v>
      </c>
      <c r="C51" s="5" t="s">
        <v>1218</v>
      </c>
      <c r="D51" s="5" t="s">
        <v>1211</v>
      </c>
      <c r="E51" s="5" t="s">
        <v>68</v>
      </c>
      <c r="F51" s="5">
        <v>35.968510000000002</v>
      </c>
      <c r="G51" s="5">
        <v>-119.38015</v>
      </c>
      <c r="H51" s="30"/>
      <c r="I51" s="45"/>
      <c r="J51" s="30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x14ac:dyDescent="0.25">
      <c r="A52" s="8" t="s">
        <v>1264</v>
      </c>
      <c r="B52" s="5" t="s">
        <v>1181</v>
      </c>
      <c r="C52" s="5" t="s">
        <v>1224</v>
      </c>
      <c r="D52" s="5" t="s">
        <v>1211</v>
      </c>
      <c r="E52" s="5" t="s">
        <v>68</v>
      </c>
      <c r="F52" s="5">
        <v>36.040480000000002</v>
      </c>
      <c r="G52" s="5">
        <v>-119.39771</v>
      </c>
      <c r="H52" s="30"/>
      <c r="I52" s="45"/>
      <c r="J52" s="30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x14ac:dyDescent="0.25">
      <c r="A53" s="8" t="s">
        <v>1265</v>
      </c>
      <c r="B53" s="5" t="s">
        <v>1181</v>
      </c>
      <c r="C53" s="5" t="s">
        <v>1221</v>
      </c>
      <c r="D53" s="5" t="s">
        <v>1222</v>
      </c>
      <c r="E53" s="5" t="s">
        <v>68</v>
      </c>
      <c r="F53" s="5">
        <v>36.298000000000002</v>
      </c>
      <c r="G53" s="5">
        <v>-119.52994</v>
      </c>
      <c r="H53" s="30"/>
      <c r="I53" s="45"/>
      <c r="J53" s="30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x14ac:dyDescent="0.25">
      <c r="A54" s="8" t="s">
        <v>1266</v>
      </c>
      <c r="B54" s="5" t="s">
        <v>1181</v>
      </c>
      <c r="C54" s="5" t="s">
        <v>1195</v>
      </c>
      <c r="D54" s="5" t="s">
        <v>1196</v>
      </c>
      <c r="E54" s="5" t="s">
        <v>68</v>
      </c>
      <c r="F54" s="5">
        <v>35.201889999999999</v>
      </c>
      <c r="G54" s="5">
        <v>-119.17939</v>
      </c>
      <c r="H54" s="30"/>
      <c r="I54" s="45"/>
      <c r="J54" s="30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x14ac:dyDescent="0.25">
      <c r="A55" s="8" t="s">
        <v>1267</v>
      </c>
      <c r="B55" s="5" t="s">
        <v>1181</v>
      </c>
      <c r="C55" s="5" t="s">
        <v>1229</v>
      </c>
      <c r="D55" s="5" t="s">
        <v>1229</v>
      </c>
      <c r="E55" s="5" t="s">
        <v>68</v>
      </c>
      <c r="F55" s="5">
        <v>35.247109999999999</v>
      </c>
      <c r="G55" s="5">
        <v>-119.13285999999999</v>
      </c>
      <c r="H55" s="30"/>
      <c r="I55" s="45"/>
      <c r="J55" s="30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x14ac:dyDescent="0.25">
      <c r="A56" s="8" t="s">
        <v>1268</v>
      </c>
      <c r="B56" s="5" t="s">
        <v>1181</v>
      </c>
      <c r="C56" s="5" t="s">
        <v>1237</v>
      </c>
      <c r="D56" s="5" t="s">
        <v>1211</v>
      </c>
      <c r="E56" s="5" t="s">
        <v>68</v>
      </c>
      <c r="F56" s="5">
        <v>37.659410000000001</v>
      </c>
      <c r="G56" s="5">
        <v>-121.14436000000001</v>
      </c>
      <c r="H56" s="30"/>
      <c r="I56" s="45"/>
      <c r="J56" s="30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x14ac:dyDescent="0.25">
      <c r="A57" s="8" t="s">
        <v>1269</v>
      </c>
      <c r="B57" s="5" t="s">
        <v>1181</v>
      </c>
      <c r="C57" s="5" t="s">
        <v>1237</v>
      </c>
      <c r="D57" s="5" t="s">
        <v>1211</v>
      </c>
      <c r="E57" s="5" t="s">
        <v>68</v>
      </c>
      <c r="F57" s="5">
        <v>36.37444</v>
      </c>
      <c r="G57" s="5">
        <v>-119.36118</v>
      </c>
      <c r="H57" s="30"/>
      <c r="I57" s="45"/>
      <c r="J57" s="30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x14ac:dyDescent="0.25">
      <c r="A58" s="8" t="s">
        <v>1270</v>
      </c>
      <c r="B58" s="5" t="s">
        <v>1181</v>
      </c>
      <c r="C58" s="5" t="s">
        <v>1271</v>
      </c>
      <c r="D58" s="5" t="s">
        <v>1211</v>
      </c>
      <c r="E58" s="5" t="s">
        <v>68</v>
      </c>
      <c r="F58" s="5">
        <v>36.41039</v>
      </c>
      <c r="G58" s="5">
        <v>-119.34219</v>
      </c>
      <c r="H58" s="30"/>
      <c r="I58" s="45"/>
      <c r="J58" s="30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x14ac:dyDescent="0.25">
      <c r="A59" s="8" t="s">
        <v>1272</v>
      </c>
      <c r="B59" s="5" t="s">
        <v>1181</v>
      </c>
      <c r="C59" s="5" t="s">
        <v>1237</v>
      </c>
      <c r="D59" s="5" t="s">
        <v>1211</v>
      </c>
      <c r="E59" s="5" t="s">
        <v>68</v>
      </c>
      <c r="F59" s="5">
        <v>35.969068999999998</v>
      </c>
      <c r="G59" s="5">
        <v>-199.29202699999999</v>
      </c>
      <c r="H59" s="30"/>
      <c r="I59" s="45"/>
      <c r="J59" s="30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x14ac:dyDescent="0.25">
      <c r="A60" s="8" t="s">
        <v>1273</v>
      </c>
      <c r="B60" s="5" t="s">
        <v>1181</v>
      </c>
      <c r="C60" s="5" t="s">
        <v>1274</v>
      </c>
      <c r="D60" s="5" t="s">
        <v>1275</v>
      </c>
      <c r="E60" s="5" t="s">
        <v>68</v>
      </c>
      <c r="F60" s="5">
        <v>38.249583734274601</v>
      </c>
      <c r="G60" s="5">
        <v>-121.342293069316</v>
      </c>
      <c r="H60" s="30"/>
      <c r="I60" s="45"/>
      <c r="J60" s="30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 x14ac:dyDescent="0.25">
      <c r="A61" s="8" t="s">
        <v>1276</v>
      </c>
      <c r="B61" s="5" t="s">
        <v>1181</v>
      </c>
      <c r="C61" s="5" t="s">
        <v>1195</v>
      </c>
      <c r="D61" s="5" t="s">
        <v>1196</v>
      </c>
      <c r="E61" s="5" t="s">
        <v>68</v>
      </c>
      <c r="F61" s="5">
        <v>35.211129999999997</v>
      </c>
      <c r="G61" s="5">
        <v>-119.18253</v>
      </c>
      <c r="H61" s="30"/>
      <c r="I61" s="45"/>
      <c r="J61" s="30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x14ac:dyDescent="0.25">
      <c r="A62" s="8" t="s">
        <v>1277</v>
      </c>
      <c r="B62" s="5" t="s">
        <v>1181</v>
      </c>
      <c r="C62" s="5" t="s">
        <v>1224</v>
      </c>
      <c r="D62" s="5" t="s">
        <v>1211</v>
      </c>
      <c r="E62" s="5" t="s">
        <v>68</v>
      </c>
      <c r="F62" s="5">
        <v>36.018459999999997</v>
      </c>
      <c r="G62" s="5">
        <v>-119.25009</v>
      </c>
      <c r="H62" s="30"/>
      <c r="I62" s="45"/>
      <c r="J62" s="30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x14ac:dyDescent="0.25">
      <c r="A63" s="8" t="s">
        <v>1278</v>
      </c>
      <c r="B63" s="5" t="s">
        <v>1181</v>
      </c>
      <c r="C63" s="5" t="s">
        <v>1279</v>
      </c>
      <c r="D63" s="5" t="s">
        <v>1205</v>
      </c>
      <c r="E63" s="5" t="s">
        <v>68</v>
      </c>
      <c r="F63" s="5">
        <v>36.512140000000002</v>
      </c>
      <c r="G63" s="5">
        <v>-120.02546</v>
      </c>
      <c r="H63" s="30"/>
      <c r="I63" s="45"/>
      <c r="J63" s="30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x14ac:dyDescent="0.25">
      <c r="A64" s="8" t="s">
        <v>1280</v>
      </c>
      <c r="B64" s="5" t="s">
        <v>1181</v>
      </c>
      <c r="C64" s="5" t="s">
        <v>1281</v>
      </c>
      <c r="D64" s="5" t="s">
        <v>1222</v>
      </c>
      <c r="E64" s="5" t="s">
        <v>68</v>
      </c>
      <c r="F64" s="5">
        <v>36.050640000000001</v>
      </c>
      <c r="G64" s="5">
        <v>-119.52204999999999</v>
      </c>
      <c r="H64" s="30"/>
      <c r="I64" s="45"/>
      <c r="J64" s="30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x14ac:dyDescent="0.25">
      <c r="A65" s="8" t="s">
        <v>1282</v>
      </c>
      <c r="B65" s="5" t="s">
        <v>1189</v>
      </c>
      <c r="C65" s="5" t="s">
        <v>1218</v>
      </c>
      <c r="D65" s="5" t="s">
        <v>1211</v>
      </c>
      <c r="E65" s="5" t="s">
        <v>68</v>
      </c>
      <c r="F65" s="5">
        <v>35.968564899999997</v>
      </c>
      <c r="G65" s="5">
        <v>-119.29177850000001</v>
      </c>
      <c r="H65" s="30"/>
      <c r="I65" s="45"/>
      <c r="J65" s="30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30" x14ac:dyDescent="0.25">
      <c r="A66" s="8" t="s">
        <v>1283</v>
      </c>
      <c r="B66" s="5" t="s">
        <v>1181</v>
      </c>
      <c r="C66" s="5" t="s">
        <v>1237</v>
      </c>
      <c r="D66" s="5" t="s">
        <v>1211</v>
      </c>
      <c r="E66" s="5" t="s">
        <v>68</v>
      </c>
      <c r="F66" s="5">
        <v>36.385820000000002</v>
      </c>
      <c r="G66" s="5">
        <v>-119.33199</v>
      </c>
      <c r="H66" s="30"/>
      <c r="I66" s="45"/>
      <c r="J66" s="30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x14ac:dyDescent="0.25">
      <c r="A67" s="8" t="s">
        <v>1284</v>
      </c>
      <c r="B67" s="5" t="s">
        <v>1181</v>
      </c>
      <c r="C67" s="5" t="s">
        <v>1211</v>
      </c>
      <c r="D67" s="5" t="s">
        <v>1211</v>
      </c>
      <c r="E67" s="5" t="s">
        <v>68</v>
      </c>
      <c r="F67" s="5">
        <v>36.184710000000003</v>
      </c>
      <c r="G67" s="5">
        <v>-119.22855</v>
      </c>
      <c r="H67" s="30"/>
      <c r="I67" s="45"/>
      <c r="J67" s="30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x14ac:dyDescent="0.25">
      <c r="A68" s="8" t="s">
        <v>1285</v>
      </c>
      <c r="B68" s="5" t="s">
        <v>1286</v>
      </c>
      <c r="C68" s="5" t="s">
        <v>1211</v>
      </c>
      <c r="D68" s="5" t="s">
        <v>1211</v>
      </c>
      <c r="E68" s="5" t="s">
        <v>68</v>
      </c>
      <c r="F68" s="5">
        <v>37.212000000000003</v>
      </c>
      <c r="G68" s="5">
        <v>-120.47110000000001</v>
      </c>
      <c r="H68" s="30"/>
      <c r="I68" s="45"/>
      <c r="J68" s="30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x14ac:dyDescent="0.25">
      <c r="A69" s="8" t="s">
        <v>1287</v>
      </c>
      <c r="B69" s="5" t="s">
        <v>1181</v>
      </c>
      <c r="C69" s="5" t="s">
        <v>1211</v>
      </c>
      <c r="D69" s="5" t="s">
        <v>1211</v>
      </c>
      <c r="E69" s="5" t="s">
        <v>68</v>
      </c>
      <c r="F69" s="5">
        <v>36.122030000000002</v>
      </c>
      <c r="G69" s="5">
        <v>-119.27152</v>
      </c>
      <c r="H69" s="30"/>
      <c r="I69" s="45"/>
      <c r="J69" s="30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x14ac:dyDescent="0.25">
      <c r="A70" s="8" t="s">
        <v>1288</v>
      </c>
      <c r="B70" s="5" t="s">
        <v>1181</v>
      </c>
      <c r="C70" s="5" t="s">
        <v>1211</v>
      </c>
      <c r="D70" s="5" t="s">
        <v>1211</v>
      </c>
      <c r="E70" s="5" t="s">
        <v>68</v>
      </c>
      <c r="F70" s="5">
        <v>36.116500000000002</v>
      </c>
      <c r="G70" s="5">
        <v>-119.29049000000001</v>
      </c>
      <c r="H70" s="30"/>
      <c r="I70" s="45"/>
      <c r="J70" s="30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x14ac:dyDescent="0.25">
      <c r="A71" s="8" t="s">
        <v>1289</v>
      </c>
      <c r="B71" s="5" t="s">
        <v>1181</v>
      </c>
      <c r="C71" s="5" t="s">
        <v>1221</v>
      </c>
      <c r="D71" s="5" t="s">
        <v>1222</v>
      </c>
      <c r="E71" s="5" t="s">
        <v>68</v>
      </c>
      <c r="F71" s="5">
        <v>36.255159999999997</v>
      </c>
      <c r="G71" s="5">
        <v>-119.56415</v>
      </c>
      <c r="H71" s="30"/>
      <c r="I71" s="45"/>
      <c r="J71" s="30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x14ac:dyDescent="0.25">
      <c r="A72" s="8" t="s">
        <v>1290</v>
      </c>
      <c r="B72" s="5" t="s">
        <v>1181</v>
      </c>
      <c r="C72" s="5" t="s">
        <v>1211</v>
      </c>
      <c r="D72" s="5" t="s">
        <v>1211</v>
      </c>
      <c r="E72" s="5" t="s">
        <v>68</v>
      </c>
      <c r="F72" s="5">
        <v>36.167679999999997</v>
      </c>
      <c r="G72" s="5">
        <v>-119.27768</v>
      </c>
      <c r="H72" s="30"/>
      <c r="I72" s="45"/>
      <c r="J72" s="30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x14ac:dyDescent="0.25">
      <c r="A73" s="8" t="s">
        <v>1291</v>
      </c>
      <c r="B73" s="5" t="s">
        <v>1181</v>
      </c>
      <c r="C73" s="5" t="s">
        <v>1259</v>
      </c>
      <c r="D73" s="5" t="s">
        <v>1211</v>
      </c>
      <c r="E73" s="5" t="s">
        <v>68</v>
      </c>
      <c r="F73" s="5">
        <v>35.947659999999999</v>
      </c>
      <c r="G73" s="5">
        <v>-119.35808</v>
      </c>
      <c r="H73" s="30"/>
      <c r="I73" s="45"/>
      <c r="J73" s="30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x14ac:dyDescent="0.25">
      <c r="A74" s="8" t="s">
        <v>1292</v>
      </c>
      <c r="B74" s="5" t="s">
        <v>1181</v>
      </c>
      <c r="C74" s="5" t="s">
        <v>1237</v>
      </c>
      <c r="D74" s="5" t="s">
        <v>1211</v>
      </c>
      <c r="E74" s="5" t="s">
        <v>68</v>
      </c>
      <c r="F74" s="5">
        <v>36.387120000000003</v>
      </c>
      <c r="G74" s="5">
        <v>-119.40170000000001</v>
      </c>
      <c r="H74" s="30"/>
      <c r="I74" s="45"/>
      <c r="J74" s="30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30" x14ac:dyDescent="0.25">
      <c r="A75" s="8" t="s">
        <v>1293</v>
      </c>
      <c r="B75" s="5" t="s">
        <v>1181</v>
      </c>
      <c r="C75" s="5" t="s">
        <v>1218</v>
      </c>
      <c r="D75" s="5" t="s">
        <v>1211</v>
      </c>
      <c r="E75" s="5" t="s">
        <v>68</v>
      </c>
      <c r="F75" s="5">
        <v>35.97569</v>
      </c>
      <c r="G75" s="5">
        <v>-119.36217000000001</v>
      </c>
      <c r="H75" s="30"/>
      <c r="I75" s="45"/>
      <c r="J75" s="30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x14ac:dyDescent="0.25">
      <c r="A76" s="8" t="s">
        <v>1294</v>
      </c>
      <c r="B76" s="5" t="s">
        <v>1181</v>
      </c>
      <c r="C76" s="5" t="s">
        <v>1229</v>
      </c>
      <c r="D76" s="5" t="s">
        <v>1229</v>
      </c>
      <c r="E76" s="5" t="s">
        <v>68</v>
      </c>
      <c r="F76" s="5">
        <v>37.184809999999999</v>
      </c>
      <c r="G76" s="5">
        <v>-120.4333</v>
      </c>
      <c r="H76" s="30"/>
      <c r="I76" s="45"/>
      <c r="J76" s="30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x14ac:dyDescent="0.25">
      <c r="A77" s="8" t="s">
        <v>1295</v>
      </c>
      <c r="B77" s="5" t="s">
        <v>1181</v>
      </c>
      <c r="C77" s="5" t="s">
        <v>1237</v>
      </c>
      <c r="D77" s="5" t="s">
        <v>1211</v>
      </c>
      <c r="E77" s="5" t="s">
        <v>68</v>
      </c>
      <c r="F77" s="5">
        <v>36.30903</v>
      </c>
      <c r="G77" s="5">
        <v>-119.44788</v>
      </c>
      <c r="H77" s="30"/>
      <c r="I77" s="45"/>
      <c r="J77" s="30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x14ac:dyDescent="0.25">
      <c r="A78" s="8" t="s">
        <v>1296</v>
      </c>
      <c r="B78" s="5" t="s">
        <v>1181</v>
      </c>
      <c r="C78" s="5" t="s">
        <v>1211</v>
      </c>
      <c r="D78" s="5" t="s">
        <v>1211</v>
      </c>
      <c r="E78" s="5" t="s">
        <v>68</v>
      </c>
      <c r="F78" s="5">
        <v>36.009470999999998</v>
      </c>
      <c r="G78" s="5">
        <v>-119.3473</v>
      </c>
      <c r="H78" s="30"/>
      <c r="I78" s="45"/>
      <c r="J78" s="30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x14ac:dyDescent="0.25">
      <c r="A79" s="8" t="s">
        <v>1297</v>
      </c>
      <c r="B79" s="5" t="s">
        <v>1181</v>
      </c>
      <c r="C79" s="5" t="s">
        <v>1224</v>
      </c>
      <c r="D79" s="5" t="s">
        <v>1211</v>
      </c>
      <c r="E79" s="5" t="s">
        <v>68</v>
      </c>
      <c r="F79" s="5">
        <v>36.039450000000002</v>
      </c>
      <c r="G79" s="5">
        <v>-119.35330999999999</v>
      </c>
      <c r="H79" s="30"/>
      <c r="I79" s="45"/>
      <c r="J79" s="30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x14ac:dyDescent="0.25">
      <c r="A80" s="8" t="s">
        <v>1298</v>
      </c>
      <c r="B80" s="5" t="s">
        <v>1181</v>
      </c>
      <c r="C80" s="5" t="s">
        <v>1299</v>
      </c>
      <c r="D80" s="5" t="s">
        <v>1196</v>
      </c>
      <c r="E80" s="5" t="s">
        <v>68</v>
      </c>
      <c r="F80" s="5">
        <v>35.481540000000003</v>
      </c>
      <c r="G80" s="5">
        <v>-119.34171000000001</v>
      </c>
      <c r="H80" s="30"/>
      <c r="I80" s="45"/>
      <c r="J80" s="30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x14ac:dyDescent="0.25">
      <c r="A81" s="8" t="s">
        <v>1300</v>
      </c>
      <c r="B81" s="5" t="s">
        <v>1181</v>
      </c>
      <c r="C81" s="5" t="s">
        <v>1224</v>
      </c>
      <c r="D81" s="5" t="s">
        <v>1211</v>
      </c>
      <c r="E81" s="5" t="s">
        <v>68</v>
      </c>
      <c r="F81" s="5">
        <v>36.035510000000002</v>
      </c>
      <c r="G81" s="5">
        <v>-119.4135</v>
      </c>
      <c r="H81" s="30"/>
      <c r="I81" s="45"/>
      <c r="J81" s="30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x14ac:dyDescent="0.25">
      <c r="A82" s="8" t="s">
        <v>1301</v>
      </c>
      <c r="B82" s="5" t="s">
        <v>1181</v>
      </c>
      <c r="C82" s="5" t="s">
        <v>1202</v>
      </c>
      <c r="D82" s="5" t="s">
        <v>1196</v>
      </c>
      <c r="E82" s="5" t="s">
        <v>68</v>
      </c>
      <c r="F82" s="5">
        <v>35.500450000000001</v>
      </c>
      <c r="G82" s="5">
        <v>-119.45699</v>
      </c>
      <c r="H82" s="30"/>
      <c r="I82" s="45"/>
      <c r="J82" s="30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30" x14ac:dyDescent="0.25">
      <c r="A83" s="8" t="s">
        <v>1302</v>
      </c>
      <c r="B83" s="5" t="s">
        <v>1181</v>
      </c>
      <c r="C83" s="5" t="s">
        <v>1221</v>
      </c>
      <c r="D83" s="5" t="s">
        <v>1222</v>
      </c>
      <c r="E83" s="5" t="s">
        <v>68</v>
      </c>
      <c r="F83" s="5">
        <v>36.399230000000003</v>
      </c>
      <c r="G83" s="5">
        <v>-119.5287</v>
      </c>
      <c r="H83" s="30"/>
      <c r="I83" s="45"/>
      <c r="J83" s="30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x14ac:dyDescent="0.25">
      <c r="A84" s="8" t="s">
        <v>1303</v>
      </c>
      <c r="B84" s="5" t="s">
        <v>1181</v>
      </c>
      <c r="C84" s="5" t="s">
        <v>379</v>
      </c>
      <c r="D84" s="5" t="s">
        <v>1209</v>
      </c>
      <c r="E84" s="5" t="s">
        <v>68</v>
      </c>
      <c r="F84" s="5">
        <v>38.160476600000003</v>
      </c>
      <c r="G84" s="5">
        <v>-122.8941619</v>
      </c>
      <c r="H84" s="30"/>
      <c r="I84" s="45"/>
      <c r="J84" s="30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x14ac:dyDescent="0.25">
      <c r="A85" s="8" t="s">
        <v>1304</v>
      </c>
      <c r="B85" s="5" t="s">
        <v>1181</v>
      </c>
      <c r="C85" s="5" t="s">
        <v>1195</v>
      </c>
      <c r="D85" s="5" t="s">
        <v>1196</v>
      </c>
      <c r="E85" s="5" t="s">
        <v>68</v>
      </c>
      <c r="F85" s="5">
        <v>35.190100000000001</v>
      </c>
      <c r="G85" s="5">
        <v>-119.11005</v>
      </c>
      <c r="H85" s="30"/>
      <c r="I85" s="45"/>
      <c r="J85" s="30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 x14ac:dyDescent="0.25">
      <c r="A86" s="8" t="s">
        <v>1305</v>
      </c>
      <c r="B86" s="5" t="s">
        <v>1181</v>
      </c>
      <c r="C86" s="5" t="s">
        <v>1237</v>
      </c>
      <c r="D86" s="5" t="s">
        <v>1211</v>
      </c>
      <c r="E86" s="5" t="s">
        <v>68</v>
      </c>
      <c r="F86" s="5">
        <v>35.20926</v>
      </c>
      <c r="G86" s="5">
        <v>-119.19459000000001</v>
      </c>
      <c r="H86" s="30"/>
      <c r="I86" s="45"/>
      <c r="J86" s="30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 x14ac:dyDescent="0.25">
      <c r="A87" s="8" t="s">
        <v>1306</v>
      </c>
      <c r="B87" s="5" t="s">
        <v>1181</v>
      </c>
      <c r="C87" s="5" t="s">
        <v>1237</v>
      </c>
      <c r="D87" s="5" t="s">
        <v>1211</v>
      </c>
      <c r="E87" s="5" t="s">
        <v>68</v>
      </c>
      <c r="F87" s="5">
        <v>36.311190000000003</v>
      </c>
      <c r="G87" s="5">
        <v>-119.44834</v>
      </c>
      <c r="H87" s="30"/>
      <c r="I87" s="45"/>
      <c r="J87" s="30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 x14ac:dyDescent="0.25">
      <c r="A88" s="8" t="s">
        <v>1307</v>
      </c>
      <c r="B88" s="5" t="s">
        <v>1181</v>
      </c>
      <c r="C88" s="5" t="s">
        <v>1221</v>
      </c>
      <c r="D88" s="5" t="s">
        <v>1222</v>
      </c>
      <c r="E88" s="5" t="s">
        <v>68</v>
      </c>
      <c r="F88" s="5">
        <v>36.221910000000001</v>
      </c>
      <c r="G88" s="5">
        <v>-119.62779</v>
      </c>
      <c r="H88" s="30"/>
      <c r="I88" s="45"/>
      <c r="J88" s="30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 x14ac:dyDescent="0.25">
      <c r="A89" s="8" t="s">
        <v>1308</v>
      </c>
      <c r="B89" s="5" t="s">
        <v>1181</v>
      </c>
      <c r="C89" s="5" t="s">
        <v>1224</v>
      </c>
      <c r="D89" s="5" t="s">
        <v>1211</v>
      </c>
      <c r="E89" s="5" t="s">
        <v>68</v>
      </c>
      <c r="F89" s="5">
        <v>36.060650000000003</v>
      </c>
      <c r="G89" s="5">
        <v>-119.22987999999999</v>
      </c>
      <c r="H89" s="30"/>
      <c r="I89" s="45"/>
      <c r="J89" s="30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 x14ac:dyDescent="0.25">
      <c r="A90" s="8" t="s">
        <v>1309</v>
      </c>
      <c r="B90" s="5" t="s">
        <v>1181</v>
      </c>
      <c r="C90" s="5" t="s">
        <v>1279</v>
      </c>
      <c r="D90" s="5" t="s">
        <v>1205</v>
      </c>
      <c r="E90" s="5" t="s">
        <v>68</v>
      </c>
      <c r="F90" s="5">
        <v>36.486629999999998</v>
      </c>
      <c r="G90" s="5">
        <v>-120.0436</v>
      </c>
      <c r="H90" s="30"/>
      <c r="I90" s="45"/>
      <c r="J90" s="30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 x14ac:dyDescent="0.25">
      <c r="A91" s="8" t="s">
        <v>1310</v>
      </c>
      <c r="B91" s="5" t="s">
        <v>1181</v>
      </c>
      <c r="C91" s="5" t="s">
        <v>1311</v>
      </c>
      <c r="D91" s="5" t="s">
        <v>1312</v>
      </c>
      <c r="E91" s="5" t="s">
        <v>68</v>
      </c>
      <c r="F91" s="5">
        <v>38.283169999999998</v>
      </c>
      <c r="G91" s="5">
        <v>-121.35129999999999</v>
      </c>
      <c r="H91" s="30"/>
      <c r="I91" s="45"/>
      <c r="J91" s="30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 x14ac:dyDescent="0.25">
      <c r="A92" s="8" t="s">
        <v>1313</v>
      </c>
      <c r="B92" s="5" t="s">
        <v>1181</v>
      </c>
      <c r="C92" s="5" t="s">
        <v>1274</v>
      </c>
      <c r="D92" s="5" t="s">
        <v>1275</v>
      </c>
      <c r="E92" s="5" t="s">
        <v>68</v>
      </c>
      <c r="F92" s="5">
        <v>38.301232499999998</v>
      </c>
      <c r="G92" s="5">
        <v>-121.331037247</v>
      </c>
      <c r="H92" s="30"/>
      <c r="I92" s="45"/>
      <c r="J92" s="30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 x14ac:dyDescent="0.25">
      <c r="A93" s="8" t="s">
        <v>1314</v>
      </c>
      <c r="B93" s="5" t="s">
        <v>1181</v>
      </c>
      <c r="C93" s="5" t="s">
        <v>1218</v>
      </c>
      <c r="D93" s="5" t="s">
        <v>1315</v>
      </c>
      <c r="E93" s="5" t="s">
        <v>68</v>
      </c>
      <c r="F93" s="5">
        <v>36.143740000000001</v>
      </c>
      <c r="G93" s="5">
        <v>-119.25959</v>
      </c>
      <c r="H93" s="30"/>
      <c r="I93" s="45"/>
      <c r="J93" s="30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 x14ac:dyDescent="0.25">
      <c r="A94" s="8" t="s">
        <v>1316</v>
      </c>
      <c r="B94" s="5" t="s">
        <v>1181</v>
      </c>
      <c r="C94" s="5" t="s">
        <v>1229</v>
      </c>
      <c r="D94" s="5" t="s">
        <v>1229</v>
      </c>
      <c r="E94" s="5" t="s">
        <v>68</v>
      </c>
      <c r="F94" s="5">
        <v>37.215879999999999</v>
      </c>
      <c r="G94" s="5">
        <v>-120.51797999999999</v>
      </c>
      <c r="H94" s="30"/>
      <c r="I94" s="45"/>
      <c r="J94" s="30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 x14ac:dyDescent="0.25">
      <c r="A95" s="8" t="s">
        <v>1317</v>
      </c>
      <c r="B95" s="5" t="s">
        <v>1181</v>
      </c>
      <c r="C95" s="5" t="s">
        <v>1221</v>
      </c>
      <c r="D95" s="5" t="s">
        <v>1222</v>
      </c>
      <c r="E95" s="5" t="s">
        <v>68</v>
      </c>
      <c r="F95" s="5">
        <v>36.182340000000003</v>
      </c>
      <c r="G95" s="5">
        <v>-119.67782</v>
      </c>
      <c r="H95" s="30"/>
      <c r="I95" s="45"/>
      <c r="J95" s="30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 x14ac:dyDescent="0.25">
      <c r="A96" s="8" t="s">
        <v>1318</v>
      </c>
      <c r="B96" s="5" t="s">
        <v>1181</v>
      </c>
      <c r="C96" s="5" t="s">
        <v>1227</v>
      </c>
      <c r="D96" s="5" t="s">
        <v>1227</v>
      </c>
      <c r="E96" s="5" t="s">
        <v>68</v>
      </c>
      <c r="F96" s="5">
        <v>36.935969999999998</v>
      </c>
      <c r="G96" s="5">
        <v>-120.38242</v>
      </c>
      <c r="H96" s="30"/>
      <c r="I96" s="45"/>
      <c r="J96" s="30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 x14ac:dyDescent="0.25">
      <c r="A97" s="8" t="s">
        <v>1319</v>
      </c>
      <c r="B97" s="5" t="s">
        <v>1181</v>
      </c>
      <c r="C97" s="5" t="s">
        <v>1213</v>
      </c>
      <c r="D97" s="5" t="s">
        <v>1196</v>
      </c>
      <c r="E97" s="5" t="s">
        <v>68</v>
      </c>
      <c r="F97" s="5">
        <v>35.191029999999998</v>
      </c>
      <c r="G97" s="5">
        <v>-119.1103</v>
      </c>
      <c r="H97" s="30"/>
      <c r="I97" s="45"/>
      <c r="J97" s="30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 x14ac:dyDescent="0.25">
      <c r="A98" s="8" t="s">
        <v>1320</v>
      </c>
      <c r="B98" s="5" t="s">
        <v>1181</v>
      </c>
      <c r="C98" s="5" t="s">
        <v>1321</v>
      </c>
      <c r="D98" s="5" t="s">
        <v>1196</v>
      </c>
      <c r="E98" s="5" t="s">
        <v>68</v>
      </c>
      <c r="F98" s="5">
        <v>35.555039999999998</v>
      </c>
      <c r="G98" s="5">
        <v>-119.40336000000001</v>
      </c>
      <c r="H98" s="30"/>
      <c r="I98" s="45"/>
      <c r="J98" s="30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 x14ac:dyDescent="0.25">
      <c r="A99" s="8" t="s">
        <v>1322</v>
      </c>
      <c r="B99" s="5" t="s">
        <v>1181</v>
      </c>
      <c r="C99" s="5" t="s">
        <v>1323</v>
      </c>
      <c r="D99" s="5" t="s">
        <v>1222</v>
      </c>
      <c r="E99" s="5" t="s">
        <v>68</v>
      </c>
      <c r="F99" s="5">
        <v>36.217959999999998</v>
      </c>
      <c r="G99" s="5">
        <v>-119.61517000000001</v>
      </c>
      <c r="H99" s="30"/>
      <c r="I99" s="45"/>
      <c r="J99" s="30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 x14ac:dyDescent="0.25">
      <c r="A100" s="8" t="s">
        <v>1324</v>
      </c>
      <c r="B100" s="5" t="s">
        <v>1181</v>
      </c>
      <c r="C100" s="5" t="s">
        <v>1325</v>
      </c>
      <c r="D100" s="5" t="s">
        <v>1326</v>
      </c>
      <c r="E100" s="5" t="s">
        <v>84</v>
      </c>
      <c r="F100" s="5">
        <v>38.064509999999999</v>
      </c>
      <c r="G100" s="5">
        <v>-102.6134</v>
      </c>
      <c r="H100" s="30"/>
      <c r="I100" s="45"/>
      <c r="J100" s="30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 x14ac:dyDescent="0.25">
      <c r="A101" s="8" t="s">
        <v>1327</v>
      </c>
      <c r="B101" s="5" t="s">
        <v>1181</v>
      </c>
      <c r="C101" s="5" t="s">
        <v>1328</v>
      </c>
      <c r="D101" s="5"/>
      <c r="E101" s="5" t="s">
        <v>1066</v>
      </c>
      <c r="F101" s="5">
        <v>41.951591187295101</v>
      </c>
      <c r="G101" s="5">
        <v>-71.844266673021806</v>
      </c>
      <c r="H101" s="30"/>
      <c r="I101" s="45"/>
      <c r="J101" s="30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 x14ac:dyDescent="0.25">
      <c r="A102" s="8" t="s">
        <v>1329</v>
      </c>
      <c r="B102" s="5" t="s">
        <v>1181</v>
      </c>
      <c r="C102" s="5" t="s">
        <v>1330</v>
      </c>
      <c r="D102" s="5" t="s">
        <v>1331</v>
      </c>
      <c r="E102" s="5" t="s">
        <v>1066</v>
      </c>
      <c r="F102" s="5">
        <v>42.013537200000002</v>
      </c>
      <c r="G102" s="5">
        <v>-73.283457100000007</v>
      </c>
      <c r="H102" s="30"/>
      <c r="I102" s="45"/>
      <c r="J102" s="30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 x14ac:dyDescent="0.25">
      <c r="A103" s="8" t="s">
        <v>1332</v>
      </c>
      <c r="B103" s="5" t="s">
        <v>1181</v>
      </c>
      <c r="C103" s="5" t="s">
        <v>533</v>
      </c>
      <c r="D103" s="5" t="s">
        <v>1333</v>
      </c>
      <c r="E103" s="5" t="s">
        <v>1074</v>
      </c>
      <c r="F103" s="5">
        <v>29.613294199999999</v>
      </c>
      <c r="G103" s="5">
        <v>-82.817620300000002</v>
      </c>
      <c r="H103" s="30"/>
      <c r="I103" s="45"/>
      <c r="J103" s="30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 x14ac:dyDescent="0.25">
      <c r="A104" s="8" t="s">
        <v>1334</v>
      </c>
      <c r="B104" s="5" t="s">
        <v>1181</v>
      </c>
      <c r="C104" s="5" t="s">
        <v>1335</v>
      </c>
      <c r="D104" s="5" t="s">
        <v>1336</v>
      </c>
      <c r="E104" s="5" t="s">
        <v>1074</v>
      </c>
      <c r="F104" s="5">
        <v>30.085229999999999</v>
      </c>
      <c r="G104" s="5">
        <v>-83.025810000000007</v>
      </c>
      <c r="H104" s="30"/>
      <c r="I104" s="45"/>
      <c r="J104" s="30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 x14ac:dyDescent="0.25">
      <c r="A105" s="8" t="s">
        <v>1337</v>
      </c>
      <c r="B105" s="5" t="s">
        <v>1338</v>
      </c>
      <c r="C105" s="5" t="s">
        <v>1339</v>
      </c>
      <c r="D105" s="5" t="s">
        <v>1340</v>
      </c>
      <c r="E105" s="5" t="s">
        <v>1074</v>
      </c>
      <c r="F105" s="5">
        <v>29.779039999999998</v>
      </c>
      <c r="G105" s="5">
        <v>-82.417150000000007</v>
      </c>
      <c r="H105" s="30"/>
      <c r="I105" s="45"/>
      <c r="J105" s="30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 x14ac:dyDescent="0.25">
      <c r="A106" s="8" t="s">
        <v>1341</v>
      </c>
      <c r="B106" s="5" t="s">
        <v>1338</v>
      </c>
      <c r="C106" s="5" t="s">
        <v>1342</v>
      </c>
      <c r="D106" s="5" t="s">
        <v>1343</v>
      </c>
      <c r="E106" s="5" t="s">
        <v>96</v>
      </c>
      <c r="F106" s="5">
        <v>31.778251399999998</v>
      </c>
      <c r="G106" s="5">
        <v>-82.348461799999995</v>
      </c>
      <c r="H106" s="30"/>
      <c r="I106" s="45"/>
      <c r="J106" s="30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 x14ac:dyDescent="0.25">
      <c r="A107" s="8" t="s">
        <v>1344</v>
      </c>
      <c r="B107" s="5" t="s">
        <v>1181</v>
      </c>
      <c r="C107" s="5" t="s">
        <v>1345</v>
      </c>
      <c r="D107" s="5" t="s">
        <v>1346</v>
      </c>
      <c r="E107" s="5" t="s">
        <v>102</v>
      </c>
      <c r="F107" s="5">
        <v>41.7178039</v>
      </c>
      <c r="G107" s="5">
        <v>-90.879037100000005</v>
      </c>
      <c r="H107" s="30"/>
      <c r="I107" s="45"/>
      <c r="J107" s="30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 x14ac:dyDescent="0.25">
      <c r="A108" s="8" t="s">
        <v>1347</v>
      </c>
      <c r="B108" s="5" t="s">
        <v>1181</v>
      </c>
      <c r="C108" s="5" t="s">
        <v>1348</v>
      </c>
      <c r="D108" s="5" t="s">
        <v>1349</v>
      </c>
      <c r="E108" s="5" t="s">
        <v>102</v>
      </c>
      <c r="F108" s="5">
        <v>41.800007100000002</v>
      </c>
      <c r="G108" s="5">
        <v>-91.8707335</v>
      </c>
      <c r="H108" s="30"/>
      <c r="I108" s="45"/>
      <c r="J108" s="30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 x14ac:dyDescent="0.25">
      <c r="A109" s="8" t="s">
        <v>1350</v>
      </c>
      <c r="B109" s="5" t="s">
        <v>1181</v>
      </c>
      <c r="C109" s="5" t="s">
        <v>1351</v>
      </c>
      <c r="D109" s="5" t="s">
        <v>1349</v>
      </c>
      <c r="E109" s="5" t="s">
        <v>102</v>
      </c>
      <c r="F109" s="5">
        <v>41.664380000000001</v>
      </c>
      <c r="G109" s="5">
        <v>-91.995609999999999</v>
      </c>
      <c r="H109" s="30"/>
      <c r="I109" s="45"/>
      <c r="J109" s="30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 x14ac:dyDescent="0.25">
      <c r="A110" s="8" t="s">
        <v>1352</v>
      </c>
      <c r="B110" s="5" t="s">
        <v>1181</v>
      </c>
      <c r="C110" s="5" t="s">
        <v>1353</v>
      </c>
      <c r="D110" s="5" t="s">
        <v>1354</v>
      </c>
      <c r="E110" s="5" t="s">
        <v>102</v>
      </c>
      <c r="F110" s="5">
        <v>43.215519999999998</v>
      </c>
      <c r="G110" s="5">
        <v>-96.439419999999998</v>
      </c>
      <c r="H110" s="30"/>
      <c r="I110" s="45"/>
      <c r="J110" s="30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 x14ac:dyDescent="0.25">
      <c r="A111" s="8" t="s">
        <v>1355</v>
      </c>
      <c r="B111" s="5" t="s">
        <v>1181</v>
      </c>
      <c r="C111" s="5" t="s">
        <v>1356</v>
      </c>
      <c r="D111" s="5" t="s">
        <v>1357</v>
      </c>
      <c r="E111" s="5" t="s">
        <v>102</v>
      </c>
      <c r="F111" s="5">
        <v>43.30153</v>
      </c>
      <c r="G111" s="5">
        <v>-96.33184</v>
      </c>
      <c r="H111" s="30"/>
      <c r="I111" s="45"/>
      <c r="J111" s="30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 x14ac:dyDescent="0.25">
      <c r="A112" s="8" t="s">
        <v>1358</v>
      </c>
      <c r="B112" s="5" t="s">
        <v>1181</v>
      </c>
      <c r="C112" s="5" t="s">
        <v>1359</v>
      </c>
      <c r="D112" s="5" t="s">
        <v>1360</v>
      </c>
      <c r="E112" s="5" t="s">
        <v>102</v>
      </c>
      <c r="F112" s="5">
        <v>42.769982200000001</v>
      </c>
      <c r="G112" s="5">
        <v>-91.996284500000002</v>
      </c>
      <c r="H112" s="30"/>
      <c r="I112" s="45"/>
      <c r="J112" s="30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 x14ac:dyDescent="0.25">
      <c r="A113" s="8" t="s">
        <v>1361</v>
      </c>
      <c r="B113" s="5" t="s">
        <v>1181</v>
      </c>
      <c r="C113" s="5" t="s">
        <v>1359</v>
      </c>
      <c r="D113" s="5" t="s">
        <v>1360</v>
      </c>
      <c r="E113" s="5" t="s">
        <v>102</v>
      </c>
      <c r="F113" s="5">
        <v>43.270499999999998</v>
      </c>
      <c r="G113" s="5">
        <v>-96.300569999999993</v>
      </c>
      <c r="H113" s="30"/>
      <c r="I113" s="45"/>
      <c r="J113" s="30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 x14ac:dyDescent="0.25">
      <c r="A114" s="8" t="s">
        <v>1362</v>
      </c>
      <c r="B114" s="5" t="s">
        <v>1181</v>
      </c>
      <c r="C114" s="5" t="s">
        <v>1363</v>
      </c>
      <c r="D114" s="5" t="s">
        <v>1363</v>
      </c>
      <c r="E114" s="5" t="s">
        <v>1364</v>
      </c>
      <c r="F114" s="5">
        <v>42.851520000000001</v>
      </c>
      <c r="G114" s="5">
        <v>-114.47081</v>
      </c>
      <c r="H114" s="30"/>
      <c r="I114" s="45"/>
      <c r="J114" s="30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 x14ac:dyDescent="0.25">
      <c r="A115" s="8" t="s">
        <v>1365</v>
      </c>
      <c r="B115" s="5" t="s">
        <v>1200</v>
      </c>
      <c r="C115" s="5" t="s">
        <v>1366</v>
      </c>
      <c r="D115" s="5" t="s">
        <v>1367</v>
      </c>
      <c r="E115" s="5" t="s">
        <v>1364</v>
      </c>
      <c r="F115" s="5">
        <v>42.570186</v>
      </c>
      <c r="G115" s="5">
        <v>-114.60782140000001</v>
      </c>
      <c r="H115" s="30"/>
      <c r="I115" s="45"/>
      <c r="J115" s="30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 x14ac:dyDescent="0.25">
      <c r="A116" s="8" t="s">
        <v>1368</v>
      </c>
      <c r="B116" s="5" t="s">
        <v>1181</v>
      </c>
      <c r="C116" s="5" t="s">
        <v>1363</v>
      </c>
      <c r="D116" s="5" t="s">
        <v>1363</v>
      </c>
      <c r="E116" s="5" t="s">
        <v>1364</v>
      </c>
      <c r="F116" s="5">
        <v>42.702266000000002</v>
      </c>
      <c r="G116" s="5">
        <v>-114.2867043</v>
      </c>
      <c r="H116" s="30"/>
      <c r="I116" s="45"/>
      <c r="J116" s="30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 x14ac:dyDescent="0.25">
      <c r="A117" s="8" t="s">
        <v>1369</v>
      </c>
      <c r="B117" s="5" t="s">
        <v>1181</v>
      </c>
      <c r="C117" s="5" t="s">
        <v>1370</v>
      </c>
      <c r="D117" s="5" t="s">
        <v>1370</v>
      </c>
      <c r="E117" s="5" t="s">
        <v>1364</v>
      </c>
      <c r="F117" s="5">
        <v>43.003104100000002</v>
      </c>
      <c r="G117" s="5">
        <v>-114.82869239999999</v>
      </c>
      <c r="H117" s="30"/>
      <c r="I117" s="45"/>
      <c r="J117" s="30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 x14ac:dyDescent="0.25">
      <c r="A118" s="8" t="s">
        <v>1371</v>
      </c>
      <c r="B118" s="5" t="s">
        <v>1181</v>
      </c>
      <c r="C118" s="5" t="s">
        <v>1372</v>
      </c>
      <c r="D118" s="5" t="s">
        <v>1367</v>
      </c>
      <c r="E118" s="5" t="s">
        <v>1364</v>
      </c>
      <c r="F118" s="5">
        <v>42.531122400000001</v>
      </c>
      <c r="G118" s="5">
        <v>-114.301272</v>
      </c>
      <c r="H118" s="30"/>
      <c r="I118" s="45"/>
      <c r="J118" s="30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 x14ac:dyDescent="0.25">
      <c r="A119" s="8" t="s">
        <v>1373</v>
      </c>
      <c r="B119" s="5" t="s">
        <v>1181</v>
      </c>
      <c r="C119" s="5" t="s">
        <v>1374</v>
      </c>
      <c r="D119" s="5" t="s">
        <v>1375</v>
      </c>
      <c r="E119" s="5" t="s">
        <v>1364</v>
      </c>
      <c r="F119" s="5">
        <v>43.720188</v>
      </c>
      <c r="G119" s="5">
        <v>-112.126363</v>
      </c>
      <c r="H119" s="30"/>
      <c r="I119" s="45"/>
      <c r="J119" s="30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 x14ac:dyDescent="0.25">
      <c r="A120" s="8" t="s">
        <v>1376</v>
      </c>
      <c r="B120" s="5" t="s">
        <v>1181</v>
      </c>
      <c r="C120" s="5" t="s">
        <v>227</v>
      </c>
      <c r="D120" s="5" t="s">
        <v>1377</v>
      </c>
      <c r="E120" s="5" t="s">
        <v>1364</v>
      </c>
      <c r="F120" s="5">
        <v>42.465200000000003</v>
      </c>
      <c r="G120" s="5">
        <v>-113.95168</v>
      </c>
      <c r="H120" s="30"/>
      <c r="I120" s="45"/>
      <c r="J120" s="30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 x14ac:dyDescent="0.25">
      <c r="A121" s="8" t="s">
        <v>1378</v>
      </c>
      <c r="B121" s="5" t="s">
        <v>1181</v>
      </c>
      <c r="C121" s="5" t="s">
        <v>227</v>
      </c>
      <c r="D121" s="5" t="s">
        <v>1377</v>
      </c>
      <c r="E121" s="5" t="s">
        <v>1364</v>
      </c>
      <c r="F121" s="5">
        <v>42.465200000000003</v>
      </c>
      <c r="G121" s="5">
        <v>-113.95168</v>
      </c>
      <c r="H121" s="30"/>
      <c r="I121" s="45"/>
      <c r="J121" s="30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 x14ac:dyDescent="0.25">
      <c r="A122" s="8" t="s">
        <v>1379</v>
      </c>
      <c r="B122" s="5" t="s">
        <v>1181</v>
      </c>
      <c r="C122" s="5" t="s">
        <v>1380</v>
      </c>
      <c r="D122" s="5" t="s">
        <v>1381</v>
      </c>
      <c r="E122" s="5" t="s">
        <v>232</v>
      </c>
      <c r="F122" s="5">
        <v>41.113748000000001</v>
      </c>
      <c r="G122" s="5">
        <v>-90.438163000000003</v>
      </c>
      <c r="H122" s="30"/>
      <c r="I122" s="45"/>
      <c r="J122" s="30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 x14ac:dyDescent="0.25">
      <c r="A123" s="8" t="s">
        <v>1382</v>
      </c>
      <c r="B123" s="5" t="s">
        <v>1181</v>
      </c>
      <c r="C123" s="5" t="s">
        <v>1383</v>
      </c>
      <c r="D123" s="5" t="s">
        <v>1384</v>
      </c>
      <c r="E123" s="5" t="s">
        <v>232</v>
      </c>
      <c r="F123" s="5">
        <v>21.400123099999998</v>
      </c>
      <c r="G123" s="5">
        <v>-157.96942799999999</v>
      </c>
      <c r="H123" s="30"/>
      <c r="I123" s="45"/>
      <c r="J123" s="30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 x14ac:dyDescent="0.25">
      <c r="A124" s="8" t="s">
        <v>1385</v>
      </c>
      <c r="B124" s="5" t="s">
        <v>1181</v>
      </c>
      <c r="C124" s="5" t="s">
        <v>1386</v>
      </c>
      <c r="D124" s="5" t="s">
        <v>1387</v>
      </c>
      <c r="E124" s="5" t="s">
        <v>269</v>
      </c>
      <c r="F124" s="5">
        <v>40.749483499999997</v>
      </c>
      <c r="G124" s="5">
        <v>-86.871680699999999</v>
      </c>
      <c r="H124" s="30"/>
      <c r="I124" s="45"/>
      <c r="J124" s="30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 x14ac:dyDescent="0.25">
      <c r="A125" s="8" t="s">
        <v>1388</v>
      </c>
      <c r="B125" s="5" t="s">
        <v>1181</v>
      </c>
      <c r="C125" s="5" t="s">
        <v>1389</v>
      </c>
      <c r="D125" s="5" t="s">
        <v>1390</v>
      </c>
      <c r="E125" s="5" t="s">
        <v>269</v>
      </c>
      <c r="F125" s="5">
        <v>41.115130000000001</v>
      </c>
      <c r="G125" s="5">
        <v>-87.255350000000007</v>
      </c>
      <c r="H125" s="30"/>
      <c r="I125" s="45"/>
      <c r="J125" s="30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 x14ac:dyDescent="0.25">
      <c r="A126" s="8" t="s">
        <v>1391</v>
      </c>
      <c r="B126" s="5" t="s">
        <v>1181</v>
      </c>
      <c r="C126" s="5" t="s">
        <v>1389</v>
      </c>
      <c r="D126" s="5" t="s">
        <v>1390</v>
      </c>
      <c r="E126" s="5" t="s">
        <v>269</v>
      </c>
      <c r="F126" s="5">
        <v>40.99136</v>
      </c>
      <c r="G126" s="5">
        <v>-87.363309999999998</v>
      </c>
      <c r="H126" s="30"/>
      <c r="I126" s="45"/>
      <c r="J126" s="30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 x14ac:dyDescent="0.25">
      <c r="A127" s="8" t="s">
        <v>1392</v>
      </c>
      <c r="B127" s="5" t="s">
        <v>1181</v>
      </c>
      <c r="C127" s="5" t="s">
        <v>1389</v>
      </c>
      <c r="D127" s="5" t="s">
        <v>1390</v>
      </c>
      <c r="E127" s="5" t="s">
        <v>269</v>
      </c>
      <c r="F127" s="5">
        <v>40.99136</v>
      </c>
      <c r="G127" s="5">
        <v>-87.363309999999998</v>
      </c>
      <c r="H127" s="30"/>
      <c r="I127" s="45"/>
      <c r="J127" s="30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 x14ac:dyDescent="0.25">
      <c r="A128" s="8" t="s">
        <v>1393</v>
      </c>
      <c r="B128" s="5" t="s">
        <v>1189</v>
      </c>
      <c r="C128" s="5" t="s">
        <v>1394</v>
      </c>
      <c r="D128" s="5" t="s">
        <v>1395</v>
      </c>
      <c r="E128" s="5" t="s">
        <v>269</v>
      </c>
      <c r="F128" s="5">
        <v>41.582408600000001</v>
      </c>
      <c r="G128" s="5">
        <v>-85.834366000000003</v>
      </c>
      <c r="H128" s="30"/>
      <c r="I128" s="45"/>
      <c r="J128" s="30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 x14ac:dyDescent="0.25">
      <c r="A129" s="8" t="s">
        <v>1396</v>
      </c>
      <c r="B129" s="5" t="s">
        <v>1181</v>
      </c>
      <c r="C129" s="5" t="s">
        <v>1389</v>
      </c>
      <c r="D129" s="5" t="s">
        <v>1390</v>
      </c>
      <c r="E129" s="5" t="s">
        <v>269</v>
      </c>
      <c r="F129" s="5">
        <v>41.088799999999999</v>
      </c>
      <c r="G129" s="5">
        <v>-87.258570000000006</v>
      </c>
      <c r="H129" s="30"/>
      <c r="I129" s="45"/>
      <c r="J129" s="30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 x14ac:dyDescent="0.25">
      <c r="A130" s="8" t="s">
        <v>1397</v>
      </c>
      <c r="B130" s="5" t="s">
        <v>1181</v>
      </c>
      <c r="C130" s="5" t="s">
        <v>281</v>
      </c>
      <c r="D130" s="5" t="s">
        <v>1390</v>
      </c>
      <c r="E130" s="5" t="s">
        <v>269</v>
      </c>
      <c r="F130" s="5">
        <v>40.936704499999998</v>
      </c>
      <c r="G130" s="5">
        <v>-87.150856200000007</v>
      </c>
      <c r="H130" s="30"/>
      <c r="I130" s="45"/>
      <c r="J130" s="30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 x14ac:dyDescent="0.25">
      <c r="A131" s="8" t="s">
        <v>1398</v>
      </c>
      <c r="B131" s="5" t="s">
        <v>1181</v>
      </c>
      <c r="C131" s="5" t="s">
        <v>1097</v>
      </c>
      <c r="D131" s="5" t="s">
        <v>379</v>
      </c>
      <c r="E131" s="5" t="s">
        <v>269</v>
      </c>
      <c r="F131" s="5">
        <v>41.343655499999997</v>
      </c>
      <c r="G131" s="5">
        <v>-86.309727800000005</v>
      </c>
      <c r="H131" s="30"/>
      <c r="I131" s="45"/>
      <c r="J131" s="30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 x14ac:dyDescent="0.25">
      <c r="A132" s="8" t="s">
        <v>1399</v>
      </c>
      <c r="B132" s="5" t="s">
        <v>1181</v>
      </c>
      <c r="C132" s="5" t="s">
        <v>1386</v>
      </c>
      <c r="D132" s="5" t="s">
        <v>1387</v>
      </c>
      <c r="E132" s="5" t="s">
        <v>269</v>
      </c>
      <c r="F132" s="5">
        <v>40.745249999999999</v>
      </c>
      <c r="G132" s="5">
        <v>-86.870689999999996</v>
      </c>
      <c r="H132" s="30"/>
      <c r="I132" s="45"/>
      <c r="J132" s="30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 x14ac:dyDescent="0.25">
      <c r="A133" s="8" t="s">
        <v>1400</v>
      </c>
      <c r="B133" s="5" t="s">
        <v>1181</v>
      </c>
      <c r="C133" s="5" t="s">
        <v>1389</v>
      </c>
      <c r="D133" s="5" t="s">
        <v>1390</v>
      </c>
      <c r="E133" s="5" t="s">
        <v>269</v>
      </c>
      <c r="F133" s="5">
        <v>41.03716</v>
      </c>
      <c r="G133" s="5">
        <v>-87.258049999999997</v>
      </c>
      <c r="H133" s="30"/>
      <c r="I133" s="45"/>
      <c r="J133" s="30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 x14ac:dyDescent="0.25">
      <c r="A134" s="8" t="s">
        <v>1401</v>
      </c>
      <c r="B134" s="5" t="s">
        <v>1189</v>
      </c>
      <c r="C134" s="5" t="s">
        <v>1402</v>
      </c>
      <c r="D134" s="5" t="s">
        <v>1387</v>
      </c>
      <c r="E134" s="5" t="s">
        <v>269</v>
      </c>
      <c r="F134" s="5">
        <v>40.745316899999999</v>
      </c>
      <c r="G134" s="5">
        <v>-86.764734300000001</v>
      </c>
      <c r="H134" s="30"/>
      <c r="I134" s="45"/>
      <c r="J134" s="30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 x14ac:dyDescent="0.25">
      <c r="A135" s="8" t="s">
        <v>1403</v>
      </c>
      <c r="B135" s="5" t="s">
        <v>1181</v>
      </c>
      <c r="C135" s="5" t="s">
        <v>1404</v>
      </c>
      <c r="D135" s="5" t="s">
        <v>1405</v>
      </c>
      <c r="E135" s="5" t="s">
        <v>352</v>
      </c>
      <c r="F135" s="5">
        <v>37.343397400000001</v>
      </c>
      <c r="G135" s="5">
        <v>-85.341906899999998</v>
      </c>
      <c r="H135" s="30"/>
      <c r="I135" s="45"/>
      <c r="J135" s="30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 x14ac:dyDescent="0.25">
      <c r="A136" s="8" t="s">
        <v>1406</v>
      </c>
      <c r="B136" s="5" t="s">
        <v>1181</v>
      </c>
      <c r="C136" s="5" t="s">
        <v>1407</v>
      </c>
      <c r="D136" s="5" t="s">
        <v>1408</v>
      </c>
      <c r="E136" s="5" t="s">
        <v>734</v>
      </c>
      <c r="F136" s="5">
        <v>42.341756500000002</v>
      </c>
      <c r="G136" s="5">
        <v>-72.588422199999997</v>
      </c>
      <c r="H136" s="30"/>
      <c r="I136" s="45"/>
      <c r="J136" s="30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 x14ac:dyDescent="0.25">
      <c r="A137" s="8" t="s">
        <v>1409</v>
      </c>
      <c r="B137" s="5" t="s">
        <v>1181</v>
      </c>
      <c r="C137" s="5" t="s">
        <v>1410</v>
      </c>
      <c r="D137" s="5" t="s">
        <v>1411</v>
      </c>
      <c r="E137" s="5" t="s">
        <v>734</v>
      </c>
      <c r="F137" s="5">
        <v>42.519820000000003</v>
      </c>
      <c r="G137" s="5">
        <v>-72.615589999999997</v>
      </c>
      <c r="H137" s="30"/>
      <c r="I137" s="45"/>
      <c r="J137" s="30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 x14ac:dyDescent="0.25">
      <c r="A138" s="8" t="s">
        <v>1412</v>
      </c>
      <c r="B138" s="5" t="s">
        <v>1181</v>
      </c>
      <c r="C138" s="5" t="s">
        <v>1413</v>
      </c>
      <c r="D138" s="5" t="s">
        <v>1099</v>
      </c>
      <c r="E138" s="5" t="s">
        <v>734</v>
      </c>
      <c r="F138" s="5">
        <v>42.767927</v>
      </c>
      <c r="G138" s="5">
        <v>-71.080774000000005</v>
      </c>
      <c r="H138" s="30"/>
      <c r="I138" s="45"/>
      <c r="J138" s="30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 x14ac:dyDescent="0.25">
      <c r="A139" s="8" t="s">
        <v>1414</v>
      </c>
      <c r="B139" s="5" t="s">
        <v>1181</v>
      </c>
      <c r="C139" s="5" t="s">
        <v>1415</v>
      </c>
      <c r="D139" s="5" t="s">
        <v>1102</v>
      </c>
      <c r="E139" s="5" t="s">
        <v>734</v>
      </c>
      <c r="F139" s="5">
        <v>42.369535599999999</v>
      </c>
      <c r="G139" s="5">
        <v>-71.948130199999994</v>
      </c>
      <c r="H139" s="30"/>
      <c r="I139" s="45"/>
      <c r="J139" s="30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 x14ac:dyDescent="0.25">
      <c r="A140" s="8" t="s">
        <v>1416</v>
      </c>
      <c r="B140" s="5" t="s">
        <v>1181</v>
      </c>
      <c r="C140" s="5" t="s">
        <v>1417</v>
      </c>
      <c r="D140" s="5" t="s">
        <v>1102</v>
      </c>
      <c r="E140" s="5" t="s">
        <v>734</v>
      </c>
      <c r="F140" s="5">
        <v>42.201120000000003</v>
      </c>
      <c r="G140" s="5">
        <v>-71.966939999999994</v>
      </c>
      <c r="H140" s="30"/>
      <c r="I140" s="45"/>
      <c r="J140" s="30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 x14ac:dyDescent="0.25">
      <c r="A141" s="8" t="s">
        <v>1418</v>
      </c>
      <c r="B141" s="5" t="s">
        <v>1181</v>
      </c>
      <c r="C141" s="5" t="s">
        <v>1419</v>
      </c>
      <c r="D141" s="5" t="s">
        <v>1420</v>
      </c>
      <c r="E141" s="5" t="s">
        <v>734</v>
      </c>
      <c r="F141" s="5">
        <v>42.110368600000001</v>
      </c>
      <c r="G141" s="5">
        <v>-73.355114799999996</v>
      </c>
      <c r="H141" s="30"/>
      <c r="I141" s="45"/>
      <c r="J141" s="30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 x14ac:dyDescent="0.25">
      <c r="A142" s="8" t="s">
        <v>1421</v>
      </c>
      <c r="B142" s="5" t="s">
        <v>1181</v>
      </c>
      <c r="C142" s="5" t="s">
        <v>1422</v>
      </c>
      <c r="D142" s="5" t="s">
        <v>1408</v>
      </c>
      <c r="E142" s="5" t="s">
        <v>734</v>
      </c>
      <c r="F142" s="5">
        <v>42.409055000000002</v>
      </c>
      <c r="G142" s="5">
        <v>-72.595523</v>
      </c>
      <c r="H142" s="30"/>
      <c r="I142" s="45"/>
      <c r="J142" s="30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 x14ac:dyDescent="0.25">
      <c r="A143" s="8" t="s">
        <v>1423</v>
      </c>
      <c r="B143" s="5" t="s">
        <v>1181</v>
      </c>
      <c r="C143" s="5" t="s">
        <v>1424</v>
      </c>
      <c r="D143" s="5" t="s">
        <v>1425</v>
      </c>
      <c r="E143" s="5" t="s">
        <v>734</v>
      </c>
      <c r="F143" s="5">
        <v>40.048461000000003</v>
      </c>
      <c r="G143" s="5">
        <v>-72.859972999999997</v>
      </c>
      <c r="H143" s="30"/>
      <c r="I143" s="45"/>
      <c r="J143" s="30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 x14ac:dyDescent="0.25">
      <c r="A144" s="8" t="s">
        <v>1426</v>
      </c>
      <c r="B144" s="5" t="s">
        <v>1181</v>
      </c>
      <c r="C144" s="5" t="s">
        <v>1427</v>
      </c>
      <c r="D144" s="5"/>
      <c r="E144" s="5" t="s">
        <v>1105</v>
      </c>
      <c r="F144" s="5">
        <v>38.075924000000001</v>
      </c>
      <c r="G144" s="5">
        <v>-75.567321000000007</v>
      </c>
      <c r="H144" s="30"/>
      <c r="I144" s="45"/>
      <c r="J144" s="30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 x14ac:dyDescent="0.25">
      <c r="A145" s="8" t="s">
        <v>1428</v>
      </c>
      <c r="B145" s="5" t="s">
        <v>1338</v>
      </c>
      <c r="C145" s="5" t="s">
        <v>1429</v>
      </c>
      <c r="D145" s="5" t="s">
        <v>1430</v>
      </c>
      <c r="E145" s="5" t="s">
        <v>1105</v>
      </c>
      <c r="F145" s="5">
        <v>39.0299081</v>
      </c>
      <c r="G145" s="5">
        <v>-76.914954699999996</v>
      </c>
      <c r="H145" s="30"/>
      <c r="I145" s="45"/>
      <c r="J145" s="30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 x14ac:dyDescent="0.25">
      <c r="A146" s="8" t="s">
        <v>1431</v>
      </c>
      <c r="B146" s="5" t="s">
        <v>1181</v>
      </c>
      <c r="C146" s="5" t="s">
        <v>1432</v>
      </c>
      <c r="D146" s="5" t="s">
        <v>1112</v>
      </c>
      <c r="E146" s="5" t="s">
        <v>735</v>
      </c>
      <c r="F146" s="5">
        <v>44.970064499999999</v>
      </c>
      <c r="G146" s="5">
        <v>-69.140042600000001</v>
      </c>
      <c r="H146" s="30"/>
      <c r="I146" s="45"/>
      <c r="J146" s="30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 x14ac:dyDescent="0.25">
      <c r="A147" s="8" t="s">
        <v>1433</v>
      </c>
      <c r="B147" s="5" t="s">
        <v>1181</v>
      </c>
      <c r="C147" s="5" t="s">
        <v>1434</v>
      </c>
      <c r="D147" s="5" t="s">
        <v>1435</v>
      </c>
      <c r="E147" s="5" t="s">
        <v>359</v>
      </c>
      <c r="F147" s="5">
        <v>42.775489999999998</v>
      </c>
      <c r="G147" s="5">
        <v>-85.315830000000005</v>
      </c>
      <c r="H147" s="30"/>
      <c r="I147" s="45"/>
      <c r="J147" s="30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 x14ac:dyDescent="0.25">
      <c r="A148" s="8" t="s">
        <v>1436</v>
      </c>
      <c r="B148" s="5" t="s">
        <v>1181</v>
      </c>
      <c r="C148" s="5" t="s">
        <v>518</v>
      </c>
      <c r="D148" s="5" t="s">
        <v>1437</v>
      </c>
      <c r="E148" s="5" t="s">
        <v>359</v>
      </c>
      <c r="F148" s="5">
        <v>43.159790000000001</v>
      </c>
      <c r="G148" s="5">
        <v>-85.977620000000002</v>
      </c>
      <c r="H148" s="30"/>
      <c r="I148" s="45"/>
      <c r="J148" s="30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 x14ac:dyDescent="0.25">
      <c r="A149" s="8" t="s">
        <v>1438</v>
      </c>
      <c r="B149" s="5" t="s">
        <v>1200</v>
      </c>
      <c r="C149" s="5" t="s">
        <v>1439</v>
      </c>
      <c r="D149" s="5" t="s">
        <v>1440</v>
      </c>
      <c r="E149" s="5" t="s">
        <v>359</v>
      </c>
      <c r="F149" s="5">
        <v>42.677249600000003</v>
      </c>
      <c r="G149" s="5">
        <v>-86.006146400000006</v>
      </c>
      <c r="H149" s="30"/>
      <c r="I149" s="45"/>
      <c r="J149" s="30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 x14ac:dyDescent="0.25">
      <c r="A150" s="8" t="s">
        <v>1441</v>
      </c>
      <c r="B150" s="5" t="s">
        <v>1181</v>
      </c>
      <c r="C150" s="5" t="s">
        <v>1442</v>
      </c>
      <c r="D150" s="5" t="s">
        <v>1443</v>
      </c>
      <c r="E150" s="5" t="s">
        <v>359</v>
      </c>
      <c r="F150" s="5">
        <v>43.088639000000001</v>
      </c>
      <c r="G150" s="5">
        <v>-84.386926000000003</v>
      </c>
      <c r="H150" s="30"/>
      <c r="I150" s="45"/>
      <c r="J150" s="30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 x14ac:dyDescent="0.25">
      <c r="A151" s="8" t="s">
        <v>1444</v>
      </c>
      <c r="B151" s="5" t="s">
        <v>1338</v>
      </c>
      <c r="C151" s="5" t="s">
        <v>1445</v>
      </c>
      <c r="D151" s="5" t="s">
        <v>1446</v>
      </c>
      <c r="E151" s="5" t="s">
        <v>359</v>
      </c>
      <c r="F151" s="5">
        <v>42.7337712</v>
      </c>
      <c r="G151" s="5">
        <v>-84.555380499999998</v>
      </c>
      <c r="H151" s="30"/>
      <c r="I151" s="45"/>
      <c r="J151" s="30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 x14ac:dyDescent="0.25">
      <c r="A152" s="8" t="s">
        <v>1447</v>
      </c>
      <c r="B152" s="5" t="s">
        <v>1181</v>
      </c>
      <c r="C152" s="5" t="s">
        <v>1448</v>
      </c>
      <c r="D152" s="5" t="s">
        <v>1449</v>
      </c>
      <c r="E152" s="5" t="s">
        <v>359</v>
      </c>
      <c r="F152" s="5">
        <v>43.0639112</v>
      </c>
      <c r="G152" s="5">
        <v>-85.934766699999997</v>
      </c>
      <c r="H152" s="30"/>
      <c r="I152" s="45"/>
      <c r="J152" s="30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 x14ac:dyDescent="0.25">
      <c r="A153" s="8" t="s">
        <v>1450</v>
      </c>
      <c r="B153" s="5" t="s">
        <v>1200</v>
      </c>
      <c r="C153" s="5" t="s">
        <v>1451</v>
      </c>
      <c r="D153" s="5" t="s">
        <v>1440</v>
      </c>
      <c r="E153" s="5" t="s">
        <v>359</v>
      </c>
      <c r="F153" s="5">
        <v>42.594105200000001</v>
      </c>
      <c r="G153" s="5">
        <v>-86.104595500000002</v>
      </c>
      <c r="H153" s="30"/>
      <c r="I153" s="45"/>
      <c r="J153" s="30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 x14ac:dyDescent="0.25">
      <c r="A154" s="8" t="s">
        <v>1452</v>
      </c>
      <c r="B154" s="5" t="s">
        <v>1181</v>
      </c>
      <c r="C154" s="5" t="s">
        <v>1453</v>
      </c>
      <c r="D154" s="5" t="s">
        <v>1454</v>
      </c>
      <c r="E154" s="5" t="s">
        <v>359</v>
      </c>
      <c r="F154" s="5">
        <v>43.057560000000002</v>
      </c>
      <c r="G154" s="5">
        <v>-85.123670000000004</v>
      </c>
      <c r="H154" s="30"/>
      <c r="I154" s="45"/>
      <c r="J154" s="30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 x14ac:dyDescent="0.25">
      <c r="A155" s="8" t="s">
        <v>1455</v>
      </c>
      <c r="B155" s="5" t="s">
        <v>1181</v>
      </c>
      <c r="C155" s="5" t="s">
        <v>1456</v>
      </c>
      <c r="D155" s="5" t="s">
        <v>1457</v>
      </c>
      <c r="E155" s="5" t="s">
        <v>376</v>
      </c>
      <c r="F155" s="5">
        <v>45.437190000000001</v>
      </c>
      <c r="G155" s="5">
        <v>-95.844040000000007</v>
      </c>
      <c r="H155" s="30"/>
      <c r="I155" s="45"/>
      <c r="J155" s="30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 x14ac:dyDescent="0.25">
      <c r="A156" s="8" t="s">
        <v>1458</v>
      </c>
      <c r="B156" s="5" t="s">
        <v>1181</v>
      </c>
      <c r="C156" s="5" t="s">
        <v>1459</v>
      </c>
      <c r="D156" s="5" t="s">
        <v>1460</v>
      </c>
      <c r="E156" s="5" t="s">
        <v>376</v>
      </c>
      <c r="F156" s="5">
        <v>25.535130500000001</v>
      </c>
      <c r="G156" s="5">
        <v>-80.398353674399999</v>
      </c>
      <c r="H156" s="30"/>
      <c r="I156" s="45"/>
      <c r="J156" s="30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 x14ac:dyDescent="0.25">
      <c r="A157" s="8" t="s">
        <v>1461</v>
      </c>
      <c r="B157" s="5" t="s">
        <v>1181</v>
      </c>
      <c r="C157" s="5" t="s">
        <v>1462</v>
      </c>
      <c r="D157" s="5" t="s">
        <v>1462</v>
      </c>
      <c r="E157" s="5" t="s">
        <v>376</v>
      </c>
      <c r="F157" s="5">
        <v>44.3771652</v>
      </c>
      <c r="G157" s="5">
        <v>-93.711443000000003</v>
      </c>
      <c r="H157" s="30"/>
      <c r="I157" s="45"/>
      <c r="J157" s="30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 x14ac:dyDescent="0.25">
      <c r="A158" s="8" t="s">
        <v>1463</v>
      </c>
      <c r="B158" s="5" t="s">
        <v>1181</v>
      </c>
      <c r="C158" s="5" t="s">
        <v>1464</v>
      </c>
      <c r="D158" s="5" t="s">
        <v>1465</v>
      </c>
      <c r="E158" s="5" t="s">
        <v>376</v>
      </c>
      <c r="F158" s="5">
        <v>44.3238384</v>
      </c>
      <c r="G158" s="5">
        <v>-93.958529499999997</v>
      </c>
      <c r="H158" s="30"/>
      <c r="I158" s="45"/>
      <c r="J158" s="30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 x14ac:dyDescent="0.25">
      <c r="A159" s="8" t="s">
        <v>1466</v>
      </c>
      <c r="B159" s="5" t="s">
        <v>1181</v>
      </c>
      <c r="C159" s="5" t="s">
        <v>388</v>
      </c>
      <c r="D159" s="5" t="s">
        <v>1457</v>
      </c>
      <c r="E159" s="5" t="s">
        <v>376</v>
      </c>
      <c r="F159" s="5">
        <v>45.522959999999998</v>
      </c>
      <c r="G159" s="5">
        <v>-95.889859999999999</v>
      </c>
      <c r="H159" s="30"/>
      <c r="I159" s="45"/>
      <c r="J159" s="30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 x14ac:dyDescent="0.25">
      <c r="A160" s="8" t="s">
        <v>1467</v>
      </c>
      <c r="B160" s="5" t="s">
        <v>1181</v>
      </c>
      <c r="C160" s="5" t="s">
        <v>388</v>
      </c>
      <c r="D160" s="5" t="s">
        <v>1457</v>
      </c>
      <c r="E160" s="5" t="s">
        <v>376</v>
      </c>
      <c r="F160" s="5">
        <v>45.496070000000003</v>
      </c>
      <c r="G160" s="5">
        <v>-96.00658</v>
      </c>
      <c r="H160" s="30"/>
      <c r="I160" s="45"/>
      <c r="J160" s="30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 x14ac:dyDescent="0.25">
      <c r="A161" s="8" t="s">
        <v>1468</v>
      </c>
      <c r="B161" s="5" t="s">
        <v>1181</v>
      </c>
      <c r="C161" s="5" t="s">
        <v>1469</v>
      </c>
      <c r="D161" s="5" t="s">
        <v>1470</v>
      </c>
      <c r="E161" s="5" t="s">
        <v>443</v>
      </c>
      <c r="F161" s="5">
        <v>39.498079500000003</v>
      </c>
      <c r="G161" s="5">
        <v>-93.193814500000002</v>
      </c>
      <c r="H161" s="30"/>
      <c r="I161" s="45"/>
      <c r="J161" s="30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 x14ac:dyDescent="0.25">
      <c r="A162" s="8" t="s">
        <v>1471</v>
      </c>
      <c r="B162" s="5" t="s">
        <v>1338</v>
      </c>
      <c r="C162" s="5" t="s">
        <v>1472</v>
      </c>
      <c r="D162" s="5"/>
      <c r="E162" s="5" t="s">
        <v>443</v>
      </c>
      <c r="F162" s="5">
        <v>38.941650000000003</v>
      </c>
      <c r="G162" s="5">
        <v>-92.319389999999999</v>
      </c>
      <c r="H162" s="30"/>
      <c r="I162" s="45"/>
      <c r="J162" s="30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 x14ac:dyDescent="0.25">
      <c r="A163" s="8" t="s">
        <v>1473</v>
      </c>
      <c r="B163" s="5" t="s">
        <v>1181</v>
      </c>
      <c r="C163" s="5" t="s">
        <v>1474</v>
      </c>
      <c r="D163" s="5" t="s">
        <v>1475</v>
      </c>
      <c r="E163" s="5" t="s">
        <v>443</v>
      </c>
      <c r="F163" s="5">
        <v>40.474919999999997</v>
      </c>
      <c r="G163" s="5">
        <v>-93.001689999999996</v>
      </c>
      <c r="H163" s="30"/>
      <c r="I163" s="45"/>
      <c r="J163" s="30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 x14ac:dyDescent="0.25">
      <c r="A164" s="8" t="s">
        <v>1476</v>
      </c>
      <c r="B164" s="5" t="s">
        <v>1181</v>
      </c>
      <c r="C164" s="5" t="s">
        <v>1477</v>
      </c>
      <c r="D164" s="5" t="s">
        <v>1478</v>
      </c>
      <c r="E164" s="5" t="s">
        <v>443</v>
      </c>
      <c r="F164" s="5">
        <v>40.053139999999999</v>
      </c>
      <c r="G164" s="5">
        <v>-94.523949999999999</v>
      </c>
      <c r="H164" s="30"/>
      <c r="I164" s="45"/>
      <c r="J164" s="30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 x14ac:dyDescent="0.25">
      <c r="A165" s="8" t="s">
        <v>1479</v>
      </c>
      <c r="B165" s="5" t="s">
        <v>1286</v>
      </c>
      <c r="C165" s="5" t="s">
        <v>1480</v>
      </c>
      <c r="D165" s="5" t="s">
        <v>1481</v>
      </c>
      <c r="E165" s="5" t="s">
        <v>443</v>
      </c>
      <c r="F165" s="5">
        <v>40.077550000000002</v>
      </c>
      <c r="G165" s="5">
        <v>-93.758269999999996</v>
      </c>
      <c r="H165" s="30"/>
      <c r="I165" s="45"/>
      <c r="J165" s="30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 x14ac:dyDescent="0.25">
      <c r="A166" s="8" t="s">
        <v>1482</v>
      </c>
      <c r="B166" s="5" t="s">
        <v>1286</v>
      </c>
      <c r="C166" s="5" t="s">
        <v>1483</v>
      </c>
      <c r="D166" s="5" t="s">
        <v>1478</v>
      </c>
      <c r="E166" s="5" t="s">
        <v>443</v>
      </c>
      <c r="F166" s="5">
        <v>40.245719999999999</v>
      </c>
      <c r="G166" s="5">
        <v>-94.336119999999994</v>
      </c>
      <c r="H166" s="30"/>
      <c r="I166" s="45"/>
      <c r="J166" s="30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 x14ac:dyDescent="0.25">
      <c r="A167" s="8" t="s">
        <v>1484</v>
      </c>
      <c r="B167" s="5" t="s">
        <v>1286</v>
      </c>
      <c r="C167" s="5" t="s">
        <v>1485</v>
      </c>
      <c r="D167" s="5" t="s">
        <v>1485</v>
      </c>
      <c r="E167" s="5" t="s">
        <v>443</v>
      </c>
      <c r="F167" s="5">
        <v>40.514040000000001</v>
      </c>
      <c r="G167" s="5">
        <v>-93.532740000000004</v>
      </c>
      <c r="H167" s="30"/>
      <c r="I167" s="45"/>
      <c r="J167" s="30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 x14ac:dyDescent="0.25">
      <c r="A168" s="8" t="s">
        <v>1486</v>
      </c>
      <c r="B168" s="5" t="s">
        <v>1286</v>
      </c>
      <c r="C168" s="5" t="s">
        <v>1487</v>
      </c>
      <c r="D168" s="5"/>
      <c r="E168" s="5" t="s">
        <v>443</v>
      </c>
      <c r="F168" s="5">
        <v>40.134079999999997</v>
      </c>
      <c r="G168" s="5">
        <v>-93.363039999999998</v>
      </c>
      <c r="H168" s="30"/>
      <c r="I168" s="45"/>
      <c r="J168" s="30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 x14ac:dyDescent="0.25">
      <c r="A169" s="8" t="s">
        <v>1488</v>
      </c>
      <c r="B169" s="5" t="s">
        <v>1286</v>
      </c>
      <c r="C169" s="5" t="s">
        <v>1489</v>
      </c>
      <c r="D169" s="5" t="s">
        <v>1481</v>
      </c>
      <c r="E169" s="5" t="s">
        <v>443</v>
      </c>
      <c r="F169" s="5">
        <v>40.273629999999997</v>
      </c>
      <c r="G169" s="5">
        <v>-92.904669999999996</v>
      </c>
      <c r="H169" s="30"/>
      <c r="I169" s="45"/>
      <c r="J169" s="30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 x14ac:dyDescent="0.25">
      <c r="A170" s="8" t="s">
        <v>1490</v>
      </c>
      <c r="B170" s="5" t="s">
        <v>1286</v>
      </c>
      <c r="C170" s="5" t="s">
        <v>1474</v>
      </c>
      <c r="D170" s="5" t="s">
        <v>1475</v>
      </c>
      <c r="E170" s="5" t="s">
        <v>443</v>
      </c>
      <c r="F170" s="5">
        <v>38.235370000000003</v>
      </c>
      <c r="G170" s="5">
        <v>-92.867239999999995</v>
      </c>
      <c r="H170" s="30"/>
      <c r="I170" s="45"/>
      <c r="J170" s="30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 x14ac:dyDescent="0.25">
      <c r="A171" s="8" t="s">
        <v>1491</v>
      </c>
      <c r="B171" s="5" t="s">
        <v>1181</v>
      </c>
      <c r="C171" s="5" t="s">
        <v>1492</v>
      </c>
      <c r="D171" s="5" t="s">
        <v>1493</v>
      </c>
      <c r="E171" s="5" t="s">
        <v>1494</v>
      </c>
      <c r="F171" s="5">
        <v>34.622251200000001</v>
      </c>
      <c r="G171" s="5">
        <v>-88.515328600000004</v>
      </c>
      <c r="H171" s="30"/>
      <c r="I171" s="45"/>
      <c r="J171" s="30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 x14ac:dyDescent="0.25">
      <c r="A172" s="8" t="s">
        <v>1495</v>
      </c>
      <c r="B172" s="5" t="s">
        <v>1181</v>
      </c>
      <c r="C172" s="5" t="s">
        <v>1496</v>
      </c>
      <c r="D172" s="5" t="s">
        <v>1497</v>
      </c>
      <c r="E172" s="5" t="s">
        <v>1494</v>
      </c>
      <c r="F172" s="5">
        <v>39.099275200000001</v>
      </c>
      <c r="G172" s="5">
        <v>-76.848306100000002</v>
      </c>
      <c r="H172" s="30"/>
      <c r="I172" s="45"/>
      <c r="J172" s="30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 x14ac:dyDescent="0.25">
      <c r="A173" s="8" t="s">
        <v>1498</v>
      </c>
      <c r="B173" s="5" t="s">
        <v>1181</v>
      </c>
      <c r="C173" s="5" t="s">
        <v>1499</v>
      </c>
      <c r="D173" s="5" t="s">
        <v>1500</v>
      </c>
      <c r="E173" s="5" t="s">
        <v>1494</v>
      </c>
      <c r="F173" s="5">
        <v>33.717895400000003</v>
      </c>
      <c r="G173" s="5">
        <v>-88.947835699999999</v>
      </c>
      <c r="H173" s="30"/>
      <c r="I173" s="45"/>
      <c r="J173" s="30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 x14ac:dyDescent="0.25">
      <c r="A174" s="8" t="s">
        <v>1501</v>
      </c>
      <c r="B174" s="5" t="s">
        <v>1181</v>
      </c>
      <c r="C174" s="5" t="s">
        <v>1502</v>
      </c>
      <c r="D174" s="5" t="s">
        <v>1346</v>
      </c>
      <c r="E174" s="5" t="s">
        <v>1494</v>
      </c>
      <c r="F174" s="5">
        <v>32.258480800000001</v>
      </c>
      <c r="G174" s="5">
        <v>-89.508402200000006</v>
      </c>
      <c r="H174" s="30"/>
      <c r="I174" s="45"/>
      <c r="J174" s="30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 x14ac:dyDescent="0.25">
      <c r="A175" s="8" t="s">
        <v>1503</v>
      </c>
      <c r="B175" s="5" t="s">
        <v>1181</v>
      </c>
      <c r="C175" s="5" t="s">
        <v>1504</v>
      </c>
      <c r="D175" s="5" t="s">
        <v>1505</v>
      </c>
      <c r="E175" s="5" t="s">
        <v>1506</v>
      </c>
      <c r="F175" s="5">
        <v>46.3141666</v>
      </c>
      <c r="G175" s="5">
        <v>-114.1139845</v>
      </c>
      <c r="H175" s="30"/>
      <c r="I175" s="45"/>
      <c r="J175" s="30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 x14ac:dyDescent="0.25">
      <c r="A176" s="8" t="s">
        <v>1507</v>
      </c>
      <c r="B176" s="5" t="s">
        <v>1181</v>
      </c>
      <c r="C176" s="5" t="s">
        <v>1508</v>
      </c>
      <c r="D176" s="5" t="s">
        <v>1509</v>
      </c>
      <c r="E176" s="5" t="s">
        <v>455</v>
      </c>
      <c r="F176" s="5">
        <v>33.187545</v>
      </c>
      <c r="G176" s="5">
        <v>-83.000742000000002</v>
      </c>
      <c r="H176" s="30"/>
      <c r="I176" s="45"/>
      <c r="J176" s="30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 x14ac:dyDescent="0.25">
      <c r="A177" s="8" t="s">
        <v>1510</v>
      </c>
      <c r="B177" s="5" t="s">
        <v>1181</v>
      </c>
      <c r="C177" s="5" t="s">
        <v>1511</v>
      </c>
      <c r="D177" s="5" t="s">
        <v>1512</v>
      </c>
      <c r="E177" s="5" t="s">
        <v>455</v>
      </c>
      <c r="F177" s="5">
        <v>35.399121000000001</v>
      </c>
      <c r="G177" s="5">
        <v>-78.815600099999997</v>
      </c>
      <c r="H177" s="30"/>
      <c r="I177" s="45"/>
      <c r="J177" s="30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 x14ac:dyDescent="0.25">
      <c r="A178" s="8" t="s">
        <v>1513</v>
      </c>
      <c r="B178" s="5" t="s">
        <v>1181</v>
      </c>
      <c r="C178" s="5" t="s">
        <v>1511</v>
      </c>
      <c r="D178" s="5" t="s">
        <v>1512</v>
      </c>
      <c r="E178" s="5" t="s">
        <v>455</v>
      </c>
      <c r="F178" s="5">
        <v>35.399121000000001</v>
      </c>
      <c r="G178" s="5">
        <v>-78.815600099999997</v>
      </c>
      <c r="H178" s="30"/>
      <c r="I178" s="45"/>
      <c r="J178" s="30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 x14ac:dyDescent="0.25">
      <c r="A179" s="8" t="s">
        <v>1514</v>
      </c>
      <c r="B179" s="5" t="s">
        <v>1181</v>
      </c>
      <c r="C179" s="5" t="s">
        <v>1515</v>
      </c>
      <c r="D179" s="5" t="s">
        <v>1516</v>
      </c>
      <c r="E179" s="5" t="s">
        <v>455</v>
      </c>
      <c r="F179" s="5">
        <v>36.232636200000002</v>
      </c>
      <c r="G179" s="5">
        <v>-80.708120899999997</v>
      </c>
      <c r="H179" s="30"/>
      <c r="I179" s="45"/>
      <c r="J179" s="30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 x14ac:dyDescent="0.25">
      <c r="A180" s="8" t="s">
        <v>1517</v>
      </c>
      <c r="B180" s="5" t="s">
        <v>1181</v>
      </c>
      <c r="C180" s="5" t="s">
        <v>1518</v>
      </c>
      <c r="D180" s="5" t="s">
        <v>1519</v>
      </c>
      <c r="E180" s="5" t="s">
        <v>455</v>
      </c>
      <c r="F180" s="5">
        <v>35.095440000000004</v>
      </c>
      <c r="G180" s="5">
        <v>-78.130409999999998</v>
      </c>
      <c r="H180" s="30"/>
      <c r="I180" s="45"/>
      <c r="J180" s="30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 x14ac:dyDescent="0.25">
      <c r="A181" s="8" t="s">
        <v>1520</v>
      </c>
      <c r="B181" s="5" t="s">
        <v>1200</v>
      </c>
      <c r="C181" s="5" t="s">
        <v>1521</v>
      </c>
      <c r="D181" s="5" t="s">
        <v>1519</v>
      </c>
      <c r="E181" s="5" t="s">
        <v>455</v>
      </c>
      <c r="F181" s="5">
        <v>34.961675</v>
      </c>
      <c r="G181" s="5">
        <v>-77.966136000000006</v>
      </c>
      <c r="H181" s="30"/>
      <c r="I181" s="45"/>
      <c r="J181" s="30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 x14ac:dyDescent="0.25">
      <c r="A182" s="8" t="s">
        <v>1522</v>
      </c>
      <c r="B182" s="5" t="s">
        <v>1181</v>
      </c>
      <c r="C182" s="5" t="s">
        <v>1523</v>
      </c>
      <c r="D182" s="5" t="s">
        <v>1519</v>
      </c>
      <c r="E182" s="5" t="s">
        <v>455</v>
      </c>
      <c r="F182" s="5">
        <v>40.651388500000003</v>
      </c>
      <c r="G182" s="5">
        <v>-81.298359300000001</v>
      </c>
      <c r="H182" s="30"/>
      <c r="I182" s="45"/>
      <c r="J182" s="30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 x14ac:dyDescent="0.25">
      <c r="A183" s="8" t="s">
        <v>1524</v>
      </c>
      <c r="B183" s="5" t="s">
        <v>1181</v>
      </c>
      <c r="C183" s="5" t="s">
        <v>1523</v>
      </c>
      <c r="D183" s="5" t="s">
        <v>1519</v>
      </c>
      <c r="E183" s="5" t="s">
        <v>455</v>
      </c>
      <c r="F183" s="5">
        <v>40.651388500000003</v>
      </c>
      <c r="G183" s="5">
        <v>-81.298359300000001</v>
      </c>
      <c r="H183" s="30"/>
      <c r="I183" s="45"/>
      <c r="J183" s="30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 x14ac:dyDescent="0.25">
      <c r="A184" s="8" t="s">
        <v>1525</v>
      </c>
      <c r="B184" s="5" t="s">
        <v>1181</v>
      </c>
      <c r="C184" s="5" t="s">
        <v>1526</v>
      </c>
      <c r="D184" s="5" t="s">
        <v>1527</v>
      </c>
      <c r="E184" s="5" t="s">
        <v>455</v>
      </c>
      <c r="F184" s="5">
        <v>34.538676799999998</v>
      </c>
      <c r="G184" s="5">
        <v>-78.787588700000001</v>
      </c>
      <c r="H184" s="30"/>
      <c r="I184" s="30"/>
      <c r="J184" s="30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 x14ac:dyDescent="0.25">
      <c r="A185" s="8" t="s">
        <v>1528</v>
      </c>
      <c r="B185" s="5" t="s">
        <v>1181</v>
      </c>
      <c r="C185" s="5" t="s">
        <v>1529</v>
      </c>
      <c r="D185" s="5" t="s">
        <v>1530</v>
      </c>
      <c r="E185" s="5" t="s">
        <v>545</v>
      </c>
      <c r="F185" s="5">
        <v>42.232902000000003</v>
      </c>
      <c r="G185" s="5">
        <v>-76.342418800000004</v>
      </c>
      <c r="H185" s="30"/>
      <c r="I185" s="30"/>
      <c r="J185" s="30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 x14ac:dyDescent="0.25">
      <c r="A186" s="8" t="s">
        <v>1531</v>
      </c>
      <c r="B186" s="5" t="s">
        <v>1181</v>
      </c>
      <c r="C186" s="5" t="s">
        <v>1529</v>
      </c>
      <c r="D186" s="5" t="s">
        <v>1530</v>
      </c>
      <c r="E186" s="5" t="s">
        <v>545</v>
      </c>
      <c r="F186" s="5">
        <v>44.543759999999999</v>
      </c>
      <c r="G186" s="5">
        <v>-73.525360000000006</v>
      </c>
      <c r="H186" s="30"/>
      <c r="I186" s="30"/>
      <c r="J186" s="30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 x14ac:dyDescent="0.25">
      <c r="A187" s="8" t="s">
        <v>1532</v>
      </c>
      <c r="B187" s="5" t="s">
        <v>1181</v>
      </c>
      <c r="C187" s="5" t="s">
        <v>521</v>
      </c>
      <c r="D187" s="5" t="s">
        <v>1533</v>
      </c>
      <c r="E187" s="5" t="s">
        <v>545</v>
      </c>
      <c r="F187" s="5">
        <v>40.715682000000001</v>
      </c>
      <c r="G187" s="5">
        <v>-73.964684000000005</v>
      </c>
      <c r="H187" s="30"/>
      <c r="I187" s="30"/>
      <c r="J187" s="30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 x14ac:dyDescent="0.25">
      <c r="A188" s="8" t="s">
        <v>1534</v>
      </c>
      <c r="B188" s="5" t="s">
        <v>1181</v>
      </c>
      <c r="C188" s="5" t="s">
        <v>1535</v>
      </c>
      <c r="D188" s="5" t="s">
        <v>1536</v>
      </c>
      <c r="E188" s="5" t="s">
        <v>545</v>
      </c>
      <c r="F188" s="5">
        <v>42.753230000000002</v>
      </c>
      <c r="G188" s="5">
        <v>-78.303550000000001</v>
      </c>
      <c r="H188" s="30"/>
      <c r="I188" s="30"/>
      <c r="J188" s="30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 x14ac:dyDescent="0.25">
      <c r="A189" s="8" t="s">
        <v>1537</v>
      </c>
      <c r="B189" s="5" t="s">
        <v>1189</v>
      </c>
      <c r="C189" s="5" t="s">
        <v>1538</v>
      </c>
      <c r="D189" s="5" t="s">
        <v>1533</v>
      </c>
      <c r="E189" s="5" t="s">
        <v>545</v>
      </c>
      <c r="F189" s="5">
        <v>42.932020199999997</v>
      </c>
      <c r="G189" s="5">
        <v>-76.567202899999998</v>
      </c>
      <c r="H189" s="30"/>
      <c r="I189" s="30"/>
      <c r="J189" s="30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 x14ac:dyDescent="0.25">
      <c r="A190" s="8" t="s">
        <v>1539</v>
      </c>
      <c r="B190" s="5" t="s">
        <v>1181</v>
      </c>
      <c r="C190" s="5" t="s">
        <v>1540</v>
      </c>
      <c r="D190" s="5" t="s">
        <v>1541</v>
      </c>
      <c r="E190" s="5" t="s">
        <v>545</v>
      </c>
      <c r="F190" s="5">
        <v>42.911992499999997</v>
      </c>
      <c r="G190" s="5">
        <v>-77.745456700000005</v>
      </c>
      <c r="H190" s="30"/>
      <c r="I190" s="30"/>
      <c r="J190" s="30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 x14ac:dyDescent="0.25">
      <c r="A191" s="8" t="s">
        <v>1542</v>
      </c>
      <c r="B191" s="5" t="s">
        <v>1181</v>
      </c>
      <c r="C191" s="5" t="s">
        <v>1543</v>
      </c>
      <c r="D191" s="5" t="s">
        <v>1544</v>
      </c>
      <c r="E191" s="5" t="s">
        <v>545</v>
      </c>
      <c r="F191" s="5">
        <v>42.875489999999999</v>
      </c>
      <c r="G191" s="5">
        <v>-74.206950000000006</v>
      </c>
      <c r="H191" s="46"/>
      <c r="I191" s="30"/>
      <c r="J191" s="30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 x14ac:dyDescent="0.25">
      <c r="A192" s="8" t="s">
        <v>1545</v>
      </c>
      <c r="B192" s="5" t="s">
        <v>1181</v>
      </c>
      <c r="C192" s="5" t="s">
        <v>1546</v>
      </c>
      <c r="D192" s="5" t="s">
        <v>1533</v>
      </c>
      <c r="E192" s="5" t="s">
        <v>545</v>
      </c>
      <c r="F192" s="5">
        <v>42.665348799999997</v>
      </c>
      <c r="G192" s="5">
        <v>-76.616611300000002</v>
      </c>
      <c r="H192" s="46"/>
      <c r="I192" s="30"/>
      <c r="J192" s="30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 x14ac:dyDescent="0.25">
      <c r="A193" s="8" t="s">
        <v>1547</v>
      </c>
      <c r="B193" s="5" t="s">
        <v>1181</v>
      </c>
      <c r="C193" s="5" t="s">
        <v>1548</v>
      </c>
      <c r="D193" s="5" t="s">
        <v>1536</v>
      </c>
      <c r="E193" s="5" t="s">
        <v>545</v>
      </c>
      <c r="F193" s="5">
        <v>42.7156175</v>
      </c>
      <c r="G193" s="5">
        <v>-78.005561799999995</v>
      </c>
      <c r="H193" s="47"/>
      <c r="I193" s="47"/>
      <c r="J193" s="30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 x14ac:dyDescent="0.25">
      <c r="A194" s="8" t="s">
        <v>1549</v>
      </c>
      <c r="B194" s="5" t="s">
        <v>1181</v>
      </c>
      <c r="C194" s="5" t="s">
        <v>1550</v>
      </c>
      <c r="D194" s="5" t="s">
        <v>1551</v>
      </c>
      <c r="E194" s="5" t="s">
        <v>545</v>
      </c>
      <c r="F194" s="5">
        <v>44.595616300000003</v>
      </c>
      <c r="G194" s="5">
        <v>-75.169094200000004</v>
      </c>
      <c r="H194" s="47"/>
      <c r="I194" s="30"/>
      <c r="J194" s="30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 x14ac:dyDescent="0.25">
      <c r="A195" s="8" t="s">
        <v>1552</v>
      </c>
      <c r="B195" s="5" t="s">
        <v>1181</v>
      </c>
      <c r="C195" s="5" t="s">
        <v>1553</v>
      </c>
      <c r="D195" s="5" t="s">
        <v>1554</v>
      </c>
      <c r="E195" s="5" t="s">
        <v>545</v>
      </c>
      <c r="F195" s="5">
        <v>42.918559999999999</v>
      </c>
      <c r="G195" s="5">
        <v>-77.127070000000003</v>
      </c>
      <c r="H195" s="47"/>
      <c r="I195" s="30"/>
      <c r="J195" s="30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 x14ac:dyDescent="0.25">
      <c r="A196" s="8" t="s">
        <v>1555</v>
      </c>
      <c r="B196" s="5" t="s">
        <v>1181</v>
      </c>
      <c r="C196" s="5" t="s">
        <v>1556</v>
      </c>
      <c r="D196" s="5" t="s">
        <v>1557</v>
      </c>
      <c r="E196" s="5" t="s">
        <v>545</v>
      </c>
      <c r="F196" s="5">
        <v>43.2898</v>
      </c>
      <c r="G196" s="5">
        <v>-78.874219999999994</v>
      </c>
      <c r="H196" s="47"/>
      <c r="I196" s="30"/>
      <c r="J196" s="30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 x14ac:dyDescent="0.25">
      <c r="A197" s="8" t="s">
        <v>1558</v>
      </c>
      <c r="B197" s="5" t="s">
        <v>1181</v>
      </c>
      <c r="C197" s="5" t="s">
        <v>1559</v>
      </c>
      <c r="D197" s="5" t="s">
        <v>1560</v>
      </c>
      <c r="E197" s="5" t="s">
        <v>545</v>
      </c>
      <c r="F197" s="5">
        <v>42.971723500000003</v>
      </c>
      <c r="G197" s="5">
        <v>-78.968373200000002</v>
      </c>
      <c r="H197" s="47"/>
      <c r="I197" s="30"/>
      <c r="J197" s="30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 x14ac:dyDescent="0.25">
      <c r="A198" s="8" t="s">
        <v>1561</v>
      </c>
      <c r="B198" s="5" t="s">
        <v>1181</v>
      </c>
      <c r="C198" s="5" t="s">
        <v>642</v>
      </c>
      <c r="D198" s="5" t="s">
        <v>1554</v>
      </c>
      <c r="E198" s="5" t="s">
        <v>545</v>
      </c>
      <c r="F198" s="5">
        <v>42.825066499999998</v>
      </c>
      <c r="G198" s="5">
        <v>-77.095805200000001</v>
      </c>
      <c r="H198" s="47"/>
      <c r="I198" s="30"/>
      <c r="J198" s="30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 x14ac:dyDescent="0.25">
      <c r="A199" s="8" t="s">
        <v>1562</v>
      </c>
      <c r="B199" s="5" t="s">
        <v>1181</v>
      </c>
      <c r="C199" s="5" t="s">
        <v>1563</v>
      </c>
      <c r="D199" s="5" t="s">
        <v>1541</v>
      </c>
      <c r="E199" s="5" t="s">
        <v>545</v>
      </c>
      <c r="F199" s="5">
        <v>42.8711324</v>
      </c>
      <c r="G199" s="5">
        <v>-77.885552000000004</v>
      </c>
      <c r="H199" s="47"/>
      <c r="I199" s="30"/>
      <c r="J199" s="30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 x14ac:dyDescent="0.25">
      <c r="A200" s="8" t="s">
        <v>1564</v>
      </c>
      <c r="B200" s="5" t="s">
        <v>1181</v>
      </c>
      <c r="C200" s="5" t="s">
        <v>1565</v>
      </c>
      <c r="D200" s="5" t="s">
        <v>1533</v>
      </c>
      <c r="E200" s="5" t="s">
        <v>545</v>
      </c>
      <c r="F200" s="5">
        <v>42.667848900000003</v>
      </c>
      <c r="G200" s="5">
        <v>-76.535774099999998</v>
      </c>
      <c r="H200" s="48"/>
      <c r="I200" s="30"/>
      <c r="J200" s="30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 x14ac:dyDescent="0.25">
      <c r="A201" s="8" t="s">
        <v>1566</v>
      </c>
      <c r="B201" s="5" t="s">
        <v>1181</v>
      </c>
      <c r="C201" s="5" t="s">
        <v>1567</v>
      </c>
      <c r="D201" s="5" t="s">
        <v>1568</v>
      </c>
      <c r="E201" s="5" t="s">
        <v>545</v>
      </c>
      <c r="F201" s="5">
        <v>42.020887999999999</v>
      </c>
      <c r="G201" s="5">
        <v>-79.630049999999997</v>
      </c>
      <c r="H201" s="48"/>
      <c r="I201" s="30"/>
      <c r="J201" s="30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 x14ac:dyDescent="0.25">
      <c r="A202" s="8" t="s">
        <v>1569</v>
      </c>
      <c r="B202" s="5" t="s">
        <v>1181</v>
      </c>
      <c r="C202" s="5" t="s">
        <v>1570</v>
      </c>
      <c r="D202" s="5" t="s">
        <v>1533</v>
      </c>
      <c r="E202" s="5" t="s">
        <v>545</v>
      </c>
      <c r="F202" s="5">
        <v>42.7836809</v>
      </c>
      <c r="G202" s="5">
        <v>-76.559107900000001</v>
      </c>
      <c r="H202" s="48"/>
      <c r="I202" s="30"/>
      <c r="J202" s="30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 x14ac:dyDescent="0.25">
      <c r="A203" s="8" t="s">
        <v>1571</v>
      </c>
      <c r="B203" s="5" t="s">
        <v>1181</v>
      </c>
      <c r="C203" s="5" t="s">
        <v>494</v>
      </c>
      <c r="D203" s="5" t="s">
        <v>1375</v>
      </c>
      <c r="E203" s="5" t="s">
        <v>545</v>
      </c>
      <c r="F203" s="5">
        <v>43.809232000000002</v>
      </c>
      <c r="G203" s="5">
        <v>-76.024089000000004</v>
      </c>
      <c r="H203" s="30"/>
      <c r="I203" s="30"/>
      <c r="J203" s="30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 x14ac:dyDescent="0.25">
      <c r="A204" s="8" t="s">
        <v>1572</v>
      </c>
      <c r="B204" s="5" t="s">
        <v>1189</v>
      </c>
      <c r="C204" s="5" t="s">
        <v>1573</v>
      </c>
      <c r="D204" s="5" t="s">
        <v>1533</v>
      </c>
      <c r="E204" s="5" t="s">
        <v>545</v>
      </c>
      <c r="F204" s="5">
        <v>42.913620000000002</v>
      </c>
      <c r="G204" s="5">
        <v>-76.624610000000004</v>
      </c>
      <c r="H204" s="30"/>
      <c r="I204" s="30"/>
      <c r="J204" s="30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 x14ac:dyDescent="0.25">
      <c r="A205" s="8" t="s">
        <v>1574</v>
      </c>
      <c r="B205" s="5" t="s">
        <v>1181</v>
      </c>
      <c r="C205" s="5" t="s">
        <v>1548</v>
      </c>
      <c r="D205" s="5" t="s">
        <v>1536</v>
      </c>
      <c r="E205" s="5" t="s">
        <v>545</v>
      </c>
      <c r="F205" s="5">
        <v>42.7156175</v>
      </c>
      <c r="G205" s="5">
        <v>-78.005561799999995</v>
      </c>
      <c r="H205" s="30"/>
      <c r="I205" s="30"/>
      <c r="J205" s="30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 x14ac:dyDescent="0.25">
      <c r="A206" s="8" t="s">
        <v>1575</v>
      </c>
      <c r="B206" s="5" t="s">
        <v>1181</v>
      </c>
      <c r="C206" s="5" t="s">
        <v>1570</v>
      </c>
      <c r="D206" s="5" t="s">
        <v>1533</v>
      </c>
      <c r="E206" s="5" t="s">
        <v>545</v>
      </c>
      <c r="F206" s="5">
        <v>42.7836809</v>
      </c>
      <c r="G206" s="5">
        <v>-76.559107900000001</v>
      </c>
      <c r="H206" s="30"/>
      <c r="I206" s="30"/>
      <c r="J206" s="30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 x14ac:dyDescent="0.25">
      <c r="A207" s="8" t="s">
        <v>1576</v>
      </c>
      <c r="B207" s="5" t="s">
        <v>1181</v>
      </c>
      <c r="C207" s="5" t="s">
        <v>1577</v>
      </c>
      <c r="D207" s="5" t="s">
        <v>1536</v>
      </c>
      <c r="E207" s="5" t="s">
        <v>545</v>
      </c>
      <c r="F207" s="5">
        <v>42.7401871</v>
      </c>
      <c r="G207" s="5">
        <v>-78.132554799999994</v>
      </c>
      <c r="H207" s="30"/>
      <c r="I207" s="30"/>
      <c r="J207" s="30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 x14ac:dyDescent="0.25">
      <c r="A208" s="8" t="s">
        <v>1578</v>
      </c>
      <c r="B208" s="5" t="s">
        <v>1181</v>
      </c>
      <c r="C208" s="5" t="s">
        <v>1577</v>
      </c>
      <c r="D208" s="5" t="s">
        <v>1536</v>
      </c>
      <c r="E208" s="5" t="s">
        <v>545</v>
      </c>
      <c r="F208" s="5">
        <v>42.739719999999998</v>
      </c>
      <c r="G208" s="5">
        <v>-78.161559999999994</v>
      </c>
      <c r="H208" s="30"/>
      <c r="I208" s="30"/>
      <c r="J208" s="30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 x14ac:dyDescent="0.25">
      <c r="A209" s="8" t="s">
        <v>1579</v>
      </c>
      <c r="B209" s="5" t="s">
        <v>1200</v>
      </c>
      <c r="C209" s="5" t="s">
        <v>1580</v>
      </c>
      <c r="D209" s="5" t="s">
        <v>1536</v>
      </c>
      <c r="E209" s="5" t="s">
        <v>545</v>
      </c>
      <c r="F209" s="5">
        <v>42.8533945</v>
      </c>
      <c r="G209" s="5">
        <v>-78.010286800000003</v>
      </c>
      <c r="H209" s="30"/>
      <c r="I209" s="30"/>
      <c r="J209" s="30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 x14ac:dyDescent="0.25">
      <c r="A210" s="8" t="s">
        <v>1581</v>
      </c>
      <c r="B210" s="5" t="s">
        <v>1181</v>
      </c>
      <c r="C210" s="5" t="s">
        <v>1582</v>
      </c>
      <c r="D210" s="5" t="s">
        <v>1533</v>
      </c>
      <c r="E210" s="5" t="s">
        <v>545</v>
      </c>
      <c r="F210" s="5">
        <v>42.947011000000003</v>
      </c>
      <c r="G210" s="5">
        <v>-76.429101700000004</v>
      </c>
      <c r="H210" s="30"/>
      <c r="I210" s="30"/>
      <c r="J210" s="30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 x14ac:dyDescent="0.25">
      <c r="A211" s="8" t="s">
        <v>1583</v>
      </c>
      <c r="B211" s="5" t="s">
        <v>1181</v>
      </c>
      <c r="C211" s="5" t="s">
        <v>1584</v>
      </c>
      <c r="D211" s="5" t="s">
        <v>1585</v>
      </c>
      <c r="E211" s="5" t="s">
        <v>545</v>
      </c>
      <c r="F211" s="5">
        <v>42.690356600000001</v>
      </c>
      <c r="G211" s="5">
        <v>-73.564559700000004</v>
      </c>
      <c r="H211" s="30"/>
      <c r="I211" s="30"/>
      <c r="J211" s="30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 x14ac:dyDescent="0.25">
      <c r="A212" s="8" t="s">
        <v>1586</v>
      </c>
      <c r="B212" s="5" t="s">
        <v>1181</v>
      </c>
      <c r="C212" s="5" t="s">
        <v>1587</v>
      </c>
      <c r="D212" s="5" t="s">
        <v>1137</v>
      </c>
      <c r="E212" s="5" t="s">
        <v>545</v>
      </c>
      <c r="F212" s="5">
        <v>43.414276000000001</v>
      </c>
      <c r="G212" s="5">
        <v>-73.487892000000002</v>
      </c>
      <c r="H212" s="30"/>
      <c r="I212" s="30"/>
      <c r="J212" s="30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 x14ac:dyDescent="0.25">
      <c r="A213" s="8" t="s">
        <v>1588</v>
      </c>
      <c r="B213" s="5" t="s">
        <v>1181</v>
      </c>
      <c r="C213" s="5" t="s">
        <v>1546</v>
      </c>
      <c r="D213" s="5" t="s">
        <v>1533</v>
      </c>
      <c r="E213" s="5" t="s">
        <v>545</v>
      </c>
      <c r="F213" s="5">
        <v>42.623820000000002</v>
      </c>
      <c r="G213" s="5">
        <v>-76.584800000000001</v>
      </c>
      <c r="H213" s="30"/>
      <c r="I213" s="30"/>
      <c r="J213" s="30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 x14ac:dyDescent="0.25">
      <c r="A214" s="8" t="s">
        <v>1589</v>
      </c>
      <c r="B214" s="5" t="s">
        <v>1181</v>
      </c>
      <c r="C214" s="5" t="s">
        <v>1553</v>
      </c>
      <c r="D214" s="5" t="s">
        <v>1554</v>
      </c>
      <c r="E214" s="5" t="s">
        <v>545</v>
      </c>
      <c r="F214" s="5">
        <v>42.9617304</v>
      </c>
      <c r="G214" s="5">
        <v>-77.139975699999994</v>
      </c>
      <c r="H214" s="30"/>
      <c r="I214" s="30"/>
      <c r="J214" s="30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 x14ac:dyDescent="0.25">
      <c r="A215" s="8" t="s">
        <v>1590</v>
      </c>
      <c r="B215" s="5" t="s">
        <v>1181</v>
      </c>
      <c r="C215" s="5" t="s">
        <v>1591</v>
      </c>
      <c r="D215" s="5" t="s">
        <v>1551</v>
      </c>
      <c r="E215" s="5" t="s">
        <v>545</v>
      </c>
      <c r="F215" s="5">
        <v>44.728380000000001</v>
      </c>
      <c r="G215" s="5">
        <v>-75.383300000000006</v>
      </c>
      <c r="H215" s="30"/>
      <c r="I215" s="30"/>
      <c r="J215" s="30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 x14ac:dyDescent="0.25">
      <c r="A216" s="8" t="s">
        <v>1592</v>
      </c>
      <c r="B216" s="5" t="s">
        <v>1181</v>
      </c>
      <c r="C216" s="5" t="s">
        <v>1593</v>
      </c>
      <c r="D216" s="5" t="s">
        <v>1560</v>
      </c>
      <c r="E216" s="5" t="s">
        <v>545</v>
      </c>
      <c r="F216" s="5">
        <v>43.079782000000002</v>
      </c>
      <c r="G216" s="5">
        <v>-78.063903999999994</v>
      </c>
      <c r="H216" s="30"/>
      <c r="I216" s="30"/>
      <c r="J216" s="30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 x14ac:dyDescent="0.25">
      <c r="A217" s="8" t="s">
        <v>1594</v>
      </c>
      <c r="B217" s="5" t="s">
        <v>1181</v>
      </c>
      <c r="C217" s="5" t="s">
        <v>1499</v>
      </c>
      <c r="D217" s="5" t="s">
        <v>1595</v>
      </c>
      <c r="E217" s="5" t="s">
        <v>549</v>
      </c>
      <c r="F217" s="5">
        <v>41.584495099999998</v>
      </c>
      <c r="G217" s="5">
        <v>-84.605507599999996</v>
      </c>
      <c r="H217" s="30"/>
      <c r="I217" s="30"/>
      <c r="J217" s="30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 x14ac:dyDescent="0.25">
      <c r="A218" s="8" t="s">
        <v>1596</v>
      </c>
      <c r="B218" s="5" t="s">
        <v>1181</v>
      </c>
      <c r="C218" s="5" t="s">
        <v>1597</v>
      </c>
      <c r="D218" s="5" t="s">
        <v>1598</v>
      </c>
      <c r="E218" s="5" t="s">
        <v>549</v>
      </c>
      <c r="F218" s="5">
        <v>41.018929999999997</v>
      </c>
      <c r="G218" s="5">
        <v>-84.757490000000004</v>
      </c>
      <c r="H218" s="30"/>
      <c r="I218" s="30"/>
      <c r="J218" s="30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 x14ac:dyDescent="0.25">
      <c r="A219" s="8" t="s">
        <v>1599</v>
      </c>
      <c r="B219" s="5" t="s">
        <v>1181</v>
      </c>
      <c r="C219" s="5" t="s">
        <v>1600</v>
      </c>
      <c r="D219" s="5" t="s">
        <v>1601</v>
      </c>
      <c r="E219" s="5" t="s">
        <v>549</v>
      </c>
      <c r="F219" s="5">
        <v>39.578130000000002</v>
      </c>
      <c r="G219" s="5">
        <v>-83.000649999999993</v>
      </c>
      <c r="H219" s="30"/>
      <c r="I219" s="30"/>
      <c r="J219" s="30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 x14ac:dyDescent="0.25">
      <c r="A220" s="8" t="s">
        <v>1602</v>
      </c>
      <c r="B220" s="5" t="s">
        <v>1181</v>
      </c>
      <c r="C220" s="5" t="s">
        <v>1603</v>
      </c>
      <c r="D220" s="5" t="s">
        <v>1595</v>
      </c>
      <c r="E220" s="5" t="s">
        <v>549</v>
      </c>
      <c r="F220" s="5">
        <v>41.586162000000002</v>
      </c>
      <c r="G220" s="5">
        <v>-84.434949099999997</v>
      </c>
      <c r="H220" s="30"/>
      <c r="I220" s="30"/>
      <c r="J220" s="30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 x14ac:dyDescent="0.25">
      <c r="A221" s="8" t="s">
        <v>1604</v>
      </c>
      <c r="B221" s="5" t="s">
        <v>1181</v>
      </c>
      <c r="C221" s="5" t="s">
        <v>1605</v>
      </c>
      <c r="D221" s="5" t="s">
        <v>1606</v>
      </c>
      <c r="E221" s="5" t="s">
        <v>549</v>
      </c>
      <c r="F221" s="5">
        <v>39.811920000000001</v>
      </c>
      <c r="G221" s="5">
        <v>-83.968919999999997</v>
      </c>
      <c r="H221" s="30"/>
      <c r="I221" s="30"/>
      <c r="J221" s="30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 x14ac:dyDescent="0.25">
      <c r="A222" s="8" t="s">
        <v>1607</v>
      </c>
      <c r="B222" s="5" t="s">
        <v>1181</v>
      </c>
      <c r="C222" s="5" t="s">
        <v>1608</v>
      </c>
      <c r="D222" s="5" t="s">
        <v>1609</v>
      </c>
      <c r="E222" s="5" t="s">
        <v>549</v>
      </c>
      <c r="F222" s="5">
        <v>40.500779000000001</v>
      </c>
      <c r="G222" s="5">
        <v>-82.895061999999996</v>
      </c>
      <c r="H222" s="30"/>
      <c r="I222" s="30"/>
      <c r="J222" s="30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 x14ac:dyDescent="0.25">
      <c r="A223" s="8" t="s">
        <v>1610</v>
      </c>
      <c r="B223" s="5" t="s">
        <v>1181</v>
      </c>
      <c r="C223" s="5" t="s">
        <v>1611</v>
      </c>
      <c r="D223" s="5" t="s">
        <v>1485</v>
      </c>
      <c r="E223" s="5" t="s">
        <v>549</v>
      </c>
      <c r="F223" s="5">
        <v>40.412824100000002</v>
      </c>
      <c r="G223" s="5">
        <v>-84.776351099999999</v>
      </c>
      <c r="H223" s="30"/>
      <c r="I223" s="30"/>
      <c r="J223" s="30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 x14ac:dyDescent="0.25">
      <c r="A224" s="8" t="s">
        <v>1612</v>
      </c>
      <c r="B224" s="5" t="s">
        <v>1181</v>
      </c>
      <c r="C224" s="5" t="s">
        <v>1613</v>
      </c>
      <c r="D224" s="5" t="s">
        <v>1614</v>
      </c>
      <c r="E224" s="5" t="s">
        <v>1153</v>
      </c>
      <c r="F224" s="5">
        <v>36.868969999999997</v>
      </c>
      <c r="G224" s="5">
        <v>-100.8779</v>
      </c>
      <c r="H224" s="30"/>
      <c r="I224" s="30"/>
      <c r="J224" s="30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.75" customHeight="1" x14ac:dyDescent="0.25">
      <c r="A225" s="8" t="s">
        <v>1615</v>
      </c>
      <c r="B225" s="5" t="s">
        <v>1181</v>
      </c>
      <c r="C225" s="5" t="s">
        <v>1616</v>
      </c>
      <c r="D225" s="5" t="s">
        <v>1616</v>
      </c>
      <c r="E225" s="5" t="s">
        <v>571</v>
      </c>
      <c r="F225" s="5">
        <v>45.455920999999996</v>
      </c>
      <c r="G225" s="5">
        <v>-123.84442900000001</v>
      </c>
      <c r="H225" s="30"/>
      <c r="I225" s="30"/>
      <c r="J225" s="30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.75" customHeight="1" x14ac:dyDescent="0.25">
      <c r="A226" s="8" t="s">
        <v>1617</v>
      </c>
      <c r="B226" s="5" t="s">
        <v>1200</v>
      </c>
      <c r="C226" s="5" t="s">
        <v>1616</v>
      </c>
      <c r="D226" s="5" t="s">
        <v>1616</v>
      </c>
      <c r="E226" s="5" t="s">
        <v>571</v>
      </c>
      <c r="F226" s="5">
        <v>45.455920999999996</v>
      </c>
      <c r="G226" s="5">
        <v>-123.84442900000001</v>
      </c>
      <c r="H226" s="30"/>
      <c r="I226" s="30"/>
      <c r="J226" s="30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.75" customHeight="1" x14ac:dyDescent="0.25">
      <c r="A227" s="8" t="s">
        <v>1618</v>
      </c>
      <c r="B227" s="5" t="s">
        <v>1181</v>
      </c>
      <c r="C227" s="5" t="s">
        <v>1619</v>
      </c>
      <c r="D227" s="5" t="s">
        <v>1620</v>
      </c>
      <c r="E227" s="5" t="s">
        <v>571</v>
      </c>
      <c r="F227" s="5">
        <v>44.219290100000002</v>
      </c>
      <c r="G227" s="5">
        <v>-123.2056484</v>
      </c>
      <c r="H227" s="30"/>
      <c r="I227" s="30"/>
      <c r="J227" s="30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.75" customHeight="1" x14ac:dyDescent="0.25">
      <c r="A228" s="8" t="s">
        <v>1621</v>
      </c>
      <c r="B228" s="5" t="s">
        <v>1181</v>
      </c>
      <c r="C228" s="5" t="s">
        <v>1622</v>
      </c>
      <c r="D228" s="5" t="s">
        <v>272</v>
      </c>
      <c r="E228" s="5" t="s">
        <v>571</v>
      </c>
      <c r="F228" s="5">
        <v>44.840954799999999</v>
      </c>
      <c r="G228" s="5">
        <v>-122.8709243</v>
      </c>
      <c r="H228" s="30"/>
      <c r="I228" s="30"/>
      <c r="J228" s="30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 x14ac:dyDescent="0.25">
      <c r="A229" s="8" t="s">
        <v>1623</v>
      </c>
      <c r="B229" s="5" t="s">
        <v>1181</v>
      </c>
      <c r="C229" s="5" t="s">
        <v>1624</v>
      </c>
      <c r="D229" s="5" t="s">
        <v>1625</v>
      </c>
      <c r="E229" s="5" t="s">
        <v>571</v>
      </c>
      <c r="F229" s="5">
        <v>45.2206945</v>
      </c>
      <c r="G229" s="5">
        <v>-123.0761419</v>
      </c>
      <c r="H229" s="30"/>
      <c r="I229" s="30"/>
      <c r="J229" s="30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.75" customHeight="1" x14ac:dyDescent="0.25">
      <c r="A230" s="8" t="s">
        <v>1626</v>
      </c>
      <c r="B230" s="5" t="s">
        <v>1181</v>
      </c>
      <c r="C230" s="5" t="s">
        <v>570</v>
      </c>
      <c r="D230" s="5" t="s">
        <v>1609</v>
      </c>
      <c r="E230" s="5" t="s">
        <v>571</v>
      </c>
      <c r="F230" s="5">
        <v>45.751379999999997</v>
      </c>
      <c r="G230" s="5">
        <v>-119.93728</v>
      </c>
      <c r="H230" s="30"/>
      <c r="I230" s="30"/>
      <c r="J230" s="30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.75" customHeight="1" x14ac:dyDescent="0.25">
      <c r="A231" s="8" t="s">
        <v>1627</v>
      </c>
      <c r="B231" s="5" t="s">
        <v>1181</v>
      </c>
      <c r="C231" s="5" t="s">
        <v>1628</v>
      </c>
      <c r="D231" s="5" t="s">
        <v>1629</v>
      </c>
      <c r="E231" s="5" t="s">
        <v>575</v>
      </c>
      <c r="F231" s="5">
        <v>39.877789999999997</v>
      </c>
      <c r="G231" s="5">
        <v>-75.936940000000007</v>
      </c>
      <c r="H231" s="30"/>
      <c r="I231" s="30"/>
      <c r="J231" s="30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 x14ac:dyDescent="0.25">
      <c r="A232" s="8" t="s">
        <v>1630</v>
      </c>
      <c r="B232" s="5" t="s">
        <v>1181</v>
      </c>
      <c r="C232" s="5" t="s">
        <v>1631</v>
      </c>
      <c r="D232" s="5" t="s">
        <v>1632</v>
      </c>
      <c r="E232" s="5" t="s">
        <v>575</v>
      </c>
      <c r="F232" s="5">
        <v>41.757832999999998</v>
      </c>
      <c r="G232" s="5">
        <v>-80.367842400000001</v>
      </c>
      <c r="H232" s="30"/>
      <c r="I232" s="30"/>
      <c r="J232" s="30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.75" customHeight="1" x14ac:dyDescent="0.25">
      <c r="A233" s="8" t="s">
        <v>1633</v>
      </c>
      <c r="B233" s="5" t="s">
        <v>1181</v>
      </c>
      <c r="C233" s="5" t="s">
        <v>1634</v>
      </c>
      <c r="D233" s="5" t="s">
        <v>1635</v>
      </c>
      <c r="E233" s="5" t="s">
        <v>575</v>
      </c>
      <c r="F233" s="5">
        <v>40.543400699999999</v>
      </c>
      <c r="G233" s="5">
        <v>-79.162256600000006</v>
      </c>
      <c r="H233" s="30"/>
      <c r="I233" s="30"/>
      <c r="J233" s="30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.75" customHeight="1" x14ac:dyDescent="0.25">
      <c r="A234" s="8" t="s">
        <v>1636</v>
      </c>
      <c r="B234" s="5" t="s">
        <v>1181</v>
      </c>
      <c r="C234" s="5" t="s">
        <v>1637</v>
      </c>
      <c r="D234" s="5" t="s">
        <v>1163</v>
      </c>
      <c r="E234" s="5" t="s">
        <v>575</v>
      </c>
      <c r="F234" s="5">
        <v>40.109856100000002</v>
      </c>
      <c r="G234" s="5">
        <v>-76.503340600000001</v>
      </c>
      <c r="H234" s="30"/>
      <c r="I234" s="30"/>
      <c r="J234" s="30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.75" customHeight="1" x14ac:dyDescent="0.25">
      <c r="A235" s="8" t="s">
        <v>1638</v>
      </c>
      <c r="B235" s="5" t="s">
        <v>1181</v>
      </c>
      <c r="C235" s="5" t="s">
        <v>1639</v>
      </c>
      <c r="D235" s="5" t="s">
        <v>1640</v>
      </c>
      <c r="E235" s="5" t="s">
        <v>575</v>
      </c>
      <c r="F235" s="5">
        <v>40.806243700000003</v>
      </c>
      <c r="G235" s="5">
        <v>-76.860708399999993</v>
      </c>
      <c r="H235" s="30"/>
      <c r="I235" s="30"/>
      <c r="J235" s="30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.75" customHeight="1" x14ac:dyDescent="0.25">
      <c r="A236" s="8" t="s">
        <v>1641</v>
      </c>
      <c r="B236" s="5" t="s">
        <v>1181</v>
      </c>
      <c r="C236" s="5" t="s">
        <v>1642</v>
      </c>
      <c r="D236" s="5" t="s">
        <v>1643</v>
      </c>
      <c r="E236" s="5" t="s">
        <v>575</v>
      </c>
      <c r="F236" s="5">
        <v>39.916646999999998</v>
      </c>
      <c r="G236" s="5">
        <v>-79.035578999999998</v>
      </c>
      <c r="H236" s="30"/>
      <c r="I236" s="30"/>
      <c r="J236" s="30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 x14ac:dyDescent="0.25">
      <c r="A237" s="8" t="s">
        <v>1644</v>
      </c>
      <c r="B237" s="5" t="s">
        <v>1181</v>
      </c>
      <c r="C237" s="5" t="s">
        <v>1645</v>
      </c>
      <c r="D237" s="5" t="s">
        <v>1646</v>
      </c>
      <c r="E237" s="5" t="s">
        <v>575</v>
      </c>
      <c r="F237" s="5">
        <v>41.903956899999997</v>
      </c>
      <c r="G237" s="5">
        <v>-77.761937399999994</v>
      </c>
      <c r="H237" s="30"/>
      <c r="I237" s="30"/>
      <c r="J237" s="30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.75" customHeight="1" x14ac:dyDescent="0.25">
      <c r="A238" s="8" t="s">
        <v>1647</v>
      </c>
      <c r="B238" s="5" t="s">
        <v>1181</v>
      </c>
      <c r="C238" s="5" t="s">
        <v>1648</v>
      </c>
      <c r="D238" s="5" t="s">
        <v>1114</v>
      </c>
      <c r="E238" s="5" t="s">
        <v>575</v>
      </c>
      <c r="F238" s="5">
        <v>40.056226199999998</v>
      </c>
      <c r="G238" s="5">
        <v>-77.513907399999994</v>
      </c>
      <c r="H238" s="30"/>
      <c r="I238" s="30"/>
      <c r="J238" s="30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.75" customHeight="1" x14ac:dyDescent="0.25">
      <c r="A239" s="8" t="s">
        <v>1649</v>
      </c>
      <c r="B239" s="5" t="s">
        <v>1181</v>
      </c>
      <c r="C239" s="5" t="s">
        <v>1650</v>
      </c>
      <c r="D239" s="5" t="s">
        <v>1643</v>
      </c>
      <c r="E239" s="5" t="s">
        <v>575</v>
      </c>
      <c r="F239" s="5">
        <v>39.915633700000001</v>
      </c>
      <c r="G239" s="5">
        <v>-79.152251500000006</v>
      </c>
      <c r="H239" s="30"/>
      <c r="I239" s="30"/>
      <c r="J239" s="30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.75" customHeight="1" x14ac:dyDescent="0.25">
      <c r="A240" s="8" t="s">
        <v>1651</v>
      </c>
      <c r="B240" s="5" t="s">
        <v>1181</v>
      </c>
      <c r="C240" s="5" t="s">
        <v>1652</v>
      </c>
      <c r="D240" s="5" t="s">
        <v>1653</v>
      </c>
      <c r="E240" s="5" t="s">
        <v>575</v>
      </c>
      <c r="F240" s="5">
        <v>40.753291500000003</v>
      </c>
      <c r="G240" s="5">
        <v>-77.168821100000002</v>
      </c>
      <c r="H240" s="30"/>
      <c r="I240" s="30"/>
      <c r="J240" s="30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.75" customHeight="1" x14ac:dyDescent="0.25">
      <c r="A241" s="8" t="s">
        <v>1654</v>
      </c>
      <c r="B241" s="5" t="s">
        <v>1181</v>
      </c>
      <c r="C241" s="5" t="s">
        <v>1655</v>
      </c>
      <c r="D241" s="5" t="s">
        <v>1656</v>
      </c>
      <c r="E241" s="5" t="s">
        <v>575</v>
      </c>
      <c r="F241" s="5">
        <v>40.615490000000001</v>
      </c>
      <c r="G241" s="5">
        <v>-77.701852000000002</v>
      </c>
      <c r="H241" s="30"/>
      <c r="I241" s="30"/>
      <c r="J241" s="30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.75" customHeight="1" x14ac:dyDescent="0.25">
      <c r="A242" s="8" t="s">
        <v>1657</v>
      </c>
      <c r="B242" s="5" t="s">
        <v>1181</v>
      </c>
      <c r="C242" s="5" t="s">
        <v>1658</v>
      </c>
      <c r="D242" s="5" t="s">
        <v>1659</v>
      </c>
      <c r="E242" s="5" t="s">
        <v>575</v>
      </c>
      <c r="F242" s="5">
        <v>40.587760000000003</v>
      </c>
      <c r="G242" s="5">
        <v>-77.256720000000001</v>
      </c>
      <c r="H242" s="30"/>
      <c r="I242" s="30"/>
      <c r="J242" s="30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.75" customHeight="1" x14ac:dyDescent="0.25">
      <c r="A243" s="8" t="s">
        <v>1660</v>
      </c>
      <c r="B243" s="5" t="s">
        <v>1181</v>
      </c>
      <c r="C243" s="5" t="s">
        <v>1163</v>
      </c>
      <c r="D243" s="5" t="s">
        <v>1163</v>
      </c>
      <c r="E243" s="5" t="s">
        <v>575</v>
      </c>
      <c r="F243" s="5">
        <v>40.038130000000002</v>
      </c>
      <c r="G243" s="5">
        <v>-76.305668600000004</v>
      </c>
      <c r="H243" s="30"/>
      <c r="I243" s="30"/>
      <c r="J243" s="30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.75" customHeight="1" x14ac:dyDescent="0.25">
      <c r="A244" s="8" t="s">
        <v>1661</v>
      </c>
      <c r="B244" s="5" t="s">
        <v>1181</v>
      </c>
      <c r="C244" s="5" t="s">
        <v>1662</v>
      </c>
      <c r="D244" s="5" t="s">
        <v>1114</v>
      </c>
      <c r="E244" s="5" t="s">
        <v>575</v>
      </c>
      <c r="F244" s="5">
        <v>40.167891699999998</v>
      </c>
      <c r="G244" s="5">
        <v>-77.404661399999995</v>
      </c>
      <c r="H244" s="30"/>
      <c r="I244" s="30"/>
      <c r="J244" s="30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.75" customHeight="1" x14ac:dyDescent="0.25">
      <c r="A245" s="8" t="s">
        <v>1663</v>
      </c>
      <c r="B245" s="5" t="s">
        <v>1181</v>
      </c>
      <c r="C245" s="5" t="s">
        <v>1664</v>
      </c>
      <c r="D245" s="5" t="s">
        <v>494</v>
      </c>
      <c r="E245" s="5" t="s">
        <v>575</v>
      </c>
      <c r="F245" s="5">
        <v>39.830939899999997</v>
      </c>
      <c r="G245" s="5">
        <v>-77.231090800000004</v>
      </c>
      <c r="H245" s="30"/>
      <c r="I245" s="30"/>
      <c r="J245" s="30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.75" customHeight="1" x14ac:dyDescent="0.25">
      <c r="A246" s="8" t="s">
        <v>1665</v>
      </c>
      <c r="B246" s="5" t="s">
        <v>1181</v>
      </c>
      <c r="C246" s="5" t="s">
        <v>1666</v>
      </c>
      <c r="D246" s="5" t="s">
        <v>1667</v>
      </c>
      <c r="E246" s="5" t="s">
        <v>575</v>
      </c>
      <c r="F246" s="5">
        <v>40.474395399999999</v>
      </c>
      <c r="G246" s="5">
        <v>-76.291767800000002</v>
      </c>
      <c r="H246" s="30"/>
      <c r="I246" s="30"/>
      <c r="J246" s="30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.75" customHeight="1" x14ac:dyDescent="0.25">
      <c r="A247" s="8" t="s">
        <v>1668</v>
      </c>
      <c r="B247" s="5" t="s">
        <v>1181</v>
      </c>
      <c r="C247" s="5" t="s">
        <v>1669</v>
      </c>
      <c r="D247" s="5" t="s">
        <v>1629</v>
      </c>
      <c r="E247" s="5" t="s">
        <v>575</v>
      </c>
      <c r="F247" s="5">
        <v>39.748441999999997</v>
      </c>
      <c r="G247" s="5">
        <v>-76.018557900000005</v>
      </c>
      <c r="H247" s="30"/>
      <c r="I247" s="30"/>
      <c r="J247" s="30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.75" customHeight="1" x14ac:dyDescent="0.25">
      <c r="A248" s="8" t="s">
        <v>1670</v>
      </c>
      <c r="B248" s="5" t="s">
        <v>1181</v>
      </c>
      <c r="C248" s="5" t="s">
        <v>1671</v>
      </c>
      <c r="D248" s="5" t="s">
        <v>1163</v>
      </c>
      <c r="E248" s="5" t="s">
        <v>575</v>
      </c>
      <c r="F248" s="5">
        <v>40.163735899999999</v>
      </c>
      <c r="G248" s="5">
        <v>-76.3952429</v>
      </c>
      <c r="H248" s="30"/>
      <c r="I248" s="30"/>
      <c r="J248" s="30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.75" customHeight="1" x14ac:dyDescent="0.25">
      <c r="A249" s="8" t="s">
        <v>1672</v>
      </c>
      <c r="B249" s="5" t="s">
        <v>1181</v>
      </c>
      <c r="C249" s="5" t="s">
        <v>1351</v>
      </c>
      <c r="D249" s="5" t="s">
        <v>482</v>
      </c>
      <c r="E249" s="5" t="s">
        <v>575</v>
      </c>
      <c r="F249" s="5">
        <v>40.461184600000003</v>
      </c>
      <c r="G249" s="5">
        <v>-78.201684599999993</v>
      </c>
      <c r="H249" s="30"/>
      <c r="I249" s="30"/>
      <c r="J249" s="30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.75" customHeight="1" x14ac:dyDescent="0.25">
      <c r="A250" s="8" t="s">
        <v>1673</v>
      </c>
      <c r="B250" s="5" t="s">
        <v>1181</v>
      </c>
      <c r="C250" s="5" t="s">
        <v>1642</v>
      </c>
      <c r="D250" s="5" t="s">
        <v>1643</v>
      </c>
      <c r="E250" s="5" t="s">
        <v>575</v>
      </c>
      <c r="F250" s="5">
        <v>39.905365000000003</v>
      </c>
      <c r="G250" s="5">
        <v>-78.947277</v>
      </c>
      <c r="H250" s="30"/>
      <c r="I250" s="30"/>
      <c r="J250" s="30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.75" customHeight="1" x14ac:dyDescent="0.25">
      <c r="A251" s="8" t="s">
        <v>1674</v>
      </c>
      <c r="B251" s="5" t="s">
        <v>1181</v>
      </c>
      <c r="C251" s="5" t="s">
        <v>1675</v>
      </c>
      <c r="D251" s="5" t="s">
        <v>1676</v>
      </c>
      <c r="E251" s="5" t="s">
        <v>575</v>
      </c>
      <c r="F251" s="5">
        <v>37.821592899999999</v>
      </c>
      <c r="G251" s="5">
        <v>-121.99996059999999</v>
      </c>
      <c r="H251" s="30"/>
      <c r="I251" s="30"/>
      <c r="J251" s="30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.75" customHeight="1" x14ac:dyDescent="0.25">
      <c r="A252" s="8" t="s">
        <v>1677</v>
      </c>
      <c r="B252" s="5" t="s">
        <v>1181</v>
      </c>
      <c r="C252" s="5" t="s">
        <v>1658</v>
      </c>
      <c r="D252" s="5" t="s">
        <v>1659</v>
      </c>
      <c r="E252" s="5" t="s">
        <v>575</v>
      </c>
      <c r="F252" s="5">
        <v>40.569799600000003</v>
      </c>
      <c r="G252" s="5">
        <v>-77.396933899999993</v>
      </c>
      <c r="H252" s="30"/>
      <c r="I252" s="30"/>
      <c r="J252" s="30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.75" customHeight="1" x14ac:dyDescent="0.25">
      <c r="A253" s="8" t="s">
        <v>1678</v>
      </c>
      <c r="B253" s="5" t="s">
        <v>1181</v>
      </c>
      <c r="C253" s="5" t="s">
        <v>1658</v>
      </c>
      <c r="D253" s="5" t="s">
        <v>1659</v>
      </c>
      <c r="E253" s="5" t="s">
        <v>575</v>
      </c>
      <c r="F253" s="5">
        <v>40.569799600000003</v>
      </c>
      <c r="G253" s="5">
        <v>-77.396933899999993</v>
      </c>
      <c r="H253" s="30"/>
      <c r="I253" s="30"/>
      <c r="J253" s="30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.75" customHeight="1" x14ac:dyDescent="0.25">
      <c r="A254" s="8" t="s">
        <v>1679</v>
      </c>
      <c r="B254" s="5" t="s">
        <v>1181</v>
      </c>
      <c r="C254" s="5" t="s">
        <v>1680</v>
      </c>
      <c r="D254" s="5" t="s">
        <v>1530</v>
      </c>
      <c r="E254" s="5" t="s">
        <v>575</v>
      </c>
      <c r="F254" s="5">
        <v>41.566369000000002</v>
      </c>
      <c r="G254" s="5">
        <v>-76.952742000000001</v>
      </c>
      <c r="H254" s="30"/>
      <c r="I254" s="30"/>
      <c r="J254" s="30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5.75" customHeight="1" x14ac:dyDescent="0.25">
      <c r="A255" s="8" t="s">
        <v>1681</v>
      </c>
      <c r="B255" s="5" t="s">
        <v>1181</v>
      </c>
      <c r="C255" s="5" t="s">
        <v>1682</v>
      </c>
      <c r="D255" s="5" t="s">
        <v>1163</v>
      </c>
      <c r="E255" s="5" t="s">
        <v>575</v>
      </c>
      <c r="F255" s="5">
        <v>39.897047000000001</v>
      </c>
      <c r="G255" s="5">
        <v>-76.163565500000004</v>
      </c>
      <c r="H255" s="30"/>
      <c r="I255" s="30"/>
      <c r="J255" s="30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5.75" customHeight="1" x14ac:dyDescent="0.25">
      <c r="A256" s="8" t="s">
        <v>1683</v>
      </c>
      <c r="B256" s="5" t="s">
        <v>1181</v>
      </c>
      <c r="C256" s="5" t="s">
        <v>1684</v>
      </c>
      <c r="D256" s="5" t="s">
        <v>109</v>
      </c>
      <c r="E256" s="5" t="s">
        <v>575</v>
      </c>
      <c r="F256" s="5">
        <v>41.034701499999997</v>
      </c>
      <c r="G256" s="5">
        <v>-77.3066113</v>
      </c>
      <c r="H256" s="30"/>
      <c r="I256" s="30"/>
      <c r="J256" s="30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5.75" customHeight="1" x14ac:dyDescent="0.25">
      <c r="A257" s="8" t="s">
        <v>1685</v>
      </c>
      <c r="B257" s="5" t="s">
        <v>1181</v>
      </c>
      <c r="C257" s="5" t="s">
        <v>1686</v>
      </c>
      <c r="D257" s="5" t="s">
        <v>1163</v>
      </c>
      <c r="E257" s="5" t="s">
        <v>575</v>
      </c>
      <c r="F257" s="5">
        <v>39.856216099999997</v>
      </c>
      <c r="G257" s="5">
        <v>-76.076895399999998</v>
      </c>
      <c r="H257" s="30"/>
      <c r="I257" s="30"/>
      <c r="J257" s="30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5.75" customHeight="1" x14ac:dyDescent="0.25">
      <c r="A258" s="8" t="s">
        <v>1687</v>
      </c>
      <c r="B258" s="5" t="s">
        <v>1181</v>
      </c>
      <c r="C258" s="5" t="s">
        <v>1688</v>
      </c>
      <c r="D258" s="5" t="s">
        <v>1411</v>
      </c>
      <c r="E258" s="5" t="s">
        <v>575</v>
      </c>
      <c r="F258" s="5">
        <v>39.924111000000003</v>
      </c>
      <c r="G258" s="5">
        <v>-77.765017</v>
      </c>
      <c r="H258" s="30"/>
      <c r="I258" s="30"/>
      <c r="J258" s="30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5.75" customHeight="1" x14ac:dyDescent="0.25">
      <c r="A259" s="8" t="s">
        <v>1689</v>
      </c>
      <c r="B259" s="5" t="s">
        <v>1181</v>
      </c>
      <c r="C259" s="5" t="s">
        <v>1690</v>
      </c>
      <c r="D259" s="5" t="s">
        <v>1163</v>
      </c>
      <c r="E259" s="5" t="s">
        <v>575</v>
      </c>
      <c r="F259" s="5">
        <v>40.1028764</v>
      </c>
      <c r="G259" s="5">
        <v>-75.977722499999999</v>
      </c>
      <c r="H259" s="30"/>
      <c r="I259" s="30"/>
      <c r="J259" s="30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5.75" customHeight="1" x14ac:dyDescent="0.25">
      <c r="A260" s="8" t="s">
        <v>1691</v>
      </c>
      <c r="B260" s="5" t="s">
        <v>1181</v>
      </c>
      <c r="C260" s="5" t="s">
        <v>1637</v>
      </c>
      <c r="D260" s="5" t="s">
        <v>1163</v>
      </c>
      <c r="E260" s="5" t="s">
        <v>575</v>
      </c>
      <c r="F260" s="5">
        <v>40.109856100000002</v>
      </c>
      <c r="G260" s="5">
        <v>-76.503340600000001</v>
      </c>
      <c r="H260" s="30"/>
      <c r="I260" s="30"/>
      <c r="J260" s="30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5.75" customHeight="1" x14ac:dyDescent="0.25">
      <c r="A261" s="8" t="s">
        <v>1692</v>
      </c>
      <c r="B261" s="5" t="s">
        <v>1181</v>
      </c>
      <c r="C261" s="5" t="s">
        <v>1693</v>
      </c>
      <c r="D261" s="5" t="s">
        <v>1351</v>
      </c>
      <c r="E261" s="5" t="s">
        <v>1694</v>
      </c>
      <c r="F261" s="5">
        <v>33.659055199999997</v>
      </c>
      <c r="G261" s="5">
        <v>-79.513393500000006</v>
      </c>
      <c r="H261" s="30"/>
      <c r="I261" s="30"/>
      <c r="J261" s="30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5.75" customHeight="1" x14ac:dyDescent="0.25">
      <c r="A262" s="8" t="s">
        <v>1695</v>
      </c>
      <c r="B262" s="5" t="s">
        <v>1181</v>
      </c>
      <c r="C262" s="5" t="s">
        <v>1325</v>
      </c>
      <c r="D262" s="5" t="s">
        <v>1696</v>
      </c>
      <c r="E262" s="5" t="s">
        <v>1694</v>
      </c>
      <c r="F262" s="5">
        <v>34.169022400000003</v>
      </c>
      <c r="G262" s="5">
        <v>-80.062514899999996</v>
      </c>
      <c r="H262" s="30"/>
      <c r="I262" s="30"/>
      <c r="J262" s="30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5.75" customHeight="1" x14ac:dyDescent="0.25">
      <c r="A263" s="8" t="s">
        <v>1697</v>
      </c>
      <c r="B263" s="5" t="s">
        <v>1200</v>
      </c>
      <c r="C263" s="5" t="s">
        <v>1698</v>
      </c>
      <c r="D263" s="5"/>
      <c r="E263" s="5" t="s">
        <v>1694</v>
      </c>
      <c r="F263" s="5">
        <v>33.863729999999997</v>
      </c>
      <c r="G263" s="5">
        <v>-80.365899999999996</v>
      </c>
      <c r="H263" s="30"/>
      <c r="I263" s="30"/>
      <c r="J263" s="30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5.75" customHeight="1" x14ac:dyDescent="0.25">
      <c r="A264" s="8" t="s">
        <v>1699</v>
      </c>
      <c r="B264" s="5" t="s">
        <v>1181</v>
      </c>
      <c r="C264" s="5" t="s">
        <v>1700</v>
      </c>
      <c r="D264" s="5" t="s">
        <v>1701</v>
      </c>
      <c r="E264" s="5" t="s">
        <v>586</v>
      </c>
      <c r="F264" s="5">
        <v>45.219130999999997</v>
      </c>
      <c r="G264" s="5">
        <v>-96.635616999999996</v>
      </c>
      <c r="H264" s="30"/>
      <c r="I264" s="30"/>
      <c r="J264" s="30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5.75" customHeight="1" x14ac:dyDescent="0.25">
      <c r="A265" s="8" t="s">
        <v>1702</v>
      </c>
      <c r="B265" s="5" t="s">
        <v>1181</v>
      </c>
      <c r="C265" s="5" t="s">
        <v>1703</v>
      </c>
      <c r="D265" s="5" t="s">
        <v>1704</v>
      </c>
      <c r="E265" s="5" t="s">
        <v>631</v>
      </c>
      <c r="F265" s="5">
        <v>36.013460000000002</v>
      </c>
      <c r="G265" s="5">
        <v>-102.04761000000001</v>
      </c>
      <c r="H265" s="30"/>
      <c r="I265" s="30"/>
      <c r="J265" s="30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5.75" customHeight="1" x14ac:dyDescent="0.25">
      <c r="A266" s="8" t="s">
        <v>1705</v>
      </c>
      <c r="B266" s="5" t="s">
        <v>1286</v>
      </c>
      <c r="C266" s="5" t="s">
        <v>1706</v>
      </c>
      <c r="D266" s="5" t="s">
        <v>216</v>
      </c>
      <c r="E266" s="5" t="s">
        <v>631</v>
      </c>
      <c r="F266" s="5">
        <v>36.024700000000003</v>
      </c>
      <c r="G266" s="5">
        <v>-102.17807000000001</v>
      </c>
      <c r="H266" s="30"/>
      <c r="I266" s="30"/>
      <c r="J266" s="30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5.75" customHeight="1" x14ac:dyDescent="0.25">
      <c r="A267" s="8" t="s">
        <v>1707</v>
      </c>
      <c r="B267" s="5" t="s">
        <v>1189</v>
      </c>
      <c r="C267" s="5" t="s">
        <v>1706</v>
      </c>
      <c r="D267" s="5" t="s">
        <v>1708</v>
      </c>
      <c r="E267" s="5" t="s">
        <v>631</v>
      </c>
      <c r="F267" s="5">
        <v>35.922899999999998</v>
      </c>
      <c r="G267" s="5">
        <v>-102.86851</v>
      </c>
      <c r="H267" s="30"/>
      <c r="I267" s="30"/>
      <c r="J267" s="30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5.75" customHeight="1" x14ac:dyDescent="0.25">
      <c r="A268" s="8" t="s">
        <v>1709</v>
      </c>
      <c r="B268" s="5" t="s">
        <v>1181</v>
      </c>
      <c r="C268" s="5" t="s">
        <v>1706</v>
      </c>
      <c r="D268" s="5" t="s">
        <v>1708</v>
      </c>
      <c r="E268" s="5" t="s">
        <v>631</v>
      </c>
      <c r="F268" s="5">
        <v>35.965919999999997</v>
      </c>
      <c r="G268" s="5">
        <v>-102.65226</v>
      </c>
      <c r="H268" s="30"/>
      <c r="I268" s="30"/>
      <c r="J268" s="30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5.75" customHeight="1" x14ac:dyDescent="0.25">
      <c r="A269" s="8" t="s">
        <v>1710</v>
      </c>
      <c r="B269" s="5" t="s">
        <v>1181</v>
      </c>
      <c r="C269" s="5" t="s">
        <v>1706</v>
      </c>
      <c r="D269" s="5" t="s">
        <v>1708</v>
      </c>
      <c r="E269" s="5" t="s">
        <v>631</v>
      </c>
      <c r="F269" s="5">
        <v>35.965919999999997</v>
      </c>
      <c r="G269" s="5">
        <v>-102.65226</v>
      </c>
      <c r="H269" s="30"/>
      <c r="I269" s="30"/>
      <c r="J269" s="30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5.75" customHeight="1" x14ac:dyDescent="0.25">
      <c r="A270" s="8" t="s">
        <v>1711</v>
      </c>
      <c r="B270" s="5" t="s">
        <v>1200</v>
      </c>
      <c r="C270" s="5" t="s">
        <v>1703</v>
      </c>
      <c r="D270" s="5" t="s">
        <v>1704</v>
      </c>
      <c r="E270" s="5" t="s">
        <v>631</v>
      </c>
      <c r="F270" s="5">
        <v>33.342269999999999</v>
      </c>
      <c r="G270" s="5">
        <v>-102.44110000000001</v>
      </c>
      <c r="H270" s="30"/>
      <c r="I270" s="30"/>
      <c r="J270" s="30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5.75" customHeight="1" x14ac:dyDescent="0.25">
      <c r="A271" s="8" t="s">
        <v>1712</v>
      </c>
      <c r="B271" s="5" t="s">
        <v>1181</v>
      </c>
      <c r="C271" s="5" t="s">
        <v>385</v>
      </c>
      <c r="D271" s="5" t="s">
        <v>1713</v>
      </c>
      <c r="E271" s="5" t="s">
        <v>1714</v>
      </c>
      <c r="F271" s="5">
        <v>41.787483600000002</v>
      </c>
      <c r="G271" s="5">
        <v>-111.9302311</v>
      </c>
      <c r="H271" s="30"/>
      <c r="I271" s="30"/>
      <c r="J271" s="30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5.75" customHeight="1" x14ac:dyDescent="0.25">
      <c r="A272" s="8" t="s">
        <v>1715</v>
      </c>
      <c r="B272" s="5" t="s">
        <v>1200</v>
      </c>
      <c r="C272" s="5" t="s">
        <v>1716</v>
      </c>
      <c r="D272" s="5"/>
      <c r="E272" s="5" t="s">
        <v>1714</v>
      </c>
      <c r="F272" s="5">
        <v>38.394722050074897</v>
      </c>
      <c r="G272" s="5">
        <v>-113.01124054602499</v>
      </c>
      <c r="H272" s="30"/>
      <c r="I272" s="30"/>
      <c r="J272" s="30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5.75" customHeight="1" x14ac:dyDescent="0.25">
      <c r="A273" s="8" t="s">
        <v>1717</v>
      </c>
      <c r="B273" s="5" t="s">
        <v>1181</v>
      </c>
      <c r="C273" s="5" t="s">
        <v>1629</v>
      </c>
      <c r="D273" s="5" t="s">
        <v>1718</v>
      </c>
      <c r="E273" s="5" t="s">
        <v>1714</v>
      </c>
      <c r="F273" s="5">
        <v>39.471687299999999</v>
      </c>
      <c r="G273" s="5">
        <v>-111.5628165</v>
      </c>
      <c r="H273" s="30"/>
      <c r="I273" s="30"/>
      <c r="J273" s="30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5.75" customHeight="1" x14ac:dyDescent="0.25">
      <c r="A274" s="8" t="s">
        <v>1719</v>
      </c>
      <c r="B274" s="5" t="s">
        <v>1181</v>
      </c>
      <c r="C274" s="5" t="s">
        <v>1720</v>
      </c>
      <c r="D274" s="5" t="s">
        <v>1721</v>
      </c>
      <c r="E274" s="5" t="s">
        <v>1714</v>
      </c>
      <c r="F274" s="5">
        <v>41.2488381</v>
      </c>
      <c r="G274" s="5">
        <v>-112.07828739999999</v>
      </c>
      <c r="H274" s="30"/>
      <c r="I274" s="30"/>
      <c r="J274" s="30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5.75" customHeight="1" x14ac:dyDescent="0.25">
      <c r="A275" s="8" t="s">
        <v>1722</v>
      </c>
      <c r="B275" s="5" t="s">
        <v>1181</v>
      </c>
      <c r="C275" s="5" t="s">
        <v>1723</v>
      </c>
      <c r="D275" s="5" t="s">
        <v>1724</v>
      </c>
      <c r="E275" s="5" t="s">
        <v>1168</v>
      </c>
      <c r="F275" s="5">
        <v>36.825694300000002</v>
      </c>
      <c r="G275" s="5">
        <v>-79.3980806</v>
      </c>
      <c r="H275" s="30"/>
      <c r="I275" s="30"/>
      <c r="J275" s="30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5.75" customHeight="1" x14ac:dyDescent="0.25">
      <c r="A276" s="8" t="s">
        <v>1725</v>
      </c>
      <c r="B276" s="5" t="s">
        <v>1181</v>
      </c>
      <c r="C276" s="5" t="s">
        <v>1726</v>
      </c>
      <c r="D276" s="5" t="s">
        <v>1727</v>
      </c>
      <c r="E276" s="5" t="s">
        <v>1728</v>
      </c>
      <c r="F276" s="5">
        <v>43.985058000000002</v>
      </c>
      <c r="G276" s="5">
        <v>-73.312620100000004</v>
      </c>
      <c r="H276" s="30"/>
      <c r="I276" s="30"/>
      <c r="J276" s="30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5.75" customHeight="1" x14ac:dyDescent="0.25">
      <c r="A277" s="8" t="s">
        <v>1729</v>
      </c>
      <c r="B277" s="5" t="s">
        <v>1181</v>
      </c>
      <c r="C277" s="5" t="s">
        <v>1730</v>
      </c>
      <c r="D277" s="5" t="s">
        <v>1453</v>
      </c>
      <c r="E277" s="5" t="s">
        <v>1728</v>
      </c>
      <c r="F277" s="5">
        <v>44.995727000000002</v>
      </c>
      <c r="G277" s="5">
        <v>-72.400325505200001</v>
      </c>
      <c r="H277" s="30"/>
      <c r="I277" s="30"/>
      <c r="J277" s="30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5.75" customHeight="1" x14ac:dyDescent="0.25">
      <c r="A278" s="8" t="s">
        <v>1731</v>
      </c>
      <c r="B278" s="5" t="s">
        <v>1181</v>
      </c>
      <c r="C278" s="5" t="s">
        <v>1732</v>
      </c>
      <c r="D278" s="5" t="s">
        <v>1727</v>
      </c>
      <c r="E278" s="5" t="s">
        <v>1728</v>
      </c>
      <c r="F278" s="5">
        <v>44.168415000000003</v>
      </c>
      <c r="G278" s="5">
        <v>-73.252028999999993</v>
      </c>
      <c r="H278" s="30"/>
      <c r="I278" s="30"/>
      <c r="J278" s="30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5.75" customHeight="1" x14ac:dyDescent="0.25">
      <c r="A279" s="8" t="s">
        <v>1733</v>
      </c>
      <c r="B279" s="5" t="s">
        <v>1181</v>
      </c>
      <c r="C279" s="5" t="s">
        <v>1734</v>
      </c>
      <c r="D279" s="5" t="s">
        <v>1727</v>
      </c>
      <c r="E279" s="5" t="s">
        <v>1728</v>
      </c>
      <c r="F279" s="5">
        <v>44.1333913</v>
      </c>
      <c r="G279" s="5">
        <v>-73.079007700000005</v>
      </c>
      <c r="H279" s="30"/>
      <c r="I279" s="30"/>
      <c r="J279" s="30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5.75" customHeight="1" x14ac:dyDescent="0.25">
      <c r="A280" s="8" t="s">
        <v>1735</v>
      </c>
      <c r="B280" s="5" t="s">
        <v>1181</v>
      </c>
      <c r="C280" s="5" t="s">
        <v>1195</v>
      </c>
      <c r="D280" s="5" t="s">
        <v>1411</v>
      </c>
      <c r="E280" s="5" t="s">
        <v>1728</v>
      </c>
      <c r="F280" s="5">
        <v>44.781992700000004</v>
      </c>
      <c r="G280" s="5">
        <v>-72.802908500000001</v>
      </c>
      <c r="H280" s="30"/>
      <c r="I280" s="30"/>
      <c r="J280" s="30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5.75" customHeight="1" x14ac:dyDescent="0.25">
      <c r="A281" s="8" t="s">
        <v>1736</v>
      </c>
      <c r="B281" s="5" t="s">
        <v>1181</v>
      </c>
      <c r="C281" s="5" t="s">
        <v>1737</v>
      </c>
      <c r="D281" s="5" t="s">
        <v>1727</v>
      </c>
      <c r="E281" s="5" t="s">
        <v>1728</v>
      </c>
      <c r="F281" s="5">
        <v>43.932375265638399</v>
      </c>
      <c r="G281" s="5">
        <v>-73.154688953974699</v>
      </c>
      <c r="H281" s="30"/>
      <c r="I281" s="30"/>
      <c r="J281" s="30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5.75" customHeight="1" x14ac:dyDescent="0.25">
      <c r="A282" s="8" t="s">
        <v>1738</v>
      </c>
      <c r="B282" s="5" t="s">
        <v>1181</v>
      </c>
      <c r="C282" s="5" t="s">
        <v>1739</v>
      </c>
      <c r="D282" s="5" t="s">
        <v>1740</v>
      </c>
      <c r="E282" s="5" t="s">
        <v>1728</v>
      </c>
      <c r="F282" s="5">
        <v>44.881712399999998</v>
      </c>
      <c r="G282" s="5">
        <v>-72.942912399999997</v>
      </c>
      <c r="H282" s="30"/>
      <c r="I282" s="30"/>
      <c r="J282" s="30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5.75" customHeight="1" x14ac:dyDescent="0.25">
      <c r="A283" s="8" t="s">
        <v>1741</v>
      </c>
      <c r="B283" s="5" t="s">
        <v>1181</v>
      </c>
      <c r="C283" s="5" t="s">
        <v>1742</v>
      </c>
      <c r="D283" s="5" t="s">
        <v>1411</v>
      </c>
      <c r="E283" s="5" t="s">
        <v>1728</v>
      </c>
      <c r="F283" s="5">
        <v>44.907440999999999</v>
      </c>
      <c r="G283" s="5">
        <v>-72.807083000000006</v>
      </c>
      <c r="H283" s="30"/>
      <c r="I283" s="30"/>
      <c r="J283" s="30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5.75" customHeight="1" x14ac:dyDescent="0.25">
      <c r="A284" s="8" t="s">
        <v>1743</v>
      </c>
      <c r="B284" s="5" t="s">
        <v>1181</v>
      </c>
      <c r="C284" s="5" t="s">
        <v>1744</v>
      </c>
      <c r="D284" s="5" t="s">
        <v>1453</v>
      </c>
      <c r="E284" s="5" t="s">
        <v>1728</v>
      </c>
      <c r="F284" s="5">
        <v>41.770098699999998</v>
      </c>
      <c r="G284" s="5">
        <v>-72.3050803</v>
      </c>
      <c r="H284" s="30"/>
      <c r="I284" s="30"/>
      <c r="J284" s="30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5.75" customHeight="1" x14ac:dyDescent="0.25">
      <c r="A285" s="8" t="s">
        <v>1745</v>
      </c>
      <c r="B285" s="5" t="s">
        <v>1181</v>
      </c>
      <c r="C285" s="5" t="s">
        <v>1746</v>
      </c>
      <c r="D285" s="5" t="s">
        <v>1727</v>
      </c>
      <c r="E285" s="5" t="s">
        <v>1728</v>
      </c>
      <c r="F285" s="5">
        <v>44.066446399999997</v>
      </c>
      <c r="G285" s="5">
        <v>-73.215675099999999</v>
      </c>
      <c r="H285" s="30"/>
      <c r="I285" s="30"/>
      <c r="J285" s="30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5.75" customHeight="1" x14ac:dyDescent="0.25">
      <c r="A286" s="8" t="s">
        <v>1747</v>
      </c>
      <c r="B286" s="5" t="s">
        <v>1181</v>
      </c>
      <c r="C286" s="5" t="s">
        <v>1748</v>
      </c>
      <c r="D286" s="5" t="s">
        <v>1411</v>
      </c>
      <c r="E286" s="5" t="s">
        <v>1728</v>
      </c>
      <c r="F286" s="5">
        <v>44.918138999999996</v>
      </c>
      <c r="G286" s="5">
        <v>-73.124313000000001</v>
      </c>
      <c r="H286" s="30"/>
      <c r="I286" s="30"/>
      <c r="J286" s="30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5.75" customHeight="1" x14ac:dyDescent="0.25">
      <c r="A287" s="8" t="s">
        <v>1749</v>
      </c>
      <c r="B287" s="5" t="s">
        <v>1181</v>
      </c>
      <c r="C287" s="5" t="s">
        <v>1420</v>
      </c>
      <c r="D287" s="5" t="s">
        <v>1411</v>
      </c>
      <c r="E287" s="5" t="s">
        <v>1728</v>
      </c>
      <c r="F287" s="5">
        <v>42.399995400000002</v>
      </c>
      <c r="G287" s="5">
        <v>-73.232263900000007</v>
      </c>
      <c r="H287" s="30"/>
      <c r="I287" s="30"/>
      <c r="J287" s="30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5.75" customHeight="1" x14ac:dyDescent="0.25">
      <c r="A288" s="8" t="s">
        <v>1750</v>
      </c>
      <c r="B288" s="5" t="s">
        <v>1181</v>
      </c>
      <c r="C288" s="5" t="s">
        <v>1751</v>
      </c>
      <c r="D288" s="5" t="s">
        <v>1752</v>
      </c>
      <c r="E288" s="5" t="s">
        <v>1728</v>
      </c>
      <c r="F288" s="5">
        <v>42.974919700000001</v>
      </c>
      <c r="G288" s="5">
        <v>-72.522157500000006</v>
      </c>
      <c r="H288" s="30"/>
      <c r="I288" s="30"/>
      <c r="J288" s="30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5.75" customHeight="1" x14ac:dyDescent="0.25">
      <c r="A289" s="8" t="s">
        <v>1753</v>
      </c>
      <c r="B289" s="5" t="s">
        <v>1181</v>
      </c>
      <c r="C289" s="5" t="s">
        <v>1754</v>
      </c>
      <c r="D289" s="5" t="s">
        <v>1755</v>
      </c>
      <c r="E289" s="5" t="s">
        <v>1175</v>
      </c>
      <c r="F289" s="5">
        <v>48.946604100000002</v>
      </c>
      <c r="G289" s="5">
        <v>-122.4569315</v>
      </c>
      <c r="H289" s="30"/>
      <c r="I289" s="30"/>
      <c r="J289" s="30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5.75" customHeight="1" x14ac:dyDescent="0.25">
      <c r="A290" s="8" t="s">
        <v>1756</v>
      </c>
      <c r="B290" s="5" t="s">
        <v>1181</v>
      </c>
      <c r="C290" s="5" t="s">
        <v>1754</v>
      </c>
      <c r="D290" s="5" t="s">
        <v>1755</v>
      </c>
      <c r="E290" s="5" t="s">
        <v>1175</v>
      </c>
      <c r="F290" s="5">
        <v>48.946604100000002</v>
      </c>
      <c r="G290" s="5">
        <v>-122.4569315</v>
      </c>
      <c r="H290" s="30"/>
      <c r="I290" s="30"/>
      <c r="J290" s="30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5.75" customHeight="1" x14ac:dyDescent="0.25">
      <c r="A291" s="8" t="s">
        <v>1757</v>
      </c>
      <c r="B291" s="5" t="s">
        <v>1200</v>
      </c>
      <c r="C291" s="5" t="s">
        <v>1758</v>
      </c>
      <c r="D291" s="5" t="s">
        <v>1759</v>
      </c>
      <c r="E291" s="5" t="s">
        <v>1175</v>
      </c>
      <c r="F291" s="5">
        <v>48.420046200000002</v>
      </c>
      <c r="G291" s="5">
        <v>-122.32642</v>
      </c>
      <c r="H291" s="30"/>
      <c r="I291" s="30"/>
      <c r="J291" s="30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5.75" customHeight="1" x14ac:dyDescent="0.25">
      <c r="A292" s="8" t="s">
        <v>1760</v>
      </c>
      <c r="B292" s="5" t="s">
        <v>1181</v>
      </c>
      <c r="C292" s="5" t="s">
        <v>1761</v>
      </c>
      <c r="D292" s="5" t="s">
        <v>1762</v>
      </c>
      <c r="E292" s="5" t="s">
        <v>1175</v>
      </c>
      <c r="F292" s="5">
        <v>46.331241599999998</v>
      </c>
      <c r="G292" s="5">
        <v>-120.0911574</v>
      </c>
      <c r="H292" s="30"/>
      <c r="I292" s="30"/>
      <c r="J292" s="30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5.75" customHeight="1" x14ac:dyDescent="0.25">
      <c r="A293" s="8" t="s">
        <v>1763</v>
      </c>
      <c r="B293" s="5" t="s">
        <v>1200</v>
      </c>
      <c r="C293" s="5" t="s">
        <v>649</v>
      </c>
      <c r="D293" s="5" t="s">
        <v>1764</v>
      </c>
      <c r="E293" s="5" t="s">
        <v>1175</v>
      </c>
      <c r="F293" s="5">
        <v>47.862744999999997</v>
      </c>
      <c r="G293" s="5">
        <v>-121.987547017</v>
      </c>
      <c r="H293" s="30"/>
      <c r="I293" s="30"/>
      <c r="J293" s="30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5.75" customHeight="1" x14ac:dyDescent="0.25">
      <c r="A294" s="8" t="s">
        <v>1765</v>
      </c>
      <c r="B294" s="5" t="s">
        <v>1200</v>
      </c>
      <c r="C294" s="5" t="s">
        <v>1766</v>
      </c>
      <c r="D294" s="5" t="s">
        <v>1767</v>
      </c>
      <c r="E294" s="5" t="s">
        <v>1175</v>
      </c>
      <c r="F294" s="5">
        <v>47.204779299999998</v>
      </c>
      <c r="G294" s="5">
        <v>-121.99163710000001</v>
      </c>
      <c r="H294" s="30"/>
      <c r="I294" s="30"/>
      <c r="J294" s="30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5.75" customHeight="1" x14ac:dyDescent="0.25">
      <c r="A295" s="8" t="s">
        <v>1768</v>
      </c>
      <c r="B295" s="5" t="s">
        <v>1181</v>
      </c>
      <c r="C295" s="5" t="s">
        <v>1754</v>
      </c>
      <c r="D295" s="5" t="s">
        <v>1755</v>
      </c>
      <c r="E295" s="5" t="s">
        <v>1175</v>
      </c>
      <c r="F295" s="5">
        <v>48.946604100000002</v>
      </c>
      <c r="G295" s="5">
        <v>-122.4569315</v>
      </c>
      <c r="H295" s="30"/>
      <c r="I295" s="30"/>
      <c r="J295" s="30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5.75" customHeight="1" x14ac:dyDescent="0.25">
      <c r="A296" s="8" t="s">
        <v>1769</v>
      </c>
      <c r="B296" s="5" t="s">
        <v>1181</v>
      </c>
      <c r="C296" s="5" t="s">
        <v>1754</v>
      </c>
      <c r="D296" s="5" t="s">
        <v>1755</v>
      </c>
      <c r="E296" s="5" t="s">
        <v>1175</v>
      </c>
      <c r="F296" s="5">
        <v>48.946604100000002</v>
      </c>
      <c r="G296" s="5">
        <v>-122.4569315</v>
      </c>
      <c r="H296" s="30"/>
      <c r="I296" s="30"/>
      <c r="J296" s="30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5.75" customHeight="1" x14ac:dyDescent="0.25">
      <c r="A297" s="8" t="s">
        <v>1770</v>
      </c>
      <c r="B297" s="5" t="s">
        <v>1181</v>
      </c>
      <c r="C297" s="5" t="s">
        <v>1771</v>
      </c>
      <c r="D297" s="5" t="s">
        <v>1772</v>
      </c>
      <c r="E297" s="5" t="s">
        <v>643</v>
      </c>
      <c r="F297" s="5">
        <v>45.003023800000001</v>
      </c>
      <c r="G297" s="5">
        <v>-90.335691299999993</v>
      </c>
      <c r="H297" s="30"/>
      <c r="I297" s="30"/>
      <c r="J297" s="30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5.75" customHeight="1" x14ac:dyDescent="0.25">
      <c r="A298" s="8" t="s">
        <v>1773</v>
      </c>
      <c r="B298" s="5" t="s">
        <v>1181</v>
      </c>
      <c r="C298" s="5" t="s">
        <v>1771</v>
      </c>
      <c r="D298" s="5" t="s">
        <v>1772</v>
      </c>
      <c r="E298" s="5" t="s">
        <v>643</v>
      </c>
      <c r="F298" s="5">
        <v>45.003023800000001</v>
      </c>
      <c r="G298" s="5">
        <v>-90.335691299999993</v>
      </c>
      <c r="H298" s="30"/>
      <c r="I298" s="30"/>
      <c r="J298" s="30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5.75" customHeight="1" x14ac:dyDescent="0.25">
      <c r="A299" s="8" t="s">
        <v>1774</v>
      </c>
      <c r="B299" s="5" t="s">
        <v>1181</v>
      </c>
      <c r="C299" s="5" t="s">
        <v>1775</v>
      </c>
      <c r="D299" s="5" t="s">
        <v>1776</v>
      </c>
      <c r="E299" s="5" t="s">
        <v>643</v>
      </c>
      <c r="F299" s="5">
        <v>34.0745997</v>
      </c>
      <c r="G299" s="5">
        <v>-118.0534304</v>
      </c>
      <c r="H299" s="30"/>
      <c r="I299" s="30"/>
      <c r="J299" s="30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5.75" customHeight="1" x14ac:dyDescent="0.25">
      <c r="A300" s="8" t="s">
        <v>1777</v>
      </c>
      <c r="B300" s="5" t="s">
        <v>1181</v>
      </c>
      <c r="C300" s="5" t="s">
        <v>1778</v>
      </c>
      <c r="D300" s="5" t="s">
        <v>1779</v>
      </c>
      <c r="E300" s="5" t="s">
        <v>643</v>
      </c>
      <c r="F300" s="5">
        <v>44.312464400000003</v>
      </c>
      <c r="G300" s="5">
        <v>-89.904293699999997</v>
      </c>
      <c r="H300" s="30"/>
      <c r="I300" s="30"/>
      <c r="J300" s="30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5.75" customHeight="1" x14ac:dyDescent="0.25">
      <c r="A301" s="8" t="s">
        <v>1780</v>
      </c>
      <c r="B301" s="5" t="s">
        <v>1181</v>
      </c>
      <c r="C301" s="5" t="s">
        <v>1781</v>
      </c>
      <c r="D301" s="5" t="s">
        <v>1782</v>
      </c>
      <c r="E301" s="5" t="s">
        <v>643</v>
      </c>
      <c r="F301" s="5">
        <v>43.183884399999997</v>
      </c>
      <c r="G301" s="5">
        <v>-88.9884421</v>
      </c>
      <c r="H301" s="30"/>
      <c r="I301" s="30"/>
      <c r="J301" s="30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5.75" customHeight="1" x14ac:dyDescent="0.25">
      <c r="A302" s="8" t="s">
        <v>1783</v>
      </c>
      <c r="B302" s="49" t="s">
        <v>1181</v>
      </c>
      <c r="C302" s="49" t="s">
        <v>1784</v>
      </c>
      <c r="D302" s="49" t="s">
        <v>1785</v>
      </c>
      <c r="E302" s="49" t="s">
        <v>643</v>
      </c>
      <c r="F302" s="49">
        <v>43.938130000000001</v>
      </c>
      <c r="G302" s="49">
        <v>-88.404420000000002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8" t="s">
        <v>1786</v>
      </c>
      <c r="B303" s="5" t="s">
        <v>1181</v>
      </c>
      <c r="C303" s="5" t="s">
        <v>1787</v>
      </c>
      <c r="D303" s="5" t="s">
        <v>1788</v>
      </c>
      <c r="E303" s="5" t="s">
        <v>643</v>
      </c>
      <c r="F303" s="5">
        <v>44.557774700000003</v>
      </c>
      <c r="G303" s="5">
        <v>-87.618146100000004</v>
      </c>
      <c r="H303" s="30"/>
      <c r="I303" s="30"/>
      <c r="J303" s="30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5.75" customHeight="1" x14ac:dyDescent="0.25">
      <c r="A304" s="8" t="s">
        <v>1789</v>
      </c>
      <c r="B304" s="5" t="s">
        <v>1181</v>
      </c>
      <c r="C304" s="5" t="s">
        <v>1787</v>
      </c>
      <c r="D304" s="5" t="s">
        <v>1788</v>
      </c>
      <c r="E304" s="5" t="s">
        <v>643</v>
      </c>
      <c r="F304" s="5">
        <v>44.557774700000003</v>
      </c>
      <c r="G304" s="5">
        <v>-87.618146100000004</v>
      </c>
      <c r="H304" s="30"/>
      <c r="I304" s="30"/>
      <c r="J304" s="30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5.75" customHeight="1" x14ac:dyDescent="0.25">
      <c r="A305" s="8" t="s">
        <v>1790</v>
      </c>
      <c r="B305" s="5" t="s">
        <v>1181</v>
      </c>
      <c r="C305" s="5" t="s">
        <v>1791</v>
      </c>
      <c r="D305" s="5" t="s">
        <v>1792</v>
      </c>
      <c r="E305" s="5" t="s">
        <v>643</v>
      </c>
      <c r="F305" s="5">
        <v>44.177218799999999</v>
      </c>
      <c r="G305" s="5">
        <v>-88.064262999999997</v>
      </c>
      <c r="H305" s="30"/>
      <c r="I305" s="30"/>
      <c r="J305" s="30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5.75" customHeight="1" x14ac:dyDescent="0.25">
      <c r="A306" s="8" t="s">
        <v>1793</v>
      </c>
      <c r="B306" s="5" t="s">
        <v>1189</v>
      </c>
      <c r="C306" s="5" t="s">
        <v>1794</v>
      </c>
      <c r="D306" s="5" t="s">
        <v>1795</v>
      </c>
      <c r="E306" s="5" t="s">
        <v>643</v>
      </c>
      <c r="F306" s="5">
        <v>43.12668</v>
      </c>
      <c r="G306" s="5">
        <v>-89.545850000000002</v>
      </c>
      <c r="H306" s="30"/>
      <c r="I306" s="30"/>
      <c r="J306" s="30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5.75" customHeight="1" x14ac:dyDescent="0.25">
      <c r="A307" s="8" t="s">
        <v>1796</v>
      </c>
      <c r="B307" s="5" t="s">
        <v>1189</v>
      </c>
      <c r="C307" s="5" t="s">
        <v>1797</v>
      </c>
      <c r="D307" s="5" t="s">
        <v>1795</v>
      </c>
      <c r="E307" s="5" t="s">
        <v>643</v>
      </c>
      <c r="F307" s="5">
        <v>43.23415</v>
      </c>
      <c r="G307" s="5">
        <v>-89.416139999999999</v>
      </c>
      <c r="H307" s="30"/>
      <c r="I307" s="30"/>
      <c r="J307" s="30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5.75" customHeight="1" x14ac:dyDescent="0.25">
      <c r="A308" s="8" t="s">
        <v>1798</v>
      </c>
      <c r="B308" s="5" t="s">
        <v>1181</v>
      </c>
      <c r="C308" s="5" t="s">
        <v>1788</v>
      </c>
      <c r="D308" s="5" t="s">
        <v>1788</v>
      </c>
      <c r="E308" s="5" t="s">
        <v>643</v>
      </c>
      <c r="F308" s="5">
        <v>44.458401600000002</v>
      </c>
      <c r="G308" s="5">
        <v>-87.503151900000006</v>
      </c>
      <c r="H308" s="30"/>
      <c r="I308" s="30"/>
      <c r="J308" s="30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5.75" customHeight="1" x14ac:dyDescent="0.25">
      <c r="A309" s="8" t="s">
        <v>1799</v>
      </c>
      <c r="B309" s="5" t="s">
        <v>1181</v>
      </c>
      <c r="C309" s="5" t="s">
        <v>1800</v>
      </c>
      <c r="D309" s="5" t="s">
        <v>1801</v>
      </c>
      <c r="E309" s="5" t="s">
        <v>643</v>
      </c>
      <c r="F309" s="5">
        <v>44.893120000000003</v>
      </c>
      <c r="G309" s="5">
        <v>-91.657629999999997</v>
      </c>
      <c r="H309" s="30"/>
      <c r="I309" s="30"/>
      <c r="J309" s="30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5.75" customHeight="1" x14ac:dyDescent="0.25">
      <c r="A310" s="8" t="s">
        <v>1802</v>
      </c>
      <c r="B310" s="5" t="s">
        <v>1181</v>
      </c>
      <c r="C310" s="5" t="s">
        <v>1803</v>
      </c>
      <c r="D310" s="5" t="s">
        <v>1804</v>
      </c>
      <c r="E310" s="5" t="s">
        <v>643</v>
      </c>
      <c r="F310" s="5">
        <v>45.760919999999999</v>
      </c>
      <c r="G310" s="5">
        <v>-92.631</v>
      </c>
      <c r="H310" s="30"/>
      <c r="I310" s="30"/>
      <c r="J310" s="30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5.75" customHeight="1" x14ac:dyDescent="0.25">
      <c r="A311" s="8" t="s">
        <v>1805</v>
      </c>
      <c r="B311" s="5" t="s">
        <v>1181</v>
      </c>
      <c r="C311" s="5" t="s">
        <v>1806</v>
      </c>
      <c r="D311" s="5" t="s">
        <v>1807</v>
      </c>
      <c r="E311" s="5" t="s">
        <v>643</v>
      </c>
      <c r="F311" s="5">
        <v>44.494973700000003</v>
      </c>
      <c r="G311" s="5">
        <v>-89.309835500000005</v>
      </c>
      <c r="H311" s="30"/>
      <c r="I311" s="30"/>
      <c r="J311" s="30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5.75" customHeight="1" x14ac:dyDescent="0.25">
      <c r="A312" s="8" t="s">
        <v>1808</v>
      </c>
      <c r="B312" s="5" t="s">
        <v>1181</v>
      </c>
      <c r="C312" s="5" t="s">
        <v>1809</v>
      </c>
      <c r="D312" s="5" t="s">
        <v>1810</v>
      </c>
      <c r="E312" s="5" t="s">
        <v>643</v>
      </c>
      <c r="F312" s="5">
        <v>44.761709199999999</v>
      </c>
      <c r="G312" s="5">
        <v>-88.251823000000002</v>
      </c>
      <c r="H312" s="30"/>
      <c r="I312" s="30"/>
      <c r="J312" s="30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5.75" customHeight="1" x14ac:dyDescent="0.25">
      <c r="A313" s="8" t="s">
        <v>1811</v>
      </c>
      <c r="B313" s="5" t="s">
        <v>1181</v>
      </c>
      <c r="C313" s="5" t="s">
        <v>1812</v>
      </c>
      <c r="D313" s="5" t="s">
        <v>1813</v>
      </c>
      <c r="E313" s="5" t="s">
        <v>643</v>
      </c>
      <c r="F313" s="5">
        <v>43.992870000000003</v>
      </c>
      <c r="G313" s="5">
        <v>-87.755359999999996</v>
      </c>
      <c r="H313" s="30"/>
      <c r="I313" s="30"/>
      <c r="J313" s="30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5.75" customHeight="1" x14ac:dyDescent="0.25">
      <c r="A314" s="8" t="s">
        <v>1814</v>
      </c>
      <c r="B314" s="5" t="s">
        <v>1181</v>
      </c>
      <c r="C314" s="5" t="s">
        <v>1815</v>
      </c>
      <c r="D314" s="5" t="s">
        <v>530</v>
      </c>
      <c r="E314" s="5" t="s">
        <v>643</v>
      </c>
      <c r="F314" s="5">
        <v>44.437183900000001</v>
      </c>
      <c r="G314" s="5">
        <v>-90.911258000000004</v>
      </c>
      <c r="H314" s="30"/>
      <c r="I314" s="30"/>
      <c r="J314" s="30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5.75" customHeight="1" x14ac:dyDescent="0.25">
      <c r="A315" s="8" t="s">
        <v>1816</v>
      </c>
      <c r="B315" s="5" t="s">
        <v>1181</v>
      </c>
      <c r="C315" s="5" t="s">
        <v>1817</v>
      </c>
      <c r="D315" s="5" t="s">
        <v>1792</v>
      </c>
      <c r="E315" s="5" t="s">
        <v>643</v>
      </c>
      <c r="F315" s="5">
        <v>44.140267999999999</v>
      </c>
      <c r="G315" s="5">
        <v>-88.163990799999993</v>
      </c>
      <c r="H315" s="30"/>
      <c r="I315" s="30"/>
      <c r="J315" s="30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5.75" customHeight="1" x14ac:dyDescent="0.25">
      <c r="A316" s="8" t="s">
        <v>1818</v>
      </c>
      <c r="B316" s="5" t="s">
        <v>1181</v>
      </c>
      <c r="C316" s="5" t="s">
        <v>1817</v>
      </c>
      <c r="D316" s="5" t="s">
        <v>1792</v>
      </c>
      <c r="E316" s="5" t="s">
        <v>643</v>
      </c>
      <c r="F316" s="5">
        <v>44.097160000000002</v>
      </c>
      <c r="G316" s="5">
        <v>-88.147350000000003</v>
      </c>
      <c r="H316" s="30"/>
      <c r="I316" s="30"/>
      <c r="J316" s="30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5.75" customHeight="1" x14ac:dyDescent="0.25">
      <c r="A317" s="8" t="s">
        <v>1819</v>
      </c>
      <c r="B317" s="5" t="s">
        <v>1181</v>
      </c>
      <c r="C317" s="5" t="s">
        <v>1820</v>
      </c>
      <c r="D317" s="5" t="s">
        <v>1821</v>
      </c>
      <c r="E317" s="5" t="s">
        <v>643</v>
      </c>
      <c r="F317" s="5">
        <v>43.754469999999998</v>
      </c>
      <c r="G317" s="5">
        <v>-87.840519999999998</v>
      </c>
      <c r="H317" s="30"/>
      <c r="I317" s="30"/>
      <c r="J317" s="30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5.75" customHeight="1" x14ac:dyDescent="0.25">
      <c r="A318" s="8" t="s">
        <v>1822</v>
      </c>
      <c r="B318" s="5" t="s">
        <v>1181</v>
      </c>
      <c r="C318" s="5" t="s">
        <v>1823</v>
      </c>
      <c r="D318" s="5" t="s">
        <v>1824</v>
      </c>
      <c r="E318" s="5" t="s">
        <v>643</v>
      </c>
      <c r="F318" s="5">
        <v>43.950859999999999</v>
      </c>
      <c r="G318" s="5">
        <v>-87.74503</v>
      </c>
      <c r="H318" s="30"/>
      <c r="I318" s="30"/>
      <c r="J318" s="30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5.75" customHeight="1" x14ac:dyDescent="0.25">
      <c r="A319" s="8" t="s">
        <v>1825</v>
      </c>
      <c r="B319" s="5" t="s">
        <v>1181</v>
      </c>
      <c r="C319" s="5" t="s">
        <v>1823</v>
      </c>
      <c r="D319" s="5" t="s">
        <v>1824</v>
      </c>
      <c r="E319" s="5" t="s">
        <v>643</v>
      </c>
      <c r="F319" s="5">
        <v>43.950809999999997</v>
      </c>
      <c r="G319" s="5">
        <v>-87.747309999999999</v>
      </c>
      <c r="H319" s="30"/>
      <c r="I319" s="30"/>
      <c r="J319" s="30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5.75" customHeight="1" x14ac:dyDescent="0.25">
      <c r="A320" s="8" t="s">
        <v>1826</v>
      </c>
      <c r="B320" s="5" t="s">
        <v>1189</v>
      </c>
      <c r="C320" s="5" t="s">
        <v>1827</v>
      </c>
      <c r="D320" s="5" t="s">
        <v>1795</v>
      </c>
      <c r="E320" s="5" t="s">
        <v>643</v>
      </c>
      <c r="F320" s="5">
        <v>43.183457900000001</v>
      </c>
      <c r="G320" s="5">
        <v>-89.213435899999993</v>
      </c>
      <c r="H320" s="30"/>
      <c r="I320" s="30"/>
      <c r="J320" s="30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5.75" customHeight="1" x14ac:dyDescent="0.25">
      <c r="A321" s="8" t="s">
        <v>1828</v>
      </c>
      <c r="B321" s="5" t="s">
        <v>1181</v>
      </c>
      <c r="C321" s="5" t="s">
        <v>1829</v>
      </c>
      <c r="D321" s="5" t="s">
        <v>1772</v>
      </c>
      <c r="E321" s="5" t="s">
        <v>643</v>
      </c>
      <c r="F321" s="5">
        <v>44.6269074</v>
      </c>
      <c r="G321" s="5">
        <v>-90.356523800000005</v>
      </c>
      <c r="H321" s="30"/>
      <c r="I321" s="30"/>
      <c r="J321" s="30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5.75" customHeight="1" x14ac:dyDescent="0.25">
      <c r="A322" s="8" t="s">
        <v>1830</v>
      </c>
      <c r="B322" s="5" t="s">
        <v>1181</v>
      </c>
      <c r="C322" s="5" t="s">
        <v>1788</v>
      </c>
      <c r="D322" s="5" t="s">
        <v>1788</v>
      </c>
      <c r="E322" s="5" t="s">
        <v>643</v>
      </c>
      <c r="F322" s="5">
        <v>44.502679999999998</v>
      </c>
      <c r="G322" s="5">
        <v>-87.600110000000001</v>
      </c>
      <c r="H322" s="30"/>
      <c r="I322" s="30"/>
      <c r="J322" s="30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5.75" customHeight="1" x14ac:dyDescent="0.25">
      <c r="A323" s="8" t="s">
        <v>1831</v>
      </c>
      <c r="B323" s="5" t="s">
        <v>1181</v>
      </c>
      <c r="C323" s="5" t="s">
        <v>1832</v>
      </c>
      <c r="D323" s="5" t="s">
        <v>1833</v>
      </c>
      <c r="E323" s="5" t="s">
        <v>643</v>
      </c>
      <c r="F323" s="5">
        <v>44.736829999999998</v>
      </c>
      <c r="G323" s="5">
        <v>-87.502750000000006</v>
      </c>
      <c r="H323" s="30"/>
      <c r="I323" s="30"/>
      <c r="J323" s="30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5.75" customHeight="1" x14ac:dyDescent="0.25">
      <c r="A324" s="8" t="s">
        <v>1834</v>
      </c>
      <c r="B324" s="5" t="s">
        <v>1189</v>
      </c>
      <c r="C324" s="5" t="s">
        <v>379</v>
      </c>
      <c r="D324" s="5" t="s">
        <v>1795</v>
      </c>
      <c r="E324" s="5" t="s">
        <v>643</v>
      </c>
      <c r="F324" s="5">
        <v>43.168328600000002</v>
      </c>
      <c r="G324" s="5">
        <v>-89.066777500000001</v>
      </c>
      <c r="H324" s="30"/>
      <c r="I324" s="30"/>
      <c r="J324" s="30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5.75" customHeight="1" x14ac:dyDescent="0.25">
      <c r="A325" s="8" t="s">
        <v>1835</v>
      </c>
      <c r="B325" s="5" t="s">
        <v>1200</v>
      </c>
      <c r="C325" s="5" t="s">
        <v>1827</v>
      </c>
      <c r="D325" s="5" t="s">
        <v>1795</v>
      </c>
      <c r="E325" s="5" t="s">
        <v>643</v>
      </c>
      <c r="F325" s="5">
        <v>43.183457900000001</v>
      </c>
      <c r="G325" s="5">
        <v>-89.213435899999993</v>
      </c>
      <c r="H325" s="30"/>
      <c r="I325" s="30"/>
      <c r="J325" s="30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5.75" customHeight="1" x14ac:dyDescent="0.25">
      <c r="A326" s="8" t="s">
        <v>1836</v>
      </c>
      <c r="B326" s="5" t="s">
        <v>1181</v>
      </c>
      <c r="C326" s="5" t="s">
        <v>1837</v>
      </c>
      <c r="D326" s="5" t="s">
        <v>1838</v>
      </c>
      <c r="E326" s="5" t="s">
        <v>643</v>
      </c>
      <c r="F326" s="5">
        <v>44.999155299999998</v>
      </c>
      <c r="G326" s="5">
        <v>-88.372046400000002</v>
      </c>
      <c r="H326" s="30"/>
      <c r="I326" s="30"/>
      <c r="J326" s="30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5.75" customHeight="1" x14ac:dyDescent="0.25">
      <c r="A327" s="8" t="s">
        <v>1839</v>
      </c>
      <c r="B327" s="5" t="s">
        <v>1181</v>
      </c>
      <c r="C327" s="5" t="s">
        <v>1840</v>
      </c>
      <c r="D327" s="5" t="s">
        <v>405</v>
      </c>
      <c r="E327" s="5" t="s">
        <v>643</v>
      </c>
      <c r="F327" s="5">
        <v>43.911372</v>
      </c>
      <c r="G327" s="5">
        <v>-88.729832599999995</v>
      </c>
      <c r="H327" s="30"/>
      <c r="I327" s="30"/>
      <c r="J327" s="30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5.75" customHeight="1" x14ac:dyDescent="0.25">
      <c r="A328" s="8" t="s">
        <v>1841</v>
      </c>
      <c r="B328" s="5" t="s">
        <v>1338</v>
      </c>
      <c r="C328" s="5" t="s">
        <v>658</v>
      </c>
      <c r="D328" s="5" t="s">
        <v>405</v>
      </c>
      <c r="E328" s="5" t="s">
        <v>643</v>
      </c>
      <c r="F328" s="5">
        <v>44.020691900000003</v>
      </c>
      <c r="G328" s="5">
        <v>-88.540857399999993</v>
      </c>
      <c r="H328" s="30"/>
      <c r="I328" s="30"/>
      <c r="J328" s="30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5.75" customHeight="1" x14ac:dyDescent="0.25">
      <c r="A329" s="8" t="s">
        <v>1842</v>
      </c>
      <c r="B329" s="5" t="s">
        <v>1181</v>
      </c>
      <c r="C329" s="5" t="s">
        <v>1785</v>
      </c>
      <c r="D329" s="5" t="s">
        <v>1785</v>
      </c>
      <c r="E329" s="5" t="s">
        <v>643</v>
      </c>
      <c r="F329" s="5">
        <v>43.774876300000003</v>
      </c>
      <c r="G329" s="5">
        <v>-88.445803299999994</v>
      </c>
      <c r="H329" s="30"/>
      <c r="I329" s="30"/>
      <c r="J329" s="30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5.75" customHeight="1" x14ac:dyDescent="0.25">
      <c r="A330" s="8" t="s">
        <v>1843</v>
      </c>
      <c r="B330" s="5" t="s">
        <v>1181</v>
      </c>
      <c r="C330" s="5" t="s">
        <v>1844</v>
      </c>
      <c r="D330" s="5" t="s">
        <v>1785</v>
      </c>
      <c r="E330" s="5" t="s">
        <v>643</v>
      </c>
      <c r="F330" s="5">
        <v>43.521379799999998</v>
      </c>
      <c r="G330" s="5">
        <v>-88.227864499999995</v>
      </c>
      <c r="H330" s="30"/>
      <c r="I330" s="30"/>
      <c r="J330" s="30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5.75" customHeight="1" x14ac:dyDescent="0.25">
      <c r="A331" s="8" t="s">
        <v>1845</v>
      </c>
      <c r="B331" s="5" t="s">
        <v>1181</v>
      </c>
      <c r="C331" s="5" t="s">
        <v>1788</v>
      </c>
      <c r="D331" s="5" t="s">
        <v>1788</v>
      </c>
      <c r="E331" s="5" t="s">
        <v>643</v>
      </c>
      <c r="F331" s="5">
        <v>44.458401600000002</v>
      </c>
      <c r="G331" s="5">
        <v>-87.503151900000006</v>
      </c>
      <c r="H331" s="30"/>
      <c r="I331" s="30"/>
      <c r="J331" s="30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5.75" customHeight="1" x14ac:dyDescent="0.25">
      <c r="A332" s="8" t="s">
        <v>1846</v>
      </c>
      <c r="B332" s="5" t="s">
        <v>1181</v>
      </c>
      <c r="C332" s="5" t="s">
        <v>1847</v>
      </c>
      <c r="D332" s="5" t="s">
        <v>1848</v>
      </c>
      <c r="E332" s="5" t="s">
        <v>643</v>
      </c>
      <c r="F332" s="5">
        <v>43.62323</v>
      </c>
      <c r="G332" s="5">
        <v>-90.690849999999998</v>
      </c>
      <c r="H332" s="30"/>
      <c r="I332" s="30"/>
      <c r="J332" s="30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5.75" customHeight="1" x14ac:dyDescent="0.25">
      <c r="A333" s="8" t="s">
        <v>1849</v>
      </c>
      <c r="B333" s="5" t="s">
        <v>1181</v>
      </c>
      <c r="C333" s="5" t="s">
        <v>1850</v>
      </c>
      <c r="D333" s="5" t="s">
        <v>1851</v>
      </c>
      <c r="E333" s="5" t="s">
        <v>1852</v>
      </c>
      <c r="F333" s="5">
        <v>42.054423999999997</v>
      </c>
      <c r="G333" s="5">
        <v>-104.952726</v>
      </c>
      <c r="H333" s="30"/>
      <c r="I333" s="30"/>
      <c r="J333" s="30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5.75" customHeight="1" x14ac:dyDescent="0.25">
      <c r="A334" s="44"/>
      <c r="B334" s="44"/>
      <c r="C334" s="44"/>
      <c r="D334" s="30"/>
      <c r="E334" s="30"/>
      <c r="F334" s="30"/>
      <c r="G334" s="30"/>
      <c r="H334" s="30"/>
      <c r="I334" s="30"/>
      <c r="J334" s="30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5.75" customHeight="1" x14ac:dyDescent="0.25">
      <c r="A335" s="44"/>
      <c r="B335" s="44"/>
      <c r="C335" s="44"/>
      <c r="D335" s="30"/>
      <c r="E335" s="30"/>
      <c r="F335" s="30"/>
      <c r="G335" s="30"/>
      <c r="H335" s="30"/>
      <c r="I335" s="30"/>
      <c r="J335" s="30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5.75" customHeight="1" x14ac:dyDescent="0.25">
      <c r="A336" s="44"/>
      <c r="B336" s="44"/>
      <c r="C336" s="44"/>
      <c r="D336" s="30"/>
      <c r="E336" s="30"/>
      <c r="F336" s="30"/>
      <c r="G336" s="30"/>
      <c r="H336" s="30"/>
      <c r="I336" s="30"/>
      <c r="J336" s="30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5.75" customHeight="1" x14ac:dyDescent="0.25">
      <c r="A337" s="44"/>
      <c r="B337" s="44"/>
      <c r="C337" s="44"/>
      <c r="D337" s="30"/>
      <c r="E337" s="30"/>
      <c r="F337" s="30"/>
      <c r="G337" s="30"/>
      <c r="H337" s="30"/>
      <c r="I337" s="30"/>
      <c r="J337" s="30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5.75" customHeight="1" x14ac:dyDescent="0.25">
      <c r="A338" s="44"/>
      <c r="B338" s="44"/>
      <c r="C338" s="44"/>
      <c r="D338" s="30"/>
      <c r="E338" s="30"/>
      <c r="F338" s="30"/>
      <c r="G338" s="30"/>
      <c r="H338" s="30"/>
      <c r="I338" s="30"/>
      <c r="J338" s="30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5.75" customHeight="1" x14ac:dyDescent="0.25">
      <c r="A339" s="44"/>
      <c r="B339" s="44"/>
      <c r="C339" s="44"/>
      <c r="D339" s="30"/>
      <c r="E339" s="30"/>
      <c r="F339" s="30"/>
      <c r="G339" s="30"/>
      <c r="H339" s="30"/>
      <c r="I339" s="30"/>
      <c r="J339" s="30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5.75" customHeight="1" x14ac:dyDescent="0.25">
      <c r="A340" s="44"/>
      <c r="B340" s="44"/>
      <c r="C340" s="44"/>
      <c r="D340" s="30"/>
      <c r="E340" s="30"/>
      <c r="F340" s="30"/>
      <c r="G340" s="30"/>
      <c r="H340" s="30"/>
      <c r="I340" s="30"/>
      <c r="J340" s="30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5.75" customHeight="1" x14ac:dyDescent="0.25">
      <c r="A341" s="44"/>
      <c r="B341" s="44"/>
      <c r="C341" s="44"/>
      <c r="D341" s="30"/>
      <c r="E341" s="30"/>
      <c r="F341" s="30"/>
      <c r="G341" s="30"/>
      <c r="H341" s="30"/>
      <c r="I341" s="30"/>
      <c r="J341" s="30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5.75" customHeight="1" x14ac:dyDescent="0.25">
      <c r="A342" s="44"/>
      <c r="B342" s="44"/>
      <c r="C342" s="44"/>
      <c r="D342" s="30"/>
      <c r="E342" s="30"/>
      <c r="F342" s="30"/>
      <c r="G342" s="30"/>
      <c r="H342" s="30"/>
      <c r="I342" s="30"/>
      <c r="J342" s="30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5.75" customHeight="1" x14ac:dyDescent="0.25">
      <c r="A343" s="44"/>
      <c r="B343" s="44"/>
      <c r="C343" s="44"/>
      <c r="D343" s="30"/>
      <c r="E343" s="30"/>
      <c r="F343" s="30"/>
      <c r="G343" s="30"/>
      <c r="H343" s="30"/>
      <c r="I343" s="30"/>
      <c r="J343" s="30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5.75" customHeight="1" x14ac:dyDescent="0.25">
      <c r="A344" s="44"/>
      <c r="B344" s="44"/>
      <c r="C344" s="44"/>
      <c r="D344" s="30"/>
      <c r="E344" s="30"/>
      <c r="F344" s="30"/>
      <c r="G344" s="30"/>
      <c r="H344" s="30"/>
      <c r="I344" s="30"/>
      <c r="J344" s="30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5.75" customHeight="1" x14ac:dyDescent="0.25">
      <c r="A345" s="44"/>
      <c r="B345" s="44"/>
      <c r="C345" s="44"/>
      <c r="D345" s="30"/>
      <c r="E345" s="30"/>
      <c r="F345" s="30"/>
      <c r="G345" s="30"/>
      <c r="H345" s="30"/>
      <c r="I345" s="30"/>
      <c r="J345" s="30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5.75" customHeight="1" x14ac:dyDescent="0.25">
      <c r="A346" s="44"/>
      <c r="B346" s="44"/>
      <c r="C346" s="44"/>
      <c r="D346" s="30"/>
      <c r="E346" s="30"/>
      <c r="F346" s="30"/>
      <c r="G346" s="30"/>
      <c r="H346" s="30"/>
      <c r="I346" s="30"/>
      <c r="J346" s="30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5.75" customHeight="1" x14ac:dyDescent="0.25">
      <c r="A347" s="44"/>
      <c r="B347" s="44"/>
      <c r="C347" s="44"/>
      <c r="D347" s="30"/>
      <c r="E347" s="30"/>
      <c r="F347" s="30"/>
      <c r="G347" s="30"/>
      <c r="H347" s="30"/>
      <c r="I347" s="30"/>
      <c r="J347" s="30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5.75" customHeight="1" x14ac:dyDescent="0.25">
      <c r="A348" s="44"/>
      <c r="B348" s="44"/>
      <c r="C348" s="44"/>
      <c r="D348" s="30"/>
      <c r="E348" s="30"/>
      <c r="F348" s="30"/>
      <c r="G348" s="30"/>
      <c r="H348" s="30"/>
      <c r="I348" s="30"/>
      <c r="J348" s="30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5.75" customHeight="1" x14ac:dyDescent="0.25">
      <c r="A349" s="44"/>
      <c r="B349" s="44"/>
      <c r="C349" s="44"/>
      <c r="D349" s="30"/>
      <c r="E349" s="30"/>
      <c r="F349" s="30"/>
      <c r="G349" s="30"/>
      <c r="H349" s="30"/>
      <c r="I349" s="30"/>
      <c r="J349" s="30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5.75" customHeight="1" x14ac:dyDescent="0.25">
      <c r="A350" s="44"/>
      <c r="B350" s="44"/>
      <c r="C350" s="44"/>
      <c r="D350" s="30"/>
      <c r="E350" s="30"/>
      <c r="F350" s="30"/>
      <c r="G350" s="30"/>
      <c r="H350" s="30"/>
      <c r="I350" s="30"/>
      <c r="J350" s="30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5.75" customHeight="1" x14ac:dyDescent="0.25">
      <c r="A351" s="44"/>
      <c r="B351" s="44"/>
      <c r="C351" s="44"/>
      <c r="D351" s="30"/>
      <c r="E351" s="30"/>
      <c r="F351" s="30"/>
      <c r="G351" s="30"/>
      <c r="H351" s="30"/>
      <c r="I351" s="30"/>
      <c r="J351" s="30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5.75" customHeight="1" x14ac:dyDescent="0.25">
      <c r="A352" s="44"/>
      <c r="B352" s="44"/>
      <c r="C352" s="44"/>
      <c r="D352" s="30"/>
      <c r="E352" s="30"/>
      <c r="F352" s="30"/>
      <c r="G352" s="30"/>
      <c r="H352" s="30"/>
      <c r="I352" s="30"/>
      <c r="J352" s="30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5.75" customHeight="1" x14ac:dyDescent="0.25">
      <c r="A353" s="44"/>
      <c r="B353" s="44"/>
      <c r="C353" s="44"/>
      <c r="D353" s="30"/>
      <c r="E353" s="30"/>
      <c r="F353" s="30"/>
      <c r="G353" s="30"/>
      <c r="H353" s="30"/>
      <c r="I353" s="30"/>
      <c r="J353" s="30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5.75" customHeight="1" x14ac:dyDescent="0.25">
      <c r="A354" s="44"/>
      <c r="B354" s="44"/>
      <c r="C354" s="44"/>
      <c r="D354" s="30"/>
      <c r="E354" s="30"/>
      <c r="F354" s="30"/>
      <c r="G354" s="30"/>
      <c r="H354" s="30"/>
      <c r="I354" s="30"/>
      <c r="J354" s="30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5.75" customHeight="1" x14ac:dyDescent="0.25">
      <c r="A355" s="44"/>
      <c r="B355" s="44"/>
      <c r="C355" s="44"/>
      <c r="D355" s="30"/>
      <c r="E355" s="30"/>
      <c r="F355" s="30"/>
      <c r="G355" s="30"/>
      <c r="H355" s="30"/>
      <c r="I355" s="30"/>
      <c r="J355" s="30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5.75" customHeight="1" x14ac:dyDescent="0.25">
      <c r="A356" s="44"/>
      <c r="B356" s="44"/>
      <c r="C356" s="44"/>
      <c r="D356" s="30"/>
      <c r="E356" s="30"/>
      <c r="F356" s="30"/>
      <c r="G356" s="30"/>
      <c r="H356" s="30"/>
      <c r="I356" s="30"/>
      <c r="J356" s="30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5.75" customHeight="1" x14ac:dyDescent="0.25">
      <c r="A357" s="44"/>
      <c r="B357" s="44"/>
      <c r="C357" s="44"/>
      <c r="D357" s="30"/>
      <c r="E357" s="30"/>
      <c r="F357" s="30"/>
      <c r="G357" s="30"/>
      <c r="H357" s="30"/>
      <c r="I357" s="30"/>
      <c r="J357" s="30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5.75" customHeight="1" x14ac:dyDescent="0.25">
      <c r="A358" s="44"/>
      <c r="B358" s="44"/>
      <c r="C358" s="44"/>
      <c r="D358" s="30"/>
      <c r="E358" s="30"/>
      <c r="F358" s="30"/>
      <c r="G358" s="30"/>
      <c r="H358" s="30"/>
      <c r="I358" s="30"/>
      <c r="J358" s="30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5.75" customHeight="1" x14ac:dyDescent="0.25">
      <c r="A359" s="44"/>
      <c r="B359" s="44"/>
      <c r="C359" s="44"/>
      <c r="D359" s="30"/>
      <c r="E359" s="30"/>
      <c r="F359" s="30"/>
      <c r="G359" s="30"/>
      <c r="H359" s="30"/>
      <c r="I359" s="30"/>
      <c r="J359" s="30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5.75" customHeight="1" x14ac:dyDescent="0.25">
      <c r="A360" s="44"/>
      <c r="B360" s="44"/>
      <c r="C360" s="44"/>
      <c r="D360" s="30"/>
      <c r="E360" s="30"/>
      <c r="F360" s="30"/>
      <c r="G360" s="30"/>
      <c r="H360" s="30"/>
      <c r="I360" s="30"/>
      <c r="J360" s="30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5.75" customHeight="1" x14ac:dyDescent="0.25">
      <c r="A361" s="44"/>
      <c r="B361" s="44"/>
      <c r="C361" s="44"/>
      <c r="D361" s="30"/>
      <c r="E361" s="30"/>
      <c r="F361" s="30"/>
      <c r="G361" s="30"/>
      <c r="H361" s="30"/>
      <c r="I361" s="30"/>
      <c r="J361" s="30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5.75" customHeight="1" x14ac:dyDescent="0.25">
      <c r="A362" s="44"/>
      <c r="B362" s="44"/>
      <c r="C362" s="44"/>
      <c r="D362" s="30"/>
      <c r="E362" s="30"/>
      <c r="F362" s="30"/>
      <c r="G362" s="30"/>
      <c r="H362" s="30"/>
      <c r="I362" s="30"/>
      <c r="J362" s="30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5.75" customHeight="1" x14ac:dyDescent="0.25">
      <c r="A363" s="44"/>
      <c r="B363" s="44"/>
      <c r="C363" s="44"/>
      <c r="D363" s="30"/>
      <c r="E363" s="30"/>
      <c r="F363" s="30"/>
      <c r="G363" s="30"/>
      <c r="H363" s="30"/>
      <c r="I363" s="30"/>
      <c r="J363" s="30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5.75" customHeight="1" x14ac:dyDescent="0.25">
      <c r="A364" s="44"/>
      <c r="B364" s="44"/>
      <c r="C364" s="44"/>
      <c r="D364" s="30"/>
      <c r="E364" s="30"/>
      <c r="F364" s="30"/>
      <c r="G364" s="30"/>
      <c r="H364" s="30"/>
      <c r="I364" s="30"/>
      <c r="J364" s="30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5.75" customHeight="1" x14ac:dyDescent="0.25">
      <c r="A365" s="44"/>
      <c r="B365" s="44"/>
      <c r="C365" s="44"/>
      <c r="D365" s="30"/>
      <c r="E365" s="30"/>
      <c r="F365" s="30"/>
      <c r="G365" s="30"/>
      <c r="H365" s="30"/>
      <c r="I365" s="30"/>
      <c r="J365" s="30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5.75" customHeight="1" x14ac:dyDescent="0.25">
      <c r="A366" s="44"/>
      <c r="B366" s="44"/>
      <c r="C366" s="44"/>
      <c r="D366" s="30"/>
      <c r="E366" s="30"/>
      <c r="F366" s="30"/>
      <c r="G366" s="30"/>
      <c r="H366" s="30"/>
      <c r="I366" s="30"/>
      <c r="J366" s="30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5.75" customHeight="1" x14ac:dyDescent="0.25">
      <c r="A367" s="44"/>
      <c r="B367" s="44"/>
      <c r="C367" s="44"/>
      <c r="D367" s="30"/>
      <c r="E367" s="30"/>
      <c r="F367" s="30"/>
      <c r="G367" s="30"/>
      <c r="H367" s="30"/>
      <c r="I367" s="30"/>
      <c r="J367" s="30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5.75" customHeight="1" x14ac:dyDescent="0.25">
      <c r="A368" s="44"/>
      <c r="B368" s="44"/>
      <c r="C368" s="44"/>
      <c r="D368" s="30"/>
      <c r="E368" s="30"/>
      <c r="F368" s="30"/>
      <c r="G368" s="30"/>
      <c r="H368" s="30"/>
      <c r="I368" s="30"/>
      <c r="J368" s="30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5.75" customHeight="1" x14ac:dyDescent="0.25">
      <c r="A369" s="44"/>
      <c r="B369" s="44"/>
      <c r="C369" s="44"/>
      <c r="D369" s="30"/>
      <c r="E369" s="30"/>
      <c r="F369" s="30"/>
      <c r="G369" s="30"/>
      <c r="H369" s="30"/>
      <c r="I369" s="30"/>
      <c r="J369" s="30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5.75" customHeight="1" x14ac:dyDescent="0.25">
      <c r="A370" s="44"/>
      <c r="B370" s="44"/>
      <c r="C370" s="44"/>
      <c r="D370" s="30"/>
      <c r="E370" s="30"/>
      <c r="F370" s="30"/>
      <c r="G370" s="30"/>
      <c r="H370" s="30"/>
      <c r="I370" s="30"/>
      <c r="J370" s="30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5.75" customHeight="1" x14ac:dyDescent="0.25">
      <c r="A371" s="44"/>
      <c r="B371" s="44"/>
      <c r="C371" s="44"/>
      <c r="D371" s="30"/>
      <c r="E371" s="30"/>
      <c r="F371" s="30"/>
      <c r="G371" s="30"/>
      <c r="H371" s="30"/>
      <c r="I371" s="30"/>
      <c r="J371" s="30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5.75" customHeight="1" x14ac:dyDescent="0.25">
      <c r="A372" s="44"/>
      <c r="B372" s="44"/>
      <c r="C372" s="44"/>
      <c r="D372" s="30"/>
      <c r="E372" s="30"/>
      <c r="F372" s="30"/>
      <c r="G372" s="30"/>
      <c r="H372" s="30"/>
      <c r="I372" s="30"/>
      <c r="J372" s="30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5.75" customHeight="1" x14ac:dyDescent="0.25">
      <c r="A373" s="44"/>
      <c r="B373" s="44"/>
      <c r="C373" s="44"/>
      <c r="D373" s="30"/>
      <c r="E373" s="30"/>
      <c r="F373" s="30"/>
      <c r="G373" s="30"/>
      <c r="H373" s="30"/>
      <c r="I373" s="30"/>
      <c r="J373" s="30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5.75" customHeight="1" x14ac:dyDescent="0.25">
      <c r="A374" s="44"/>
      <c r="B374" s="44"/>
      <c r="C374" s="44"/>
      <c r="D374" s="30"/>
      <c r="E374" s="30"/>
      <c r="F374" s="30"/>
      <c r="G374" s="30"/>
      <c r="H374" s="30"/>
      <c r="I374" s="30"/>
      <c r="J374" s="30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5.75" customHeight="1" x14ac:dyDescent="0.25">
      <c r="A375" s="44"/>
      <c r="B375" s="44"/>
      <c r="C375" s="44"/>
      <c r="D375" s="30"/>
      <c r="E375" s="30"/>
      <c r="F375" s="30"/>
      <c r="G375" s="30"/>
      <c r="H375" s="30"/>
      <c r="I375" s="30"/>
      <c r="J375" s="30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5.75" customHeight="1" x14ac:dyDescent="0.25">
      <c r="A376" s="44"/>
      <c r="B376" s="44"/>
      <c r="C376" s="44"/>
      <c r="D376" s="30"/>
      <c r="E376" s="30"/>
      <c r="F376" s="30"/>
      <c r="G376" s="30"/>
      <c r="H376" s="30"/>
      <c r="I376" s="30"/>
      <c r="J376" s="30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5.75" customHeight="1" x14ac:dyDescent="0.25">
      <c r="A377" s="44"/>
      <c r="B377" s="44"/>
      <c r="C377" s="44"/>
      <c r="D377" s="30"/>
      <c r="E377" s="30"/>
      <c r="F377" s="30"/>
      <c r="G377" s="30"/>
      <c r="H377" s="30"/>
      <c r="I377" s="30"/>
      <c r="J377" s="30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5.75" customHeight="1" x14ac:dyDescent="0.25">
      <c r="A378" s="44"/>
      <c r="B378" s="44"/>
      <c r="C378" s="44"/>
      <c r="D378" s="30"/>
      <c r="E378" s="30"/>
      <c r="F378" s="30"/>
      <c r="G378" s="30"/>
      <c r="H378" s="30"/>
      <c r="I378" s="30"/>
      <c r="J378" s="30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5.75" customHeight="1" x14ac:dyDescent="0.25">
      <c r="A379" s="44"/>
      <c r="B379" s="44"/>
      <c r="C379" s="44"/>
      <c r="D379" s="30"/>
      <c r="E379" s="30"/>
      <c r="F379" s="30"/>
      <c r="G379" s="30"/>
      <c r="H379" s="30"/>
      <c r="I379" s="30"/>
      <c r="J379" s="30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5.75" customHeight="1" x14ac:dyDescent="0.25">
      <c r="A380" s="44"/>
      <c r="B380" s="44"/>
      <c r="C380" s="44"/>
      <c r="D380" s="30"/>
      <c r="E380" s="30"/>
      <c r="F380" s="30"/>
      <c r="G380" s="30"/>
      <c r="H380" s="30"/>
      <c r="I380" s="30"/>
      <c r="J380" s="30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5.75" customHeight="1" x14ac:dyDescent="0.25">
      <c r="A381" s="44"/>
      <c r="B381" s="44"/>
      <c r="C381" s="44"/>
      <c r="D381" s="30"/>
      <c r="E381" s="30"/>
      <c r="F381" s="30"/>
      <c r="G381" s="30"/>
      <c r="H381" s="30"/>
      <c r="I381" s="30"/>
      <c r="J381" s="30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5.75" customHeight="1" x14ac:dyDescent="0.25">
      <c r="A382" s="44"/>
      <c r="B382" s="44"/>
      <c r="C382" s="44"/>
      <c r="D382" s="30"/>
      <c r="E382" s="30"/>
      <c r="F382" s="30"/>
      <c r="G382" s="30"/>
      <c r="H382" s="30"/>
      <c r="I382" s="30"/>
      <c r="J382" s="30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5.75" customHeight="1" x14ac:dyDescent="0.25">
      <c r="A383" s="44"/>
      <c r="B383" s="44"/>
      <c r="C383" s="44"/>
      <c r="D383" s="30"/>
      <c r="E383" s="30"/>
      <c r="F383" s="30"/>
      <c r="G383" s="30"/>
      <c r="H383" s="30"/>
      <c r="I383" s="30"/>
      <c r="J383" s="30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5.75" customHeight="1" x14ac:dyDescent="0.25">
      <c r="A384" s="44"/>
      <c r="B384" s="44"/>
      <c r="C384" s="44"/>
      <c r="D384" s="30"/>
      <c r="E384" s="30"/>
      <c r="F384" s="30"/>
      <c r="G384" s="30"/>
      <c r="H384" s="30"/>
      <c r="I384" s="30"/>
      <c r="J384" s="30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5.75" customHeight="1" x14ac:dyDescent="0.25">
      <c r="A385" s="44"/>
      <c r="B385" s="44"/>
      <c r="C385" s="44"/>
      <c r="D385" s="30"/>
      <c r="E385" s="30"/>
      <c r="F385" s="30"/>
      <c r="G385" s="30"/>
      <c r="H385" s="30"/>
      <c r="I385" s="30"/>
      <c r="J385" s="30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5.75" customHeight="1" x14ac:dyDescent="0.25">
      <c r="A386" s="44"/>
      <c r="B386" s="44"/>
      <c r="C386" s="44"/>
      <c r="D386" s="30"/>
      <c r="E386" s="30"/>
      <c r="F386" s="30"/>
      <c r="G386" s="30"/>
      <c r="H386" s="30"/>
      <c r="I386" s="30"/>
      <c r="J386" s="30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5.75" customHeight="1" x14ac:dyDescent="0.25">
      <c r="A387" s="44"/>
      <c r="B387" s="44"/>
      <c r="C387" s="44"/>
      <c r="D387" s="30"/>
      <c r="E387" s="30"/>
      <c r="F387" s="30"/>
      <c r="G387" s="30"/>
      <c r="H387" s="30"/>
      <c r="I387" s="30"/>
      <c r="J387" s="30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5.75" customHeight="1" x14ac:dyDescent="0.25">
      <c r="A388" s="44"/>
      <c r="B388" s="44"/>
      <c r="C388" s="44"/>
      <c r="D388" s="30"/>
      <c r="E388" s="30"/>
      <c r="F388" s="30"/>
      <c r="G388" s="30"/>
      <c r="H388" s="30"/>
      <c r="I388" s="30"/>
      <c r="J388" s="30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5.75" customHeight="1" x14ac:dyDescent="0.25">
      <c r="A389" s="44"/>
      <c r="B389" s="44"/>
      <c r="C389" s="44"/>
      <c r="D389" s="30"/>
      <c r="E389" s="30"/>
      <c r="F389" s="30"/>
      <c r="G389" s="30"/>
      <c r="H389" s="30"/>
      <c r="I389" s="30"/>
      <c r="J389" s="30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5.75" customHeight="1" x14ac:dyDescent="0.25">
      <c r="A390" s="44"/>
      <c r="B390" s="44"/>
      <c r="C390" s="44"/>
      <c r="D390" s="30"/>
      <c r="E390" s="30"/>
      <c r="F390" s="30"/>
      <c r="G390" s="30"/>
      <c r="H390" s="30"/>
      <c r="I390" s="30"/>
      <c r="J390" s="30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5.75" customHeight="1" x14ac:dyDescent="0.25">
      <c r="A391" s="44"/>
      <c r="B391" s="44"/>
      <c r="C391" s="44"/>
      <c r="D391" s="30"/>
      <c r="E391" s="30"/>
      <c r="F391" s="30"/>
      <c r="G391" s="30"/>
      <c r="H391" s="30"/>
      <c r="I391" s="30"/>
      <c r="J391" s="30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5.75" customHeight="1" x14ac:dyDescent="0.25">
      <c r="A392" s="44"/>
      <c r="B392" s="44"/>
      <c r="C392" s="44"/>
      <c r="D392" s="30"/>
      <c r="E392" s="30"/>
      <c r="F392" s="30"/>
      <c r="G392" s="30"/>
      <c r="H392" s="30"/>
      <c r="I392" s="30"/>
      <c r="J392" s="30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5.75" customHeight="1" x14ac:dyDescent="0.25">
      <c r="A393" s="44"/>
      <c r="B393" s="44"/>
      <c r="C393" s="44"/>
      <c r="D393" s="30"/>
      <c r="E393" s="30"/>
      <c r="F393" s="30"/>
      <c r="G393" s="30"/>
      <c r="H393" s="30"/>
      <c r="I393" s="30"/>
      <c r="J393" s="30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5.75" customHeight="1" x14ac:dyDescent="0.25">
      <c r="A394" s="44"/>
      <c r="B394" s="44"/>
      <c r="C394" s="44"/>
      <c r="D394" s="30"/>
      <c r="E394" s="30"/>
      <c r="F394" s="30"/>
      <c r="G394" s="30"/>
      <c r="H394" s="30"/>
      <c r="I394" s="30"/>
      <c r="J394" s="30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5.75" customHeight="1" x14ac:dyDescent="0.25">
      <c r="A395" s="44"/>
      <c r="B395" s="44"/>
      <c r="C395" s="44"/>
      <c r="D395" s="30"/>
      <c r="E395" s="30"/>
      <c r="F395" s="30"/>
      <c r="G395" s="30"/>
      <c r="H395" s="30"/>
      <c r="I395" s="30"/>
      <c r="J395" s="30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5.75" customHeight="1" x14ac:dyDescent="0.25">
      <c r="A396" s="44"/>
      <c r="B396" s="44"/>
      <c r="C396" s="44"/>
      <c r="D396" s="30"/>
      <c r="E396" s="30"/>
      <c r="F396" s="30"/>
      <c r="G396" s="30"/>
      <c r="H396" s="30"/>
      <c r="I396" s="30"/>
      <c r="J396" s="30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5.75" customHeight="1" x14ac:dyDescent="0.25">
      <c r="A397" s="44"/>
      <c r="B397" s="44"/>
      <c r="C397" s="44"/>
      <c r="D397" s="30"/>
      <c r="E397" s="30"/>
      <c r="F397" s="30"/>
      <c r="G397" s="30"/>
      <c r="H397" s="30"/>
      <c r="I397" s="30"/>
      <c r="J397" s="30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5.75" customHeight="1" x14ac:dyDescent="0.25">
      <c r="A398" s="44"/>
      <c r="B398" s="44"/>
      <c r="C398" s="44"/>
      <c r="D398" s="30"/>
      <c r="E398" s="30"/>
      <c r="F398" s="30"/>
      <c r="G398" s="30"/>
      <c r="H398" s="30"/>
      <c r="I398" s="30"/>
      <c r="J398" s="30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5.75" customHeight="1" x14ac:dyDescent="0.25">
      <c r="A399" s="44"/>
      <c r="B399" s="44"/>
      <c r="C399" s="44"/>
      <c r="D399" s="30"/>
      <c r="E399" s="30"/>
      <c r="F399" s="30"/>
      <c r="G399" s="30"/>
      <c r="H399" s="30"/>
      <c r="I399" s="30"/>
      <c r="J399" s="30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5.75" customHeight="1" x14ac:dyDescent="0.25">
      <c r="A400" s="44"/>
      <c r="B400" s="44"/>
      <c r="C400" s="44"/>
      <c r="D400" s="30"/>
      <c r="E400" s="30"/>
      <c r="F400" s="30"/>
      <c r="G400" s="30"/>
      <c r="H400" s="30"/>
      <c r="I400" s="30"/>
      <c r="J400" s="30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5.75" customHeight="1" x14ac:dyDescent="0.25">
      <c r="A401" s="44"/>
      <c r="B401" s="44"/>
      <c r="C401" s="44"/>
      <c r="D401" s="30"/>
      <c r="E401" s="30"/>
      <c r="F401" s="30"/>
      <c r="G401" s="30"/>
      <c r="H401" s="30"/>
      <c r="I401" s="30"/>
      <c r="J401" s="30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5.75" customHeight="1" x14ac:dyDescent="0.25">
      <c r="A402" s="44"/>
      <c r="B402" s="44"/>
      <c r="C402" s="44"/>
      <c r="D402" s="30"/>
      <c r="E402" s="30"/>
      <c r="F402" s="30"/>
      <c r="G402" s="30"/>
      <c r="H402" s="30"/>
      <c r="I402" s="30"/>
      <c r="J402" s="30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5.75" customHeight="1" x14ac:dyDescent="0.25">
      <c r="A403" s="44"/>
      <c r="B403" s="44"/>
      <c r="C403" s="44"/>
      <c r="D403" s="30"/>
      <c r="E403" s="30"/>
      <c r="F403" s="30"/>
      <c r="G403" s="30"/>
      <c r="H403" s="30"/>
      <c r="I403" s="30"/>
      <c r="J403" s="30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5.75" customHeight="1" x14ac:dyDescent="0.25">
      <c r="A404" s="44"/>
      <c r="B404" s="44"/>
      <c r="C404" s="44"/>
      <c r="D404" s="30"/>
      <c r="E404" s="30"/>
      <c r="F404" s="30"/>
      <c r="G404" s="30"/>
      <c r="H404" s="30"/>
      <c r="I404" s="30"/>
      <c r="J404" s="30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5.75" customHeight="1" x14ac:dyDescent="0.25">
      <c r="A405" s="44"/>
      <c r="B405" s="44"/>
      <c r="C405" s="44"/>
      <c r="D405" s="30"/>
      <c r="E405" s="30"/>
      <c r="F405" s="30"/>
      <c r="G405" s="30"/>
      <c r="H405" s="30"/>
      <c r="I405" s="30"/>
      <c r="J405" s="30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5.75" customHeight="1" x14ac:dyDescent="0.25">
      <c r="A406" s="44"/>
      <c r="B406" s="44"/>
      <c r="C406" s="44"/>
      <c r="D406" s="30"/>
      <c r="E406" s="30"/>
      <c r="F406" s="30"/>
      <c r="G406" s="30"/>
      <c r="H406" s="30"/>
      <c r="I406" s="30"/>
      <c r="J406" s="30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5.75" customHeight="1" x14ac:dyDescent="0.25">
      <c r="A407" s="44"/>
      <c r="B407" s="44"/>
      <c r="C407" s="44"/>
      <c r="D407" s="30"/>
      <c r="E407" s="30"/>
      <c r="F407" s="30"/>
      <c r="G407" s="30"/>
      <c r="H407" s="30"/>
      <c r="I407" s="30"/>
      <c r="J407" s="30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5.75" customHeight="1" x14ac:dyDescent="0.25">
      <c r="A408" s="44"/>
      <c r="B408" s="44"/>
      <c r="C408" s="44"/>
      <c r="D408" s="30"/>
      <c r="E408" s="30"/>
      <c r="F408" s="30"/>
      <c r="G408" s="30"/>
      <c r="H408" s="30"/>
      <c r="I408" s="30"/>
      <c r="J408" s="30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5.75" customHeight="1" x14ac:dyDescent="0.25">
      <c r="A409" s="44"/>
      <c r="B409" s="44"/>
      <c r="C409" s="44"/>
      <c r="D409" s="30"/>
      <c r="E409" s="30"/>
      <c r="F409" s="30"/>
      <c r="G409" s="30"/>
      <c r="H409" s="30"/>
      <c r="I409" s="30"/>
      <c r="J409" s="30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5.75" customHeight="1" x14ac:dyDescent="0.25">
      <c r="A410" s="44"/>
      <c r="B410" s="44"/>
      <c r="C410" s="44"/>
      <c r="D410" s="30"/>
      <c r="E410" s="30"/>
      <c r="F410" s="30"/>
      <c r="G410" s="30"/>
      <c r="H410" s="30"/>
      <c r="I410" s="30"/>
      <c r="J410" s="30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5.75" customHeight="1" x14ac:dyDescent="0.25">
      <c r="A411" s="44"/>
      <c r="B411" s="44"/>
      <c r="C411" s="44"/>
      <c r="D411" s="30"/>
      <c r="E411" s="30"/>
      <c r="F411" s="30"/>
      <c r="G411" s="30"/>
      <c r="H411" s="30"/>
      <c r="I411" s="30"/>
      <c r="J411" s="30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5.75" customHeight="1" x14ac:dyDescent="0.25">
      <c r="A412" s="44"/>
      <c r="B412" s="44"/>
      <c r="C412" s="44"/>
      <c r="D412" s="30"/>
      <c r="E412" s="30"/>
      <c r="F412" s="30"/>
      <c r="G412" s="30"/>
      <c r="H412" s="30"/>
      <c r="I412" s="30"/>
      <c r="J412" s="30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5.75" customHeight="1" x14ac:dyDescent="0.25">
      <c r="A413" s="44"/>
      <c r="B413" s="44"/>
      <c r="C413" s="44"/>
      <c r="D413" s="30"/>
      <c r="E413" s="30"/>
      <c r="F413" s="30"/>
      <c r="G413" s="30"/>
      <c r="H413" s="30"/>
      <c r="I413" s="30"/>
      <c r="J413" s="30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5.75" customHeight="1" x14ac:dyDescent="0.25">
      <c r="A414" s="44"/>
      <c r="B414" s="44"/>
      <c r="C414" s="44"/>
      <c r="D414" s="30"/>
      <c r="E414" s="30"/>
      <c r="F414" s="30"/>
      <c r="G414" s="30"/>
      <c r="H414" s="30"/>
      <c r="I414" s="30"/>
      <c r="J414" s="30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5.75" customHeight="1" x14ac:dyDescent="0.25">
      <c r="A415" s="44"/>
      <c r="B415" s="44"/>
      <c r="C415" s="44"/>
      <c r="D415" s="30"/>
      <c r="E415" s="30"/>
      <c r="F415" s="30"/>
      <c r="G415" s="30"/>
      <c r="H415" s="30"/>
      <c r="I415" s="30"/>
      <c r="J415" s="30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5.75" customHeight="1" x14ac:dyDescent="0.25">
      <c r="A416" s="44"/>
      <c r="B416" s="44"/>
      <c r="C416" s="44"/>
      <c r="D416" s="30"/>
      <c r="E416" s="30"/>
      <c r="F416" s="30"/>
      <c r="G416" s="30"/>
      <c r="H416" s="30"/>
      <c r="I416" s="30"/>
      <c r="J416" s="30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5.75" customHeight="1" x14ac:dyDescent="0.25">
      <c r="A417" s="44"/>
      <c r="B417" s="44"/>
      <c r="C417" s="44"/>
      <c r="D417" s="30"/>
      <c r="E417" s="30"/>
      <c r="F417" s="30"/>
      <c r="G417" s="30"/>
      <c r="H417" s="30"/>
      <c r="I417" s="30"/>
      <c r="J417" s="30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5.75" customHeight="1" x14ac:dyDescent="0.25">
      <c r="A418" s="44"/>
      <c r="B418" s="44"/>
      <c r="C418" s="44"/>
      <c r="D418" s="30"/>
      <c r="E418" s="30"/>
      <c r="F418" s="30"/>
      <c r="G418" s="30"/>
      <c r="H418" s="30"/>
      <c r="I418" s="30"/>
      <c r="J418" s="30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5.75" customHeight="1" x14ac:dyDescent="0.25">
      <c r="A419" s="44"/>
      <c r="B419" s="44"/>
      <c r="C419" s="44"/>
      <c r="D419" s="30"/>
      <c r="E419" s="30"/>
      <c r="F419" s="30"/>
      <c r="G419" s="30"/>
      <c r="H419" s="30"/>
      <c r="I419" s="30"/>
      <c r="J419" s="30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5.75" customHeight="1" x14ac:dyDescent="0.25">
      <c r="A420" s="44"/>
      <c r="B420" s="44"/>
      <c r="C420" s="44"/>
      <c r="D420" s="30"/>
      <c r="E420" s="30"/>
      <c r="F420" s="30"/>
      <c r="G420" s="30"/>
      <c r="H420" s="30"/>
      <c r="I420" s="30"/>
      <c r="J420" s="30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5.75" customHeight="1" x14ac:dyDescent="0.25">
      <c r="A421" s="44"/>
      <c r="B421" s="44"/>
      <c r="C421" s="44"/>
      <c r="D421" s="30"/>
      <c r="E421" s="30"/>
      <c r="F421" s="30"/>
      <c r="G421" s="30"/>
      <c r="H421" s="30"/>
      <c r="I421" s="30"/>
      <c r="J421" s="30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5.75" customHeight="1" x14ac:dyDescent="0.25">
      <c r="A422" s="44"/>
      <c r="B422" s="44"/>
      <c r="C422" s="44"/>
      <c r="D422" s="30"/>
      <c r="E422" s="30"/>
      <c r="F422" s="30"/>
      <c r="G422" s="30"/>
      <c r="H422" s="30"/>
      <c r="I422" s="30"/>
      <c r="J422" s="30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5.75" customHeight="1" x14ac:dyDescent="0.25">
      <c r="A423" s="44"/>
      <c r="B423" s="44"/>
      <c r="C423" s="44"/>
      <c r="D423" s="30"/>
      <c r="E423" s="30"/>
      <c r="F423" s="30"/>
      <c r="G423" s="30"/>
      <c r="H423" s="30"/>
      <c r="I423" s="30"/>
      <c r="J423" s="30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5.75" customHeight="1" x14ac:dyDescent="0.25">
      <c r="A424" s="44"/>
      <c r="B424" s="44"/>
      <c r="C424" s="44"/>
      <c r="D424" s="30"/>
      <c r="E424" s="30"/>
      <c r="F424" s="30"/>
      <c r="G424" s="30"/>
      <c r="H424" s="30"/>
      <c r="I424" s="30"/>
      <c r="J424" s="30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5.75" customHeight="1" x14ac:dyDescent="0.25">
      <c r="A425" s="44"/>
      <c r="B425" s="44"/>
      <c r="C425" s="44"/>
      <c r="D425" s="30"/>
      <c r="E425" s="30"/>
      <c r="F425" s="30"/>
      <c r="G425" s="30"/>
      <c r="H425" s="30"/>
      <c r="I425" s="30"/>
      <c r="J425" s="30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5.75" customHeight="1" x14ac:dyDescent="0.25">
      <c r="A426" s="44"/>
      <c r="B426" s="44"/>
      <c r="C426" s="44"/>
      <c r="D426" s="30"/>
      <c r="E426" s="30"/>
      <c r="F426" s="30"/>
      <c r="G426" s="30"/>
      <c r="H426" s="30"/>
      <c r="I426" s="30"/>
      <c r="J426" s="30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5.75" customHeight="1" x14ac:dyDescent="0.25">
      <c r="A427" s="44"/>
      <c r="B427" s="44"/>
      <c r="C427" s="44"/>
      <c r="D427" s="30"/>
      <c r="E427" s="30"/>
      <c r="F427" s="30"/>
      <c r="G427" s="30"/>
      <c r="H427" s="30"/>
      <c r="I427" s="30"/>
      <c r="J427" s="30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5.75" customHeight="1" x14ac:dyDescent="0.25">
      <c r="A428" s="44"/>
      <c r="B428" s="44"/>
      <c r="C428" s="44"/>
      <c r="D428" s="30"/>
      <c r="E428" s="30"/>
      <c r="F428" s="30"/>
      <c r="G428" s="30"/>
      <c r="H428" s="30"/>
      <c r="I428" s="30"/>
      <c r="J428" s="30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5.75" customHeight="1" x14ac:dyDescent="0.25">
      <c r="A429" s="44"/>
      <c r="B429" s="44"/>
      <c r="C429" s="44"/>
      <c r="D429" s="30"/>
      <c r="E429" s="30"/>
      <c r="F429" s="30"/>
      <c r="G429" s="30"/>
      <c r="H429" s="30"/>
      <c r="I429" s="30"/>
      <c r="J429" s="30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5.75" customHeight="1" x14ac:dyDescent="0.25">
      <c r="A430" s="44"/>
      <c r="B430" s="44"/>
      <c r="C430" s="44"/>
      <c r="D430" s="30"/>
      <c r="E430" s="30"/>
      <c r="F430" s="30"/>
      <c r="G430" s="30"/>
      <c r="H430" s="30"/>
      <c r="I430" s="30"/>
      <c r="J430" s="30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5.75" customHeight="1" x14ac:dyDescent="0.25">
      <c r="A431" s="44"/>
      <c r="B431" s="44"/>
      <c r="C431" s="44"/>
      <c r="D431" s="30"/>
      <c r="E431" s="30"/>
      <c r="F431" s="30"/>
      <c r="G431" s="30"/>
      <c r="H431" s="30"/>
      <c r="I431" s="30"/>
      <c r="J431" s="30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5.75" customHeight="1" x14ac:dyDescent="0.25">
      <c r="A432" s="44"/>
      <c r="B432" s="44"/>
      <c r="C432" s="44"/>
      <c r="D432" s="30"/>
      <c r="E432" s="30"/>
      <c r="F432" s="30"/>
      <c r="G432" s="30"/>
      <c r="H432" s="30"/>
      <c r="I432" s="30"/>
      <c r="J432" s="30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5.75" customHeight="1" x14ac:dyDescent="0.25">
      <c r="A433" s="44"/>
      <c r="B433" s="44"/>
      <c r="C433" s="44"/>
      <c r="D433" s="30"/>
      <c r="E433" s="30"/>
      <c r="F433" s="30"/>
      <c r="G433" s="30"/>
      <c r="H433" s="30"/>
      <c r="I433" s="30"/>
      <c r="J433" s="30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5.75" customHeight="1" x14ac:dyDescent="0.25">
      <c r="A434" s="44"/>
      <c r="B434" s="44"/>
      <c r="C434" s="44"/>
      <c r="D434" s="30"/>
      <c r="E434" s="30"/>
      <c r="F434" s="30"/>
      <c r="G434" s="30"/>
      <c r="H434" s="30"/>
      <c r="I434" s="30"/>
      <c r="J434" s="30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5.75" customHeight="1" x14ac:dyDescent="0.25">
      <c r="A435" s="44"/>
      <c r="B435" s="44"/>
      <c r="C435" s="44"/>
      <c r="D435" s="30"/>
      <c r="E435" s="30"/>
      <c r="F435" s="30"/>
      <c r="G435" s="30"/>
      <c r="H435" s="30"/>
      <c r="I435" s="30"/>
      <c r="J435" s="30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5.75" customHeight="1" x14ac:dyDescent="0.25">
      <c r="A436" s="44"/>
      <c r="B436" s="44"/>
      <c r="C436" s="44"/>
      <c r="D436" s="30"/>
      <c r="E436" s="30"/>
      <c r="F436" s="30"/>
      <c r="G436" s="30"/>
      <c r="H436" s="30"/>
      <c r="I436" s="30"/>
      <c r="J436" s="30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5.75" customHeight="1" x14ac:dyDescent="0.25">
      <c r="A437" s="44"/>
      <c r="B437" s="44"/>
      <c r="C437" s="44"/>
      <c r="D437" s="30"/>
      <c r="E437" s="30"/>
      <c r="F437" s="30"/>
      <c r="G437" s="30"/>
      <c r="H437" s="30"/>
      <c r="I437" s="30"/>
      <c r="J437" s="30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5.75" customHeight="1" x14ac:dyDescent="0.25">
      <c r="A438" s="44"/>
      <c r="B438" s="44"/>
      <c r="C438" s="44"/>
      <c r="D438" s="30"/>
      <c r="E438" s="30"/>
      <c r="F438" s="30"/>
      <c r="G438" s="30"/>
      <c r="H438" s="30"/>
      <c r="I438" s="30"/>
      <c r="J438" s="30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5.75" customHeight="1" x14ac:dyDescent="0.25">
      <c r="A439" s="44"/>
      <c r="B439" s="44"/>
      <c r="C439" s="44"/>
      <c r="D439" s="30"/>
      <c r="E439" s="30"/>
      <c r="F439" s="30"/>
      <c r="G439" s="30"/>
      <c r="H439" s="30"/>
      <c r="I439" s="30"/>
      <c r="J439" s="30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5.75" customHeight="1" x14ac:dyDescent="0.25">
      <c r="A440" s="44"/>
      <c r="B440" s="44"/>
      <c r="C440" s="44"/>
      <c r="D440" s="30"/>
      <c r="E440" s="30"/>
      <c r="F440" s="30"/>
      <c r="G440" s="30"/>
      <c r="H440" s="30"/>
      <c r="I440" s="30"/>
      <c r="J440" s="30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5.75" customHeight="1" x14ac:dyDescent="0.25">
      <c r="A441" s="44"/>
      <c r="B441" s="44"/>
      <c r="C441" s="44"/>
      <c r="D441" s="30"/>
      <c r="E441" s="30"/>
      <c r="F441" s="30"/>
      <c r="G441" s="30"/>
      <c r="H441" s="30"/>
      <c r="I441" s="30"/>
      <c r="J441" s="30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5.75" customHeight="1" x14ac:dyDescent="0.25">
      <c r="A442" s="44"/>
      <c r="B442" s="44"/>
      <c r="C442" s="44"/>
      <c r="D442" s="30"/>
      <c r="E442" s="30"/>
      <c r="F442" s="30"/>
      <c r="G442" s="30"/>
      <c r="H442" s="30"/>
      <c r="I442" s="30"/>
      <c r="J442" s="30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5.75" customHeight="1" x14ac:dyDescent="0.25">
      <c r="A443" s="44"/>
      <c r="B443" s="44"/>
      <c r="C443" s="44"/>
      <c r="D443" s="30"/>
      <c r="E443" s="30"/>
      <c r="F443" s="30"/>
      <c r="G443" s="30"/>
      <c r="H443" s="30"/>
      <c r="I443" s="30"/>
      <c r="J443" s="30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5.75" customHeight="1" x14ac:dyDescent="0.25">
      <c r="A444" s="44"/>
      <c r="B444" s="44"/>
      <c r="C444" s="44"/>
      <c r="D444" s="30"/>
      <c r="E444" s="30"/>
      <c r="F444" s="30"/>
      <c r="G444" s="30"/>
      <c r="H444" s="30"/>
      <c r="I444" s="30"/>
      <c r="J444" s="30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5.75" customHeight="1" x14ac:dyDescent="0.25">
      <c r="A445" s="44"/>
      <c r="B445" s="44"/>
      <c r="C445" s="44"/>
      <c r="D445" s="30"/>
      <c r="E445" s="30"/>
      <c r="F445" s="30"/>
      <c r="G445" s="30"/>
      <c r="H445" s="30"/>
      <c r="I445" s="30"/>
      <c r="J445" s="30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5.75" customHeight="1" x14ac:dyDescent="0.25">
      <c r="A446" s="44"/>
      <c r="B446" s="44"/>
      <c r="C446" s="44"/>
      <c r="D446" s="30"/>
      <c r="E446" s="30"/>
      <c r="F446" s="30"/>
      <c r="G446" s="30"/>
      <c r="H446" s="30"/>
      <c r="I446" s="30"/>
      <c r="J446" s="30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5.75" customHeight="1" x14ac:dyDescent="0.25">
      <c r="A447" s="44"/>
      <c r="B447" s="44"/>
      <c r="C447" s="44"/>
      <c r="D447" s="30"/>
      <c r="E447" s="30"/>
      <c r="F447" s="30"/>
      <c r="G447" s="30"/>
      <c r="H447" s="30"/>
      <c r="I447" s="30"/>
      <c r="J447" s="30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5.75" customHeight="1" x14ac:dyDescent="0.25">
      <c r="A448" s="44"/>
      <c r="B448" s="44"/>
      <c r="C448" s="44"/>
      <c r="D448" s="30"/>
      <c r="E448" s="30"/>
      <c r="F448" s="30"/>
      <c r="G448" s="30"/>
      <c r="H448" s="30"/>
      <c r="I448" s="30"/>
      <c r="J448" s="30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5.75" customHeight="1" x14ac:dyDescent="0.25">
      <c r="A449" s="44"/>
      <c r="B449" s="44"/>
      <c r="C449" s="44"/>
      <c r="D449" s="30"/>
      <c r="E449" s="30"/>
      <c r="F449" s="30"/>
      <c r="G449" s="30"/>
      <c r="H449" s="30"/>
      <c r="I449" s="30"/>
      <c r="J449" s="30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5.75" customHeight="1" x14ac:dyDescent="0.25">
      <c r="A450" s="44"/>
      <c r="B450" s="44"/>
      <c r="C450" s="44"/>
      <c r="D450" s="30"/>
      <c r="E450" s="30"/>
      <c r="F450" s="30"/>
      <c r="G450" s="30"/>
      <c r="H450" s="30"/>
      <c r="I450" s="30"/>
      <c r="J450" s="30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5.75" customHeight="1" x14ac:dyDescent="0.25">
      <c r="A451" s="44"/>
      <c r="B451" s="44"/>
      <c r="C451" s="44"/>
      <c r="D451" s="30"/>
      <c r="E451" s="30"/>
      <c r="F451" s="30"/>
      <c r="G451" s="30"/>
      <c r="H451" s="30"/>
      <c r="I451" s="30"/>
      <c r="J451" s="30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5.75" customHeight="1" x14ac:dyDescent="0.25">
      <c r="A452" s="44"/>
      <c r="B452" s="44"/>
      <c r="C452" s="44"/>
      <c r="D452" s="30"/>
      <c r="E452" s="30"/>
      <c r="F452" s="30"/>
      <c r="G452" s="30"/>
      <c r="H452" s="30"/>
      <c r="I452" s="30"/>
      <c r="J452" s="30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5.75" customHeight="1" x14ac:dyDescent="0.25">
      <c r="A453" s="44"/>
      <c r="B453" s="44"/>
      <c r="C453" s="44"/>
      <c r="D453" s="30"/>
      <c r="E453" s="30"/>
      <c r="F453" s="30"/>
      <c r="G453" s="30"/>
      <c r="H453" s="30"/>
      <c r="I453" s="30"/>
      <c r="J453" s="30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5.75" customHeight="1" x14ac:dyDescent="0.25">
      <c r="A454" s="44"/>
      <c r="B454" s="44"/>
      <c r="C454" s="44"/>
      <c r="D454" s="30"/>
      <c r="E454" s="30"/>
      <c r="F454" s="30"/>
      <c r="G454" s="30"/>
      <c r="H454" s="30"/>
      <c r="I454" s="30"/>
      <c r="J454" s="30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5.75" customHeight="1" x14ac:dyDescent="0.25">
      <c r="A455" s="44"/>
      <c r="B455" s="44"/>
      <c r="C455" s="44"/>
      <c r="D455" s="30"/>
      <c r="E455" s="30"/>
      <c r="F455" s="30"/>
      <c r="G455" s="30"/>
      <c r="H455" s="30"/>
      <c r="I455" s="30"/>
      <c r="J455" s="30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5.75" customHeight="1" x14ac:dyDescent="0.25">
      <c r="A456" s="44"/>
      <c r="B456" s="44"/>
      <c r="C456" s="44"/>
      <c r="D456" s="30"/>
      <c r="E456" s="30"/>
      <c r="F456" s="30"/>
      <c r="G456" s="30"/>
      <c r="H456" s="30"/>
      <c r="I456" s="30"/>
      <c r="J456" s="30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5.75" customHeight="1" x14ac:dyDescent="0.25">
      <c r="A457" s="44"/>
      <c r="B457" s="44"/>
      <c r="C457" s="44"/>
      <c r="D457" s="30"/>
      <c r="E457" s="30"/>
      <c r="F457" s="30"/>
      <c r="G457" s="30"/>
      <c r="H457" s="30"/>
      <c r="I457" s="30"/>
      <c r="J457" s="30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5.75" customHeight="1" x14ac:dyDescent="0.25">
      <c r="A458" s="44"/>
      <c r="B458" s="44"/>
      <c r="C458" s="44"/>
      <c r="D458" s="30"/>
      <c r="E458" s="30"/>
      <c r="F458" s="30"/>
      <c r="G458" s="30"/>
      <c r="H458" s="30"/>
      <c r="I458" s="30"/>
      <c r="J458" s="30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5.75" customHeight="1" x14ac:dyDescent="0.25">
      <c r="A459" s="44"/>
      <c r="B459" s="44"/>
      <c r="C459" s="44"/>
      <c r="D459" s="30"/>
      <c r="E459" s="30"/>
      <c r="F459" s="30"/>
      <c r="G459" s="30"/>
      <c r="H459" s="30"/>
      <c r="I459" s="30"/>
      <c r="J459" s="30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5.75" customHeight="1" x14ac:dyDescent="0.25">
      <c r="A460" s="44"/>
      <c r="B460" s="44"/>
      <c r="C460" s="44"/>
      <c r="D460" s="30"/>
      <c r="E460" s="30"/>
      <c r="F460" s="30"/>
      <c r="G460" s="30"/>
      <c r="H460" s="30"/>
      <c r="I460" s="30"/>
      <c r="J460" s="30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5.75" customHeight="1" x14ac:dyDescent="0.25">
      <c r="A461" s="44"/>
      <c r="B461" s="44"/>
      <c r="C461" s="44"/>
      <c r="D461" s="30"/>
      <c r="E461" s="30"/>
      <c r="F461" s="30"/>
      <c r="G461" s="30"/>
      <c r="H461" s="30"/>
      <c r="I461" s="30"/>
      <c r="J461" s="30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5.75" customHeight="1" x14ac:dyDescent="0.25">
      <c r="A462" s="44"/>
      <c r="B462" s="44"/>
      <c r="C462" s="44"/>
      <c r="D462" s="30"/>
      <c r="E462" s="30"/>
      <c r="F462" s="30"/>
      <c r="G462" s="30"/>
      <c r="H462" s="30"/>
      <c r="I462" s="30"/>
      <c r="J462" s="30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5.75" customHeight="1" x14ac:dyDescent="0.25">
      <c r="A463" s="44"/>
      <c r="B463" s="44"/>
      <c r="C463" s="44"/>
      <c r="D463" s="30"/>
      <c r="E463" s="30"/>
      <c r="F463" s="30"/>
      <c r="G463" s="30"/>
      <c r="H463" s="30"/>
      <c r="I463" s="30"/>
      <c r="J463" s="30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5.75" customHeight="1" x14ac:dyDescent="0.25">
      <c r="A464" s="44"/>
      <c r="B464" s="44"/>
      <c r="C464" s="44"/>
      <c r="D464" s="30"/>
      <c r="E464" s="30"/>
      <c r="F464" s="30"/>
      <c r="G464" s="30"/>
      <c r="H464" s="30"/>
      <c r="I464" s="30"/>
      <c r="J464" s="30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5.75" customHeight="1" x14ac:dyDescent="0.25">
      <c r="A465" s="44"/>
      <c r="B465" s="44"/>
      <c r="C465" s="44"/>
      <c r="D465" s="30"/>
      <c r="E465" s="30"/>
      <c r="F465" s="30"/>
      <c r="G465" s="30"/>
      <c r="H465" s="30"/>
      <c r="I465" s="30"/>
      <c r="J465" s="30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5.75" customHeight="1" x14ac:dyDescent="0.25">
      <c r="A466" s="44"/>
      <c r="B466" s="44"/>
      <c r="C466" s="44"/>
      <c r="D466" s="30"/>
      <c r="E466" s="30"/>
      <c r="F466" s="30"/>
      <c r="G466" s="30"/>
      <c r="H466" s="30"/>
      <c r="I466" s="30"/>
      <c r="J466" s="30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5.75" customHeight="1" x14ac:dyDescent="0.25">
      <c r="A467" s="44"/>
      <c r="B467" s="44"/>
      <c r="C467" s="44"/>
      <c r="D467" s="30"/>
      <c r="E467" s="30"/>
      <c r="F467" s="30"/>
      <c r="G467" s="30"/>
      <c r="H467" s="30"/>
      <c r="I467" s="30"/>
      <c r="J467" s="30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5.75" customHeight="1" x14ac:dyDescent="0.25">
      <c r="A468" s="44"/>
      <c r="B468" s="44"/>
      <c r="C468" s="44"/>
      <c r="D468" s="30"/>
      <c r="E468" s="30"/>
      <c r="F468" s="30"/>
      <c r="G468" s="30"/>
      <c r="H468" s="30"/>
      <c r="I468" s="30"/>
      <c r="J468" s="30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5.75" customHeight="1" x14ac:dyDescent="0.25">
      <c r="A469" s="44"/>
      <c r="B469" s="44"/>
      <c r="C469" s="44"/>
      <c r="D469" s="30"/>
      <c r="E469" s="30"/>
      <c r="F469" s="30"/>
      <c r="G469" s="30"/>
      <c r="H469" s="30"/>
      <c r="I469" s="30"/>
      <c r="J469" s="30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5.75" customHeight="1" x14ac:dyDescent="0.25">
      <c r="A470" s="44"/>
      <c r="B470" s="44"/>
      <c r="C470" s="44"/>
      <c r="D470" s="30"/>
      <c r="E470" s="30"/>
      <c r="F470" s="30"/>
      <c r="G470" s="30"/>
      <c r="H470" s="30"/>
      <c r="I470" s="30"/>
      <c r="J470" s="30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5.75" customHeight="1" x14ac:dyDescent="0.25">
      <c r="A471" s="44"/>
      <c r="B471" s="44"/>
      <c r="C471" s="44"/>
      <c r="D471" s="30"/>
      <c r="E471" s="30"/>
      <c r="F471" s="30"/>
      <c r="G471" s="30"/>
      <c r="H471" s="30"/>
      <c r="I471" s="30"/>
      <c r="J471" s="30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5.75" customHeight="1" x14ac:dyDescent="0.25">
      <c r="A472" s="44"/>
      <c r="B472" s="44"/>
      <c r="C472" s="44"/>
      <c r="D472" s="30"/>
      <c r="E472" s="30"/>
      <c r="F472" s="30"/>
      <c r="G472" s="30"/>
      <c r="H472" s="30"/>
      <c r="I472" s="30"/>
      <c r="J472" s="30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5.75" customHeight="1" x14ac:dyDescent="0.25">
      <c r="A473" s="44"/>
      <c r="B473" s="44"/>
      <c r="C473" s="44"/>
      <c r="D473" s="30"/>
      <c r="E473" s="30"/>
      <c r="F473" s="30"/>
      <c r="G473" s="30"/>
      <c r="H473" s="30"/>
      <c r="I473" s="30"/>
      <c r="J473" s="30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5.75" customHeight="1" x14ac:dyDescent="0.25">
      <c r="A474" s="44"/>
      <c r="B474" s="44"/>
      <c r="C474" s="44"/>
      <c r="D474" s="30"/>
      <c r="E474" s="30"/>
      <c r="F474" s="30"/>
      <c r="G474" s="30"/>
      <c r="H474" s="30"/>
      <c r="I474" s="30"/>
      <c r="J474" s="30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5.75" customHeight="1" x14ac:dyDescent="0.25">
      <c r="A475" s="44"/>
      <c r="B475" s="44"/>
      <c r="C475" s="44"/>
      <c r="D475" s="30"/>
      <c r="E475" s="30"/>
      <c r="F475" s="30"/>
      <c r="G475" s="30"/>
      <c r="H475" s="30"/>
      <c r="I475" s="30"/>
      <c r="J475" s="30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5.75" customHeight="1" x14ac:dyDescent="0.25">
      <c r="A476" s="44"/>
      <c r="B476" s="44"/>
      <c r="C476" s="44"/>
      <c r="D476" s="30"/>
      <c r="E476" s="30"/>
      <c r="F476" s="30"/>
      <c r="G476" s="30"/>
      <c r="H476" s="30"/>
      <c r="I476" s="30"/>
      <c r="J476" s="30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5.75" customHeight="1" x14ac:dyDescent="0.25">
      <c r="A477" s="44"/>
      <c r="B477" s="44"/>
      <c r="C477" s="44"/>
      <c r="D477" s="30"/>
      <c r="E477" s="30"/>
      <c r="F477" s="30"/>
      <c r="G477" s="30"/>
      <c r="H477" s="30"/>
      <c r="I477" s="30"/>
      <c r="J477" s="30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5.75" customHeight="1" x14ac:dyDescent="0.25">
      <c r="A478" s="44"/>
      <c r="B478" s="44"/>
      <c r="C478" s="44"/>
      <c r="D478" s="30"/>
      <c r="E478" s="30"/>
      <c r="F478" s="30"/>
      <c r="G478" s="30"/>
      <c r="H478" s="30"/>
      <c r="I478" s="30"/>
      <c r="J478" s="30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5.75" customHeight="1" x14ac:dyDescent="0.25">
      <c r="A479" s="44"/>
      <c r="B479" s="44"/>
      <c r="C479" s="44"/>
      <c r="D479" s="30"/>
      <c r="E479" s="30"/>
      <c r="F479" s="30"/>
      <c r="G479" s="30"/>
      <c r="H479" s="30"/>
      <c r="I479" s="30"/>
      <c r="J479" s="30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5.75" customHeight="1" x14ac:dyDescent="0.25">
      <c r="A480" s="44"/>
      <c r="B480" s="44"/>
      <c r="C480" s="44"/>
      <c r="D480" s="30"/>
      <c r="E480" s="30"/>
      <c r="F480" s="30"/>
      <c r="G480" s="30"/>
      <c r="H480" s="30"/>
      <c r="I480" s="30"/>
      <c r="J480" s="30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5.75" customHeight="1" x14ac:dyDescent="0.25">
      <c r="A481" s="44"/>
      <c r="B481" s="44"/>
      <c r="C481" s="44"/>
      <c r="D481" s="30"/>
      <c r="E481" s="30"/>
      <c r="F481" s="30"/>
      <c r="G481" s="30"/>
      <c r="H481" s="30"/>
      <c r="I481" s="30"/>
      <c r="J481" s="30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5.75" customHeight="1" x14ac:dyDescent="0.25">
      <c r="A482" s="44"/>
      <c r="B482" s="44"/>
      <c r="C482" s="44"/>
      <c r="D482" s="30"/>
      <c r="E482" s="30"/>
      <c r="F482" s="30"/>
      <c r="G482" s="30"/>
      <c r="H482" s="30"/>
      <c r="I482" s="30"/>
      <c r="J482" s="30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5.75" customHeight="1" x14ac:dyDescent="0.25">
      <c r="A483" s="44"/>
      <c r="B483" s="44"/>
      <c r="C483" s="44"/>
      <c r="D483" s="30"/>
      <c r="E483" s="30"/>
      <c r="F483" s="30"/>
      <c r="G483" s="30"/>
      <c r="H483" s="30"/>
      <c r="I483" s="30"/>
      <c r="J483" s="30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5.75" customHeight="1" x14ac:dyDescent="0.25">
      <c r="A484" s="44"/>
      <c r="B484" s="44"/>
      <c r="C484" s="44"/>
      <c r="D484" s="30"/>
      <c r="E484" s="30"/>
      <c r="F484" s="30"/>
      <c r="G484" s="30"/>
      <c r="H484" s="30"/>
      <c r="I484" s="30"/>
      <c r="J484" s="30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5.75" customHeight="1" x14ac:dyDescent="0.25">
      <c r="A485" s="44"/>
      <c r="B485" s="44"/>
      <c r="C485" s="44"/>
      <c r="D485" s="30"/>
      <c r="E485" s="30"/>
      <c r="F485" s="30"/>
      <c r="G485" s="30"/>
      <c r="H485" s="30"/>
      <c r="I485" s="30"/>
      <c r="J485" s="30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5.75" customHeight="1" x14ac:dyDescent="0.25">
      <c r="A486" s="44"/>
      <c r="B486" s="44"/>
      <c r="C486" s="44"/>
      <c r="D486" s="30"/>
      <c r="E486" s="30"/>
      <c r="F486" s="30"/>
      <c r="G486" s="30"/>
      <c r="H486" s="30"/>
      <c r="I486" s="30"/>
      <c r="J486" s="30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5.75" customHeight="1" x14ac:dyDescent="0.25">
      <c r="A487" s="44"/>
      <c r="B487" s="44"/>
      <c r="C487" s="44"/>
      <c r="D487" s="30"/>
      <c r="E487" s="30"/>
      <c r="F487" s="30"/>
      <c r="G487" s="30"/>
      <c r="H487" s="30"/>
      <c r="I487" s="30"/>
      <c r="J487" s="30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5.75" customHeight="1" x14ac:dyDescent="0.25">
      <c r="A488" s="44"/>
      <c r="B488" s="44"/>
      <c r="C488" s="44"/>
      <c r="D488" s="30"/>
      <c r="E488" s="30"/>
      <c r="F488" s="30"/>
      <c r="G488" s="30"/>
      <c r="H488" s="30"/>
      <c r="I488" s="30"/>
      <c r="J488" s="30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5.75" customHeight="1" x14ac:dyDescent="0.25">
      <c r="A489" s="44"/>
      <c r="B489" s="44"/>
      <c r="C489" s="44"/>
      <c r="D489" s="30"/>
      <c r="E489" s="30"/>
      <c r="F489" s="30"/>
      <c r="G489" s="30"/>
      <c r="H489" s="30"/>
      <c r="I489" s="30"/>
      <c r="J489" s="30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5.75" customHeight="1" x14ac:dyDescent="0.25">
      <c r="A490" s="44"/>
      <c r="B490" s="44"/>
      <c r="C490" s="44"/>
      <c r="D490" s="30"/>
      <c r="E490" s="30"/>
      <c r="F490" s="30"/>
      <c r="G490" s="30"/>
      <c r="H490" s="30"/>
      <c r="I490" s="30"/>
      <c r="J490" s="30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5.75" customHeight="1" x14ac:dyDescent="0.25">
      <c r="A491" s="44"/>
      <c r="B491" s="44"/>
      <c r="C491" s="44"/>
      <c r="D491" s="30"/>
      <c r="E491" s="30"/>
      <c r="F491" s="30"/>
      <c r="G491" s="30"/>
      <c r="H491" s="30"/>
      <c r="I491" s="30"/>
      <c r="J491" s="30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5.75" customHeight="1" x14ac:dyDescent="0.25">
      <c r="A492" s="44"/>
      <c r="B492" s="44"/>
      <c r="C492" s="44"/>
      <c r="D492" s="30"/>
      <c r="E492" s="30"/>
      <c r="F492" s="30"/>
      <c r="G492" s="30"/>
      <c r="H492" s="30"/>
      <c r="I492" s="30"/>
      <c r="J492" s="30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5.75" customHeight="1" x14ac:dyDescent="0.25">
      <c r="A493" s="44"/>
      <c r="B493" s="44"/>
      <c r="C493" s="44"/>
      <c r="D493" s="30"/>
      <c r="E493" s="30"/>
      <c r="F493" s="30"/>
      <c r="G493" s="30"/>
      <c r="H493" s="30"/>
      <c r="I493" s="30"/>
      <c r="J493" s="30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5.75" customHeight="1" x14ac:dyDescent="0.25">
      <c r="A494" s="44"/>
      <c r="B494" s="44"/>
      <c r="C494" s="44"/>
      <c r="D494" s="30"/>
      <c r="E494" s="30"/>
      <c r="F494" s="30"/>
      <c r="G494" s="30"/>
      <c r="H494" s="30"/>
      <c r="I494" s="30"/>
      <c r="J494" s="30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5.75" customHeight="1" x14ac:dyDescent="0.25">
      <c r="A495" s="44"/>
      <c r="B495" s="44"/>
      <c r="C495" s="44"/>
      <c r="D495" s="30"/>
      <c r="E495" s="30"/>
      <c r="F495" s="30"/>
      <c r="G495" s="30"/>
      <c r="H495" s="30"/>
      <c r="I495" s="30"/>
      <c r="J495" s="30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5.75" customHeight="1" x14ac:dyDescent="0.25">
      <c r="A496" s="44"/>
      <c r="B496" s="44"/>
      <c r="C496" s="44"/>
      <c r="D496" s="30"/>
      <c r="E496" s="30"/>
      <c r="F496" s="30"/>
      <c r="G496" s="30"/>
      <c r="H496" s="30"/>
      <c r="I496" s="30"/>
      <c r="J496" s="30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5.75" customHeight="1" x14ac:dyDescent="0.25">
      <c r="A497" s="44"/>
      <c r="B497" s="44"/>
      <c r="C497" s="44"/>
      <c r="D497" s="30"/>
      <c r="E497" s="30"/>
      <c r="F497" s="30"/>
      <c r="G497" s="30"/>
      <c r="H497" s="30"/>
      <c r="I497" s="30"/>
      <c r="J497" s="30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5.75" customHeight="1" x14ac:dyDescent="0.25">
      <c r="A498" s="44"/>
      <c r="B498" s="44"/>
      <c r="C498" s="44"/>
      <c r="D498" s="30"/>
      <c r="E498" s="30"/>
      <c r="F498" s="30"/>
      <c r="G498" s="30"/>
      <c r="H498" s="30"/>
      <c r="I498" s="30"/>
      <c r="J498" s="30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5.75" customHeight="1" x14ac:dyDescent="0.25">
      <c r="A499" s="44"/>
      <c r="B499" s="44"/>
      <c r="C499" s="44"/>
      <c r="D499" s="30"/>
      <c r="E499" s="30"/>
      <c r="F499" s="30"/>
      <c r="G499" s="30"/>
      <c r="H499" s="30"/>
      <c r="I499" s="30"/>
      <c r="J499" s="30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5.75" customHeight="1" x14ac:dyDescent="0.25">
      <c r="A500" s="44"/>
      <c r="B500" s="44"/>
      <c r="C500" s="44"/>
      <c r="D500" s="30"/>
      <c r="E500" s="30"/>
      <c r="F500" s="30"/>
      <c r="G500" s="30"/>
      <c r="H500" s="30"/>
      <c r="I500" s="30"/>
      <c r="J500" s="30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5.75" customHeight="1" x14ac:dyDescent="0.25">
      <c r="A501" s="44"/>
      <c r="B501" s="44"/>
      <c r="C501" s="44"/>
      <c r="D501" s="30"/>
      <c r="E501" s="30"/>
      <c r="F501" s="30"/>
      <c r="G501" s="30"/>
      <c r="H501" s="30"/>
      <c r="I501" s="30"/>
      <c r="J501" s="30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5.75" customHeight="1" x14ac:dyDescent="0.25">
      <c r="A502" s="44"/>
      <c r="B502" s="44"/>
      <c r="C502" s="44"/>
      <c r="D502" s="30"/>
      <c r="E502" s="30"/>
      <c r="F502" s="30"/>
      <c r="G502" s="30"/>
      <c r="H502" s="30"/>
      <c r="I502" s="30"/>
      <c r="J502" s="30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5.75" customHeight="1" x14ac:dyDescent="0.25">
      <c r="A503" s="44"/>
      <c r="B503" s="44"/>
      <c r="C503" s="44"/>
      <c r="D503" s="30"/>
      <c r="E503" s="30"/>
      <c r="F503" s="30"/>
      <c r="G503" s="30"/>
      <c r="H503" s="30"/>
      <c r="I503" s="30"/>
      <c r="J503" s="30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5.75" customHeight="1" x14ac:dyDescent="0.25">
      <c r="A504" s="44"/>
      <c r="B504" s="44"/>
      <c r="C504" s="44"/>
      <c r="D504" s="30"/>
      <c r="E504" s="30"/>
      <c r="F504" s="30"/>
      <c r="G504" s="30"/>
      <c r="H504" s="30"/>
      <c r="I504" s="30"/>
      <c r="J504" s="30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5.75" customHeight="1" x14ac:dyDescent="0.25">
      <c r="A505" s="44"/>
      <c r="B505" s="44"/>
      <c r="C505" s="44"/>
      <c r="D505" s="30"/>
      <c r="E505" s="30"/>
      <c r="F505" s="30"/>
      <c r="G505" s="30"/>
      <c r="H505" s="30"/>
      <c r="I505" s="30"/>
      <c r="J505" s="30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5.75" customHeight="1" x14ac:dyDescent="0.25">
      <c r="A506" s="44"/>
      <c r="B506" s="44"/>
      <c r="C506" s="44"/>
      <c r="D506" s="30"/>
      <c r="E506" s="30"/>
      <c r="F506" s="30"/>
      <c r="G506" s="30"/>
      <c r="H506" s="30"/>
      <c r="I506" s="30"/>
      <c r="J506" s="30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5.75" customHeight="1" x14ac:dyDescent="0.25">
      <c r="A507" s="44"/>
      <c r="B507" s="44"/>
      <c r="C507" s="44"/>
      <c r="D507" s="30"/>
      <c r="E507" s="30"/>
      <c r="F507" s="30"/>
      <c r="G507" s="30"/>
      <c r="H507" s="30"/>
      <c r="I507" s="30"/>
      <c r="J507" s="30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5.75" customHeight="1" x14ac:dyDescent="0.25">
      <c r="A508" s="44"/>
      <c r="B508" s="44"/>
      <c r="C508" s="44"/>
      <c r="D508" s="30"/>
      <c r="E508" s="30"/>
      <c r="F508" s="30"/>
      <c r="G508" s="30"/>
      <c r="H508" s="30"/>
      <c r="I508" s="30"/>
      <c r="J508" s="30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5.75" customHeight="1" x14ac:dyDescent="0.25">
      <c r="A509" s="44"/>
      <c r="B509" s="44"/>
      <c r="C509" s="44"/>
      <c r="D509" s="30"/>
      <c r="E509" s="30"/>
      <c r="F509" s="30"/>
      <c r="G509" s="30"/>
      <c r="H509" s="30"/>
      <c r="I509" s="30"/>
      <c r="J509" s="30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5.75" customHeight="1" x14ac:dyDescent="0.25">
      <c r="A510" s="44"/>
      <c r="B510" s="44"/>
      <c r="C510" s="44"/>
      <c r="D510" s="30"/>
      <c r="E510" s="30"/>
      <c r="F510" s="30"/>
      <c r="G510" s="30"/>
      <c r="H510" s="30"/>
      <c r="I510" s="30"/>
      <c r="J510" s="30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5.75" customHeight="1" x14ac:dyDescent="0.25">
      <c r="A511" s="44"/>
      <c r="B511" s="44"/>
      <c r="C511" s="44"/>
      <c r="D511" s="30"/>
      <c r="E511" s="30"/>
      <c r="F511" s="30"/>
      <c r="G511" s="30"/>
      <c r="H511" s="30"/>
      <c r="I511" s="30"/>
      <c r="J511" s="30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5.75" customHeight="1" x14ac:dyDescent="0.25">
      <c r="A512" s="44"/>
      <c r="B512" s="44"/>
      <c r="C512" s="44"/>
      <c r="D512" s="30"/>
      <c r="E512" s="30"/>
      <c r="F512" s="30"/>
      <c r="G512" s="30"/>
      <c r="H512" s="30"/>
      <c r="I512" s="30"/>
      <c r="J512" s="30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5.75" customHeight="1" x14ac:dyDescent="0.25">
      <c r="A513" s="44"/>
      <c r="B513" s="44"/>
      <c r="C513" s="44"/>
      <c r="D513" s="30"/>
      <c r="E513" s="30"/>
      <c r="F513" s="30"/>
      <c r="G513" s="30"/>
      <c r="H513" s="30"/>
      <c r="I513" s="30"/>
      <c r="J513" s="30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5.75" customHeight="1" x14ac:dyDescent="0.25">
      <c r="A514" s="44"/>
      <c r="B514" s="44"/>
      <c r="C514" s="44"/>
      <c r="D514" s="30"/>
      <c r="E514" s="30"/>
      <c r="F514" s="30"/>
      <c r="G514" s="30"/>
      <c r="H514" s="30"/>
      <c r="I514" s="30"/>
      <c r="J514" s="30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5.75" customHeight="1" x14ac:dyDescent="0.25">
      <c r="A515" s="44"/>
      <c r="B515" s="44"/>
      <c r="C515" s="44"/>
      <c r="D515" s="30"/>
      <c r="E515" s="30"/>
      <c r="F515" s="30"/>
      <c r="G515" s="30"/>
      <c r="H515" s="30"/>
      <c r="I515" s="30"/>
      <c r="J515" s="30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5.75" customHeight="1" x14ac:dyDescent="0.25">
      <c r="A516" s="44"/>
      <c r="B516" s="44"/>
      <c r="C516" s="44"/>
      <c r="D516" s="30"/>
      <c r="E516" s="30"/>
      <c r="F516" s="30"/>
      <c r="G516" s="30"/>
      <c r="H516" s="30"/>
      <c r="I516" s="30"/>
      <c r="J516" s="30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5.75" customHeight="1" x14ac:dyDescent="0.25">
      <c r="A517" s="44"/>
      <c r="B517" s="44"/>
      <c r="C517" s="44"/>
      <c r="D517" s="30"/>
      <c r="E517" s="30"/>
      <c r="F517" s="30"/>
      <c r="G517" s="30"/>
      <c r="H517" s="30"/>
      <c r="I517" s="30"/>
      <c r="J517" s="30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5.75" customHeight="1" x14ac:dyDescent="0.25">
      <c r="A518" s="44"/>
      <c r="B518" s="44"/>
      <c r="C518" s="44"/>
      <c r="D518" s="30"/>
      <c r="E518" s="30"/>
      <c r="F518" s="30"/>
      <c r="G518" s="30"/>
      <c r="H518" s="30"/>
      <c r="I518" s="30"/>
      <c r="J518" s="30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5.75" customHeight="1" x14ac:dyDescent="0.25">
      <c r="A519" s="44"/>
      <c r="B519" s="44"/>
      <c r="C519" s="44"/>
      <c r="D519" s="30"/>
      <c r="E519" s="30"/>
      <c r="F519" s="30"/>
      <c r="G519" s="30"/>
      <c r="H519" s="30"/>
      <c r="I519" s="30"/>
      <c r="J519" s="30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5.75" customHeight="1" x14ac:dyDescent="0.25">
      <c r="A520" s="44"/>
      <c r="B520" s="44"/>
      <c r="C520" s="44"/>
      <c r="D520" s="30"/>
      <c r="E520" s="30"/>
      <c r="F520" s="30"/>
      <c r="G520" s="30"/>
      <c r="H520" s="30"/>
      <c r="I520" s="30"/>
      <c r="J520" s="30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5.75" customHeight="1" x14ac:dyDescent="0.25">
      <c r="A521" s="44"/>
      <c r="B521" s="44"/>
      <c r="C521" s="44"/>
      <c r="D521" s="30"/>
      <c r="E521" s="30"/>
      <c r="F521" s="30"/>
      <c r="G521" s="30"/>
      <c r="H521" s="30"/>
      <c r="I521" s="30"/>
      <c r="J521" s="30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5.75" customHeight="1" x14ac:dyDescent="0.25">
      <c r="A522" s="44"/>
      <c r="B522" s="44"/>
      <c r="C522" s="44"/>
      <c r="D522" s="30"/>
      <c r="E522" s="30"/>
      <c r="F522" s="30"/>
      <c r="G522" s="30"/>
      <c r="H522" s="30"/>
      <c r="I522" s="30"/>
      <c r="J522" s="30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5.75" customHeight="1" x14ac:dyDescent="0.25">
      <c r="A523" s="44"/>
      <c r="B523" s="44"/>
      <c r="C523" s="44"/>
      <c r="D523" s="30"/>
      <c r="E523" s="30"/>
      <c r="F523" s="30"/>
      <c r="G523" s="30"/>
      <c r="H523" s="30"/>
      <c r="I523" s="30"/>
      <c r="J523" s="30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5.75" customHeight="1" x14ac:dyDescent="0.25">
      <c r="A524" s="44"/>
      <c r="B524" s="44"/>
      <c r="C524" s="44"/>
      <c r="D524" s="30"/>
      <c r="E524" s="30"/>
      <c r="F524" s="30"/>
      <c r="G524" s="30"/>
      <c r="H524" s="30"/>
      <c r="I524" s="30"/>
      <c r="J524" s="30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5.75" customHeight="1" x14ac:dyDescent="0.25">
      <c r="A525" s="44"/>
      <c r="B525" s="44"/>
      <c r="C525" s="44"/>
      <c r="D525" s="30"/>
      <c r="E525" s="30"/>
      <c r="F525" s="30"/>
      <c r="G525" s="30"/>
      <c r="H525" s="30"/>
      <c r="I525" s="30"/>
      <c r="J525" s="30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5.75" customHeight="1" x14ac:dyDescent="0.25">
      <c r="A526" s="44"/>
      <c r="B526" s="44"/>
      <c r="C526" s="44"/>
      <c r="D526" s="30"/>
      <c r="E526" s="30"/>
      <c r="F526" s="30"/>
      <c r="G526" s="30"/>
      <c r="H526" s="30"/>
      <c r="I526" s="30"/>
      <c r="J526" s="30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5.75" customHeight="1" x14ac:dyDescent="0.25">
      <c r="A527" s="44"/>
      <c r="B527" s="44"/>
      <c r="C527" s="44"/>
      <c r="D527" s="30"/>
      <c r="E527" s="30"/>
      <c r="F527" s="30"/>
      <c r="G527" s="30"/>
      <c r="H527" s="30"/>
      <c r="I527" s="30"/>
      <c r="J527" s="30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5.75" customHeight="1" x14ac:dyDescent="0.25">
      <c r="A528" s="44"/>
      <c r="B528" s="44"/>
      <c r="C528" s="44"/>
      <c r="D528" s="30"/>
      <c r="E528" s="30"/>
      <c r="F528" s="30"/>
      <c r="G528" s="30"/>
      <c r="H528" s="30"/>
      <c r="I528" s="30"/>
      <c r="J528" s="30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5.75" customHeight="1" x14ac:dyDescent="0.25">
      <c r="A529" s="44"/>
      <c r="B529" s="44"/>
      <c r="C529" s="44"/>
      <c r="D529" s="30"/>
      <c r="E529" s="30"/>
      <c r="F529" s="30"/>
      <c r="G529" s="30"/>
      <c r="H529" s="30"/>
      <c r="I529" s="30"/>
      <c r="J529" s="30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5.75" customHeight="1" x14ac:dyDescent="0.25">
      <c r="A530" s="44"/>
      <c r="B530" s="44"/>
      <c r="C530" s="44"/>
      <c r="D530" s="30"/>
      <c r="E530" s="30"/>
      <c r="F530" s="30"/>
      <c r="G530" s="30"/>
      <c r="H530" s="30"/>
      <c r="I530" s="30"/>
      <c r="J530" s="30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5.75" customHeight="1" x14ac:dyDescent="0.25">
      <c r="A531" s="44"/>
      <c r="B531" s="44"/>
      <c r="C531" s="44"/>
      <c r="D531" s="30"/>
      <c r="E531" s="30"/>
      <c r="F531" s="30"/>
      <c r="G531" s="30"/>
      <c r="H531" s="30"/>
      <c r="I531" s="30"/>
      <c r="J531" s="30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5.75" customHeight="1" x14ac:dyDescent="0.25">
      <c r="A532" s="44"/>
      <c r="B532" s="44"/>
      <c r="C532" s="44"/>
      <c r="D532" s="30"/>
      <c r="E532" s="30"/>
      <c r="F532" s="30"/>
      <c r="G532" s="30"/>
      <c r="H532" s="30"/>
      <c r="I532" s="30"/>
      <c r="J532" s="30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5.75" customHeight="1" x14ac:dyDescent="0.25">
      <c r="A533" s="44"/>
      <c r="B533" s="44"/>
      <c r="C533" s="44"/>
      <c r="D533" s="30"/>
      <c r="E533" s="30"/>
      <c r="F533" s="30"/>
      <c r="G533" s="30"/>
      <c r="H533" s="30"/>
      <c r="I533" s="30"/>
      <c r="J533" s="30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5.75" customHeight="1" x14ac:dyDescent="0.2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5.75" customHeight="1" x14ac:dyDescent="0.2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5.75" customHeight="1" x14ac:dyDescent="0.2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5.75" customHeight="1" x14ac:dyDescent="0.2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5.75" customHeight="1" x14ac:dyDescent="0.2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5.75" customHeight="1" x14ac:dyDescent="0.2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5.75" customHeight="1" x14ac:dyDescent="0.2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5.75" customHeight="1" x14ac:dyDescent="0.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5.75" customHeight="1" x14ac:dyDescent="0.2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5.75" customHeight="1" x14ac:dyDescent="0.2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5.75" customHeight="1" x14ac:dyDescent="0.2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5.75" customHeight="1" x14ac:dyDescent="0.2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5.75" customHeight="1" x14ac:dyDescent="0.2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5.75" customHeight="1" x14ac:dyDescent="0.2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5.75" customHeight="1" x14ac:dyDescent="0.2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5.75" customHeight="1" x14ac:dyDescent="0.2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5.75" customHeight="1" x14ac:dyDescent="0.2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5.75" customHeight="1" x14ac:dyDescent="0.2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5.75" customHeight="1" x14ac:dyDescent="0.2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5.75" customHeight="1" x14ac:dyDescent="0.2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5.75" customHeight="1" x14ac:dyDescent="0.2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5.75" customHeight="1" x14ac:dyDescent="0.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5.75" customHeight="1" x14ac:dyDescent="0.2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5.75" customHeight="1" x14ac:dyDescent="0.2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5.75" customHeight="1" x14ac:dyDescent="0.2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5.75" customHeight="1" x14ac:dyDescent="0.2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5.75" customHeight="1" x14ac:dyDescent="0.2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5.75" customHeight="1" x14ac:dyDescent="0.2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5.75" customHeight="1" x14ac:dyDescent="0.2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5.75" customHeight="1" x14ac:dyDescent="0.2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5.75" customHeight="1" x14ac:dyDescent="0.2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5.75" customHeight="1" x14ac:dyDescent="0.2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5.75" customHeight="1" x14ac:dyDescent="0.2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5.75" customHeight="1" x14ac:dyDescent="0.2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5.75" customHeight="1" x14ac:dyDescent="0.2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5.75" customHeight="1" x14ac:dyDescent="0.2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5.75" customHeight="1" x14ac:dyDescent="0.2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5.75" customHeight="1" x14ac:dyDescent="0.2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5.75" customHeight="1" x14ac:dyDescent="0.2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5.75" customHeight="1" x14ac:dyDescent="0.2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5.75" customHeight="1" x14ac:dyDescent="0.2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5.75" customHeight="1" x14ac:dyDescent="0.2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5.75" customHeight="1" x14ac:dyDescent="0.2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5.75" customHeight="1" x14ac:dyDescent="0.2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5.75" customHeight="1" x14ac:dyDescent="0.2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5.75" customHeight="1" x14ac:dyDescent="0.2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5.75" customHeight="1" x14ac:dyDescent="0.2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5.75" customHeight="1" x14ac:dyDescent="0.2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5.75" customHeight="1" x14ac:dyDescent="0.2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5.75" customHeight="1" x14ac:dyDescent="0.2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5.75" customHeight="1" x14ac:dyDescent="0.2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5.75" customHeight="1" x14ac:dyDescent="0.2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5.75" customHeight="1" x14ac:dyDescent="0.2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5.75" customHeight="1" x14ac:dyDescent="0.2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5.75" customHeight="1" x14ac:dyDescent="0.2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5.75" customHeight="1" x14ac:dyDescent="0.2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5.75" customHeight="1" x14ac:dyDescent="0.2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5.75" customHeight="1" x14ac:dyDescent="0.2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5.75" customHeight="1" x14ac:dyDescent="0.2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5.75" customHeight="1" x14ac:dyDescent="0.2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5.75" customHeight="1" x14ac:dyDescent="0.2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5.75" customHeight="1" x14ac:dyDescent="0.2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5.75" customHeight="1" x14ac:dyDescent="0.2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5.75" customHeight="1" x14ac:dyDescent="0.2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5.75" customHeight="1" x14ac:dyDescent="0.2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5.75" customHeight="1" x14ac:dyDescent="0.2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5.75" customHeight="1" x14ac:dyDescent="0.2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5.75" customHeight="1" x14ac:dyDescent="0.2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5.75" customHeight="1" x14ac:dyDescent="0.2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5.75" customHeight="1" x14ac:dyDescent="0.2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5.75" customHeight="1" x14ac:dyDescent="0.2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5.75" customHeight="1" x14ac:dyDescent="0.2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5.75" customHeight="1" x14ac:dyDescent="0.2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5.75" customHeight="1" x14ac:dyDescent="0.2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5.75" customHeight="1" x14ac:dyDescent="0.2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5.75" customHeight="1" x14ac:dyDescent="0.2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5.75" customHeight="1" x14ac:dyDescent="0.2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5.75" customHeight="1" x14ac:dyDescent="0.2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5.75" customHeight="1" x14ac:dyDescent="0.2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5.75" customHeight="1" x14ac:dyDescent="0.2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5.75" customHeight="1" x14ac:dyDescent="0.2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5.75" customHeight="1" x14ac:dyDescent="0.2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5.75" customHeight="1" x14ac:dyDescent="0.2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5.75" customHeight="1" x14ac:dyDescent="0.2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5.75" customHeight="1" x14ac:dyDescent="0.2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5.75" customHeight="1" x14ac:dyDescent="0.2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5.75" customHeight="1" x14ac:dyDescent="0.2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5.75" customHeight="1" x14ac:dyDescent="0.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5.75" customHeight="1" x14ac:dyDescent="0.2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5.75" customHeight="1" x14ac:dyDescent="0.2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5.75" customHeight="1" x14ac:dyDescent="0.2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5.75" customHeight="1" x14ac:dyDescent="0.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5.75" customHeight="1" x14ac:dyDescent="0.2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5.75" customHeight="1" x14ac:dyDescent="0.2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5.75" customHeight="1" x14ac:dyDescent="0.2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5.75" customHeight="1" x14ac:dyDescent="0.2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5.75" customHeight="1" x14ac:dyDescent="0.2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5.75" customHeight="1" x14ac:dyDescent="0.2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5.75" customHeight="1" x14ac:dyDescent="0.2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5.75" customHeight="1" x14ac:dyDescent="0.2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5.75" customHeight="1" x14ac:dyDescent="0.2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5.75" customHeight="1" x14ac:dyDescent="0.2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5.75" customHeight="1" x14ac:dyDescent="0.2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5.75" customHeight="1" x14ac:dyDescent="0.2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5.75" customHeight="1" x14ac:dyDescent="0.2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5.75" customHeight="1" x14ac:dyDescent="0.2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5.75" customHeight="1" x14ac:dyDescent="0.2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5.75" customHeight="1" x14ac:dyDescent="0.2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5.75" customHeight="1" x14ac:dyDescent="0.2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5.75" customHeight="1" x14ac:dyDescent="0.2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5.75" customHeight="1" x14ac:dyDescent="0.2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5.75" customHeight="1" x14ac:dyDescent="0.2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5.75" customHeight="1" x14ac:dyDescent="0.2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5.75" customHeight="1" x14ac:dyDescent="0.2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5.75" customHeight="1" x14ac:dyDescent="0.2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5.75" customHeight="1" x14ac:dyDescent="0.2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5.75" customHeight="1" x14ac:dyDescent="0.2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5.75" customHeight="1" x14ac:dyDescent="0.2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5.75" customHeight="1" x14ac:dyDescent="0.2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5.75" customHeight="1" x14ac:dyDescent="0.2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5.75" customHeight="1" x14ac:dyDescent="0.2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5.75" customHeight="1" x14ac:dyDescent="0.2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5.75" customHeight="1" x14ac:dyDescent="0.2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5.75" customHeight="1" x14ac:dyDescent="0.2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5.75" customHeight="1" x14ac:dyDescent="0.2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5.75" customHeight="1" x14ac:dyDescent="0.2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5.75" customHeight="1" x14ac:dyDescent="0.2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5.75" customHeight="1" x14ac:dyDescent="0.2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5.75" customHeight="1" x14ac:dyDescent="0.2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5.75" customHeight="1" x14ac:dyDescent="0.2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5.75" customHeight="1" x14ac:dyDescent="0.2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5.75" customHeight="1" x14ac:dyDescent="0.2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5.75" customHeight="1" x14ac:dyDescent="0.2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5.75" customHeight="1" x14ac:dyDescent="0.2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5.75" customHeight="1" x14ac:dyDescent="0.2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5.75" customHeight="1" x14ac:dyDescent="0.2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5.75" customHeight="1" x14ac:dyDescent="0.2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5.75" customHeight="1" x14ac:dyDescent="0.2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5.75" customHeight="1" x14ac:dyDescent="0.2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5.75" customHeight="1" x14ac:dyDescent="0.2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5.75" customHeight="1" x14ac:dyDescent="0.2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5.75" customHeight="1" x14ac:dyDescent="0.2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5.75" customHeight="1" x14ac:dyDescent="0.2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5.75" customHeight="1" x14ac:dyDescent="0.2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5.75" customHeight="1" x14ac:dyDescent="0.2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5.75" customHeight="1" x14ac:dyDescent="0.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5.75" customHeight="1" x14ac:dyDescent="0.2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5.75" customHeight="1" x14ac:dyDescent="0.2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5.75" customHeight="1" x14ac:dyDescent="0.2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5.75" customHeight="1" x14ac:dyDescent="0.2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5.75" customHeight="1" x14ac:dyDescent="0.2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5.75" customHeight="1" x14ac:dyDescent="0.2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5.75" customHeight="1" x14ac:dyDescent="0.2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5.75" customHeight="1" x14ac:dyDescent="0.2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5.75" customHeight="1" x14ac:dyDescent="0.2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5.75" customHeight="1" x14ac:dyDescent="0.2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5.75" customHeight="1" x14ac:dyDescent="0.2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5.75" customHeight="1" x14ac:dyDescent="0.2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5.75" customHeight="1" x14ac:dyDescent="0.2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5.75" customHeight="1" x14ac:dyDescent="0.2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5.75" customHeight="1" x14ac:dyDescent="0.2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5.75" customHeight="1" x14ac:dyDescent="0.2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5.75" customHeight="1" x14ac:dyDescent="0.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5.75" customHeight="1" x14ac:dyDescent="0.2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5.75" customHeight="1" x14ac:dyDescent="0.2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5.75" customHeight="1" x14ac:dyDescent="0.2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5.75" customHeight="1" x14ac:dyDescent="0.2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5.75" customHeight="1" x14ac:dyDescent="0.2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5.75" customHeight="1" x14ac:dyDescent="0.2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5.75" customHeight="1" x14ac:dyDescent="0.2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5.75" customHeight="1" x14ac:dyDescent="0.2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5.75" customHeight="1" x14ac:dyDescent="0.2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5.75" customHeight="1" x14ac:dyDescent="0.2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5.75" customHeight="1" x14ac:dyDescent="0.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5.75" customHeight="1" x14ac:dyDescent="0.2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5.75" customHeight="1" x14ac:dyDescent="0.2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5.75" customHeight="1" x14ac:dyDescent="0.2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5.75" customHeight="1" x14ac:dyDescent="0.2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5.75" customHeight="1" x14ac:dyDescent="0.2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5.75" customHeight="1" x14ac:dyDescent="0.2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5.75" customHeight="1" x14ac:dyDescent="0.2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5.75" customHeight="1" x14ac:dyDescent="0.2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5.75" customHeight="1" x14ac:dyDescent="0.2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5.75" customHeight="1" x14ac:dyDescent="0.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5.75" customHeight="1" x14ac:dyDescent="0.2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5.75" customHeight="1" x14ac:dyDescent="0.2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5.75" customHeight="1" x14ac:dyDescent="0.2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5.75" customHeight="1" x14ac:dyDescent="0.2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5.75" customHeight="1" x14ac:dyDescent="0.2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5.75" customHeight="1" x14ac:dyDescent="0.2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5.75" customHeight="1" x14ac:dyDescent="0.2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5.75" customHeight="1" x14ac:dyDescent="0.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5.75" customHeight="1" x14ac:dyDescent="0.2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5.75" customHeight="1" x14ac:dyDescent="0.2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.75" customHeight="1" x14ac:dyDescent="0.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.75" customHeight="1" x14ac:dyDescent="0.2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.75" customHeight="1" x14ac:dyDescent="0.2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.75" customHeight="1" x14ac:dyDescent="0.2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5.75" customHeight="1" x14ac:dyDescent="0.2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5.75" customHeight="1" x14ac:dyDescent="0.2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5.75" customHeight="1" x14ac:dyDescent="0.2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5.75" customHeight="1" x14ac:dyDescent="0.2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5.75" customHeight="1" x14ac:dyDescent="0.2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5.75" customHeight="1" x14ac:dyDescent="0.2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5.75" customHeight="1" x14ac:dyDescent="0.2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5.75" customHeight="1" x14ac:dyDescent="0.2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5.75" customHeight="1" x14ac:dyDescent="0.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5.75" customHeight="1" x14ac:dyDescent="0.2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5.75" customHeight="1" x14ac:dyDescent="0.2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5.75" customHeight="1" x14ac:dyDescent="0.2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5.75" customHeight="1" x14ac:dyDescent="0.2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5.75" customHeight="1" x14ac:dyDescent="0.2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5.75" customHeight="1" x14ac:dyDescent="0.2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5.75" customHeight="1" x14ac:dyDescent="0.2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5.75" customHeight="1" x14ac:dyDescent="0.2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5.75" customHeight="1" x14ac:dyDescent="0.2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5.75" customHeight="1" x14ac:dyDescent="0.2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5.75" customHeight="1" x14ac:dyDescent="0.2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5.75" customHeight="1" x14ac:dyDescent="0.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5.75" customHeight="1" x14ac:dyDescent="0.2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5.75" customHeight="1" x14ac:dyDescent="0.2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5.75" customHeight="1" x14ac:dyDescent="0.2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5.75" customHeight="1" x14ac:dyDescent="0.2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5.75" customHeight="1" x14ac:dyDescent="0.2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5.75" customHeight="1" x14ac:dyDescent="0.2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5.75" customHeight="1" x14ac:dyDescent="0.2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5.75" customHeight="1" x14ac:dyDescent="0.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5.75" customHeight="1" x14ac:dyDescent="0.2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5.75" customHeight="1" x14ac:dyDescent="0.2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5.75" customHeight="1" x14ac:dyDescent="0.2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5.75" customHeight="1" x14ac:dyDescent="0.2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5.75" customHeight="1" x14ac:dyDescent="0.2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5.75" customHeight="1" x14ac:dyDescent="0.2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5.75" customHeight="1" x14ac:dyDescent="0.2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5.75" customHeight="1" x14ac:dyDescent="0.2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5.75" customHeight="1" x14ac:dyDescent="0.2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5.75" customHeight="1" x14ac:dyDescent="0.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5.75" customHeight="1" x14ac:dyDescent="0.2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5.75" customHeight="1" x14ac:dyDescent="0.2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5.75" customHeight="1" x14ac:dyDescent="0.2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5.75" customHeight="1" x14ac:dyDescent="0.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5.75" customHeight="1" x14ac:dyDescent="0.2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5.75" customHeight="1" x14ac:dyDescent="0.2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5.75" customHeight="1" x14ac:dyDescent="0.2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5.75" customHeight="1" x14ac:dyDescent="0.2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5.75" customHeight="1" x14ac:dyDescent="0.2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5.75" customHeight="1" x14ac:dyDescent="0.2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5.75" customHeight="1" x14ac:dyDescent="0.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5.75" customHeight="1" x14ac:dyDescent="0.2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5.75" customHeight="1" x14ac:dyDescent="0.2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5.75" customHeight="1" x14ac:dyDescent="0.2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5.75" customHeight="1" x14ac:dyDescent="0.2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5.75" customHeight="1" x14ac:dyDescent="0.2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5.75" customHeight="1" x14ac:dyDescent="0.2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5.75" customHeight="1" x14ac:dyDescent="0.2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5.75" customHeight="1" x14ac:dyDescent="0.2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5.75" customHeight="1" x14ac:dyDescent="0.2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5.75" customHeight="1" x14ac:dyDescent="0.2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5.75" customHeight="1" x14ac:dyDescent="0.2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5.75" customHeight="1" x14ac:dyDescent="0.2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5.75" customHeight="1" x14ac:dyDescent="0.2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5.75" customHeight="1" x14ac:dyDescent="0.2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5.75" customHeight="1" x14ac:dyDescent="0.2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5.75" customHeight="1" x14ac:dyDescent="0.2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5.75" customHeight="1" x14ac:dyDescent="0.2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5.75" customHeight="1" x14ac:dyDescent="0.2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5.75" customHeight="1" x14ac:dyDescent="0.2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5.75" customHeight="1" x14ac:dyDescent="0.2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5.75" customHeight="1" x14ac:dyDescent="0.2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5.75" customHeight="1" x14ac:dyDescent="0.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5.75" customHeight="1" x14ac:dyDescent="0.2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5.75" customHeight="1" x14ac:dyDescent="0.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5.75" customHeight="1" x14ac:dyDescent="0.2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5.75" customHeight="1" x14ac:dyDescent="0.2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5.75" customHeight="1" x14ac:dyDescent="0.2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5.75" customHeight="1" x14ac:dyDescent="0.2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5.75" customHeight="1" x14ac:dyDescent="0.2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5.75" customHeight="1" x14ac:dyDescent="0.2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5.75" customHeight="1" x14ac:dyDescent="0.2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5.75" customHeight="1" x14ac:dyDescent="0.2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5.75" customHeight="1" x14ac:dyDescent="0.2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5.75" customHeight="1" x14ac:dyDescent="0.2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5.75" customHeight="1" x14ac:dyDescent="0.2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5.75" customHeight="1" x14ac:dyDescent="0.2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5.75" customHeight="1" x14ac:dyDescent="0.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5.75" customHeight="1" x14ac:dyDescent="0.2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5.75" customHeight="1" x14ac:dyDescent="0.2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5.75" customHeight="1" x14ac:dyDescent="0.2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5.75" customHeight="1" x14ac:dyDescent="0.2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5.75" customHeight="1" x14ac:dyDescent="0.2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5.75" customHeight="1" x14ac:dyDescent="0.2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5.75" customHeight="1" x14ac:dyDescent="0.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5.75" customHeight="1" x14ac:dyDescent="0.2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5.75" customHeight="1" x14ac:dyDescent="0.2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5.75" customHeight="1" x14ac:dyDescent="0.2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5.75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5.75" customHeight="1" x14ac:dyDescent="0.2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5.75" customHeight="1" x14ac:dyDescent="0.2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5.75" customHeight="1" x14ac:dyDescent="0.2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5.75" customHeight="1" x14ac:dyDescent="0.2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5.75" customHeight="1" x14ac:dyDescent="0.2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5.75" customHeight="1" x14ac:dyDescent="0.2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5.75" customHeight="1" x14ac:dyDescent="0.2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5.75" customHeight="1" x14ac:dyDescent="0.2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5.75" customHeight="1" x14ac:dyDescent="0.2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5.75" customHeight="1" x14ac:dyDescent="0.2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5.75" customHeight="1" x14ac:dyDescent="0.2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5.75" customHeight="1" x14ac:dyDescent="0.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5.75" customHeight="1" x14ac:dyDescent="0.2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5.75" customHeight="1" x14ac:dyDescent="0.2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5.75" customHeight="1" x14ac:dyDescent="0.2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5.75" customHeight="1" x14ac:dyDescent="0.2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5.75" customHeight="1" x14ac:dyDescent="0.2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5.75" customHeight="1" x14ac:dyDescent="0.2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5.75" customHeight="1" x14ac:dyDescent="0.2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5.75" customHeight="1" x14ac:dyDescent="0.2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5.75" customHeight="1" x14ac:dyDescent="0.2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5.75" customHeight="1" x14ac:dyDescent="0.2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5.75" customHeight="1" x14ac:dyDescent="0.2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5.75" customHeight="1" x14ac:dyDescent="0.2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5.75" customHeight="1" x14ac:dyDescent="0.2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5.75" customHeight="1" x14ac:dyDescent="0.2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5.75" customHeight="1" x14ac:dyDescent="0.2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5.75" customHeight="1" x14ac:dyDescent="0.2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5.75" customHeight="1" x14ac:dyDescent="0.2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5.75" customHeight="1" x14ac:dyDescent="0.2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5.75" customHeight="1" x14ac:dyDescent="0.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5.75" customHeight="1" x14ac:dyDescent="0.2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5.75" customHeight="1" x14ac:dyDescent="0.2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5.75" customHeight="1" x14ac:dyDescent="0.2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5.75" customHeight="1" x14ac:dyDescent="0.2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5.75" customHeight="1" x14ac:dyDescent="0.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5.75" customHeight="1" x14ac:dyDescent="0.2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5.75" customHeight="1" x14ac:dyDescent="0.2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5.75" customHeight="1" x14ac:dyDescent="0.2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5.75" customHeight="1" x14ac:dyDescent="0.2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5.75" customHeight="1" x14ac:dyDescent="0.2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5.75" customHeight="1" x14ac:dyDescent="0.2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5.75" customHeight="1" x14ac:dyDescent="0.2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5.75" customHeight="1" x14ac:dyDescent="0.2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5.75" customHeight="1" x14ac:dyDescent="0.2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5.75" customHeight="1" x14ac:dyDescent="0.2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5.75" customHeight="1" x14ac:dyDescent="0.2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5.75" customHeight="1" x14ac:dyDescent="0.2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5.75" customHeight="1" x14ac:dyDescent="0.2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5.75" customHeight="1" x14ac:dyDescent="0.2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5.75" customHeight="1" x14ac:dyDescent="0.2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5.75" customHeight="1" x14ac:dyDescent="0.2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5.75" customHeight="1" x14ac:dyDescent="0.2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5.75" customHeight="1" x14ac:dyDescent="0.2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5.75" customHeight="1" x14ac:dyDescent="0.2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5.75" customHeight="1" x14ac:dyDescent="0.2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5.75" customHeight="1" x14ac:dyDescent="0.2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5.75" customHeight="1" x14ac:dyDescent="0.2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5.75" customHeight="1" x14ac:dyDescent="0.2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5.75" customHeight="1" x14ac:dyDescent="0.2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5.75" customHeight="1" x14ac:dyDescent="0.2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5.75" customHeight="1" x14ac:dyDescent="0.2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5.75" customHeight="1" x14ac:dyDescent="0.2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5.75" customHeight="1" x14ac:dyDescent="0.2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5.75" customHeight="1" x14ac:dyDescent="0.2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5.75" customHeight="1" x14ac:dyDescent="0.2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5.75" customHeight="1" x14ac:dyDescent="0.2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5.75" customHeight="1" x14ac:dyDescent="0.2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5.75" customHeight="1" x14ac:dyDescent="0.2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5.75" customHeight="1" x14ac:dyDescent="0.2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5.75" customHeight="1" x14ac:dyDescent="0.2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5.75" customHeight="1" x14ac:dyDescent="0.2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5.75" customHeight="1" x14ac:dyDescent="0.2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5.75" customHeight="1" x14ac:dyDescent="0.2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5.75" customHeight="1" x14ac:dyDescent="0.2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5.75" customHeight="1" x14ac:dyDescent="0.2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5.75" customHeight="1" x14ac:dyDescent="0.2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5.75" customHeight="1" x14ac:dyDescent="0.2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5.75" customHeight="1" x14ac:dyDescent="0.2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5.75" customHeight="1" x14ac:dyDescent="0.2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5.75" customHeight="1" x14ac:dyDescent="0.2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5.75" customHeight="1" x14ac:dyDescent="0.2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5.75" customHeight="1" x14ac:dyDescent="0.2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5.75" customHeight="1" x14ac:dyDescent="0.2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5.75" customHeight="1" x14ac:dyDescent="0.2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5.75" customHeight="1" x14ac:dyDescent="0.2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5.75" customHeight="1" x14ac:dyDescent="0.2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5.75" customHeight="1" x14ac:dyDescent="0.2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5.75" customHeight="1" x14ac:dyDescent="0.2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5.75" customHeight="1" x14ac:dyDescent="0.2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5.75" customHeight="1" x14ac:dyDescent="0.2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5.75" customHeight="1" x14ac:dyDescent="0.2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5.75" customHeight="1" x14ac:dyDescent="0.2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5.75" customHeight="1" x14ac:dyDescent="0.2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5.75" customHeight="1" x14ac:dyDescent="0.2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5.75" customHeight="1" x14ac:dyDescent="0.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5.75" customHeight="1" x14ac:dyDescent="0.2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5.75" customHeight="1" x14ac:dyDescent="0.2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5.75" customHeight="1" x14ac:dyDescent="0.2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5.75" customHeight="1" x14ac:dyDescent="0.2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5.75" customHeight="1" x14ac:dyDescent="0.2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5.75" customHeight="1" x14ac:dyDescent="0.2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5.75" customHeight="1" x14ac:dyDescent="0.2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5.75" customHeight="1" x14ac:dyDescent="0.2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5.75" customHeight="1" x14ac:dyDescent="0.2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5.75" customHeight="1" x14ac:dyDescent="0.2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5.75" customHeight="1" x14ac:dyDescent="0.2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5.75" customHeight="1" x14ac:dyDescent="0.2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5.75" customHeight="1" x14ac:dyDescent="0.2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5.75" customHeight="1" x14ac:dyDescent="0.2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5.75" customHeight="1" x14ac:dyDescent="0.2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5.75" customHeight="1" x14ac:dyDescent="0.2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5.75" customHeight="1" x14ac:dyDescent="0.2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5.75" customHeight="1" x14ac:dyDescent="0.2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5.75" customHeight="1" x14ac:dyDescent="0.2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5.75" customHeight="1" x14ac:dyDescent="0.2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5.75" customHeight="1" x14ac:dyDescent="0.2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5.75" customHeight="1" x14ac:dyDescent="0.2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5.75" customHeight="1" x14ac:dyDescent="0.2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5.75" customHeight="1" x14ac:dyDescent="0.2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5.75" customHeight="1" x14ac:dyDescent="0.2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5.75" customHeight="1" x14ac:dyDescent="0.2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5.75" customHeight="1" x14ac:dyDescent="0.2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5.75" customHeight="1" x14ac:dyDescent="0.2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5.75" customHeight="1" x14ac:dyDescent="0.2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5.75" customHeight="1" x14ac:dyDescent="0.2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5.75" customHeight="1" x14ac:dyDescent="0.2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5.75" customHeight="1" x14ac:dyDescent="0.2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5.75" customHeight="1" x14ac:dyDescent="0.2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5.75" customHeight="1" x14ac:dyDescent="0.2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5.75" customHeight="1" x14ac:dyDescent="0.2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5.75" customHeight="1" x14ac:dyDescent="0.2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5.75" customHeight="1" x14ac:dyDescent="0.2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5.75" customHeight="1" x14ac:dyDescent="0.2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5.75" customHeight="1" x14ac:dyDescent="0.2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5.75" customHeight="1" x14ac:dyDescent="0.2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5.75" customHeight="1" x14ac:dyDescent="0.2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5.75" customHeight="1" x14ac:dyDescent="0.2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5.75" customHeight="1" x14ac:dyDescent="0.2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5.75" customHeight="1" x14ac:dyDescent="0.2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5.75" customHeight="1" x14ac:dyDescent="0.2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5.75" customHeight="1" x14ac:dyDescent="0.2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5.75" customHeight="1" x14ac:dyDescent="0.2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5.75" customHeight="1" x14ac:dyDescent="0.2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5.75" customHeight="1" x14ac:dyDescent="0.2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5.75" customHeight="1" x14ac:dyDescent="0.2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5.75" customHeight="1" x14ac:dyDescent="0.2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5.75" customHeight="1" x14ac:dyDescent="0.2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5.75" customHeight="1" x14ac:dyDescent="0.2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5.75" customHeight="1" x14ac:dyDescent="0.2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5.75" customHeight="1" x14ac:dyDescent="0.2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5.75" customHeight="1" x14ac:dyDescent="0.2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5.75" customHeight="1" x14ac:dyDescent="0.2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5.75" customHeight="1" x14ac:dyDescent="0.2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5.75" customHeight="1" x14ac:dyDescent="0.2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5.75" customHeight="1" x14ac:dyDescent="0.2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5.75" customHeight="1" x14ac:dyDescent="0.2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5.75" customHeight="1" x14ac:dyDescent="0.2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5.75" customHeight="1" x14ac:dyDescent="0.2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5.75" customHeight="1" x14ac:dyDescent="0.2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5.75" customHeight="1" x14ac:dyDescent="0.2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5.75" customHeight="1" x14ac:dyDescent="0.2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5.75" customHeight="1" x14ac:dyDescent="0.2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5.75" customHeight="1" x14ac:dyDescent="0.2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5.75" customHeight="1" x14ac:dyDescent="0.2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5.75" customHeight="1" x14ac:dyDescent="0.2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5.75" customHeight="1" x14ac:dyDescent="0.2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5.75" customHeight="1" x14ac:dyDescent="0.2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5.75" customHeight="1" x14ac:dyDescent="0.2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5.75" customHeight="1" x14ac:dyDescent="0.2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5.75" customHeight="1" x14ac:dyDescent="0.2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 spans="1:26" ht="15.75" customHeight="1" x14ac:dyDescent="0.25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 spans="1:26" ht="15.75" customHeight="1" x14ac:dyDescent="0.25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 spans="1:26" ht="15.75" customHeight="1" x14ac:dyDescent="0.25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 spans="1:26" ht="15.75" customHeight="1" x14ac:dyDescent="0.25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 spans="1:26" ht="15.75" customHeight="1" x14ac:dyDescent="0.2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 spans="1:26" ht="15.75" customHeight="1" x14ac:dyDescent="0.25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 spans="1:26" ht="15.75" customHeight="1" x14ac:dyDescent="0.25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 spans="1:26" ht="15.75" customHeight="1" x14ac:dyDescent="0.25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 spans="1:26" ht="15.75" customHeight="1" x14ac:dyDescent="0.25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 spans="1:26" ht="15.75" customHeight="1" x14ac:dyDescent="0.25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 spans="1:26" ht="15.75" customHeight="1" x14ac:dyDescent="0.25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 spans="1:26" ht="15.75" customHeight="1" x14ac:dyDescent="0.25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  <row r="1013" spans="1:26" ht="15.75" customHeight="1" x14ac:dyDescent="0.25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</row>
    <row r="1014" spans="1:26" ht="15.75" customHeight="1" x14ac:dyDescent="0.25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</row>
    <row r="1015" spans="1:26" ht="15.75" customHeight="1" x14ac:dyDescent="0.25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</row>
    <row r="1016" spans="1:26" ht="15.75" customHeight="1" x14ac:dyDescent="0.25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</row>
    <row r="1017" spans="1:26" ht="15.75" customHeight="1" x14ac:dyDescent="0.25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</row>
    <row r="1018" spans="1:26" ht="15.75" customHeight="1" x14ac:dyDescent="0.25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</row>
    <row r="1019" spans="1:26" ht="15.75" customHeight="1" x14ac:dyDescent="0.25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</row>
    <row r="1020" spans="1:26" ht="15.75" customHeight="1" x14ac:dyDescent="0.25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</row>
    <row r="1021" spans="1:26" ht="15.75" customHeight="1" x14ac:dyDescent="0.25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</row>
    <row r="1022" spans="1:26" ht="15.75" customHeight="1" x14ac:dyDescent="0.25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</row>
    <row r="1023" spans="1:26" ht="15.75" customHeight="1" x14ac:dyDescent="0.25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</row>
    <row r="1024" spans="1:26" ht="15.75" customHeight="1" x14ac:dyDescent="0.25">
      <c r="A1024" s="44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</row>
    <row r="1025" spans="1:26" ht="15.75" customHeight="1" x14ac:dyDescent="0.25">
      <c r="A1025" s="44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</row>
    <row r="1026" spans="1:26" ht="15.75" customHeight="1" x14ac:dyDescent="0.25">
      <c r="A1026" s="44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</row>
    <row r="1027" spans="1:26" ht="15.75" customHeight="1" x14ac:dyDescent="0.25">
      <c r="A1027" s="44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</row>
    <row r="1028" spans="1:26" ht="15.75" customHeight="1" x14ac:dyDescent="0.25">
      <c r="A1028" s="44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</row>
    <row r="1029" spans="1:26" ht="15.75" customHeight="1" x14ac:dyDescent="0.25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</row>
    <row r="1030" spans="1:26" ht="15.75" customHeight="1" x14ac:dyDescent="0.25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</row>
    <row r="1031" spans="1:26" ht="15.75" customHeight="1" x14ac:dyDescent="0.25">
      <c r="A1031" s="44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</row>
    <row r="1032" spans="1:26" ht="15.75" customHeight="1" x14ac:dyDescent="0.25">
      <c r="A1032" s="44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</row>
    <row r="1033" spans="1:26" ht="15.75" customHeight="1" x14ac:dyDescent="0.25">
      <c r="A1033" s="44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</row>
    <row r="1034" spans="1:26" ht="15.75" customHeight="1" x14ac:dyDescent="0.25">
      <c r="A1034" s="44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</row>
    <row r="1035" spans="1:26" ht="15.75" customHeight="1" x14ac:dyDescent="0.25">
      <c r="A1035" s="44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</row>
    <row r="1036" spans="1:26" ht="15.75" customHeight="1" x14ac:dyDescent="0.25">
      <c r="A1036" s="44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</row>
    <row r="1037" spans="1:26" ht="15.75" customHeight="1" x14ac:dyDescent="0.25">
      <c r="A1037" s="44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</row>
    <row r="1038" spans="1:26" ht="15.75" customHeight="1" x14ac:dyDescent="0.25">
      <c r="A1038" s="44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</row>
    <row r="1039" spans="1:26" ht="15.75" customHeight="1" x14ac:dyDescent="0.25">
      <c r="A1039" s="44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</row>
    <row r="1040" spans="1:26" ht="15.75" customHeight="1" x14ac:dyDescent="0.25">
      <c r="A1040" s="44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</row>
    <row r="1041" spans="1:26" ht="15.75" customHeight="1" x14ac:dyDescent="0.25">
      <c r="A1041" s="44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</row>
    <row r="1042" spans="1:26" ht="15.75" customHeight="1" x14ac:dyDescent="0.25">
      <c r="A1042" s="44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</row>
    <row r="1043" spans="1:26" ht="15.75" customHeight="1" x14ac:dyDescent="0.25">
      <c r="A1043" s="44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</row>
    <row r="1044" spans="1:26" ht="15.75" customHeight="1" x14ac:dyDescent="0.25">
      <c r="A1044" s="44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</row>
    <row r="1045" spans="1:26" ht="15.75" customHeight="1" x14ac:dyDescent="0.25">
      <c r="A1045" s="44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</row>
    <row r="1046" spans="1:26" ht="15.75" customHeight="1" x14ac:dyDescent="0.25">
      <c r="A1046" s="44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</row>
    <row r="1047" spans="1:26" ht="15.75" customHeight="1" x14ac:dyDescent="0.25">
      <c r="A1047" s="44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</row>
    <row r="1048" spans="1:26" ht="15.75" customHeight="1" x14ac:dyDescent="0.25">
      <c r="A1048" s="44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</row>
    <row r="1049" spans="1:26" ht="15.75" customHeight="1" x14ac:dyDescent="0.25">
      <c r="A1049" s="44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</row>
    <row r="1050" spans="1:26" ht="15.75" customHeight="1" x14ac:dyDescent="0.25">
      <c r="A1050" s="44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</row>
    <row r="1051" spans="1:26" ht="15.75" customHeight="1" x14ac:dyDescent="0.25">
      <c r="A1051" s="44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</row>
    <row r="1052" spans="1:26" ht="15.75" customHeight="1" x14ac:dyDescent="0.25">
      <c r="A1052" s="44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</row>
    <row r="1053" spans="1:26" ht="15.75" customHeight="1" x14ac:dyDescent="0.25">
      <c r="A1053" s="44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</row>
    <row r="1054" spans="1:26" ht="15.75" customHeight="1" x14ac:dyDescent="0.25">
      <c r="A1054" s="44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</row>
    <row r="1055" spans="1:26" ht="15.75" customHeight="1" x14ac:dyDescent="0.25">
      <c r="A1055" s="44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</row>
    <row r="1056" spans="1:26" ht="15.75" customHeight="1" x14ac:dyDescent="0.25">
      <c r="A1056" s="44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</row>
    <row r="1057" spans="1:26" ht="15.75" customHeight="1" x14ac:dyDescent="0.25">
      <c r="A1057" s="44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</row>
    <row r="1058" spans="1:26" ht="15.75" customHeight="1" x14ac:dyDescent="0.25">
      <c r="A1058" s="44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</row>
    <row r="1059" spans="1:26" ht="15.75" customHeight="1" x14ac:dyDescent="0.25">
      <c r="A1059" s="44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</row>
    <row r="1060" spans="1:26" ht="15.75" customHeight="1" x14ac:dyDescent="0.25">
      <c r="A1060" s="44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</row>
    <row r="1061" spans="1:26" ht="15.75" customHeight="1" x14ac:dyDescent="0.25">
      <c r="A1061" s="44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</row>
    <row r="1062" spans="1:26" ht="15.75" customHeight="1" x14ac:dyDescent="0.25">
      <c r="A1062" s="44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</row>
    <row r="1063" spans="1:26" ht="15.75" customHeight="1" x14ac:dyDescent="0.25">
      <c r="A1063" s="44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</row>
    <row r="1064" spans="1:26" ht="15.75" customHeight="1" x14ac:dyDescent="0.25">
      <c r="A1064" s="44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</row>
    <row r="1065" spans="1:26" ht="15.75" customHeight="1" x14ac:dyDescent="0.25">
      <c r="A1065" s="44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</row>
    <row r="1066" spans="1:26" ht="15.75" customHeight="1" x14ac:dyDescent="0.25">
      <c r="A1066" s="44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</row>
    <row r="1067" spans="1:26" ht="15.75" customHeight="1" x14ac:dyDescent="0.25">
      <c r="A1067" s="44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</row>
    <row r="1068" spans="1:26" ht="15.75" customHeight="1" x14ac:dyDescent="0.25">
      <c r="A1068" s="44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</row>
    <row r="1069" spans="1:26" ht="15.75" customHeight="1" x14ac:dyDescent="0.25">
      <c r="A1069" s="44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</row>
    <row r="1070" spans="1:26" ht="15.75" customHeight="1" x14ac:dyDescent="0.25">
      <c r="A1070" s="44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</row>
    <row r="1071" spans="1:26" ht="15.75" customHeight="1" x14ac:dyDescent="0.25">
      <c r="A1071" s="44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</row>
    <row r="1072" spans="1:26" ht="15.75" customHeight="1" x14ac:dyDescent="0.25">
      <c r="A1072" s="44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</row>
    <row r="1073" spans="1:26" ht="15.75" customHeight="1" x14ac:dyDescent="0.25">
      <c r="A1073" s="44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</row>
    <row r="1074" spans="1:26" ht="15.75" customHeight="1" x14ac:dyDescent="0.25">
      <c r="A1074" s="44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</row>
    <row r="1075" spans="1:26" ht="15.75" customHeight="1" x14ac:dyDescent="0.25">
      <c r="A1075" s="44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</row>
    <row r="1076" spans="1:26" ht="15.75" customHeight="1" x14ac:dyDescent="0.25">
      <c r="A1076" s="44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</row>
    <row r="1077" spans="1:26" ht="15.75" customHeight="1" x14ac:dyDescent="0.25">
      <c r="A1077" s="44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</row>
    <row r="1078" spans="1:26" ht="15.75" customHeight="1" x14ac:dyDescent="0.25">
      <c r="A1078" s="44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</row>
    <row r="1079" spans="1:26" ht="15.75" customHeight="1" x14ac:dyDescent="0.25">
      <c r="A1079" s="44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</row>
    <row r="1080" spans="1:26" ht="15.75" customHeight="1" x14ac:dyDescent="0.25">
      <c r="A1080" s="44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</row>
    <row r="1081" spans="1:26" ht="15.75" customHeight="1" x14ac:dyDescent="0.25">
      <c r="A1081" s="44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</row>
    <row r="1082" spans="1:26" ht="15.75" customHeight="1" x14ac:dyDescent="0.25">
      <c r="A1082" s="44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</row>
    <row r="1083" spans="1:26" ht="15.75" customHeight="1" x14ac:dyDescent="0.25">
      <c r="A1083" s="44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</row>
    <row r="1084" spans="1:26" ht="15.75" customHeight="1" x14ac:dyDescent="0.25">
      <c r="A1084" s="44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</row>
    <row r="1085" spans="1:26" ht="15.75" customHeight="1" x14ac:dyDescent="0.25">
      <c r="A1085" s="44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</row>
    <row r="1086" spans="1:26" ht="15.75" customHeight="1" x14ac:dyDescent="0.25">
      <c r="A1086" s="44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</row>
    <row r="1087" spans="1:26" ht="15.75" customHeight="1" x14ac:dyDescent="0.25">
      <c r="A1087" s="44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</row>
    <row r="1088" spans="1:26" ht="15.75" customHeight="1" x14ac:dyDescent="0.25">
      <c r="A1088" s="44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</row>
    <row r="1089" spans="1:26" ht="15.75" customHeight="1" x14ac:dyDescent="0.25">
      <c r="A1089" s="44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</row>
    <row r="1090" spans="1:26" ht="15.75" customHeight="1" x14ac:dyDescent="0.25">
      <c r="A1090" s="44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</row>
    <row r="1091" spans="1:26" ht="15.75" customHeight="1" x14ac:dyDescent="0.25">
      <c r="A1091" s="44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</row>
    <row r="1092" spans="1:26" ht="15.75" customHeight="1" x14ac:dyDescent="0.25">
      <c r="A1092" s="44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</row>
    <row r="1093" spans="1:26" ht="15.75" customHeight="1" x14ac:dyDescent="0.25">
      <c r="A1093" s="44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</row>
    <row r="1094" spans="1:26" ht="15.75" customHeight="1" x14ac:dyDescent="0.25">
      <c r="A1094" s="44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</row>
    <row r="1095" spans="1:26" ht="15.75" customHeight="1" x14ac:dyDescent="0.25">
      <c r="A1095" s="44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</row>
    <row r="1096" spans="1:26" ht="15.75" customHeight="1" x14ac:dyDescent="0.25">
      <c r="A1096" s="44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</row>
    <row r="1097" spans="1:26" ht="15.75" customHeight="1" x14ac:dyDescent="0.25">
      <c r="A1097" s="44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</row>
    <row r="1098" spans="1:26" ht="15.75" customHeight="1" x14ac:dyDescent="0.25">
      <c r="A1098" s="44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</row>
    <row r="1099" spans="1:26" ht="15.75" customHeight="1" x14ac:dyDescent="0.25">
      <c r="A1099" s="44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</row>
    <row r="1100" spans="1:26" ht="15.75" customHeight="1" x14ac:dyDescent="0.25">
      <c r="A1100" s="44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</row>
    <row r="1101" spans="1:26" ht="15.75" customHeight="1" x14ac:dyDescent="0.25">
      <c r="A1101" s="44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</row>
    <row r="1102" spans="1:26" ht="15.75" customHeight="1" x14ac:dyDescent="0.25">
      <c r="A1102" s="44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</row>
    <row r="1103" spans="1:26" ht="15.75" customHeight="1" x14ac:dyDescent="0.25">
      <c r="A1103" s="44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</row>
    <row r="1104" spans="1:26" ht="15.75" customHeight="1" x14ac:dyDescent="0.25">
      <c r="A1104" s="44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</row>
    <row r="1105" spans="1:26" ht="15.75" customHeight="1" x14ac:dyDescent="0.25">
      <c r="A1105" s="44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</row>
    <row r="1106" spans="1:26" ht="15.75" customHeight="1" x14ac:dyDescent="0.25">
      <c r="A1106" s="44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</row>
    <row r="1107" spans="1:26" ht="15.75" customHeight="1" x14ac:dyDescent="0.25">
      <c r="A1107" s="44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</row>
    <row r="1108" spans="1:26" ht="15.75" customHeight="1" x14ac:dyDescent="0.25">
      <c r="A1108" s="44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</row>
    <row r="1109" spans="1:26" ht="15.75" customHeight="1" x14ac:dyDescent="0.25">
      <c r="A1109" s="44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</row>
    <row r="1110" spans="1:26" ht="15.75" customHeight="1" x14ac:dyDescent="0.25">
      <c r="A1110" s="44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</row>
    <row r="1111" spans="1:26" ht="15.75" customHeight="1" x14ac:dyDescent="0.25">
      <c r="A1111" s="44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</row>
    <row r="1112" spans="1:26" ht="15.75" customHeight="1" x14ac:dyDescent="0.25">
      <c r="A1112" s="44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</row>
    <row r="1113" spans="1:26" ht="15.75" customHeight="1" x14ac:dyDescent="0.25">
      <c r="A1113" s="44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</row>
    <row r="1114" spans="1:26" ht="15.75" customHeight="1" x14ac:dyDescent="0.25">
      <c r="A1114" s="44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</row>
    <row r="1115" spans="1:26" ht="15.75" customHeight="1" x14ac:dyDescent="0.25">
      <c r="A1115" s="44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</row>
    <row r="1116" spans="1:26" ht="15.75" customHeight="1" x14ac:dyDescent="0.25">
      <c r="A1116" s="44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</row>
    <row r="1117" spans="1:26" ht="15.75" customHeight="1" x14ac:dyDescent="0.25">
      <c r="A1117" s="44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</row>
    <row r="1118" spans="1:26" ht="15.75" customHeight="1" x14ac:dyDescent="0.25">
      <c r="A1118" s="44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</row>
    <row r="1119" spans="1:26" ht="15.75" customHeight="1" x14ac:dyDescent="0.25">
      <c r="A1119" s="44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</row>
    <row r="1120" spans="1:26" ht="15.75" customHeight="1" x14ac:dyDescent="0.25">
      <c r="A1120" s="44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</row>
    <row r="1121" spans="1:26" ht="15.75" customHeight="1" x14ac:dyDescent="0.25">
      <c r="A1121" s="44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</row>
    <row r="1122" spans="1:26" ht="15.75" customHeight="1" x14ac:dyDescent="0.25">
      <c r="A1122" s="44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</row>
    <row r="1123" spans="1:26" ht="15.75" customHeight="1" x14ac:dyDescent="0.25">
      <c r="A1123" s="44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</row>
    <row r="1124" spans="1:26" ht="15.75" customHeight="1" x14ac:dyDescent="0.25">
      <c r="A1124" s="44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</row>
    <row r="1125" spans="1:26" ht="15.75" customHeight="1" x14ac:dyDescent="0.25">
      <c r="A1125" s="44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</row>
    <row r="1126" spans="1:26" ht="15.75" customHeight="1" x14ac:dyDescent="0.25">
      <c r="A1126" s="44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</row>
    <row r="1127" spans="1:26" ht="15.75" customHeight="1" x14ac:dyDescent="0.25">
      <c r="A1127" s="44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306C"/>
  </sheetPr>
  <dimension ref="A1:Z1003"/>
  <sheetViews>
    <sheetView workbookViewId="0">
      <selection activeCell="G1" sqref="G1:H1"/>
    </sheetView>
  </sheetViews>
  <sheetFormatPr defaultColWidth="14.42578125" defaultRowHeight="15" customHeight="1" x14ac:dyDescent="0.25"/>
  <cols>
    <col min="1" max="1" width="64.5703125" customWidth="1"/>
    <col min="2" max="2" width="8.7109375" customWidth="1"/>
    <col min="3" max="3" width="52.42578125" customWidth="1"/>
    <col min="4" max="4" width="20" customWidth="1"/>
    <col min="5" max="5" width="18.28515625" customWidth="1"/>
    <col min="6" max="6" width="10.85546875" customWidth="1"/>
    <col min="7" max="7" width="10.28515625" customWidth="1"/>
    <col min="8" max="8" width="11.85546875" customWidth="1"/>
    <col min="9" max="26" width="8.7109375" customWidth="1"/>
  </cols>
  <sheetData>
    <row r="1" spans="1:26" x14ac:dyDescent="0.25">
      <c r="A1" s="4" t="s">
        <v>1853</v>
      </c>
      <c r="B1" s="4" t="s">
        <v>14</v>
      </c>
      <c r="C1" s="4" t="s">
        <v>1854</v>
      </c>
      <c r="D1" s="4" t="s">
        <v>1179</v>
      </c>
      <c r="E1" s="4" t="s">
        <v>1055</v>
      </c>
      <c r="F1" s="4" t="s">
        <v>1855</v>
      </c>
      <c r="G1" s="4" t="s">
        <v>731</v>
      </c>
      <c r="H1" s="4" t="s">
        <v>730</v>
      </c>
    </row>
    <row r="2" spans="1:26" x14ac:dyDescent="0.25">
      <c r="A2" s="8" t="s">
        <v>1856</v>
      </c>
      <c r="B2" s="8" t="s">
        <v>732</v>
      </c>
      <c r="C2" s="8" t="s">
        <v>1857</v>
      </c>
      <c r="D2" s="8" t="s">
        <v>1858</v>
      </c>
      <c r="E2" s="8" t="s">
        <v>1859</v>
      </c>
      <c r="F2" s="50" t="s">
        <v>1860</v>
      </c>
      <c r="G2" s="8">
        <v>61.293281</v>
      </c>
      <c r="H2" s="8">
        <v>-149.602138</v>
      </c>
    </row>
    <row r="3" spans="1:26" x14ac:dyDescent="0.25">
      <c r="A3" s="5" t="s">
        <v>1861</v>
      </c>
      <c r="B3" s="49" t="s">
        <v>1862</v>
      </c>
      <c r="C3" s="49" t="s">
        <v>1863</v>
      </c>
      <c r="D3" s="49" t="s">
        <v>1864</v>
      </c>
      <c r="E3" s="49" t="s">
        <v>1865</v>
      </c>
      <c r="F3" s="49" t="s">
        <v>1866</v>
      </c>
      <c r="G3" s="51">
        <v>33.683450000000001</v>
      </c>
      <c r="H3" s="51">
        <v>-86.252719999999997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5" t="s">
        <v>1867</v>
      </c>
      <c r="B4" s="5" t="s">
        <v>1862</v>
      </c>
      <c r="C4" s="5" t="s">
        <v>1868</v>
      </c>
      <c r="D4" s="5" t="s">
        <v>1869</v>
      </c>
      <c r="E4" s="5" t="s">
        <v>1870</v>
      </c>
      <c r="F4" s="5" t="s">
        <v>1871</v>
      </c>
      <c r="G4" s="5">
        <v>34.6175</v>
      </c>
      <c r="H4" s="5">
        <v>-87.10163</v>
      </c>
    </row>
    <row r="5" spans="1:26" x14ac:dyDescent="0.25">
      <c r="A5" s="5" t="s">
        <v>1872</v>
      </c>
      <c r="B5" s="5" t="s">
        <v>1862</v>
      </c>
      <c r="C5" s="5" t="s">
        <v>1873</v>
      </c>
      <c r="D5" s="5" t="s">
        <v>1874</v>
      </c>
      <c r="E5" s="5" t="s">
        <v>1875</v>
      </c>
      <c r="F5" s="5" t="s">
        <v>1876</v>
      </c>
      <c r="G5" s="5">
        <v>34.341999999999999</v>
      </c>
      <c r="H5" s="5">
        <v>-85.861999999999995</v>
      </c>
    </row>
    <row r="6" spans="1:26" x14ac:dyDescent="0.25">
      <c r="A6" s="5" t="s">
        <v>1877</v>
      </c>
      <c r="B6" s="5" t="s">
        <v>1862</v>
      </c>
      <c r="C6" s="5" t="s">
        <v>1878</v>
      </c>
      <c r="D6" s="5" t="s">
        <v>1879</v>
      </c>
      <c r="E6" s="5" t="s">
        <v>1880</v>
      </c>
      <c r="F6" s="5" t="s">
        <v>1881</v>
      </c>
      <c r="G6" s="5">
        <v>33.996200000000002</v>
      </c>
      <c r="H6" s="5">
        <v>-85.725399999999993</v>
      </c>
    </row>
    <row r="7" spans="1:26" x14ac:dyDescent="0.25">
      <c r="A7" s="5" t="s">
        <v>1882</v>
      </c>
      <c r="B7" s="49" t="s">
        <v>60</v>
      </c>
      <c r="C7" s="49" t="s">
        <v>1883</v>
      </c>
      <c r="D7" s="49" t="s">
        <v>1884</v>
      </c>
      <c r="E7" s="49" t="s">
        <v>59</v>
      </c>
      <c r="F7" s="49" t="s">
        <v>1885</v>
      </c>
      <c r="G7" s="51">
        <v>33.5364</v>
      </c>
      <c r="H7" s="51">
        <v>-112.3065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5" t="s">
        <v>1886</v>
      </c>
      <c r="B8" s="5" t="s">
        <v>60</v>
      </c>
      <c r="C8" s="5" t="s">
        <v>1887</v>
      </c>
      <c r="D8" s="5" t="s">
        <v>1888</v>
      </c>
      <c r="E8" s="5" t="s">
        <v>59</v>
      </c>
      <c r="F8" s="5" t="s">
        <v>1889</v>
      </c>
      <c r="G8" s="5">
        <v>33.677999999999997</v>
      </c>
      <c r="H8" s="5">
        <v>-112.48099999999999</v>
      </c>
    </row>
    <row r="9" spans="1:26" x14ac:dyDescent="0.25">
      <c r="A9" s="5" t="s">
        <v>1890</v>
      </c>
      <c r="B9" s="5" t="s">
        <v>1184</v>
      </c>
      <c r="C9" s="5" t="s">
        <v>1891</v>
      </c>
      <c r="D9" s="5" t="s">
        <v>1892</v>
      </c>
      <c r="E9" s="5" t="s">
        <v>1893</v>
      </c>
      <c r="F9" s="5" t="s">
        <v>1894</v>
      </c>
      <c r="G9" s="5">
        <v>35.2926</v>
      </c>
      <c r="H9" s="5">
        <v>-94.370400000000004</v>
      </c>
    </row>
    <row r="10" spans="1:26" x14ac:dyDescent="0.25">
      <c r="A10" s="5" t="s">
        <v>1895</v>
      </c>
      <c r="B10" s="5" t="s">
        <v>1184</v>
      </c>
      <c r="C10" s="5" t="s">
        <v>1896</v>
      </c>
      <c r="D10" s="5" t="s">
        <v>1897</v>
      </c>
      <c r="E10" s="5" t="s">
        <v>1137</v>
      </c>
      <c r="F10" s="5" t="s">
        <v>1898</v>
      </c>
      <c r="G10" s="5">
        <v>36.140146999999999</v>
      </c>
      <c r="H10" s="5">
        <v>-94.256073000000001</v>
      </c>
    </row>
    <row r="11" spans="1:26" x14ac:dyDescent="0.25">
      <c r="A11" s="5" t="s">
        <v>1899</v>
      </c>
      <c r="B11" s="5" t="s">
        <v>1184</v>
      </c>
      <c r="C11" s="5" t="s">
        <v>1900</v>
      </c>
      <c r="D11" s="5" t="s">
        <v>1901</v>
      </c>
      <c r="E11" s="5" t="s">
        <v>1902</v>
      </c>
      <c r="F11" s="5" t="s">
        <v>1903</v>
      </c>
      <c r="G11" s="5">
        <v>34.8371</v>
      </c>
      <c r="H11" s="5">
        <v>-92.149699999999996</v>
      </c>
    </row>
    <row r="12" spans="1:26" x14ac:dyDescent="0.25">
      <c r="A12" s="5" t="s">
        <v>1904</v>
      </c>
      <c r="B12" s="5" t="s">
        <v>68</v>
      </c>
      <c r="C12" s="5" t="s">
        <v>1905</v>
      </c>
      <c r="D12" s="5" t="s">
        <v>1906</v>
      </c>
      <c r="E12" s="5" t="s">
        <v>1907</v>
      </c>
      <c r="F12" s="5" t="s">
        <v>1908</v>
      </c>
      <c r="G12" s="5">
        <v>38.033999999999999</v>
      </c>
      <c r="H12" s="5">
        <v>-122.09056</v>
      </c>
    </row>
    <row r="13" spans="1:26" x14ac:dyDescent="0.25">
      <c r="A13" s="5" t="s">
        <v>1909</v>
      </c>
      <c r="B13" s="5" t="s">
        <v>68</v>
      </c>
      <c r="C13" s="5" t="s">
        <v>1910</v>
      </c>
      <c r="D13" s="5" t="s">
        <v>1911</v>
      </c>
      <c r="E13" s="5" t="s">
        <v>1911</v>
      </c>
      <c r="F13" s="5" t="s">
        <v>1912</v>
      </c>
      <c r="G13" s="5">
        <v>37.41639</v>
      </c>
      <c r="H13" s="5">
        <v>-121.97056000000001</v>
      </c>
    </row>
    <row r="14" spans="1:26" x14ac:dyDescent="0.25">
      <c r="A14" s="5" t="s">
        <v>1913</v>
      </c>
      <c r="B14" s="5" t="s">
        <v>68</v>
      </c>
      <c r="C14" s="5" t="s">
        <v>1914</v>
      </c>
      <c r="D14" s="5" t="s">
        <v>1915</v>
      </c>
      <c r="E14" s="5" t="s">
        <v>1916</v>
      </c>
      <c r="F14" s="5" t="s">
        <v>1917</v>
      </c>
      <c r="G14" s="5">
        <v>37.75</v>
      </c>
      <c r="H14" s="5">
        <v>-121.65667000000001</v>
      </c>
    </row>
    <row r="15" spans="1:26" x14ac:dyDescent="0.25">
      <c r="A15" s="5" t="s">
        <v>1918</v>
      </c>
      <c r="B15" s="5" t="s">
        <v>68</v>
      </c>
      <c r="C15" s="5" t="s">
        <v>1919</v>
      </c>
      <c r="D15" s="5" t="s">
        <v>1920</v>
      </c>
      <c r="E15" s="5" t="s">
        <v>1064</v>
      </c>
      <c r="F15" s="5" t="s">
        <v>1921</v>
      </c>
      <c r="G15" s="5">
        <v>34.035299999999999</v>
      </c>
      <c r="H15" s="5">
        <v>-117.913</v>
      </c>
    </row>
    <row r="16" spans="1:26" x14ac:dyDescent="0.25">
      <c r="A16" s="5" t="s">
        <v>1922</v>
      </c>
      <c r="B16" s="5" t="s">
        <v>68</v>
      </c>
      <c r="C16" s="5" t="s">
        <v>1923</v>
      </c>
      <c r="D16" s="5" t="s">
        <v>1924</v>
      </c>
      <c r="E16" s="5" t="s">
        <v>1925</v>
      </c>
      <c r="F16" s="5" t="s">
        <v>1926</v>
      </c>
      <c r="G16" s="5">
        <v>36.917380000000001</v>
      </c>
      <c r="H16" s="5">
        <v>-121.81142</v>
      </c>
    </row>
    <row r="17" spans="1:8" x14ac:dyDescent="0.25">
      <c r="A17" s="5" t="s">
        <v>1927</v>
      </c>
      <c r="B17" s="5" t="s">
        <v>68</v>
      </c>
      <c r="C17" s="5" t="s">
        <v>1928</v>
      </c>
      <c r="D17" s="5" t="s">
        <v>1929</v>
      </c>
      <c r="E17" s="5" t="s">
        <v>1064</v>
      </c>
      <c r="F17" s="5" t="s">
        <v>1930</v>
      </c>
      <c r="G17" s="5">
        <v>34.210180000000001</v>
      </c>
      <c r="H17" s="5">
        <v>-118.31192</v>
      </c>
    </row>
    <row r="18" spans="1:8" x14ac:dyDescent="0.25">
      <c r="A18" s="5" t="s">
        <v>1931</v>
      </c>
      <c r="B18" s="5" t="s">
        <v>68</v>
      </c>
      <c r="C18" s="5" t="s">
        <v>1932</v>
      </c>
      <c r="D18" s="5" t="s">
        <v>1933</v>
      </c>
      <c r="E18" s="5" t="s">
        <v>1064</v>
      </c>
      <c r="F18" s="5" t="s">
        <v>1934</v>
      </c>
      <c r="G18" s="5">
        <v>34.148620000000001</v>
      </c>
      <c r="H18" s="5">
        <v>-118.70953</v>
      </c>
    </row>
    <row r="19" spans="1:8" x14ac:dyDescent="0.25">
      <c r="A19" s="5" t="s">
        <v>1935</v>
      </c>
      <c r="B19" s="5" t="s">
        <v>68</v>
      </c>
      <c r="C19" s="5" t="s">
        <v>1936</v>
      </c>
      <c r="D19" s="5" t="s">
        <v>1937</v>
      </c>
      <c r="E19" s="5" t="s">
        <v>1064</v>
      </c>
      <c r="F19" s="5" t="s">
        <v>1938</v>
      </c>
      <c r="G19" s="5">
        <v>34.428060000000002</v>
      </c>
      <c r="H19" s="5">
        <v>-118.64661</v>
      </c>
    </row>
    <row r="20" spans="1:8" x14ac:dyDescent="0.25">
      <c r="A20" s="5" t="s">
        <v>1939</v>
      </c>
      <c r="B20" s="5" t="s">
        <v>68</v>
      </c>
      <c r="C20" s="5" t="s">
        <v>1940</v>
      </c>
      <c r="D20" s="5" t="s">
        <v>1925</v>
      </c>
      <c r="E20" s="5" t="s">
        <v>1925</v>
      </c>
      <c r="F20" s="5" t="s">
        <v>1941</v>
      </c>
      <c r="G20" s="5">
        <v>36.976019999999998</v>
      </c>
      <c r="H20" s="5">
        <v>-122.10608000000001</v>
      </c>
    </row>
    <row r="21" spans="1:8" ht="15.75" customHeight="1" x14ac:dyDescent="0.25">
      <c r="A21" s="5" t="s">
        <v>1942</v>
      </c>
      <c r="B21" s="5" t="s">
        <v>68</v>
      </c>
      <c r="C21" s="5" t="s">
        <v>1943</v>
      </c>
      <c r="D21" s="5" t="s">
        <v>1944</v>
      </c>
      <c r="E21" s="5" t="s">
        <v>1945</v>
      </c>
      <c r="F21" s="5" t="s">
        <v>1946</v>
      </c>
      <c r="G21" s="5">
        <v>38.584800000000001</v>
      </c>
      <c r="H21" s="5">
        <v>-122.53400000000001</v>
      </c>
    </row>
    <row r="22" spans="1:8" ht="15.75" customHeight="1" x14ac:dyDescent="0.25">
      <c r="A22" s="5" t="s">
        <v>1947</v>
      </c>
      <c r="B22" s="5" t="s">
        <v>68</v>
      </c>
      <c r="C22" s="5" t="s">
        <v>1948</v>
      </c>
      <c r="D22" s="5" t="s">
        <v>1949</v>
      </c>
      <c r="E22" s="5" t="s">
        <v>1949</v>
      </c>
      <c r="F22" s="5" t="s">
        <v>1950</v>
      </c>
      <c r="G22" s="5">
        <v>35.1873</v>
      </c>
      <c r="H22" s="5">
        <v>-120.59578999999999</v>
      </c>
    </row>
    <row r="23" spans="1:8" ht="15.75" customHeight="1" x14ac:dyDescent="0.25">
      <c r="A23" s="5" t="s">
        <v>1951</v>
      </c>
      <c r="B23" s="5" t="s">
        <v>68</v>
      </c>
      <c r="C23" s="5" t="s">
        <v>1952</v>
      </c>
      <c r="D23" s="5" t="s">
        <v>1953</v>
      </c>
      <c r="E23" s="5" t="s">
        <v>1954</v>
      </c>
      <c r="F23" s="5" t="s">
        <v>1955</v>
      </c>
      <c r="G23" s="5">
        <v>33.867400000000004</v>
      </c>
      <c r="H23" s="5">
        <v>-117.5395</v>
      </c>
    </row>
    <row r="24" spans="1:8" ht="15.75" customHeight="1" x14ac:dyDescent="0.25">
      <c r="A24" s="5" t="s">
        <v>1956</v>
      </c>
      <c r="B24" s="5" t="s">
        <v>68</v>
      </c>
      <c r="C24" s="5" t="s">
        <v>1957</v>
      </c>
      <c r="D24" s="5" t="s">
        <v>309</v>
      </c>
      <c r="E24" s="5" t="s">
        <v>1216</v>
      </c>
      <c r="F24" s="5" t="s">
        <v>1958</v>
      </c>
      <c r="G24" s="5">
        <v>38.037100000000002</v>
      </c>
      <c r="H24" s="5">
        <v>-120.94489</v>
      </c>
    </row>
    <row r="25" spans="1:8" ht="15.75" customHeight="1" x14ac:dyDescent="0.25">
      <c r="A25" s="5" t="s">
        <v>1959</v>
      </c>
      <c r="B25" s="5" t="s">
        <v>68</v>
      </c>
      <c r="C25" s="5" t="s">
        <v>1960</v>
      </c>
      <c r="D25" s="5" t="s">
        <v>1961</v>
      </c>
      <c r="E25" s="5" t="s">
        <v>1216</v>
      </c>
      <c r="F25" s="5" t="s">
        <v>1962</v>
      </c>
      <c r="G25" s="5">
        <v>37.874623999999997</v>
      </c>
      <c r="H25" s="5">
        <v>-121.1833</v>
      </c>
    </row>
    <row r="26" spans="1:8" ht="15.75" customHeight="1" x14ac:dyDescent="0.25">
      <c r="A26" s="5" t="s">
        <v>1963</v>
      </c>
      <c r="B26" s="5" t="s">
        <v>68</v>
      </c>
      <c r="C26" s="5" t="s">
        <v>1964</v>
      </c>
      <c r="D26" s="5" t="s">
        <v>1965</v>
      </c>
      <c r="E26" s="5" t="s">
        <v>1966</v>
      </c>
      <c r="F26" s="5" t="s">
        <v>1967</v>
      </c>
      <c r="G26" s="5">
        <v>33.720529999999997</v>
      </c>
      <c r="H26" s="5">
        <v>-117.70947</v>
      </c>
    </row>
    <row r="27" spans="1:8" ht="15.75" customHeight="1" x14ac:dyDescent="0.25">
      <c r="A27" s="5" t="s">
        <v>1968</v>
      </c>
      <c r="B27" s="5" t="s">
        <v>68</v>
      </c>
      <c r="C27" s="5" t="s">
        <v>1969</v>
      </c>
      <c r="D27" s="5" t="s">
        <v>1970</v>
      </c>
      <c r="E27" s="5" t="s">
        <v>1971</v>
      </c>
      <c r="F27" s="5" t="s">
        <v>1972</v>
      </c>
      <c r="G27" s="5">
        <v>36.531669999999998</v>
      </c>
      <c r="H27" s="5">
        <v>-121.40667000000001</v>
      </c>
    </row>
    <row r="28" spans="1:8" ht="15.75" customHeight="1" x14ac:dyDescent="0.25">
      <c r="A28" s="5" t="s">
        <v>1973</v>
      </c>
      <c r="B28" s="5" t="s">
        <v>68</v>
      </c>
      <c r="C28" s="5" t="s">
        <v>1974</v>
      </c>
      <c r="D28" s="5" t="s">
        <v>1975</v>
      </c>
      <c r="E28" s="5" t="s">
        <v>1907</v>
      </c>
      <c r="F28" s="5" t="s">
        <v>1976</v>
      </c>
      <c r="G28" s="5">
        <v>38.004719999999999</v>
      </c>
      <c r="H28" s="5">
        <v>-121.93611</v>
      </c>
    </row>
    <row r="29" spans="1:8" ht="15.75" customHeight="1" x14ac:dyDescent="0.25">
      <c r="A29" s="5" t="s">
        <v>1977</v>
      </c>
      <c r="B29" s="5" t="s">
        <v>68</v>
      </c>
      <c r="C29" s="5" t="s">
        <v>1978</v>
      </c>
      <c r="D29" s="5" t="s">
        <v>1979</v>
      </c>
      <c r="E29" s="5" t="s">
        <v>1275</v>
      </c>
      <c r="F29" s="5" t="s">
        <v>1980</v>
      </c>
      <c r="G29" s="5">
        <v>38.520989999999998</v>
      </c>
      <c r="H29" s="5">
        <v>-121.19889999999999</v>
      </c>
    </row>
    <row r="30" spans="1:8" ht="15.75" customHeight="1" x14ac:dyDescent="0.25">
      <c r="A30" s="5" t="s">
        <v>1981</v>
      </c>
      <c r="B30" s="5" t="s">
        <v>68</v>
      </c>
      <c r="C30" s="5" t="s">
        <v>1982</v>
      </c>
      <c r="D30" s="5" t="s">
        <v>1983</v>
      </c>
      <c r="E30" s="5" t="s">
        <v>1064</v>
      </c>
      <c r="F30" s="5" t="s">
        <v>1984</v>
      </c>
      <c r="G30" s="5">
        <v>34.290280000000003</v>
      </c>
      <c r="H30" s="5">
        <v>-118.39111</v>
      </c>
    </row>
    <row r="31" spans="1:8" ht="15.75" customHeight="1" x14ac:dyDescent="0.25">
      <c r="A31" s="5" t="s">
        <v>1985</v>
      </c>
      <c r="B31" s="5" t="s">
        <v>68</v>
      </c>
      <c r="C31" s="5" t="s">
        <v>1986</v>
      </c>
      <c r="D31" s="5" t="s">
        <v>1987</v>
      </c>
      <c r="E31" s="5" t="s">
        <v>1971</v>
      </c>
      <c r="F31" s="5" t="s">
        <v>1988</v>
      </c>
      <c r="G31" s="5">
        <v>36.713329999999999</v>
      </c>
      <c r="H31" s="5">
        <v>-121.76667</v>
      </c>
    </row>
    <row r="32" spans="1:8" ht="15.75" customHeight="1" x14ac:dyDescent="0.25">
      <c r="A32" s="5" t="s">
        <v>1989</v>
      </c>
      <c r="B32" s="5" t="s">
        <v>68</v>
      </c>
      <c r="C32" s="5" t="s">
        <v>1990</v>
      </c>
      <c r="D32" s="5" t="s">
        <v>1991</v>
      </c>
      <c r="E32" s="5" t="s">
        <v>1992</v>
      </c>
      <c r="F32" s="5" t="s">
        <v>1993</v>
      </c>
      <c r="G32" s="5">
        <v>39.674250000000001</v>
      </c>
      <c r="H32" s="5">
        <v>-121.72929000000001</v>
      </c>
    </row>
    <row r="33" spans="1:8" ht="15.75" customHeight="1" x14ac:dyDescent="0.25">
      <c r="A33" s="5" t="s">
        <v>1994</v>
      </c>
      <c r="B33" s="5" t="s">
        <v>68</v>
      </c>
      <c r="C33" s="5" t="s">
        <v>1995</v>
      </c>
      <c r="D33" s="5" t="s">
        <v>1996</v>
      </c>
      <c r="E33" s="5" t="s">
        <v>1996</v>
      </c>
      <c r="F33" s="5" t="s">
        <v>1997</v>
      </c>
      <c r="G33" s="5">
        <v>32.856000000000002</v>
      </c>
      <c r="H33" s="5">
        <v>-117.16200000000001</v>
      </c>
    </row>
    <row r="34" spans="1:8" ht="15.75" customHeight="1" x14ac:dyDescent="0.25">
      <c r="A34" s="5" t="s">
        <v>1994</v>
      </c>
      <c r="B34" s="5" t="s">
        <v>68</v>
      </c>
      <c r="C34" s="5" t="s">
        <v>1995</v>
      </c>
      <c r="D34" s="5" t="s">
        <v>1996</v>
      </c>
      <c r="E34" s="5" t="s">
        <v>1996</v>
      </c>
      <c r="F34" s="5" t="s">
        <v>1997</v>
      </c>
      <c r="G34" s="5">
        <v>32.856000000000002</v>
      </c>
      <c r="H34" s="5">
        <v>-117.16200000000001</v>
      </c>
    </row>
    <row r="35" spans="1:8" ht="15.75" customHeight="1" x14ac:dyDescent="0.25">
      <c r="A35" s="5" t="s">
        <v>1998</v>
      </c>
      <c r="B35" s="5" t="s">
        <v>68</v>
      </c>
      <c r="C35" s="5" t="s">
        <v>1999</v>
      </c>
      <c r="D35" s="5" t="s">
        <v>2000</v>
      </c>
      <c r="E35" s="5" t="s">
        <v>1966</v>
      </c>
      <c r="F35" s="5" t="s">
        <v>2001</v>
      </c>
      <c r="G35" s="5">
        <v>33.933610000000002</v>
      </c>
      <c r="H35" s="5">
        <v>-117.84361</v>
      </c>
    </row>
    <row r="36" spans="1:8" ht="15.75" customHeight="1" x14ac:dyDescent="0.25">
      <c r="A36" s="5" t="s">
        <v>2002</v>
      </c>
      <c r="B36" s="5" t="s">
        <v>68</v>
      </c>
      <c r="C36" s="5" t="s">
        <v>2003</v>
      </c>
      <c r="D36" s="5" t="s">
        <v>2004</v>
      </c>
      <c r="E36" s="5" t="s">
        <v>1064</v>
      </c>
      <c r="F36" s="5" t="s">
        <v>2005</v>
      </c>
      <c r="G36" s="5">
        <v>34.030999999999999</v>
      </c>
      <c r="H36" s="5">
        <v>-118.108</v>
      </c>
    </row>
    <row r="37" spans="1:8" ht="15.75" customHeight="1" x14ac:dyDescent="0.25">
      <c r="A37" s="5" t="s">
        <v>2006</v>
      </c>
      <c r="B37" s="5" t="s">
        <v>68</v>
      </c>
      <c r="C37" s="5" t="s">
        <v>2007</v>
      </c>
      <c r="D37" s="5" t="s">
        <v>1205</v>
      </c>
      <c r="E37" s="5" t="s">
        <v>1205</v>
      </c>
      <c r="F37" s="5" t="s">
        <v>2008</v>
      </c>
      <c r="G37" s="5">
        <v>36.68694</v>
      </c>
      <c r="H37" s="5">
        <v>-119.76306</v>
      </c>
    </row>
    <row r="38" spans="1:8" ht="15.75" customHeight="1" x14ac:dyDescent="0.25">
      <c r="A38" s="5" t="s">
        <v>2009</v>
      </c>
      <c r="B38" s="5" t="s">
        <v>68</v>
      </c>
      <c r="C38" s="5" t="s">
        <v>2010</v>
      </c>
      <c r="D38" s="5" t="s">
        <v>2011</v>
      </c>
      <c r="E38" s="5" t="s">
        <v>2012</v>
      </c>
      <c r="F38" s="5" t="s">
        <v>2013</v>
      </c>
      <c r="G38" s="5">
        <v>37.499000000000002</v>
      </c>
      <c r="H38" s="5">
        <v>-122.41200000000001</v>
      </c>
    </row>
    <row r="39" spans="1:8" ht="15.75" customHeight="1" x14ac:dyDescent="0.25">
      <c r="A39" s="5" t="s">
        <v>2014</v>
      </c>
      <c r="B39" s="5" t="s">
        <v>68</v>
      </c>
      <c r="C39" s="5" t="s">
        <v>2015</v>
      </c>
      <c r="D39" s="5" t="s">
        <v>2016</v>
      </c>
      <c r="E39" s="5" t="s">
        <v>1064</v>
      </c>
      <c r="F39" s="5" t="s">
        <v>2017</v>
      </c>
      <c r="G39" s="5">
        <v>34.020330000000001</v>
      </c>
      <c r="H39" s="5">
        <v>-118.00604</v>
      </c>
    </row>
    <row r="40" spans="1:8" ht="15.75" customHeight="1" x14ac:dyDescent="0.25">
      <c r="A40" s="5" t="s">
        <v>2018</v>
      </c>
      <c r="B40" s="5" t="s">
        <v>68</v>
      </c>
      <c r="C40" s="5" t="s">
        <v>2019</v>
      </c>
      <c r="D40" s="5" t="s">
        <v>2020</v>
      </c>
      <c r="E40" s="5" t="s">
        <v>2021</v>
      </c>
      <c r="F40" s="5" t="s">
        <v>2022</v>
      </c>
      <c r="G40" s="5">
        <v>38.314970000000002</v>
      </c>
      <c r="H40" s="5">
        <v>-121.83163999999999</v>
      </c>
    </row>
    <row r="41" spans="1:8" ht="15.75" customHeight="1" x14ac:dyDescent="0.25">
      <c r="A41" s="5" t="s">
        <v>2023</v>
      </c>
      <c r="B41" s="5" t="s">
        <v>68</v>
      </c>
      <c r="C41" s="5" t="s">
        <v>2024</v>
      </c>
      <c r="D41" s="5" t="s">
        <v>1850</v>
      </c>
      <c r="E41" s="5" t="s">
        <v>2025</v>
      </c>
      <c r="F41" s="5" t="s">
        <v>2026</v>
      </c>
      <c r="G41" s="5">
        <v>39.071710000000003</v>
      </c>
      <c r="H41" s="5">
        <v>-121.3925</v>
      </c>
    </row>
    <row r="42" spans="1:8" ht="15.75" customHeight="1" x14ac:dyDescent="0.25">
      <c r="A42" s="5" t="s">
        <v>2027</v>
      </c>
      <c r="B42" s="5" t="s">
        <v>68</v>
      </c>
      <c r="C42" s="5" t="s">
        <v>2028</v>
      </c>
      <c r="D42" s="5" t="s">
        <v>2029</v>
      </c>
      <c r="E42" s="5" t="s">
        <v>1209</v>
      </c>
      <c r="F42" s="5" t="s">
        <v>2030</v>
      </c>
      <c r="G42" s="5">
        <v>38.1661</v>
      </c>
      <c r="H42" s="5">
        <v>-122.57922000000001</v>
      </c>
    </row>
    <row r="43" spans="1:8" ht="15.75" customHeight="1" x14ac:dyDescent="0.25">
      <c r="A43" s="5" t="s">
        <v>2031</v>
      </c>
      <c r="B43" s="5" t="s">
        <v>68</v>
      </c>
      <c r="C43" s="5" t="s">
        <v>2032</v>
      </c>
      <c r="D43" s="5" t="s">
        <v>2033</v>
      </c>
      <c r="E43" s="5" t="s">
        <v>1996</v>
      </c>
      <c r="F43" s="52">
        <v>92078</v>
      </c>
      <c r="G43" s="5">
        <v>33.078299999999999</v>
      </c>
      <c r="H43" s="5">
        <v>-117.16500000000001</v>
      </c>
    </row>
    <row r="44" spans="1:8" ht="15.75" customHeight="1" x14ac:dyDescent="0.25">
      <c r="A44" s="5" t="s">
        <v>2034</v>
      </c>
      <c r="B44" s="5" t="s">
        <v>68</v>
      </c>
      <c r="C44" s="5" t="s">
        <v>2035</v>
      </c>
      <c r="D44" s="5" t="s">
        <v>2036</v>
      </c>
      <c r="E44" s="5" t="s">
        <v>2037</v>
      </c>
      <c r="F44" s="5" t="s">
        <v>2038</v>
      </c>
      <c r="G44" s="5">
        <v>34.952500000000001</v>
      </c>
      <c r="H44" s="5">
        <v>-120.3831</v>
      </c>
    </row>
    <row r="45" spans="1:8" ht="15.75" customHeight="1" x14ac:dyDescent="0.25">
      <c r="A45" s="5" t="s">
        <v>2039</v>
      </c>
      <c r="B45" s="5" t="s">
        <v>68</v>
      </c>
      <c r="C45" s="5" t="s">
        <v>2040</v>
      </c>
      <c r="D45" s="5" t="s">
        <v>2016</v>
      </c>
      <c r="E45" s="5" t="s">
        <v>1064</v>
      </c>
      <c r="F45" s="5" t="s">
        <v>2041</v>
      </c>
      <c r="G45" s="5">
        <v>33.979900000000001</v>
      </c>
      <c r="H45" s="5">
        <v>-118.0171</v>
      </c>
    </row>
    <row r="46" spans="1:8" ht="15.75" customHeight="1" x14ac:dyDescent="0.25">
      <c r="A46" s="5" t="s">
        <v>2042</v>
      </c>
      <c r="B46" s="5" t="s">
        <v>68</v>
      </c>
      <c r="C46" s="5" t="s">
        <v>2043</v>
      </c>
      <c r="D46" s="5" t="s">
        <v>2044</v>
      </c>
      <c r="E46" s="5" t="s">
        <v>2045</v>
      </c>
      <c r="F46" s="5" t="s">
        <v>2046</v>
      </c>
      <c r="G46" s="5">
        <v>38.296939999999999</v>
      </c>
      <c r="H46" s="5">
        <v>-122.74222</v>
      </c>
    </row>
    <row r="47" spans="1:8" ht="15.75" customHeight="1" x14ac:dyDescent="0.25">
      <c r="A47" s="5" t="s">
        <v>2047</v>
      </c>
      <c r="B47" s="5" t="s">
        <v>68</v>
      </c>
      <c r="C47" s="5" t="s">
        <v>2048</v>
      </c>
      <c r="D47" s="5" t="s">
        <v>2049</v>
      </c>
      <c r="E47" s="5" t="s">
        <v>1911</v>
      </c>
      <c r="F47" s="5" t="s">
        <v>2050</v>
      </c>
      <c r="G47" s="5">
        <v>37.418399999999998</v>
      </c>
      <c r="H47" s="5">
        <v>-122.00776</v>
      </c>
    </row>
    <row r="48" spans="1:8" ht="15.75" customHeight="1" x14ac:dyDescent="0.25">
      <c r="A48" s="5" t="s">
        <v>2051</v>
      </c>
      <c r="B48" s="5" t="s">
        <v>68</v>
      </c>
      <c r="C48" s="5" t="s">
        <v>2052</v>
      </c>
      <c r="D48" s="5" t="s">
        <v>1983</v>
      </c>
      <c r="E48" s="5" t="s">
        <v>1064</v>
      </c>
      <c r="F48" s="5" t="s">
        <v>1984</v>
      </c>
      <c r="G48" s="5">
        <v>34.323520000000002</v>
      </c>
      <c r="H48" s="5">
        <v>-118.50294</v>
      </c>
    </row>
    <row r="49" spans="1:8" ht="15.75" customHeight="1" x14ac:dyDescent="0.25">
      <c r="A49" s="5" t="s">
        <v>2053</v>
      </c>
      <c r="B49" s="5" t="s">
        <v>68</v>
      </c>
      <c r="C49" s="5" t="s">
        <v>2054</v>
      </c>
      <c r="D49" s="5" t="s">
        <v>2055</v>
      </c>
      <c r="E49" s="5" t="s">
        <v>1996</v>
      </c>
      <c r="F49" s="5" t="s">
        <v>2056</v>
      </c>
      <c r="G49" s="5">
        <v>32.849600000000002</v>
      </c>
      <c r="H49" s="5">
        <v>-117.02667</v>
      </c>
    </row>
    <row r="50" spans="1:8" ht="15.75" customHeight="1" x14ac:dyDescent="0.25">
      <c r="A50" s="5" t="s">
        <v>2057</v>
      </c>
      <c r="B50" s="5" t="s">
        <v>68</v>
      </c>
      <c r="C50" s="5" t="s">
        <v>2058</v>
      </c>
      <c r="D50" s="5" t="s">
        <v>2059</v>
      </c>
      <c r="E50" s="5" t="s">
        <v>2037</v>
      </c>
      <c r="F50" s="5" t="s">
        <v>2060</v>
      </c>
      <c r="G50" s="5">
        <v>34.476939999999999</v>
      </c>
      <c r="H50" s="5">
        <v>-120.12417000000001</v>
      </c>
    </row>
    <row r="51" spans="1:8" ht="15.75" customHeight="1" x14ac:dyDescent="0.25">
      <c r="A51" s="5" t="s">
        <v>2061</v>
      </c>
      <c r="B51" s="5" t="s">
        <v>68</v>
      </c>
      <c r="C51" s="5" t="s">
        <v>2062</v>
      </c>
      <c r="D51" s="5" t="s">
        <v>1064</v>
      </c>
      <c r="E51" s="5" t="s">
        <v>1064</v>
      </c>
      <c r="F51" s="52">
        <v>90027</v>
      </c>
      <c r="G51" s="5">
        <v>34.144399999999997</v>
      </c>
      <c r="H51" s="5">
        <v>-118.30119999999999</v>
      </c>
    </row>
    <row r="52" spans="1:8" ht="15.75" customHeight="1" x14ac:dyDescent="0.25">
      <c r="A52" s="5" t="s">
        <v>2063</v>
      </c>
      <c r="B52" s="5" t="s">
        <v>68</v>
      </c>
      <c r="C52" s="5" t="s">
        <v>2064</v>
      </c>
      <c r="D52" s="5" t="s">
        <v>2065</v>
      </c>
      <c r="E52" s="5" t="s">
        <v>2065</v>
      </c>
      <c r="F52" s="5" t="s">
        <v>2066</v>
      </c>
      <c r="G52" s="5">
        <v>38.648000000000003</v>
      </c>
      <c r="H52" s="5">
        <v>-120.82980000000001</v>
      </c>
    </row>
    <row r="53" spans="1:8" ht="15.75" customHeight="1" x14ac:dyDescent="0.25">
      <c r="A53" s="5" t="s">
        <v>2067</v>
      </c>
      <c r="B53" s="5" t="s">
        <v>68</v>
      </c>
      <c r="C53" s="5" t="s">
        <v>2068</v>
      </c>
      <c r="D53" s="5" t="s">
        <v>2069</v>
      </c>
      <c r="E53" s="5" t="s">
        <v>2070</v>
      </c>
      <c r="F53" s="5" t="s">
        <v>2071</v>
      </c>
      <c r="G53" s="5">
        <v>38.529719999999998</v>
      </c>
      <c r="H53" s="5">
        <v>-121.80556</v>
      </c>
    </row>
    <row r="54" spans="1:8" ht="15.75" customHeight="1" x14ac:dyDescent="0.25">
      <c r="A54" s="5" t="s">
        <v>2072</v>
      </c>
      <c r="B54" s="5" t="s">
        <v>68</v>
      </c>
      <c r="C54" s="5" t="s">
        <v>2073</v>
      </c>
      <c r="D54" s="5" t="s">
        <v>1915</v>
      </c>
      <c r="E54" s="5" t="s">
        <v>1916</v>
      </c>
      <c r="F54" s="5" t="s">
        <v>2074</v>
      </c>
      <c r="G54" s="5">
        <v>37.753329999999998</v>
      </c>
      <c r="H54" s="5">
        <v>-121.72333</v>
      </c>
    </row>
    <row r="55" spans="1:8" ht="15.75" customHeight="1" x14ac:dyDescent="0.25">
      <c r="A55" s="5" t="s">
        <v>2075</v>
      </c>
      <c r="B55" s="5" t="s">
        <v>68</v>
      </c>
      <c r="C55" s="5" t="s">
        <v>2076</v>
      </c>
      <c r="D55" s="5" t="s">
        <v>2077</v>
      </c>
      <c r="E55" s="5" t="s">
        <v>1907</v>
      </c>
      <c r="F55" s="5" t="s">
        <v>2078</v>
      </c>
      <c r="G55" s="5">
        <v>37.967779999999998</v>
      </c>
      <c r="H55" s="5">
        <v>-122.37639</v>
      </c>
    </row>
    <row r="56" spans="1:8" ht="15.75" customHeight="1" x14ac:dyDescent="0.25">
      <c r="A56" s="5" t="s">
        <v>2079</v>
      </c>
      <c r="B56" s="5" t="s">
        <v>68</v>
      </c>
      <c r="C56" s="5" t="s">
        <v>1995</v>
      </c>
      <c r="D56" s="5" t="s">
        <v>1996</v>
      </c>
      <c r="E56" s="5" t="s">
        <v>1996</v>
      </c>
      <c r="F56" s="52">
        <v>92111</v>
      </c>
      <c r="G56" s="5">
        <v>32.856000000000002</v>
      </c>
      <c r="H56" s="5">
        <v>-117.16200000000001</v>
      </c>
    </row>
    <row r="57" spans="1:8" ht="15.75" customHeight="1" x14ac:dyDescent="0.25">
      <c r="A57" s="5" t="s">
        <v>2080</v>
      </c>
      <c r="B57" s="5" t="s">
        <v>68</v>
      </c>
      <c r="C57" s="5" t="s">
        <v>2081</v>
      </c>
      <c r="D57" s="5" t="s">
        <v>2082</v>
      </c>
      <c r="E57" s="5" t="s">
        <v>2083</v>
      </c>
      <c r="F57" s="52">
        <v>95648</v>
      </c>
      <c r="G57" s="5">
        <v>38.835799999999999</v>
      </c>
      <c r="H57" s="5">
        <v>-121.3447</v>
      </c>
    </row>
    <row r="58" spans="1:8" ht="15.75" customHeight="1" x14ac:dyDescent="0.25">
      <c r="A58" s="5" t="s">
        <v>2084</v>
      </c>
      <c r="B58" s="5" t="s">
        <v>68</v>
      </c>
      <c r="C58" s="5" t="s">
        <v>2085</v>
      </c>
      <c r="D58" s="5" t="s">
        <v>2086</v>
      </c>
      <c r="E58" s="5" t="s">
        <v>2070</v>
      </c>
      <c r="F58" s="5" t="s">
        <v>2087</v>
      </c>
      <c r="G58" s="5">
        <v>38.59028</v>
      </c>
      <c r="H58" s="5">
        <v>-121.69222000000001</v>
      </c>
    </row>
    <row r="59" spans="1:8" ht="15.75" customHeight="1" x14ac:dyDescent="0.25">
      <c r="A59" s="5" t="s">
        <v>2088</v>
      </c>
      <c r="B59" s="5" t="s">
        <v>84</v>
      </c>
      <c r="C59" s="5" t="s">
        <v>2089</v>
      </c>
      <c r="D59" s="5" t="s">
        <v>521</v>
      </c>
      <c r="E59" s="5" t="s">
        <v>2090</v>
      </c>
      <c r="F59" s="5" t="s">
        <v>2091</v>
      </c>
      <c r="G59" s="5">
        <v>39.659999999999997</v>
      </c>
      <c r="H59" s="5">
        <v>-104.69</v>
      </c>
    </row>
    <row r="60" spans="1:8" ht="15.75" customHeight="1" x14ac:dyDescent="0.25">
      <c r="A60" s="5" t="s">
        <v>2092</v>
      </c>
      <c r="B60" s="5" t="s">
        <v>84</v>
      </c>
      <c r="C60" s="5" t="s">
        <v>2093</v>
      </c>
      <c r="D60" s="5" t="s">
        <v>2094</v>
      </c>
      <c r="E60" s="5" t="s">
        <v>2095</v>
      </c>
      <c r="F60" s="5" t="s">
        <v>2096</v>
      </c>
      <c r="G60" s="5">
        <v>40.043900000000001</v>
      </c>
      <c r="H60" s="5">
        <v>-105.00414000000001</v>
      </c>
    </row>
    <row r="61" spans="1:8" ht="15.75" customHeight="1" x14ac:dyDescent="0.25">
      <c r="A61" s="5" t="s">
        <v>2097</v>
      </c>
      <c r="B61" s="5" t="s">
        <v>84</v>
      </c>
      <c r="C61" s="5" t="s">
        <v>2093</v>
      </c>
      <c r="D61" s="5" t="s">
        <v>2094</v>
      </c>
      <c r="E61" s="5" t="s">
        <v>2095</v>
      </c>
      <c r="F61" s="5" t="s">
        <v>2096</v>
      </c>
      <c r="G61" s="5">
        <v>40.029179999999997</v>
      </c>
      <c r="H61" s="5">
        <v>-105.02982</v>
      </c>
    </row>
    <row r="62" spans="1:8" ht="15.75" customHeight="1" x14ac:dyDescent="0.25">
      <c r="A62" s="5" t="s">
        <v>2098</v>
      </c>
      <c r="B62" s="5" t="s">
        <v>84</v>
      </c>
      <c r="C62" s="5" t="s">
        <v>2099</v>
      </c>
      <c r="D62" s="5" t="s">
        <v>2094</v>
      </c>
      <c r="E62" s="5" t="s">
        <v>2095</v>
      </c>
      <c r="F62" s="5" t="s">
        <v>2096</v>
      </c>
      <c r="G62" s="5">
        <v>40.020404999999997</v>
      </c>
      <c r="H62" s="5">
        <v>-105.01267300000001</v>
      </c>
    </row>
    <row r="63" spans="1:8" ht="15.75" customHeight="1" x14ac:dyDescent="0.25">
      <c r="A63" s="5" t="s">
        <v>2100</v>
      </c>
      <c r="B63" s="5" t="s">
        <v>1066</v>
      </c>
      <c r="C63" s="5" t="s">
        <v>2101</v>
      </c>
      <c r="D63" s="5" t="s">
        <v>2102</v>
      </c>
      <c r="E63" s="5" t="s">
        <v>1069</v>
      </c>
      <c r="F63" s="5" t="s">
        <v>2103</v>
      </c>
      <c r="G63" s="5">
        <v>41.868899999999996</v>
      </c>
      <c r="H63" s="5">
        <v>-72.564499999999995</v>
      </c>
    </row>
    <row r="64" spans="1:8" ht="15.75" customHeight="1" x14ac:dyDescent="0.25">
      <c r="A64" s="5" t="s">
        <v>2104</v>
      </c>
      <c r="B64" s="5" t="s">
        <v>1066</v>
      </c>
      <c r="C64" s="5" t="s">
        <v>2105</v>
      </c>
      <c r="D64" s="5" t="s">
        <v>2106</v>
      </c>
      <c r="E64" s="5" t="s">
        <v>1331</v>
      </c>
      <c r="F64" s="5" t="s">
        <v>2107</v>
      </c>
      <c r="G64" s="5">
        <v>41.550820000000002</v>
      </c>
      <c r="H64" s="5">
        <v>-73.417659999999998</v>
      </c>
    </row>
    <row r="65" spans="1:8" ht="15.75" customHeight="1" x14ac:dyDescent="0.25">
      <c r="A65" s="5" t="s">
        <v>2108</v>
      </c>
      <c r="B65" s="5" t="s">
        <v>2109</v>
      </c>
      <c r="C65" s="5" t="s">
        <v>2110</v>
      </c>
      <c r="D65" s="5" t="s">
        <v>2111</v>
      </c>
      <c r="E65" s="5" t="s">
        <v>2112</v>
      </c>
      <c r="F65" s="5" t="s">
        <v>2113</v>
      </c>
      <c r="G65" s="5">
        <v>39.730800000000002</v>
      </c>
      <c r="H65" s="5">
        <v>-75.52</v>
      </c>
    </row>
    <row r="66" spans="1:8" ht="15.75" customHeight="1" x14ac:dyDescent="0.25">
      <c r="A66" s="5" t="s">
        <v>2114</v>
      </c>
      <c r="B66" s="5" t="s">
        <v>2109</v>
      </c>
      <c r="C66" s="5" t="s">
        <v>2115</v>
      </c>
      <c r="D66" s="5" t="s">
        <v>2116</v>
      </c>
      <c r="E66" s="5" t="s">
        <v>2117</v>
      </c>
      <c r="F66" s="5" t="s">
        <v>2118</v>
      </c>
      <c r="G66" s="5">
        <v>38.595999999999997</v>
      </c>
      <c r="H66" s="5">
        <v>-75.438999999999993</v>
      </c>
    </row>
    <row r="67" spans="1:8" ht="15.75" customHeight="1" x14ac:dyDescent="0.25">
      <c r="A67" s="5" t="s">
        <v>2119</v>
      </c>
      <c r="B67" s="5" t="s">
        <v>2109</v>
      </c>
      <c r="C67" s="5" t="s">
        <v>2120</v>
      </c>
      <c r="D67" s="5" t="s">
        <v>2121</v>
      </c>
      <c r="E67" s="5" t="s">
        <v>1116</v>
      </c>
      <c r="F67" s="5" t="s">
        <v>2122</v>
      </c>
      <c r="G67" s="5">
        <v>39.032699999999998</v>
      </c>
      <c r="H67" s="5">
        <v>-75.725099999999998</v>
      </c>
    </row>
    <row r="68" spans="1:8" ht="15.75" customHeight="1" x14ac:dyDescent="0.25">
      <c r="A68" s="5" t="s">
        <v>2123</v>
      </c>
      <c r="B68" s="5" t="s">
        <v>1074</v>
      </c>
      <c r="C68" s="5" t="s">
        <v>2124</v>
      </c>
      <c r="D68" s="5" t="s">
        <v>2125</v>
      </c>
      <c r="E68" s="5" t="s">
        <v>272</v>
      </c>
      <c r="F68" s="52">
        <v>34480</v>
      </c>
      <c r="G68" s="5">
        <v>29.123000000000001</v>
      </c>
      <c r="H68" s="5">
        <v>-82.06</v>
      </c>
    </row>
    <row r="69" spans="1:8" ht="15.75" customHeight="1" x14ac:dyDescent="0.25">
      <c r="A69" s="5" t="s">
        <v>2126</v>
      </c>
      <c r="B69" s="5" t="s">
        <v>1074</v>
      </c>
      <c r="C69" s="5" t="s">
        <v>2127</v>
      </c>
      <c r="D69" s="5" t="s">
        <v>2128</v>
      </c>
      <c r="E69" s="5" t="s">
        <v>2129</v>
      </c>
      <c r="F69" s="52">
        <v>32926</v>
      </c>
      <c r="G69" s="5">
        <v>28.397099999999998</v>
      </c>
      <c r="H69" s="5">
        <v>-80.829599999999999</v>
      </c>
    </row>
    <row r="70" spans="1:8" ht="15.75" customHeight="1" x14ac:dyDescent="0.25">
      <c r="A70" s="5" t="s">
        <v>2130</v>
      </c>
      <c r="B70" s="5" t="s">
        <v>1074</v>
      </c>
      <c r="C70" s="5" t="s">
        <v>2131</v>
      </c>
      <c r="D70" s="5" t="s">
        <v>2132</v>
      </c>
      <c r="E70" s="5" t="s">
        <v>2133</v>
      </c>
      <c r="F70" s="52">
        <v>34275</v>
      </c>
      <c r="G70" s="5">
        <v>27.201599999999999</v>
      </c>
      <c r="H70" s="5">
        <v>-82.390649999999994</v>
      </c>
    </row>
    <row r="71" spans="1:8" ht="15.75" customHeight="1" x14ac:dyDescent="0.25">
      <c r="A71" s="5" t="s">
        <v>2134</v>
      </c>
      <c r="B71" s="5" t="s">
        <v>1074</v>
      </c>
      <c r="C71" s="5" t="s">
        <v>2135</v>
      </c>
      <c r="D71" s="5" t="s">
        <v>2136</v>
      </c>
      <c r="E71" s="5" t="s">
        <v>2137</v>
      </c>
      <c r="F71" s="52">
        <v>34117</v>
      </c>
      <c r="G71" s="5">
        <v>26.163399999999999</v>
      </c>
      <c r="H71" s="5">
        <v>-81.658500000000004</v>
      </c>
    </row>
    <row r="72" spans="1:8" ht="15.75" customHeight="1" x14ac:dyDescent="0.25">
      <c r="A72" s="5" t="s">
        <v>2138</v>
      </c>
      <c r="B72" s="5" t="s">
        <v>1074</v>
      </c>
      <c r="C72" s="5" t="s">
        <v>2139</v>
      </c>
      <c r="D72" s="5" t="s">
        <v>2140</v>
      </c>
      <c r="E72" s="5" t="s">
        <v>2141</v>
      </c>
      <c r="F72" s="5" t="s">
        <v>2142</v>
      </c>
      <c r="G72" s="5">
        <v>28.667349999999999</v>
      </c>
      <c r="H72" s="5">
        <v>-82.486788000000004</v>
      </c>
    </row>
    <row r="73" spans="1:8" ht="15.75" customHeight="1" x14ac:dyDescent="0.25">
      <c r="A73" s="5" t="s">
        <v>2143</v>
      </c>
      <c r="B73" s="5" t="s">
        <v>1074</v>
      </c>
      <c r="C73" s="5" t="s">
        <v>2144</v>
      </c>
      <c r="D73" s="5" t="s">
        <v>2145</v>
      </c>
      <c r="E73" s="5" t="s">
        <v>2146</v>
      </c>
      <c r="F73" s="5" t="s">
        <v>2147</v>
      </c>
      <c r="G73" s="5">
        <v>27.5106</v>
      </c>
      <c r="H73" s="5">
        <v>-81.3155</v>
      </c>
    </row>
    <row r="74" spans="1:8" ht="15.75" customHeight="1" x14ac:dyDescent="0.25">
      <c r="A74" s="5" t="s">
        <v>2148</v>
      </c>
      <c r="B74" s="5" t="s">
        <v>1074</v>
      </c>
      <c r="C74" s="5" t="s">
        <v>2149</v>
      </c>
      <c r="D74" s="5" t="s">
        <v>2150</v>
      </c>
      <c r="E74" s="5" t="s">
        <v>2151</v>
      </c>
      <c r="F74" s="52">
        <v>32968</v>
      </c>
      <c r="G74" s="5">
        <v>27.577999999999999</v>
      </c>
      <c r="H74" s="5">
        <v>-80.484999999999999</v>
      </c>
    </row>
    <row r="75" spans="1:8" ht="15.75" customHeight="1" x14ac:dyDescent="0.25">
      <c r="A75" s="5" t="s">
        <v>2152</v>
      </c>
      <c r="B75" s="5" t="s">
        <v>1074</v>
      </c>
      <c r="C75" s="5" t="s">
        <v>2153</v>
      </c>
      <c r="D75" s="5" t="s">
        <v>2154</v>
      </c>
      <c r="E75" s="5" t="s">
        <v>2155</v>
      </c>
      <c r="F75" s="5" t="s">
        <v>2156</v>
      </c>
      <c r="G75" s="5">
        <v>28.064</v>
      </c>
      <c r="H75" s="5">
        <v>-81.097999999999999</v>
      </c>
    </row>
    <row r="76" spans="1:8" ht="15.75" customHeight="1" x14ac:dyDescent="0.25">
      <c r="A76" s="5" t="s">
        <v>2157</v>
      </c>
      <c r="B76" s="5" t="s">
        <v>1074</v>
      </c>
      <c r="C76" s="5" t="s">
        <v>2158</v>
      </c>
      <c r="D76" s="5" t="s">
        <v>2159</v>
      </c>
      <c r="E76" s="5" t="s">
        <v>2160</v>
      </c>
      <c r="F76" s="5" t="s">
        <v>2161</v>
      </c>
      <c r="G76" s="5">
        <v>27.470054999999999</v>
      </c>
      <c r="H76" s="5">
        <v>-82.443496999999994</v>
      </c>
    </row>
    <row r="77" spans="1:8" ht="15.75" customHeight="1" x14ac:dyDescent="0.25">
      <c r="A77" s="5" t="s">
        <v>2162</v>
      </c>
      <c r="B77" s="5" t="s">
        <v>1074</v>
      </c>
      <c r="C77" s="5" t="s">
        <v>2163</v>
      </c>
      <c r="D77" s="5" t="s">
        <v>2164</v>
      </c>
      <c r="E77" s="5" t="s">
        <v>1088</v>
      </c>
      <c r="F77" s="5" t="s">
        <v>2165</v>
      </c>
      <c r="G77" s="5">
        <v>26.283000000000001</v>
      </c>
      <c r="H77" s="5">
        <v>-80.161000000000001</v>
      </c>
    </row>
    <row r="78" spans="1:8" ht="15.75" customHeight="1" x14ac:dyDescent="0.25">
      <c r="A78" s="5" t="s">
        <v>2166</v>
      </c>
      <c r="B78" s="5" t="s">
        <v>1074</v>
      </c>
      <c r="C78" s="5" t="s">
        <v>2167</v>
      </c>
      <c r="D78" s="5" t="s">
        <v>2168</v>
      </c>
      <c r="E78" s="5" t="s">
        <v>1133</v>
      </c>
      <c r="F78" s="52">
        <v>32083</v>
      </c>
      <c r="G78" s="5">
        <v>30.0932</v>
      </c>
      <c r="H78" s="5">
        <v>-82.205200000000005</v>
      </c>
    </row>
    <row r="79" spans="1:8" ht="15.75" customHeight="1" x14ac:dyDescent="0.25">
      <c r="A79" s="5" t="s">
        <v>2169</v>
      </c>
      <c r="B79" s="5" t="s">
        <v>1074</v>
      </c>
      <c r="C79" s="5" t="s">
        <v>2170</v>
      </c>
      <c r="D79" s="5" t="s">
        <v>2171</v>
      </c>
      <c r="E79" s="5" t="s">
        <v>1966</v>
      </c>
      <c r="F79" s="5" t="s">
        <v>2172</v>
      </c>
      <c r="G79" s="5">
        <v>28.481000000000002</v>
      </c>
      <c r="H79" s="5">
        <v>-81.208299999999994</v>
      </c>
    </row>
    <row r="80" spans="1:8" ht="15.75" customHeight="1" x14ac:dyDescent="0.25">
      <c r="A80" s="5" t="s">
        <v>2173</v>
      </c>
      <c r="B80" s="5" t="s">
        <v>1074</v>
      </c>
      <c r="C80" s="5" t="s">
        <v>2174</v>
      </c>
      <c r="D80" s="5" t="s">
        <v>2175</v>
      </c>
      <c r="E80" s="5" t="s">
        <v>2176</v>
      </c>
      <c r="F80" s="5" t="s">
        <v>2177</v>
      </c>
      <c r="G80" s="5">
        <v>28.79278</v>
      </c>
      <c r="H80" s="5">
        <v>-81.088200000000001</v>
      </c>
    </row>
    <row r="81" spans="1:8" ht="15.75" customHeight="1" x14ac:dyDescent="0.25">
      <c r="A81" s="5" t="s">
        <v>2178</v>
      </c>
      <c r="B81" s="5" t="s">
        <v>1074</v>
      </c>
      <c r="C81" s="5" t="s">
        <v>2179</v>
      </c>
      <c r="D81" s="5" t="s">
        <v>2180</v>
      </c>
      <c r="E81" s="5" t="s">
        <v>1077</v>
      </c>
      <c r="F81" s="5" t="s">
        <v>2181</v>
      </c>
      <c r="G81" s="5">
        <v>26.763000000000002</v>
      </c>
      <c r="H81" s="5">
        <v>-80.137435999999994</v>
      </c>
    </row>
    <row r="82" spans="1:8" ht="15.75" customHeight="1" x14ac:dyDescent="0.25">
      <c r="A82" s="5" t="s">
        <v>2182</v>
      </c>
      <c r="B82" s="5" t="s">
        <v>1074</v>
      </c>
      <c r="C82" s="5" t="s">
        <v>2183</v>
      </c>
      <c r="D82" s="5" t="s">
        <v>2184</v>
      </c>
      <c r="E82" s="5" t="s">
        <v>2185</v>
      </c>
      <c r="F82" s="5" t="s">
        <v>2186</v>
      </c>
      <c r="G82" s="5">
        <v>30.576540000000001</v>
      </c>
      <c r="H82" s="5">
        <v>-87.389700000000005</v>
      </c>
    </row>
    <row r="83" spans="1:8" ht="15.75" customHeight="1" x14ac:dyDescent="0.25">
      <c r="A83" s="5" t="s">
        <v>2187</v>
      </c>
      <c r="B83" s="5" t="s">
        <v>1074</v>
      </c>
      <c r="C83" s="5" t="s">
        <v>2188</v>
      </c>
      <c r="D83" s="5" t="s">
        <v>2189</v>
      </c>
      <c r="E83" s="5" t="s">
        <v>1083</v>
      </c>
      <c r="F83" s="52">
        <v>33547</v>
      </c>
      <c r="G83" s="5">
        <v>27.776399999999999</v>
      </c>
      <c r="H83" s="5">
        <v>-82.1875</v>
      </c>
    </row>
    <row r="84" spans="1:8" ht="15.75" customHeight="1" x14ac:dyDescent="0.25">
      <c r="A84" s="5" t="s">
        <v>2190</v>
      </c>
      <c r="B84" s="5" t="s">
        <v>1074</v>
      </c>
      <c r="C84" s="5" t="s">
        <v>2191</v>
      </c>
      <c r="D84" s="5" t="s">
        <v>2192</v>
      </c>
      <c r="E84" s="5" t="s">
        <v>530</v>
      </c>
      <c r="F84" s="5" t="s">
        <v>2193</v>
      </c>
      <c r="G84" s="5">
        <v>30.921040000000001</v>
      </c>
      <c r="H84" s="5">
        <v>-85.428539999999998</v>
      </c>
    </row>
    <row r="85" spans="1:8" ht="15.75" customHeight="1" x14ac:dyDescent="0.25">
      <c r="A85" s="5" t="s">
        <v>2194</v>
      </c>
      <c r="B85" s="5" t="s">
        <v>1074</v>
      </c>
      <c r="C85" s="5" t="s">
        <v>2195</v>
      </c>
      <c r="D85" s="5" t="s">
        <v>2196</v>
      </c>
      <c r="E85" s="5" t="s">
        <v>2197</v>
      </c>
      <c r="F85" s="5" t="s">
        <v>2198</v>
      </c>
      <c r="G85" s="5">
        <v>27.390834000000002</v>
      </c>
      <c r="H85" s="5">
        <v>-80.395556999999997</v>
      </c>
    </row>
    <row r="86" spans="1:8" ht="15.75" customHeight="1" x14ac:dyDescent="0.25">
      <c r="A86" s="5" t="s">
        <v>2199</v>
      </c>
      <c r="B86" s="5" t="s">
        <v>1074</v>
      </c>
      <c r="C86" s="5" t="s">
        <v>2200</v>
      </c>
      <c r="D86" s="5" t="s">
        <v>1775</v>
      </c>
      <c r="E86" s="5" t="s">
        <v>2201</v>
      </c>
      <c r="F86" s="5" t="s">
        <v>2202</v>
      </c>
      <c r="G86" s="5">
        <v>30.224599999999999</v>
      </c>
      <c r="H86" s="5">
        <v>-82.044700000000006</v>
      </c>
    </row>
    <row r="87" spans="1:8" ht="15.75" customHeight="1" x14ac:dyDescent="0.25">
      <c r="A87" s="5" t="s">
        <v>2203</v>
      </c>
      <c r="B87" s="5" t="s">
        <v>1074</v>
      </c>
      <c r="C87" s="5" t="s">
        <v>2204</v>
      </c>
      <c r="D87" s="5" t="s">
        <v>2205</v>
      </c>
      <c r="E87" s="5" t="s">
        <v>2206</v>
      </c>
      <c r="F87" s="5" t="s">
        <v>2207</v>
      </c>
      <c r="G87" s="5">
        <v>26.794446000000001</v>
      </c>
      <c r="H87" s="5">
        <v>-81.960278000000002</v>
      </c>
    </row>
    <row r="88" spans="1:8" ht="15.75" customHeight="1" x14ac:dyDescent="0.25">
      <c r="A88" s="5" t="s">
        <v>2208</v>
      </c>
      <c r="B88" s="5" t="s">
        <v>96</v>
      </c>
      <c r="C88" s="5" t="s">
        <v>2209</v>
      </c>
      <c r="D88" s="5" t="s">
        <v>2210</v>
      </c>
      <c r="E88" s="5" t="s">
        <v>2211</v>
      </c>
      <c r="F88" s="5" t="s">
        <v>2212</v>
      </c>
      <c r="G88" s="5">
        <v>33.929000000000002</v>
      </c>
      <c r="H88" s="5">
        <v>-83.262699999999995</v>
      </c>
    </row>
    <row r="89" spans="1:8" ht="15.75" customHeight="1" x14ac:dyDescent="0.25">
      <c r="A89" s="5" t="s">
        <v>2213</v>
      </c>
      <c r="B89" s="5" t="s">
        <v>96</v>
      </c>
      <c r="C89" s="5" t="s">
        <v>2214</v>
      </c>
      <c r="D89" s="5" t="s">
        <v>2215</v>
      </c>
      <c r="E89" s="5" t="s">
        <v>2216</v>
      </c>
      <c r="F89" s="5" t="s">
        <v>2217</v>
      </c>
      <c r="G89" s="5">
        <v>34.884900000000002</v>
      </c>
      <c r="H89" s="5">
        <v>-85.172499999999999</v>
      </c>
    </row>
    <row r="90" spans="1:8" ht="15.75" customHeight="1" x14ac:dyDescent="0.25">
      <c r="A90" s="5" t="s">
        <v>2218</v>
      </c>
      <c r="B90" s="5" t="s">
        <v>96</v>
      </c>
      <c r="C90" s="5" t="s">
        <v>2219</v>
      </c>
      <c r="D90" s="5" t="s">
        <v>2220</v>
      </c>
      <c r="E90" s="5" t="s">
        <v>2221</v>
      </c>
      <c r="F90" s="5" t="s">
        <v>2222</v>
      </c>
      <c r="G90" s="5">
        <v>33.44</v>
      </c>
      <c r="H90" s="5">
        <v>-84.307000000000002</v>
      </c>
    </row>
    <row r="91" spans="1:8" ht="15.75" customHeight="1" x14ac:dyDescent="0.25">
      <c r="A91" s="5" t="s">
        <v>2223</v>
      </c>
      <c r="B91" s="5" t="s">
        <v>96</v>
      </c>
      <c r="C91" s="5" t="s">
        <v>2224</v>
      </c>
      <c r="D91" s="5" t="s">
        <v>2225</v>
      </c>
      <c r="E91" s="5" t="s">
        <v>2077</v>
      </c>
      <c r="F91" s="5" t="s">
        <v>2226</v>
      </c>
      <c r="G91" s="5">
        <v>33.35257</v>
      </c>
      <c r="H91" s="5">
        <v>-82.143240000000006</v>
      </c>
    </row>
    <row r="92" spans="1:8" ht="15.75" customHeight="1" x14ac:dyDescent="0.25">
      <c r="A92" s="5" t="s">
        <v>2227</v>
      </c>
      <c r="B92" s="5" t="s">
        <v>96</v>
      </c>
      <c r="C92" s="5" t="s">
        <v>2228</v>
      </c>
      <c r="D92" s="5" t="s">
        <v>1483</v>
      </c>
      <c r="E92" s="5" t="s">
        <v>2229</v>
      </c>
      <c r="F92" s="5" t="s">
        <v>2230</v>
      </c>
      <c r="G92" s="5">
        <v>31.532783999999999</v>
      </c>
      <c r="H92" s="5">
        <v>-84.028352999999996</v>
      </c>
    </row>
    <row r="93" spans="1:8" ht="15.75" customHeight="1" x14ac:dyDescent="0.25">
      <c r="A93" s="5" t="s">
        <v>2231</v>
      </c>
      <c r="B93" s="5" t="s">
        <v>96</v>
      </c>
      <c r="C93" s="5" t="s">
        <v>2232</v>
      </c>
      <c r="D93" s="5" t="s">
        <v>2233</v>
      </c>
      <c r="E93" s="5" t="s">
        <v>2234</v>
      </c>
      <c r="F93" s="5" t="s">
        <v>2235</v>
      </c>
      <c r="G93" s="5">
        <v>30.808</v>
      </c>
      <c r="H93" s="5">
        <v>-83.362499999999997</v>
      </c>
    </row>
    <row r="94" spans="1:8" ht="15.75" customHeight="1" x14ac:dyDescent="0.25">
      <c r="A94" s="5" t="s">
        <v>2236</v>
      </c>
      <c r="B94" s="5" t="s">
        <v>96</v>
      </c>
      <c r="C94" s="5" t="s">
        <v>2237</v>
      </c>
      <c r="D94" s="5" t="s">
        <v>2238</v>
      </c>
      <c r="E94" s="5" t="s">
        <v>1875</v>
      </c>
      <c r="F94" s="5" t="s">
        <v>2239</v>
      </c>
      <c r="G94" s="5">
        <v>33.661999999999999</v>
      </c>
      <c r="H94" s="5">
        <v>-84.335999999999999</v>
      </c>
    </row>
    <row r="95" spans="1:8" ht="15.75" customHeight="1" x14ac:dyDescent="0.25">
      <c r="A95" s="5" t="s">
        <v>2240</v>
      </c>
      <c r="B95" s="5" t="s">
        <v>96</v>
      </c>
      <c r="C95" s="5" t="s">
        <v>2241</v>
      </c>
      <c r="D95" s="5" t="s">
        <v>2238</v>
      </c>
      <c r="E95" s="5" t="s">
        <v>1875</v>
      </c>
      <c r="F95" s="5" t="s">
        <v>2239</v>
      </c>
      <c r="G95" s="5">
        <v>33.6706</v>
      </c>
      <c r="H95" s="5">
        <v>-84.342799999999997</v>
      </c>
    </row>
    <row r="96" spans="1:8" ht="15.75" customHeight="1" x14ac:dyDescent="0.25">
      <c r="A96" s="5" t="s">
        <v>2242</v>
      </c>
      <c r="B96" s="5" t="s">
        <v>96</v>
      </c>
      <c r="C96" s="5" t="s">
        <v>2243</v>
      </c>
      <c r="D96" s="5" t="s">
        <v>436</v>
      </c>
      <c r="E96" s="5" t="s">
        <v>2244</v>
      </c>
      <c r="F96" s="5" t="s">
        <v>2245</v>
      </c>
      <c r="G96" s="5">
        <v>32.799999999999997</v>
      </c>
      <c r="H96" s="5">
        <v>-83.611000000000004</v>
      </c>
    </row>
    <row r="97" spans="1:8" ht="15.75" customHeight="1" x14ac:dyDescent="0.25">
      <c r="A97" s="5" t="s">
        <v>2246</v>
      </c>
      <c r="B97" s="5" t="s">
        <v>96</v>
      </c>
      <c r="C97" s="5" t="s">
        <v>2247</v>
      </c>
      <c r="D97" s="5" t="s">
        <v>2248</v>
      </c>
      <c r="E97" s="5" t="s">
        <v>2249</v>
      </c>
      <c r="F97" s="5" t="s">
        <v>2250</v>
      </c>
      <c r="G97" s="5">
        <v>33.965899999999998</v>
      </c>
      <c r="H97" s="5">
        <v>-83.772800000000004</v>
      </c>
    </row>
    <row r="98" spans="1:8" ht="15.75" customHeight="1" x14ac:dyDescent="0.25">
      <c r="A98" s="5" t="s">
        <v>2251</v>
      </c>
      <c r="B98" s="5" t="s">
        <v>96</v>
      </c>
      <c r="C98" s="5" t="s">
        <v>2252</v>
      </c>
      <c r="D98" s="5" t="s">
        <v>2253</v>
      </c>
      <c r="E98" s="5" t="s">
        <v>2254</v>
      </c>
      <c r="F98" s="5" t="s">
        <v>2255</v>
      </c>
      <c r="G98" s="5">
        <v>34.651600000000002</v>
      </c>
      <c r="H98" s="5">
        <v>-84.944999999999993</v>
      </c>
    </row>
    <row r="99" spans="1:8" ht="15.75" customHeight="1" x14ac:dyDescent="0.25">
      <c r="A99" s="5" t="s">
        <v>2256</v>
      </c>
      <c r="B99" s="5" t="s">
        <v>96</v>
      </c>
      <c r="C99" s="5" t="s">
        <v>2257</v>
      </c>
      <c r="D99" s="5" t="s">
        <v>2258</v>
      </c>
      <c r="E99" s="5" t="s">
        <v>2259</v>
      </c>
      <c r="F99" s="5" t="s">
        <v>2260</v>
      </c>
      <c r="G99" s="5">
        <v>33.240017000000002</v>
      </c>
      <c r="H99" s="5">
        <v>-84.118684000000002</v>
      </c>
    </row>
    <row r="100" spans="1:8" ht="15.75" customHeight="1" x14ac:dyDescent="0.25">
      <c r="A100" s="5" t="s">
        <v>2261</v>
      </c>
      <c r="B100" s="5" t="s">
        <v>96</v>
      </c>
      <c r="C100" s="5" t="s">
        <v>2262</v>
      </c>
      <c r="D100" s="5" t="s">
        <v>2263</v>
      </c>
      <c r="E100" s="5" t="s">
        <v>2264</v>
      </c>
      <c r="F100" s="5" t="s">
        <v>2265</v>
      </c>
      <c r="G100" s="5">
        <v>34.127000000000002</v>
      </c>
      <c r="H100" s="5">
        <v>-84.035300000000007</v>
      </c>
    </row>
    <row r="101" spans="1:8" ht="15.75" customHeight="1" x14ac:dyDescent="0.25">
      <c r="A101" s="5" t="s">
        <v>2266</v>
      </c>
      <c r="B101" s="5" t="s">
        <v>96</v>
      </c>
      <c r="C101" s="5" t="s">
        <v>2267</v>
      </c>
      <c r="D101" s="5" t="s">
        <v>2268</v>
      </c>
      <c r="E101" s="5" t="s">
        <v>1875</v>
      </c>
      <c r="F101" s="5" t="s">
        <v>2269</v>
      </c>
      <c r="G101" s="5">
        <v>33.655200000000001</v>
      </c>
      <c r="H101" s="5">
        <v>-84.252499999999998</v>
      </c>
    </row>
    <row r="102" spans="1:8" ht="15.75" customHeight="1" x14ac:dyDescent="0.25">
      <c r="A102" s="5" t="s">
        <v>2270</v>
      </c>
      <c r="B102" s="5" t="s">
        <v>96</v>
      </c>
      <c r="C102" s="5" t="s">
        <v>2271</v>
      </c>
      <c r="D102" s="5" t="s">
        <v>2272</v>
      </c>
      <c r="E102" s="5" t="s">
        <v>2273</v>
      </c>
      <c r="F102" s="5" t="s">
        <v>2274</v>
      </c>
      <c r="G102" s="5">
        <v>32.399560999999999</v>
      </c>
      <c r="H102" s="5">
        <v>-83.555729999999997</v>
      </c>
    </row>
    <row r="103" spans="1:8" ht="15.75" customHeight="1" x14ac:dyDescent="0.25">
      <c r="A103" s="5" t="s">
        <v>2275</v>
      </c>
      <c r="B103" s="5" t="s">
        <v>96</v>
      </c>
      <c r="C103" s="5" t="s">
        <v>2276</v>
      </c>
      <c r="D103" s="5" t="s">
        <v>2277</v>
      </c>
      <c r="E103" s="5" t="s">
        <v>1723</v>
      </c>
      <c r="F103" s="5" t="s">
        <v>2278</v>
      </c>
      <c r="G103" s="5">
        <v>32.024999999999999</v>
      </c>
      <c r="H103" s="5">
        <v>-81.28</v>
      </c>
    </row>
    <row r="104" spans="1:8" ht="15.75" customHeight="1" x14ac:dyDescent="0.25">
      <c r="A104" s="5" t="s">
        <v>2279</v>
      </c>
      <c r="B104" s="5" t="s">
        <v>96</v>
      </c>
      <c r="C104" s="5" t="s">
        <v>2280</v>
      </c>
      <c r="D104" s="5" t="s">
        <v>2281</v>
      </c>
      <c r="E104" s="5" t="s">
        <v>1405</v>
      </c>
      <c r="F104" s="5" t="s">
        <v>2282</v>
      </c>
      <c r="G104" s="5">
        <v>32.462263</v>
      </c>
      <c r="H104" s="5">
        <v>-84.371526000000003</v>
      </c>
    </row>
    <row r="105" spans="1:8" ht="15.75" customHeight="1" x14ac:dyDescent="0.25">
      <c r="A105" s="5" t="s">
        <v>2283</v>
      </c>
      <c r="B105" s="5" t="s">
        <v>96</v>
      </c>
      <c r="C105" s="5" t="s">
        <v>2284</v>
      </c>
      <c r="D105" s="5" t="s">
        <v>2285</v>
      </c>
      <c r="E105" s="5" t="s">
        <v>2286</v>
      </c>
      <c r="F105" s="5" t="s">
        <v>2287</v>
      </c>
      <c r="G105" s="5">
        <v>32.770535000000002</v>
      </c>
      <c r="H105" s="5">
        <v>-83.437872999999996</v>
      </c>
    </row>
    <row r="106" spans="1:8" ht="15.75" customHeight="1" x14ac:dyDescent="0.25">
      <c r="A106" s="5" t="s">
        <v>2288</v>
      </c>
      <c r="B106" s="5" t="s">
        <v>1364</v>
      </c>
      <c r="C106" s="5" t="s">
        <v>2289</v>
      </c>
      <c r="D106" s="5" t="s">
        <v>2290</v>
      </c>
      <c r="E106" s="5" t="s">
        <v>2291</v>
      </c>
      <c r="F106" s="5" t="s">
        <v>2292</v>
      </c>
      <c r="G106" s="5">
        <v>43.698</v>
      </c>
      <c r="H106" s="5">
        <v>-116.283</v>
      </c>
    </row>
    <row r="107" spans="1:8" ht="15.75" customHeight="1" x14ac:dyDescent="0.25">
      <c r="A107" s="5" t="s">
        <v>2293</v>
      </c>
      <c r="B107" s="5" t="s">
        <v>1364</v>
      </c>
      <c r="C107" s="5" t="s">
        <v>2294</v>
      </c>
      <c r="D107" s="5" t="s">
        <v>2295</v>
      </c>
      <c r="E107" s="5" t="s">
        <v>2296</v>
      </c>
      <c r="F107" s="5" t="s">
        <v>2297</v>
      </c>
      <c r="G107" s="5">
        <v>47.533999999999999</v>
      </c>
      <c r="H107" s="5">
        <v>-116.934</v>
      </c>
    </row>
    <row r="108" spans="1:8" ht="15.75" customHeight="1" x14ac:dyDescent="0.25">
      <c r="A108" s="5" t="s">
        <v>2298</v>
      </c>
      <c r="B108" s="5" t="s">
        <v>1364</v>
      </c>
      <c r="C108" s="5" t="s">
        <v>2299</v>
      </c>
      <c r="D108" s="5" t="s">
        <v>2300</v>
      </c>
      <c r="E108" s="5" t="s">
        <v>2301</v>
      </c>
      <c r="F108" s="5" t="s">
        <v>2302</v>
      </c>
      <c r="G108" s="5">
        <v>42.781999999999996</v>
      </c>
      <c r="H108" s="5">
        <v>-112.375</v>
      </c>
    </row>
    <row r="109" spans="1:8" ht="15.75" customHeight="1" x14ac:dyDescent="0.25">
      <c r="A109" s="5" t="s">
        <v>2303</v>
      </c>
      <c r="B109" s="5" t="s">
        <v>1364</v>
      </c>
      <c r="C109" s="5" t="s">
        <v>2304</v>
      </c>
      <c r="D109" s="5" t="s">
        <v>227</v>
      </c>
      <c r="E109" s="5" t="s">
        <v>1377</v>
      </c>
      <c r="F109" s="5" t="s">
        <v>2305</v>
      </c>
      <c r="G109" s="5">
        <v>42.462000000000003</v>
      </c>
      <c r="H109" s="5">
        <v>-114.005</v>
      </c>
    </row>
    <row r="110" spans="1:8" ht="15.75" customHeight="1" x14ac:dyDescent="0.25">
      <c r="A110" s="5" t="s">
        <v>2306</v>
      </c>
      <c r="B110" s="5" t="s">
        <v>232</v>
      </c>
      <c r="C110" s="5" t="s">
        <v>2307</v>
      </c>
      <c r="D110" s="5" t="s">
        <v>2308</v>
      </c>
      <c r="E110" s="5" t="s">
        <v>2309</v>
      </c>
      <c r="F110" s="52">
        <v>61704</v>
      </c>
      <c r="G110" s="5">
        <v>40.472900000000003</v>
      </c>
      <c r="H110" s="5">
        <v>-89.037719999999993</v>
      </c>
    </row>
    <row r="111" spans="1:8" ht="15.75" customHeight="1" x14ac:dyDescent="0.25">
      <c r="A111" s="5" t="s">
        <v>2310</v>
      </c>
      <c r="B111" s="5" t="s">
        <v>232</v>
      </c>
      <c r="C111" s="5" t="s">
        <v>2311</v>
      </c>
      <c r="D111" s="5" t="s">
        <v>2312</v>
      </c>
      <c r="E111" s="5" t="s">
        <v>2313</v>
      </c>
      <c r="F111" s="5" t="s">
        <v>2314</v>
      </c>
      <c r="G111" s="5">
        <v>41.391500000000001</v>
      </c>
      <c r="H111" s="5">
        <v>-87.638800000000003</v>
      </c>
    </row>
    <row r="112" spans="1:8" ht="15.75" customHeight="1" x14ac:dyDescent="0.25">
      <c r="A112" s="5" t="s">
        <v>2315</v>
      </c>
      <c r="B112" s="5" t="s">
        <v>232</v>
      </c>
      <c r="C112" s="5" t="s">
        <v>2316</v>
      </c>
      <c r="D112" s="5" t="s">
        <v>2317</v>
      </c>
      <c r="E112" s="5" t="s">
        <v>2313</v>
      </c>
      <c r="F112" s="5" t="s">
        <v>2318</v>
      </c>
      <c r="G112" s="5">
        <v>41.500371000000001</v>
      </c>
      <c r="H112" s="5">
        <v>-88.144914</v>
      </c>
    </row>
    <row r="113" spans="1:8" ht="15.75" customHeight="1" x14ac:dyDescent="0.25">
      <c r="A113" s="5" t="s">
        <v>2319</v>
      </c>
      <c r="B113" s="5" t="s">
        <v>232</v>
      </c>
      <c r="C113" s="5" t="s">
        <v>2320</v>
      </c>
      <c r="D113" s="5" t="s">
        <v>2321</v>
      </c>
      <c r="E113" s="5" t="s">
        <v>2322</v>
      </c>
      <c r="F113" s="5" t="s">
        <v>2323</v>
      </c>
      <c r="G113" s="5">
        <v>41.655000000000001</v>
      </c>
      <c r="H113" s="5">
        <v>-87.578000000000003</v>
      </c>
    </row>
    <row r="114" spans="1:8" ht="15.75" customHeight="1" x14ac:dyDescent="0.25">
      <c r="A114" s="5" t="s">
        <v>2324</v>
      </c>
      <c r="B114" s="5" t="s">
        <v>232</v>
      </c>
      <c r="C114" s="5" t="s">
        <v>2325</v>
      </c>
      <c r="D114" s="5" t="s">
        <v>109</v>
      </c>
      <c r="E114" s="5" t="s">
        <v>2326</v>
      </c>
      <c r="F114" s="5" t="s">
        <v>2327</v>
      </c>
      <c r="G114" s="5">
        <v>40.113999999999997</v>
      </c>
      <c r="H114" s="5">
        <v>-88.957999999999998</v>
      </c>
    </row>
    <row r="115" spans="1:8" ht="15.75" customHeight="1" x14ac:dyDescent="0.25">
      <c r="A115" s="5" t="s">
        <v>2328</v>
      </c>
      <c r="B115" s="5" t="s">
        <v>232</v>
      </c>
      <c r="C115" s="5" t="s">
        <v>2329</v>
      </c>
      <c r="D115" s="5" t="s">
        <v>2330</v>
      </c>
      <c r="E115" s="5" t="s">
        <v>2331</v>
      </c>
      <c r="F115" s="5" t="s">
        <v>2332</v>
      </c>
      <c r="G115" s="5">
        <v>39.546930000000003</v>
      </c>
      <c r="H115" s="5">
        <v>-89.294870000000003</v>
      </c>
    </row>
    <row r="116" spans="1:8" ht="15.75" customHeight="1" x14ac:dyDescent="0.25">
      <c r="A116" s="5" t="s">
        <v>2333</v>
      </c>
      <c r="B116" s="5" t="s">
        <v>232</v>
      </c>
      <c r="C116" s="5" t="s">
        <v>2334</v>
      </c>
      <c r="D116" s="5" t="s">
        <v>2335</v>
      </c>
      <c r="E116" s="5" t="s">
        <v>2336</v>
      </c>
      <c r="F116" s="5" t="s">
        <v>2337</v>
      </c>
      <c r="G116" s="5">
        <v>41.730449999999998</v>
      </c>
      <c r="H116" s="5">
        <v>-88.074439999999996</v>
      </c>
    </row>
    <row r="117" spans="1:8" ht="15.75" customHeight="1" x14ac:dyDescent="0.25">
      <c r="A117" s="5" t="s">
        <v>2338</v>
      </c>
      <c r="B117" s="5" t="s">
        <v>232</v>
      </c>
      <c r="C117" s="5" t="s">
        <v>2339</v>
      </c>
      <c r="D117" s="5" t="s">
        <v>2340</v>
      </c>
      <c r="E117" s="5" t="s">
        <v>2322</v>
      </c>
      <c r="F117" s="5" t="s">
        <v>2341</v>
      </c>
      <c r="G117" s="5">
        <v>42.105499999999999</v>
      </c>
      <c r="H117" s="5">
        <v>-87.8125</v>
      </c>
    </row>
    <row r="118" spans="1:8" ht="15.75" customHeight="1" x14ac:dyDescent="0.25">
      <c r="A118" s="5" t="s">
        <v>2342</v>
      </c>
      <c r="B118" s="5" t="s">
        <v>232</v>
      </c>
      <c r="C118" s="5" t="s">
        <v>2343</v>
      </c>
      <c r="D118" s="5" t="s">
        <v>2344</v>
      </c>
      <c r="E118" s="5" t="s">
        <v>2313</v>
      </c>
      <c r="F118" s="5" t="s">
        <v>2345</v>
      </c>
      <c r="G118" s="5">
        <v>41.670518000000001</v>
      </c>
      <c r="H118" s="5">
        <v>-88.062794999999994</v>
      </c>
    </row>
    <row r="119" spans="1:8" ht="15.75" customHeight="1" x14ac:dyDescent="0.25">
      <c r="A119" s="5" t="s">
        <v>2346</v>
      </c>
      <c r="B119" s="5" t="s">
        <v>232</v>
      </c>
      <c r="C119" s="5" t="s">
        <v>2347</v>
      </c>
      <c r="D119" s="5" t="s">
        <v>2348</v>
      </c>
      <c r="E119" s="5" t="s">
        <v>1541</v>
      </c>
      <c r="F119" s="5" t="s">
        <v>2349</v>
      </c>
      <c r="G119" s="5">
        <v>40.931780000000003</v>
      </c>
      <c r="H119" s="5">
        <v>-88.657349999999994</v>
      </c>
    </row>
    <row r="120" spans="1:8" ht="15.75" customHeight="1" x14ac:dyDescent="0.25">
      <c r="A120" s="5" t="s">
        <v>2350</v>
      </c>
      <c r="B120" s="5" t="s">
        <v>232</v>
      </c>
      <c r="C120" s="5" t="s">
        <v>2351</v>
      </c>
      <c r="D120" s="5" t="s">
        <v>2352</v>
      </c>
      <c r="E120" s="5" t="s">
        <v>1865</v>
      </c>
      <c r="F120" s="5" t="s">
        <v>2353</v>
      </c>
      <c r="G120" s="5">
        <v>38.654699999999998</v>
      </c>
      <c r="H120" s="5">
        <v>-90.130200000000002</v>
      </c>
    </row>
    <row r="121" spans="1:8" ht="15.75" customHeight="1" x14ac:dyDescent="0.25">
      <c r="A121" s="5" t="s">
        <v>2354</v>
      </c>
      <c r="B121" s="5" t="s">
        <v>232</v>
      </c>
      <c r="C121" s="5" t="s">
        <v>2355</v>
      </c>
      <c r="D121" s="5" t="s">
        <v>2356</v>
      </c>
      <c r="E121" s="5" t="s">
        <v>2357</v>
      </c>
      <c r="F121" s="5" t="s">
        <v>2358</v>
      </c>
      <c r="G121" s="5">
        <v>42.143219999999999</v>
      </c>
      <c r="H121" s="5">
        <v>-89.076899999999995</v>
      </c>
    </row>
    <row r="122" spans="1:8" ht="15.75" customHeight="1" x14ac:dyDescent="0.25">
      <c r="A122" s="5" t="s">
        <v>2359</v>
      </c>
      <c r="B122" s="5" t="s">
        <v>232</v>
      </c>
      <c r="C122" s="5" t="s">
        <v>2360</v>
      </c>
      <c r="D122" s="5" t="s">
        <v>2111</v>
      </c>
      <c r="E122" s="5" t="s">
        <v>2313</v>
      </c>
      <c r="F122" s="52">
        <v>60481</v>
      </c>
      <c r="G122" s="5">
        <v>41.34</v>
      </c>
      <c r="H122" s="5">
        <v>-88.13</v>
      </c>
    </row>
    <row r="123" spans="1:8" ht="15.75" customHeight="1" x14ac:dyDescent="0.25">
      <c r="A123" s="5" t="s">
        <v>2361</v>
      </c>
      <c r="B123" s="5" t="s">
        <v>232</v>
      </c>
      <c r="C123" s="5" t="s">
        <v>2362</v>
      </c>
      <c r="D123" s="5" t="s">
        <v>250</v>
      </c>
      <c r="E123" s="5" t="s">
        <v>2357</v>
      </c>
      <c r="F123" s="5" t="s">
        <v>2363</v>
      </c>
      <c r="G123" s="5">
        <v>41.926000000000002</v>
      </c>
      <c r="H123" s="5">
        <v>-88.997</v>
      </c>
    </row>
    <row r="124" spans="1:8" ht="15.75" customHeight="1" x14ac:dyDescent="0.25">
      <c r="A124" s="5" t="s">
        <v>2364</v>
      </c>
      <c r="B124" s="5" t="s">
        <v>232</v>
      </c>
      <c r="C124" s="5" t="s">
        <v>2365</v>
      </c>
      <c r="D124" s="5" t="s">
        <v>2366</v>
      </c>
      <c r="E124" s="5" t="s">
        <v>2367</v>
      </c>
      <c r="F124" s="5" t="s">
        <v>2368</v>
      </c>
      <c r="G124" s="5">
        <v>41.86965</v>
      </c>
      <c r="H124" s="5">
        <v>-88.285430000000005</v>
      </c>
    </row>
    <row r="125" spans="1:8" ht="15.75" customHeight="1" x14ac:dyDescent="0.25">
      <c r="A125" s="5" t="s">
        <v>2369</v>
      </c>
      <c r="B125" s="5" t="s">
        <v>232</v>
      </c>
      <c r="C125" s="5" t="s">
        <v>2370</v>
      </c>
      <c r="D125" s="5" t="s">
        <v>2371</v>
      </c>
      <c r="E125" s="5" t="s">
        <v>2322</v>
      </c>
      <c r="F125" s="5" t="s">
        <v>2372</v>
      </c>
      <c r="G125" s="5">
        <v>42.081600000000002</v>
      </c>
      <c r="H125" s="5">
        <v>-88.13</v>
      </c>
    </row>
    <row r="126" spans="1:8" ht="15.75" customHeight="1" x14ac:dyDescent="0.25">
      <c r="A126" s="5" t="s">
        <v>2373</v>
      </c>
      <c r="B126" s="5" t="s">
        <v>232</v>
      </c>
      <c r="C126" s="5" t="s">
        <v>2374</v>
      </c>
      <c r="D126" s="5" t="s">
        <v>2375</v>
      </c>
      <c r="E126" s="5" t="s">
        <v>2376</v>
      </c>
      <c r="F126" s="5" t="s">
        <v>2377</v>
      </c>
      <c r="G126" s="5">
        <v>40.681809999999999</v>
      </c>
      <c r="H126" s="5">
        <v>-89.516130000000004</v>
      </c>
    </row>
    <row r="127" spans="1:8" ht="15.75" customHeight="1" x14ac:dyDescent="0.25">
      <c r="A127" s="5" t="s">
        <v>2378</v>
      </c>
      <c r="B127" s="5" t="s">
        <v>232</v>
      </c>
      <c r="C127" s="5" t="s">
        <v>2379</v>
      </c>
      <c r="D127" s="5" t="s">
        <v>2380</v>
      </c>
      <c r="E127" s="5" t="s">
        <v>2367</v>
      </c>
      <c r="F127" s="5" t="s">
        <v>2381</v>
      </c>
      <c r="G127" s="5">
        <v>41.98077</v>
      </c>
      <c r="H127" s="5">
        <v>-88.269000000000005</v>
      </c>
    </row>
    <row r="128" spans="1:8" ht="15.75" customHeight="1" x14ac:dyDescent="0.25">
      <c r="A128" s="5" t="s">
        <v>2382</v>
      </c>
      <c r="B128" s="5" t="s">
        <v>269</v>
      </c>
      <c r="C128" s="5" t="s">
        <v>2383</v>
      </c>
      <c r="D128" s="5" t="s">
        <v>2384</v>
      </c>
      <c r="E128" s="5" t="s">
        <v>2385</v>
      </c>
      <c r="F128" s="5" t="s">
        <v>2386</v>
      </c>
      <c r="G128" s="5">
        <v>38.33</v>
      </c>
      <c r="H128" s="5">
        <v>-87.15</v>
      </c>
    </row>
    <row r="129" spans="1:8" ht="15.75" customHeight="1" x14ac:dyDescent="0.25">
      <c r="A129" s="5" t="s">
        <v>2387</v>
      </c>
      <c r="B129" s="5" t="s">
        <v>269</v>
      </c>
      <c r="C129" s="5" t="s">
        <v>2388</v>
      </c>
      <c r="D129" s="5" t="s">
        <v>2389</v>
      </c>
      <c r="E129" s="5" t="s">
        <v>2390</v>
      </c>
      <c r="F129" s="5" t="s">
        <v>2391</v>
      </c>
      <c r="G129" s="5">
        <v>41.167670000000001</v>
      </c>
      <c r="H129" s="5">
        <v>-86.234889999999993</v>
      </c>
    </row>
    <row r="130" spans="1:8" ht="15.75" customHeight="1" x14ac:dyDescent="0.25">
      <c r="A130" s="5" t="s">
        <v>2392</v>
      </c>
      <c r="B130" s="5" t="s">
        <v>269</v>
      </c>
      <c r="C130" s="5" t="s">
        <v>2393</v>
      </c>
      <c r="D130" s="5" t="s">
        <v>2394</v>
      </c>
      <c r="E130" s="5" t="s">
        <v>2395</v>
      </c>
      <c r="F130" s="5" t="s">
        <v>2396</v>
      </c>
      <c r="G130" s="5">
        <v>41.651380000000003</v>
      </c>
      <c r="H130" s="5">
        <v>-86.903099999999995</v>
      </c>
    </row>
    <row r="131" spans="1:8" ht="15.75" customHeight="1" x14ac:dyDescent="0.25">
      <c r="A131" s="5" t="s">
        <v>2397</v>
      </c>
      <c r="B131" s="5" t="s">
        <v>269</v>
      </c>
      <c r="C131" s="5" t="s">
        <v>2398</v>
      </c>
      <c r="D131" s="5" t="s">
        <v>1395</v>
      </c>
      <c r="E131" s="5" t="s">
        <v>1395</v>
      </c>
      <c r="F131" s="5" t="s">
        <v>2399</v>
      </c>
      <c r="G131" s="5">
        <v>41.623240000000003</v>
      </c>
      <c r="H131" s="5">
        <v>-85.97372</v>
      </c>
    </row>
    <row r="132" spans="1:8" ht="15.75" customHeight="1" x14ac:dyDescent="0.25">
      <c r="A132" s="5" t="s">
        <v>2400</v>
      </c>
      <c r="B132" s="5" t="s">
        <v>269</v>
      </c>
      <c r="C132" s="5" t="s">
        <v>2401</v>
      </c>
      <c r="D132" s="5" t="s">
        <v>1395</v>
      </c>
      <c r="E132" s="5" t="s">
        <v>1395</v>
      </c>
      <c r="F132" s="5" t="s">
        <v>2399</v>
      </c>
      <c r="G132" s="5">
        <v>41.633499999999998</v>
      </c>
      <c r="H132" s="5">
        <v>-85.977500000000006</v>
      </c>
    </row>
    <row r="133" spans="1:8" ht="15.75" customHeight="1" x14ac:dyDescent="0.25">
      <c r="A133" s="5" t="s">
        <v>2402</v>
      </c>
      <c r="B133" s="5" t="s">
        <v>269</v>
      </c>
      <c r="C133" s="5" t="s">
        <v>2403</v>
      </c>
      <c r="D133" s="5" t="s">
        <v>293</v>
      </c>
      <c r="E133" s="5" t="s">
        <v>2404</v>
      </c>
      <c r="F133" s="5" t="s">
        <v>2405</v>
      </c>
      <c r="G133" s="5">
        <v>40.375999999999998</v>
      </c>
      <c r="H133" s="5">
        <v>-85.093000000000004</v>
      </c>
    </row>
    <row r="134" spans="1:8" ht="15.75" customHeight="1" x14ac:dyDescent="0.25">
      <c r="A134" s="5" t="s">
        <v>2406</v>
      </c>
      <c r="B134" s="5" t="s">
        <v>269</v>
      </c>
      <c r="C134" s="5" t="s">
        <v>2407</v>
      </c>
      <c r="D134" s="5" t="s">
        <v>2408</v>
      </c>
      <c r="E134" s="5" t="s">
        <v>2409</v>
      </c>
      <c r="F134" s="5" t="s">
        <v>2410</v>
      </c>
      <c r="G134" s="5">
        <v>38.0411</v>
      </c>
      <c r="H134" s="5">
        <v>-87.648499999999999</v>
      </c>
    </row>
    <row r="135" spans="1:8" ht="15.75" customHeight="1" x14ac:dyDescent="0.25">
      <c r="A135" s="5" t="s">
        <v>2411</v>
      </c>
      <c r="B135" s="5" t="s">
        <v>269</v>
      </c>
      <c r="C135" s="5" t="s">
        <v>2412</v>
      </c>
      <c r="D135" s="5" t="s">
        <v>1402</v>
      </c>
      <c r="E135" s="5" t="s">
        <v>1387</v>
      </c>
      <c r="F135" s="5" t="s">
        <v>2413</v>
      </c>
      <c r="G135" s="5">
        <v>40.886000000000003</v>
      </c>
      <c r="H135" s="5">
        <v>-86.7</v>
      </c>
    </row>
    <row r="136" spans="1:8" ht="15.75" customHeight="1" x14ac:dyDescent="0.25">
      <c r="A136" s="5" t="s">
        <v>2411</v>
      </c>
      <c r="B136" s="5" t="s">
        <v>269</v>
      </c>
      <c r="C136" s="5" t="s">
        <v>2412</v>
      </c>
      <c r="D136" s="5" t="s">
        <v>1402</v>
      </c>
      <c r="E136" s="5" t="s">
        <v>1387</v>
      </c>
      <c r="F136" s="5" t="s">
        <v>2413</v>
      </c>
      <c r="G136" s="5">
        <v>40.886000000000003</v>
      </c>
      <c r="H136" s="5">
        <v>-86.7</v>
      </c>
    </row>
    <row r="137" spans="1:8" ht="15.75" customHeight="1" x14ac:dyDescent="0.25">
      <c r="A137" s="5" t="s">
        <v>2414</v>
      </c>
      <c r="B137" s="5" t="s">
        <v>269</v>
      </c>
      <c r="C137" s="5" t="s">
        <v>2415</v>
      </c>
      <c r="D137" s="5" t="s">
        <v>2416</v>
      </c>
      <c r="E137" s="5" t="s">
        <v>1079</v>
      </c>
      <c r="F137" s="5" t="s">
        <v>2417</v>
      </c>
      <c r="G137" s="5">
        <v>41.531999999999996</v>
      </c>
      <c r="H137" s="5">
        <v>-87.506799999999998</v>
      </c>
    </row>
    <row r="138" spans="1:8" ht="15.75" customHeight="1" x14ac:dyDescent="0.25">
      <c r="A138" s="5" t="s">
        <v>2418</v>
      </c>
      <c r="B138" s="5" t="s">
        <v>269</v>
      </c>
      <c r="C138" s="5" t="s">
        <v>2419</v>
      </c>
      <c r="D138" s="5" t="s">
        <v>2420</v>
      </c>
      <c r="E138" s="5" t="s">
        <v>2421</v>
      </c>
      <c r="F138" s="5" t="s">
        <v>2422</v>
      </c>
      <c r="G138" s="5">
        <v>41.031089999999999</v>
      </c>
      <c r="H138" s="5">
        <v>-85.216340000000002</v>
      </c>
    </row>
    <row r="139" spans="1:8" ht="15.75" customHeight="1" x14ac:dyDescent="0.25">
      <c r="A139" s="5" t="s">
        <v>2423</v>
      </c>
      <c r="B139" s="5" t="s">
        <v>269</v>
      </c>
      <c r="C139" s="5" t="s">
        <v>2424</v>
      </c>
      <c r="D139" s="5" t="s">
        <v>2425</v>
      </c>
      <c r="E139" s="5" t="s">
        <v>1812</v>
      </c>
      <c r="F139" s="5" t="s">
        <v>2426</v>
      </c>
      <c r="G139" s="5">
        <v>40.926299999999998</v>
      </c>
      <c r="H139" s="5">
        <v>-87.348699999999994</v>
      </c>
    </row>
    <row r="140" spans="1:8" ht="15.75" customHeight="1" x14ac:dyDescent="0.25">
      <c r="A140" s="5" t="s">
        <v>2427</v>
      </c>
      <c r="B140" s="5" t="s">
        <v>269</v>
      </c>
      <c r="C140" s="5" t="s">
        <v>2428</v>
      </c>
      <c r="D140" s="5" t="s">
        <v>2429</v>
      </c>
      <c r="E140" s="5" t="s">
        <v>2430</v>
      </c>
      <c r="F140" s="5" t="s">
        <v>2431</v>
      </c>
      <c r="G140" s="5">
        <v>40.719769999999997</v>
      </c>
      <c r="H140" s="5">
        <v>-86.346199999999996</v>
      </c>
    </row>
    <row r="141" spans="1:8" ht="15.75" customHeight="1" x14ac:dyDescent="0.25">
      <c r="A141" s="5" t="s">
        <v>2359</v>
      </c>
      <c r="B141" s="5" t="s">
        <v>269</v>
      </c>
      <c r="C141" s="5" t="s">
        <v>2432</v>
      </c>
      <c r="D141" s="5" t="s">
        <v>2433</v>
      </c>
      <c r="E141" s="5" t="s">
        <v>345</v>
      </c>
      <c r="F141" s="5" t="s">
        <v>2434</v>
      </c>
      <c r="G141" s="5">
        <v>41.500500000000002</v>
      </c>
      <c r="H141" s="5">
        <v>-86.172499999999999</v>
      </c>
    </row>
    <row r="142" spans="1:8" ht="15.75" customHeight="1" x14ac:dyDescent="0.25">
      <c r="A142" s="5" t="s">
        <v>2435</v>
      </c>
      <c r="B142" s="5" t="s">
        <v>269</v>
      </c>
      <c r="C142" s="5" t="s">
        <v>2436</v>
      </c>
      <c r="D142" s="5" t="s">
        <v>2437</v>
      </c>
      <c r="E142" s="5" t="s">
        <v>2438</v>
      </c>
      <c r="F142" s="5" t="s">
        <v>2439</v>
      </c>
      <c r="G142" s="5">
        <v>40.077449999999999</v>
      </c>
      <c r="H142" s="5">
        <v>-85.110420000000005</v>
      </c>
    </row>
    <row r="143" spans="1:8" ht="15.75" customHeight="1" x14ac:dyDescent="0.25">
      <c r="A143" s="5" t="s">
        <v>2440</v>
      </c>
      <c r="B143" s="5" t="s">
        <v>269</v>
      </c>
      <c r="C143" s="5" t="s">
        <v>2441</v>
      </c>
      <c r="D143" s="5" t="s">
        <v>2442</v>
      </c>
      <c r="E143" s="5" t="s">
        <v>272</v>
      </c>
      <c r="F143" s="5" t="s">
        <v>2443</v>
      </c>
      <c r="G143" s="5">
        <v>39.727939999999997</v>
      </c>
      <c r="H143" s="5">
        <v>-86.208470000000005</v>
      </c>
    </row>
    <row r="144" spans="1:8" ht="15.75" customHeight="1" x14ac:dyDescent="0.25">
      <c r="A144" s="5" t="s">
        <v>2444</v>
      </c>
      <c r="B144" s="5" t="s">
        <v>269</v>
      </c>
      <c r="C144" s="5" t="s">
        <v>2445</v>
      </c>
      <c r="D144" s="5" t="s">
        <v>2446</v>
      </c>
      <c r="E144" s="5" t="s">
        <v>2447</v>
      </c>
      <c r="F144" s="5" t="s">
        <v>2448</v>
      </c>
      <c r="G144" s="5">
        <v>39.305500000000002</v>
      </c>
      <c r="H144" s="5">
        <v>-87.331500000000005</v>
      </c>
    </row>
    <row r="145" spans="1:8" ht="15.75" customHeight="1" x14ac:dyDescent="0.25">
      <c r="A145" s="5" t="s">
        <v>2449</v>
      </c>
      <c r="B145" s="5" t="s">
        <v>269</v>
      </c>
      <c r="C145" s="5" t="s">
        <v>2450</v>
      </c>
      <c r="D145" s="5" t="s">
        <v>1675</v>
      </c>
      <c r="E145" s="5" t="s">
        <v>2451</v>
      </c>
      <c r="F145" s="5" t="s">
        <v>2452</v>
      </c>
      <c r="G145" s="5">
        <v>39.75</v>
      </c>
      <c r="H145" s="5">
        <v>-86.5</v>
      </c>
    </row>
    <row r="146" spans="1:8" ht="15.75" customHeight="1" x14ac:dyDescent="0.25">
      <c r="A146" s="5" t="s">
        <v>2453</v>
      </c>
      <c r="B146" s="5" t="s">
        <v>102</v>
      </c>
      <c r="C146" s="5" t="s">
        <v>2454</v>
      </c>
      <c r="D146" s="5" t="s">
        <v>272</v>
      </c>
      <c r="E146" s="5" t="s">
        <v>2455</v>
      </c>
      <c r="F146" s="5" t="s">
        <v>2456</v>
      </c>
      <c r="G146" s="5">
        <v>42.093710000000002</v>
      </c>
      <c r="H146" s="5">
        <v>-91.55547</v>
      </c>
    </row>
    <row r="147" spans="1:8" ht="15.75" customHeight="1" x14ac:dyDescent="0.25">
      <c r="A147" s="5" t="s">
        <v>2457</v>
      </c>
      <c r="B147" s="5" t="s">
        <v>102</v>
      </c>
      <c r="C147" s="5" t="s">
        <v>2458</v>
      </c>
      <c r="D147" s="5" t="s">
        <v>2459</v>
      </c>
      <c r="E147" s="5" t="s">
        <v>405</v>
      </c>
      <c r="F147" s="5" t="s">
        <v>2460</v>
      </c>
      <c r="G147" s="5">
        <v>43.381999999999998</v>
      </c>
      <c r="H147" s="5">
        <v>-93.572000000000003</v>
      </c>
    </row>
    <row r="148" spans="1:8" ht="15.75" customHeight="1" x14ac:dyDescent="0.25">
      <c r="A148" s="5" t="s">
        <v>2461</v>
      </c>
      <c r="B148" s="5" t="s">
        <v>102</v>
      </c>
      <c r="C148" s="5" t="s">
        <v>2462</v>
      </c>
      <c r="D148" s="5" t="s">
        <v>2463</v>
      </c>
      <c r="E148" s="5" t="s">
        <v>2464</v>
      </c>
      <c r="F148" s="5" t="s">
        <v>2465</v>
      </c>
      <c r="G148" s="5">
        <v>40.848999999999997</v>
      </c>
      <c r="H148" s="5">
        <v>-91.195999999999998</v>
      </c>
    </row>
    <row r="149" spans="1:8" ht="15.75" customHeight="1" x14ac:dyDescent="0.25">
      <c r="A149" s="5" t="s">
        <v>2466</v>
      </c>
      <c r="B149" s="5" t="s">
        <v>102</v>
      </c>
      <c r="C149" s="5" t="s">
        <v>2467</v>
      </c>
      <c r="D149" s="5" t="s">
        <v>2468</v>
      </c>
      <c r="E149" s="5" t="s">
        <v>2468</v>
      </c>
      <c r="F149" s="5" t="s">
        <v>2469</v>
      </c>
      <c r="G149" s="5">
        <v>42.455010000000001</v>
      </c>
      <c r="H149" s="5">
        <v>-90.776859999999999</v>
      </c>
    </row>
    <row r="150" spans="1:8" ht="15.75" customHeight="1" x14ac:dyDescent="0.25">
      <c r="A150" s="5" t="s">
        <v>2470</v>
      </c>
      <c r="B150" s="5" t="s">
        <v>102</v>
      </c>
      <c r="C150" s="5" t="s">
        <v>2471</v>
      </c>
      <c r="D150" s="5" t="s">
        <v>2472</v>
      </c>
      <c r="E150" s="5" t="s">
        <v>2473</v>
      </c>
      <c r="F150" s="5" t="s">
        <v>2474</v>
      </c>
      <c r="G150" s="5">
        <v>41.600721999999998</v>
      </c>
      <c r="H150" s="5">
        <v>-93.345264999999998</v>
      </c>
    </row>
    <row r="151" spans="1:8" ht="15.75" customHeight="1" x14ac:dyDescent="0.25">
      <c r="A151" s="5" t="s">
        <v>2475</v>
      </c>
      <c r="B151" s="5" t="s">
        <v>315</v>
      </c>
      <c r="C151" s="5" t="s">
        <v>2476</v>
      </c>
      <c r="D151" s="5" t="s">
        <v>2477</v>
      </c>
      <c r="E151" s="5" t="s">
        <v>2421</v>
      </c>
      <c r="F151" s="5" t="s">
        <v>2478</v>
      </c>
      <c r="G151" s="5">
        <v>37.90316</v>
      </c>
      <c r="H151" s="5">
        <v>-95.280799999999999</v>
      </c>
    </row>
    <row r="152" spans="1:8" ht="15.75" customHeight="1" x14ac:dyDescent="0.25">
      <c r="A152" s="5" t="s">
        <v>2479</v>
      </c>
      <c r="B152" s="5" t="s">
        <v>315</v>
      </c>
      <c r="C152" s="5" t="s">
        <v>2480</v>
      </c>
      <c r="D152" s="5" t="s">
        <v>2481</v>
      </c>
      <c r="E152" s="5" t="s">
        <v>1375</v>
      </c>
      <c r="F152" s="5" t="s">
        <v>2482</v>
      </c>
      <c r="G152" s="5">
        <v>39.046500000000002</v>
      </c>
      <c r="H152" s="5">
        <v>-95.262600000000006</v>
      </c>
    </row>
    <row r="153" spans="1:8" ht="15.75" customHeight="1" x14ac:dyDescent="0.25">
      <c r="A153" s="5" t="s">
        <v>2483</v>
      </c>
      <c r="B153" s="5" t="s">
        <v>315</v>
      </c>
      <c r="C153" s="5" t="s">
        <v>2484</v>
      </c>
      <c r="D153" s="5" t="s">
        <v>2485</v>
      </c>
      <c r="E153" s="5" t="s">
        <v>2486</v>
      </c>
      <c r="F153" s="5" t="s">
        <v>2487</v>
      </c>
      <c r="G153" s="5">
        <v>39.042259999999999</v>
      </c>
      <c r="H153" s="5">
        <v>-94.794550000000001</v>
      </c>
    </row>
    <row r="154" spans="1:8" ht="15.75" customHeight="1" x14ac:dyDescent="0.25">
      <c r="A154" s="5" t="s">
        <v>2246</v>
      </c>
      <c r="B154" s="5" t="s">
        <v>315</v>
      </c>
      <c r="C154" s="5" t="s">
        <v>2488</v>
      </c>
      <c r="D154" s="5" t="s">
        <v>2489</v>
      </c>
      <c r="E154" s="5" t="s">
        <v>1632</v>
      </c>
      <c r="F154" s="5" t="s">
        <v>2490</v>
      </c>
      <c r="G154" s="5">
        <v>37.629730000000002</v>
      </c>
      <c r="H154" s="5">
        <v>-94.641249999999999</v>
      </c>
    </row>
    <row r="155" spans="1:8" ht="15.75" customHeight="1" x14ac:dyDescent="0.25">
      <c r="A155" s="5" t="s">
        <v>2491</v>
      </c>
      <c r="B155" s="5" t="s">
        <v>315</v>
      </c>
      <c r="C155" s="5" t="s">
        <v>2492</v>
      </c>
      <c r="D155" s="5" t="s">
        <v>2493</v>
      </c>
      <c r="E155" s="5" t="s">
        <v>2485</v>
      </c>
      <c r="F155" s="5" t="s">
        <v>2494</v>
      </c>
      <c r="G155" s="5">
        <v>39.17906</v>
      </c>
      <c r="H155" s="5">
        <v>-95.720039999999997</v>
      </c>
    </row>
    <row r="156" spans="1:8" ht="15.75" customHeight="1" x14ac:dyDescent="0.25">
      <c r="A156" s="5" t="s">
        <v>2495</v>
      </c>
      <c r="B156" s="5" t="s">
        <v>315</v>
      </c>
      <c r="C156" s="5" t="s">
        <v>2496</v>
      </c>
      <c r="D156" s="5" t="s">
        <v>318</v>
      </c>
      <c r="E156" s="5" t="s">
        <v>2497</v>
      </c>
      <c r="F156" s="5" t="s">
        <v>2498</v>
      </c>
      <c r="G156" s="5">
        <v>37.048360000000002</v>
      </c>
      <c r="H156" s="5">
        <v>-100.90394000000001</v>
      </c>
    </row>
    <row r="157" spans="1:8" ht="15.75" customHeight="1" x14ac:dyDescent="0.25">
      <c r="A157" s="5" t="s">
        <v>2499</v>
      </c>
      <c r="B157" s="5" t="s">
        <v>352</v>
      </c>
      <c r="C157" s="5" t="s">
        <v>2500</v>
      </c>
      <c r="D157" s="5" t="s">
        <v>2501</v>
      </c>
      <c r="E157" s="5" t="s">
        <v>2502</v>
      </c>
      <c r="F157" s="5" t="s">
        <v>2503</v>
      </c>
      <c r="G157" s="5">
        <v>38.863100000000003</v>
      </c>
      <c r="H157" s="5">
        <v>-84.656000000000006</v>
      </c>
    </row>
    <row r="158" spans="1:8" ht="15.75" customHeight="1" x14ac:dyDescent="0.25">
      <c r="A158" s="5" t="s">
        <v>2504</v>
      </c>
      <c r="B158" s="5" t="s">
        <v>352</v>
      </c>
      <c r="C158" s="5" t="s">
        <v>2505</v>
      </c>
      <c r="D158" s="5" t="s">
        <v>1965</v>
      </c>
      <c r="E158" s="5" t="s">
        <v>2506</v>
      </c>
      <c r="F158" s="5" t="s">
        <v>2507</v>
      </c>
      <c r="G158" s="5">
        <v>37.726900000000001</v>
      </c>
      <c r="H158" s="5">
        <v>-83.985500000000002</v>
      </c>
    </row>
    <row r="159" spans="1:8" ht="15.75" customHeight="1" x14ac:dyDescent="0.25">
      <c r="A159" s="5" t="s">
        <v>2508</v>
      </c>
      <c r="B159" s="5" t="s">
        <v>352</v>
      </c>
      <c r="C159" s="5" t="s">
        <v>2509</v>
      </c>
      <c r="D159" s="5" t="s">
        <v>2510</v>
      </c>
      <c r="E159" s="5" t="s">
        <v>2511</v>
      </c>
      <c r="F159" s="5" t="s">
        <v>2512</v>
      </c>
      <c r="G159" s="5">
        <v>38.3718</v>
      </c>
      <c r="H159" s="5">
        <v>-82.747</v>
      </c>
    </row>
    <row r="160" spans="1:8" ht="15.75" customHeight="1" x14ac:dyDescent="0.25">
      <c r="A160" s="5" t="s">
        <v>2513</v>
      </c>
      <c r="B160" s="5" t="s">
        <v>352</v>
      </c>
      <c r="C160" s="5" t="s">
        <v>2514</v>
      </c>
      <c r="D160" s="5" t="s">
        <v>2116</v>
      </c>
      <c r="E160" s="5" t="s">
        <v>1346</v>
      </c>
      <c r="F160" s="5" t="s">
        <v>2515</v>
      </c>
      <c r="G160" s="5">
        <v>38.346693000000002</v>
      </c>
      <c r="H160" s="5">
        <v>-84.545753000000005</v>
      </c>
    </row>
    <row r="161" spans="1:8" ht="15.75" customHeight="1" x14ac:dyDescent="0.25">
      <c r="A161" s="5" t="s">
        <v>2516</v>
      </c>
      <c r="B161" s="5" t="s">
        <v>352</v>
      </c>
      <c r="C161" s="5" t="s">
        <v>2517</v>
      </c>
      <c r="D161" s="5" t="s">
        <v>2518</v>
      </c>
      <c r="E161" s="5" t="s">
        <v>2519</v>
      </c>
      <c r="F161" s="5" t="s">
        <v>2520</v>
      </c>
      <c r="G161" s="5">
        <v>36.985700000000001</v>
      </c>
      <c r="H161" s="5">
        <v>-85.956000000000003</v>
      </c>
    </row>
    <row r="162" spans="1:8" ht="15.75" customHeight="1" x14ac:dyDescent="0.25">
      <c r="A162" s="5" t="s">
        <v>2521</v>
      </c>
      <c r="B162" s="5" t="s">
        <v>352</v>
      </c>
      <c r="C162" s="5" t="s">
        <v>2522</v>
      </c>
      <c r="D162" s="5" t="s">
        <v>2510</v>
      </c>
      <c r="E162" s="5" t="s">
        <v>2523</v>
      </c>
      <c r="F162" s="5" t="s">
        <v>2512</v>
      </c>
      <c r="G162" s="5">
        <v>38.399000000000001</v>
      </c>
      <c r="H162" s="5">
        <v>-82.811000000000007</v>
      </c>
    </row>
    <row r="163" spans="1:8" ht="15.75" customHeight="1" x14ac:dyDescent="0.25">
      <c r="A163" s="5" t="s">
        <v>2524</v>
      </c>
      <c r="B163" s="5" t="s">
        <v>352</v>
      </c>
      <c r="C163" s="5" t="s">
        <v>2525</v>
      </c>
      <c r="D163" s="5" t="s">
        <v>2526</v>
      </c>
      <c r="E163" s="5" t="s">
        <v>2527</v>
      </c>
      <c r="F163" s="5" t="s">
        <v>2528</v>
      </c>
      <c r="G163" s="5">
        <v>37.7361</v>
      </c>
      <c r="H163" s="5">
        <v>-85.699399999999997</v>
      </c>
    </row>
    <row r="164" spans="1:8" ht="15.75" customHeight="1" x14ac:dyDescent="0.25">
      <c r="A164" s="5" t="s">
        <v>2529</v>
      </c>
      <c r="B164" s="5" t="s">
        <v>352</v>
      </c>
      <c r="C164" s="5" t="s">
        <v>2530</v>
      </c>
      <c r="D164" s="5" t="s">
        <v>2531</v>
      </c>
      <c r="E164" s="5" t="s">
        <v>1496</v>
      </c>
      <c r="F164" s="5" t="s">
        <v>2532</v>
      </c>
      <c r="G164" s="5">
        <v>37.011110000000002</v>
      </c>
      <c r="H164" s="5">
        <v>-84.078969999999998</v>
      </c>
    </row>
    <row r="165" spans="1:8" ht="15.75" customHeight="1" x14ac:dyDescent="0.25">
      <c r="A165" s="5" t="s">
        <v>2533</v>
      </c>
      <c r="B165" s="5" t="s">
        <v>352</v>
      </c>
      <c r="C165" s="5" t="s">
        <v>2534</v>
      </c>
      <c r="D165" s="5" t="s">
        <v>2535</v>
      </c>
      <c r="E165" s="5" t="s">
        <v>2536</v>
      </c>
      <c r="F165" s="5" t="s">
        <v>2537</v>
      </c>
      <c r="G165" s="5">
        <v>38.189024000000003</v>
      </c>
      <c r="H165" s="5">
        <v>-83.542983000000007</v>
      </c>
    </row>
    <row r="166" spans="1:8" ht="15.75" customHeight="1" x14ac:dyDescent="0.25">
      <c r="A166" s="5" t="s">
        <v>2538</v>
      </c>
      <c r="B166" s="5" t="s">
        <v>352</v>
      </c>
      <c r="C166" s="5" t="s">
        <v>2539</v>
      </c>
      <c r="D166" s="5" t="s">
        <v>355</v>
      </c>
      <c r="E166" s="5" t="s">
        <v>1375</v>
      </c>
      <c r="F166" s="5" t="s">
        <v>2540</v>
      </c>
      <c r="G166" s="5">
        <v>38.135770000000001</v>
      </c>
      <c r="H166" s="5">
        <v>-85.716120000000004</v>
      </c>
    </row>
    <row r="167" spans="1:8" ht="15.75" customHeight="1" x14ac:dyDescent="0.25">
      <c r="A167" s="5" t="s">
        <v>2541</v>
      </c>
      <c r="B167" s="5" t="s">
        <v>352</v>
      </c>
      <c r="C167" s="5" t="s">
        <v>2542</v>
      </c>
      <c r="D167" s="5" t="s">
        <v>2543</v>
      </c>
      <c r="E167" s="5" t="s">
        <v>2544</v>
      </c>
      <c r="F167" s="5" t="s">
        <v>2545</v>
      </c>
      <c r="G167" s="5">
        <v>38.731999999999999</v>
      </c>
      <c r="H167" s="5">
        <v>-84.41</v>
      </c>
    </row>
    <row r="168" spans="1:8" ht="15.75" customHeight="1" x14ac:dyDescent="0.25">
      <c r="A168" s="5" t="s">
        <v>2546</v>
      </c>
      <c r="B168" s="5" t="s">
        <v>733</v>
      </c>
      <c r="C168" s="5" t="s">
        <v>2547</v>
      </c>
      <c r="D168" s="5" t="s">
        <v>2548</v>
      </c>
      <c r="E168" s="5" t="s">
        <v>2549</v>
      </c>
      <c r="F168" s="5" t="s">
        <v>2550</v>
      </c>
      <c r="G168" s="5">
        <v>30.599</v>
      </c>
      <c r="H168" s="5">
        <v>-91.233999999999995</v>
      </c>
    </row>
    <row r="169" spans="1:8" ht="15.75" customHeight="1" x14ac:dyDescent="0.25">
      <c r="A169" s="5" t="s">
        <v>2551</v>
      </c>
      <c r="B169" s="5" t="s">
        <v>733</v>
      </c>
      <c r="C169" s="5" t="s">
        <v>2552</v>
      </c>
      <c r="D169" s="5" t="s">
        <v>2553</v>
      </c>
      <c r="E169" s="5" t="s">
        <v>1493</v>
      </c>
      <c r="F169" s="5" t="s">
        <v>2554</v>
      </c>
      <c r="G169" s="5">
        <v>30.27083</v>
      </c>
      <c r="H169" s="5">
        <v>-92.864999999999995</v>
      </c>
    </row>
    <row r="170" spans="1:8" ht="15.75" customHeight="1" x14ac:dyDescent="0.25">
      <c r="A170" s="5" t="s">
        <v>2555</v>
      </c>
      <c r="B170" s="5" t="s">
        <v>733</v>
      </c>
      <c r="C170" s="5" t="s">
        <v>2556</v>
      </c>
      <c r="D170" s="5" t="s">
        <v>2557</v>
      </c>
      <c r="E170" s="5" t="s">
        <v>1375</v>
      </c>
      <c r="F170" s="5" t="s">
        <v>2558</v>
      </c>
      <c r="G170" s="5">
        <v>29.925999999999998</v>
      </c>
      <c r="H170" s="5">
        <v>-90.254000000000005</v>
      </c>
    </row>
    <row r="171" spans="1:8" ht="15.75" customHeight="1" x14ac:dyDescent="0.25">
      <c r="A171" s="5" t="s">
        <v>2559</v>
      </c>
      <c r="B171" s="5" t="s">
        <v>733</v>
      </c>
      <c r="C171" s="5" t="s">
        <v>2560</v>
      </c>
      <c r="D171" s="5" t="s">
        <v>2557</v>
      </c>
      <c r="E171" s="5" t="s">
        <v>1375</v>
      </c>
      <c r="F171" s="5" t="s">
        <v>2558</v>
      </c>
      <c r="G171" s="5">
        <v>29.931999999999999</v>
      </c>
      <c r="H171" s="5">
        <v>-90.257999999999996</v>
      </c>
    </row>
    <row r="172" spans="1:8" ht="15.75" customHeight="1" x14ac:dyDescent="0.25">
      <c r="A172" s="5" t="s">
        <v>2561</v>
      </c>
      <c r="B172" s="5" t="s">
        <v>733</v>
      </c>
      <c r="C172" s="5" t="s">
        <v>2562</v>
      </c>
      <c r="D172" s="5" t="s">
        <v>1137</v>
      </c>
      <c r="E172" s="5" t="s">
        <v>2563</v>
      </c>
      <c r="F172" s="5" t="s">
        <v>2564</v>
      </c>
      <c r="G172" s="5">
        <v>30.68627</v>
      </c>
      <c r="H172" s="5">
        <v>-92.064580000000007</v>
      </c>
    </row>
    <row r="173" spans="1:8" ht="15.75" customHeight="1" x14ac:dyDescent="0.25">
      <c r="A173" s="5" t="s">
        <v>2565</v>
      </c>
      <c r="B173" s="5" t="s">
        <v>733</v>
      </c>
      <c r="C173" s="5" t="s">
        <v>2566</v>
      </c>
      <c r="D173" s="5" t="s">
        <v>2567</v>
      </c>
      <c r="E173" s="5" t="s">
        <v>2421</v>
      </c>
      <c r="F173" s="5" t="s">
        <v>2568</v>
      </c>
      <c r="G173" s="5">
        <v>30.866900000000001</v>
      </c>
      <c r="H173" s="5">
        <v>-92.606999999999999</v>
      </c>
    </row>
    <row r="174" spans="1:8" ht="15.75" customHeight="1" x14ac:dyDescent="0.25">
      <c r="A174" s="5" t="s">
        <v>2569</v>
      </c>
      <c r="B174" s="5" t="s">
        <v>733</v>
      </c>
      <c r="C174" s="5" t="s">
        <v>2570</v>
      </c>
      <c r="D174" s="5" t="s">
        <v>649</v>
      </c>
      <c r="E174" s="5" t="s">
        <v>2571</v>
      </c>
      <c r="F174" s="5" t="s">
        <v>2572</v>
      </c>
      <c r="G174" s="5">
        <v>32.496969999999997</v>
      </c>
      <c r="H174" s="5">
        <v>-91.981759999999994</v>
      </c>
    </row>
    <row r="175" spans="1:8" ht="15.75" customHeight="1" x14ac:dyDescent="0.25">
      <c r="A175" s="5" t="s">
        <v>2573</v>
      </c>
      <c r="B175" s="5" t="s">
        <v>733</v>
      </c>
      <c r="C175" s="5" t="s">
        <v>2574</v>
      </c>
      <c r="D175" s="5" t="s">
        <v>2575</v>
      </c>
      <c r="E175" s="5" t="s">
        <v>2576</v>
      </c>
      <c r="F175" s="5" t="s">
        <v>2577</v>
      </c>
      <c r="G175" s="5">
        <v>32.380719999999997</v>
      </c>
      <c r="H175" s="5">
        <v>-93.900130000000004</v>
      </c>
    </row>
    <row r="176" spans="1:8" ht="15.75" customHeight="1" x14ac:dyDescent="0.25">
      <c r="A176" s="5" t="s">
        <v>2578</v>
      </c>
      <c r="B176" s="5" t="s">
        <v>735</v>
      </c>
      <c r="C176" s="5" t="s">
        <v>2579</v>
      </c>
      <c r="D176" s="5" t="s">
        <v>2580</v>
      </c>
      <c r="E176" s="5" t="s">
        <v>1643</v>
      </c>
      <c r="F176" s="5" t="s">
        <v>2581</v>
      </c>
      <c r="G176" s="5">
        <v>44.688800000000001</v>
      </c>
      <c r="H176" s="5">
        <v>-69.865200000000002</v>
      </c>
    </row>
    <row r="177" spans="1:8" ht="15.75" customHeight="1" x14ac:dyDescent="0.25">
      <c r="A177" s="5" t="s">
        <v>2582</v>
      </c>
      <c r="B177" s="5" t="s">
        <v>735</v>
      </c>
      <c r="C177" s="5" t="s">
        <v>2583</v>
      </c>
      <c r="D177" s="5" t="s">
        <v>2584</v>
      </c>
      <c r="E177" s="5" t="s">
        <v>2585</v>
      </c>
      <c r="F177" s="5" t="s">
        <v>2586</v>
      </c>
      <c r="G177" s="5">
        <v>44.322800000000001</v>
      </c>
      <c r="H177" s="5">
        <v>-69.708699999999993</v>
      </c>
    </row>
    <row r="178" spans="1:8" ht="15.75" customHeight="1" x14ac:dyDescent="0.25">
      <c r="A178" s="5" t="s">
        <v>2587</v>
      </c>
      <c r="B178" s="5" t="s">
        <v>1105</v>
      </c>
      <c r="C178" s="5" t="s">
        <v>2588</v>
      </c>
      <c r="D178" s="5" t="s">
        <v>2589</v>
      </c>
      <c r="E178" s="5" t="s">
        <v>2590</v>
      </c>
      <c r="F178" s="5" t="s">
        <v>2591</v>
      </c>
      <c r="G178" s="5">
        <v>39.305776000000002</v>
      </c>
      <c r="H178" s="5">
        <v>-76.898803000000001</v>
      </c>
    </row>
    <row r="179" spans="1:8" ht="15.75" customHeight="1" x14ac:dyDescent="0.25">
      <c r="A179" s="5" t="s">
        <v>2592</v>
      </c>
      <c r="B179" s="5" t="s">
        <v>1105</v>
      </c>
      <c r="C179" s="5" t="s">
        <v>2593</v>
      </c>
      <c r="D179" s="5" t="s">
        <v>2594</v>
      </c>
      <c r="E179" s="5" t="s">
        <v>2595</v>
      </c>
      <c r="F179" s="5" t="s">
        <v>2596</v>
      </c>
      <c r="G179" s="5">
        <v>38.850999999999999</v>
      </c>
      <c r="H179" s="5">
        <v>-76.789000000000001</v>
      </c>
    </row>
    <row r="180" spans="1:8" ht="15.75" customHeight="1" x14ac:dyDescent="0.25">
      <c r="A180" s="5" t="s">
        <v>2597</v>
      </c>
      <c r="B180" s="5" t="s">
        <v>1105</v>
      </c>
      <c r="C180" s="5" t="s">
        <v>2598</v>
      </c>
      <c r="D180" s="5" t="s">
        <v>2599</v>
      </c>
      <c r="E180" s="5" t="s">
        <v>2600</v>
      </c>
      <c r="F180" s="5" t="s">
        <v>2601</v>
      </c>
      <c r="G180" s="5">
        <v>39.394799999999996</v>
      </c>
      <c r="H180" s="5">
        <v>-76.3964</v>
      </c>
    </row>
    <row r="181" spans="1:8" ht="15.75" customHeight="1" x14ac:dyDescent="0.25">
      <c r="A181" s="5" t="s">
        <v>2602</v>
      </c>
      <c r="B181" s="5" t="s">
        <v>1105</v>
      </c>
      <c r="C181" s="5" t="s">
        <v>2603</v>
      </c>
      <c r="D181" s="5" t="s">
        <v>2604</v>
      </c>
      <c r="E181" s="5" t="s">
        <v>2605</v>
      </c>
      <c r="F181" s="52">
        <v>21601</v>
      </c>
      <c r="G181" s="5">
        <v>38.747100000000003</v>
      </c>
      <c r="H181" s="5">
        <v>-76.01961</v>
      </c>
    </row>
    <row r="182" spans="1:8" ht="15.75" customHeight="1" x14ac:dyDescent="0.25">
      <c r="A182" s="5" t="s">
        <v>2606</v>
      </c>
      <c r="B182" s="5" t="s">
        <v>1105</v>
      </c>
      <c r="C182" s="5" t="s">
        <v>2607</v>
      </c>
      <c r="D182" s="5" t="s">
        <v>2608</v>
      </c>
      <c r="E182" s="5" t="s">
        <v>2609</v>
      </c>
      <c r="F182" s="5" t="s">
        <v>2610</v>
      </c>
      <c r="G182" s="5">
        <v>39.094499999999996</v>
      </c>
      <c r="H182" s="5">
        <v>-76.665599999999998</v>
      </c>
    </row>
    <row r="183" spans="1:8" ht="15.75" customHeight="1" x14ac:dyDescent="0.25">
      <c r="A183" s="5" t="s">
        <v>2611</v>
      </c>
      <c r="B183" s="5" t="s">
        <v>1105</v>
      </c>
      <c r="C183" s="5" t="s">
        <v>2612</v>
      </c>
      <c r="D183" s="5" t="s">
        <v>1737</v>
      </c>
      <c r="E183" s="5" t="s">
        <v>2613</v>
      </c>
      <c r="F183" s="5" t="s">
        <v>2614</v>
      </c>
      <c r="G183" s="5">
        <v>38.384999999999998</v>
      </c>
      <c r="H183" s="5">
        <v>-75.633600000000001</v>
      </c>
    </row>
    <row r="184" spans="1:8" ht="15.75" customHeight="1" x14ac:dyDescent="0.25">
      <c r="A184" s="5" t="s">
        <v>2615</v>
      </c>
      <c r="B184" s="5" t="s">
        <v>1105</v>
      </c>
      <c r="C184" s="5" t="s">
        <v>2616</v>
      </c>
      <c r="D184" s="5" t="s">
        <v>2617</v>
      </c>
      <c r="E184" s="5" t="s">
        <v>2618</v>
      </c>
      <c r="F184" s="5" t="s">
        <v>2619</v>
      </c>
      <c r="G184" s="5">
        <v>39.208500000000001</v>
      </c>
      <c r="H184" s="5">
        <v>-76.554900000000004</v>
      </c>
    </row>
    <row r="185" spans="1:8" ht="15.75" customHeight="1" x14ac:dyDescent="0.25">
      <c r="A185" s="5" t="s">
        <v>2620</v>
      </c>
      <c r="B185" s="5" t="s">
        <v>1105</v>
      </c>
      <c r="C185" s="5" t="s">
        <v>2621</v>
      </c>
      <c r="D185" s="5" t="s">
        <v>2622</v>
      </c>
      <c r="E185" s="5" t="s">
        <v>2595</v>
      </c>
      <c r="F185" s="5" t="s">
        <v>2623</v>
      </c>
      <c r="G185" s="5">
        <v>39.015999999999998</v>
      </c>
      <c r="H185" s="5">
        <v>-76.790999999999997</v>
      </c>
    </row>
    <row r="186" spans="1:8" ht="15.75" customHeight="1" x14ac:dyDescent="0.25">
      <c r="A186" s="5" t="s">
        <v>2624</v>
      </c>
      <c r="B186" s="5" t="s">
        <v>734</v>
      </c>
      <c r="C186" s="5" t="s">
        <v>2625</v>
      </c>
      <c r="D186" s="5" t="s">
        <v>2626</v>
      </c>
      <c r="E186" s="5" t="s">
        <v>1425</v>
      </c>
      <c r="F186" s="5" t="s">
        <v>2627</v>
      </c>
      <c r="G186" s="5">
        <v>42.165900000000001</v>
      </c>
      <c r="H186" s="5">
        <v>-72.537999999999997</v>
      </c>
    </row>
    <row r="187" spans="1:8" ht="15.75" customHeight="1" x14ac:dyDescent="0.25">
      <c r="A187" s="5" t="s">
        <v>2628</v>
      </c>
      <c r="B187" s="5" t="s">
        <v>734</v>
      </c>
      <c r="C187" s="5" t="s">
        <v>2629</v>
      </c>
      <c r="D187" s="5" t="s">
        <v>2630</v>
      </c>
      <c r="E187" s="5" t="s">
        <v>1734</v>
      </c>
      <c r="F187" s="5" t="s">
        <v>2631</v>
      </c>
      <c r="G187" s="5">
        <v>41.725000000000001</v>
      </c>
      <c r="H187" s="5">
        <v>-70.981999999999999</v>
      </c>
    </row>
    <row r="188" spans="1:8" ht="15.75" customHeight="1" x14ac:dyDescent="0.25">
      <c r="A188" s="5" t="s">
        <v>2632</v>
      </c>
      <c r="B188" s="5" t="s">
        <v>734</v>
      </c>
      <c r="C188" s="5" t="s">
        <v>2633</v>
      </c>
      <c r="D188" s="5" t="s">
        <v>2634</v>
      </c>
      <c r="E188" s="5" t="s">
        <v>1734</v>
      </c>
      <c r="F188" s="5" t="s">
        <v>2635</v>
      </c>
      <c r="G188" s="5">
        <v>41.750999999999998</v>
      </c>
      <c r="H188" s="5">
        <v>-71.106800000000007</v>
      </c>
    </row>
    <row r="189" spans="1:8" ht="15.75" customHeight="1" x14ac:dyDescent="0.25">
      <c r="A189" s="5" t="s">
        <v>2636</v>
      </c>
      <c r="B189" s="5" t="s">
        <v>734</v>
      </c>
      <c r="C189" s="5" t="s">
        <v>2637</v>
      </c>
      <c r="D189" s="5" t="s">
        <v>2638</v>
      </c>
      <c r="E189" s="5" t="s">
        <v>1102</v>
      </c>
      <c r="F189" s="5" t="s">
        <v>2639</v>
      </c>
      <c r="G189" s="5">
        <v>42.535960000000003</v>
      </c>
      <c r="H189" s="5">
        <v>-71.853880000000004</v>
      </c>
    </row>
    <row r="190" spans="1:8" ht="15.75" customHeight="1" x14ac:dyDescent="0.25">
      <c r="A190" s="5" t="s">
        <v>2640</v>
      </c>
      <c r="B190" s="5" t="s">
        <v>734</v>
      </c>
      <c r="C190" s="5" t="s">
        <v>2641</v>
      </c>
      <c r="D190" s="5" t="s">
        <v>2642</v>
      </c>
      <c r="E190" s="5" t="s">
        <v>1408</v>
      </c>
      <c r="F190" s="5" t="s">
        <v>2643</v>
      </c>
      <c r="G190" s="5">
        <v>42.221400000000003</v>
      </c>
      <c r="H190" s="5">
        <v>-72.545900000000003</v>
      </c>
    </row>
    <row r="191" spans="1:8" ht="15.75" customHeight="1" x14ac:dyDescent="0.25">
      <c r="A191" s="5" t="s">
        <v>2644</v>
      </c>
      <c r="B191" s="5" t="s">
        <v>734</v>
      </c>
      <c r="C191" s="5" t="s">
        <v>2645</v>
      </c>
      <c r="D191" s="5" t="s">
        <v>2646</v>
      </c>
      <c r="E191" s="5" t="s">
        <v>2647</v>
      </c>
      <c r="F191" s="5" t="s">
        <v>2648</v>
      </c>
      <c r="G191" s="5">
        <v>42.039200000000001</v>
      </c>
      <c r="H191" s="5">
        <v>-71.292000000000002</v>
      </c>
    </row>
    <row r="192" spans="1:8" ht="15.75" customHeight="1" x14ac:dyDescent="0.25">
      <c r="A192" s="5" t="s">
        <v>2649</v>
      </c>
      <c r="B192" s="5" t="s">
        <v>734</v>
      </c>
      <c r="C192" s="5" t="s">
        <v>2650</v>
      </c>
      <c r="D192" s="5" t="s">
        <v>2651</v>
      </c>
      <c r="E192" s="5" t="s">
        <v>2647</v>
      </c>
      <c r="F192" s="5" t="s">
        <v>2652</v>
      </c>
      <c r="G192" s="5">
        <v>42.241700000000002</v>
      </c>
      <c r="H192" s="5">
        <v>-71.045029999999997</v>
      </c>
    </row>
    <row r="193" spans="1:8" ht="15.75" customHeight="1" x14ac:dyDescent="0.25">
      <c r="A193" s="5" t="s">
        <v>2653</v>
      </c>
      <c r="B193" s="5" t="s">
        <v>734</v>
      </c>
      <c r="C193" s="5" t="s">
        <v>2654</v>
      </c>
      <c r="D193" s="5" t="s">
        <v>2655</v>
      </c>
      <c r="E193" s="5" t="s">
        <v>1102</v>
      </c>
      <c r="F193" s="5" t="s">
        <v>2656</v>
      </c>
      <c r="G193" s="5">
        <v>42.106909999999999</v>
      </c>
      <c r="H193" s="5">
        <v>-72.032399999999996</v>
      </c>
    </row>
    <row r="194" spans="1:8" ht="15.75" customHeight="1" x14ac:dyDescent="0.25">
      <c r="A194" s="5" t="s">
        <v>2657</v>
      </c>
      <c r="B194" s="5" t="s">
        <v>734</v>
      </c>
      <c r="C194" s="5" t="s">
        <v>2658</v>
      </c>
      <c r="D194" s="5" t="s">
        <v>2659</v>
      </c>
      <c r="E194" s="5" t="s">
        <v>1734</v>
      </c>
      <c r="F194" s="5" t="s">
        <v>2660</v>
      </c>
      <c r="G194" s="5">
        <v>41.9223</v>
      </c>
      <c r="H194" s="5">
        <v>-71.083600000000004</v>
      </c>
    </row>
    <row r="195" spans="1:8" ht="15.75" customHeight="1" x14ac:dyDescent="0.25">
      <c r="A195" s="5" t="s">
        <v>2661</v>
      </c>
      <c r="B195" s="5" t="s">
        <v>734</v>
      </c>
      <c r="C195" s="5" t="s">
        <v>2662</v>
      </c>
      <c r="D195" s="5" t="s">
        <v>2663</v>
      </c>
      <c r="E195" s="5" t="s">
        <v>1102</v>
      </c>
      <c r="F195" s="5" t="s">
        <v>2664</v>
      </c>
      <c r="G195" s="5">
        <v>42.581000000000003</v>
      </c>
      <c r="H195" s="5">
        <v>-72.045000000000002</v>
      </c>
    </row>
    <row r="196" spans="1:8" ht="15.75" customHeight="1" x14ac:dyDescent="0.25">
      <c r="A196" s="5" t="s">
        <v>2665</v>
      </c>
      <c r="B196" s="5" t="s">
        <v>359</v>
      </c>
      <c r="C196" s="5" t="s">
        <v>2666</v>
      </c>
      <c r="D196" s="5" t="s">
        <v>2667</v>
      </c>
      <c r="E196" s="5" t="s">
        <v>2668</v>
      </c>
      <c r="F196" s="5" t="s">
        <v>2669</v>
      </c>
      <c r="G196" s="5">
        <v>41.890590000000003</v>
      </c>
      <c r="H196" s="5">
        <v>-83.992400000000004</v>
      </c>
    </row>
    <row r="197" spans="1:8" ht="15.75" customHeight="1" x14ac:dyDescent="0.25">
      <c r="A197" s="5" t="s">
        <v>2670</v>
      </c>
      <c r="B197" s="5" t="s">
        <v>359</v>
      </c>
      <c r="C197" s="5" t="s">
        <v>2671</v>
      </c>
      <c r="D197" s="5" t="s">
        <v>2672</v>
      </c>
      <c r="E197" s="5" t="s">
        <v>2673</v>
      </c>
      <c r="F197" s="5" t="s">
        <v>2674</v>
      </c>
      <c r="G197" s="5">
        <v>42.227800000000002</v>
      </c>
      <c r="H197" s="5">
        <v>-83.699700000000007</v>
      </c>
    </row>
    <row r="198" spans="1:8" ht="15.75" customHeight="1" x14ac:dyDescent="0.25">
      <c r="A198" s="5" t="s">
        <v>2675</v>
      </c>
      <c r="B198" s="5" t="s">
        <v>359</v>
      </c>
      <c r="C198" s="5" t="s">
        <v>2676</v>
      </c>
      <c r="D198" s="5" t="s">
        <v>2677</v>
      </c>
      <c r="E198" s="5" t="s">
        <v>2673</v>
      </c>
      <c r="F198" s="5" t="s">
        <v>2678</v>
      </c>
      <c r="G198" s="5">
        <v>42.406840000000003</v>
      </c>
      <c r="H198" s="5">
        <v>-83.555790000000002</v>
      </c>
    </row>
    <row r="199" spans="1:8" ht="15.75" customHeight="1" x14ac:dyDescent="0.25">
      <c r="A199" s="5" t="s">
        <v>2679</v>
      </c>
      <c r="B199" s="5" t="s">
        <v>359</v>
      </c>
      <c r="C199" s="5" t="s">
        <v>2680</v>
      </c>
      <c r="D199" s="5" t="s">
        <v>2681</v>
      </c>
      <c r="E199" s="5" t="s">
        <v>1449</v>
      </c>
      <c r="F199" s="5" t="s">
        <v>2682</v>
      </c>
      <c r="G199" s="5">
        <v>42.780999999999999</v>
      </c>
      <c r="H199" s="5">
        <v>-85.920699999999997</v>
      </c>
    </row>
    <row r="200" spans="1:8" ht="15.75" customHeight="1" x14ac:dyDescent="0.25">
      <c r="A200" s="5" t="s">
        <v>2683</v>
      </c>
      <c r="B200" s="5" t="s">
        <v>359</v>
      </c>
      <c r="C200" s="5" t="s">
        <v>2684</v>
      </c>
      <c r="D200" s="5" t="s">
        <v>2685</v>
      </c>
      <c r="E200" s="5" t="s">
        <v>1560</v>
      </c>
      <c r="F200" s="5" t="s">
        <v>2686</v>
      </c>
      <c r="G200" s="5">
        <v>43.176845999999998</v>
      </c>
      <c r="H200" s="5">
        <v>-83.838257999999996</v>
      </c>
    </row>
    <row r="201" spans="1:8" ht="15.75" customHeight="1" x14ac:dyDescent="0.25">
      <c r="A201" s="5" t="s">
        <v>2687</v>
      </c>
      <c r="B201" s="5" t="s">
        <v>359</v>
      </c>
      <c r="C201" s="5" t="s">
        <v>2688</v>
      </c>
      <c r="D201" s="5" t="s">
        <v>379</v>
      </c>
      <c r="E201" s="5" t="s">
        <v>2689</v>
      </c>
      <c r="F201" s="5" t="s">
        <v>2690</v>
      </c>
      <c r="G201" s="5">
        <v>42.361080000000001</v>
      </c>
      <c r="H201" s="5">
        <v>-85.008700000000005</v>
      </c>
    </row>
    <row r="202" spans="1:8" ht="15.75" customHeight="1" x14ac:dyDescent="0.25">
      <c r="A202" s="5" t="s">
        <v>2691</v>
      </c>
      <c r="B202" s="5" t="s">
        <v>359</v>
      </c>
      <c r="C202" s="5" t="s">
        <v>2692</v>
      </c>
      <c r="D202" s="5" t="s">
        <v>2693</v>
      </c>
      <c r="E202" s="5" t="s">
        <v>2694</v>
      </c>
      <c r="F202" s="5" t="s">
        <v>2695</v>
      </c>
      <c r="G202" s="5">
        <v>42.093940000000003</v>
      </c>
      <c r="H202" s="5">
        <v>-83.429730000000006</v>
      </c>
    </row>
    <row r="203" spans="1:8" ht="15.75" customHeight="1" x14ac:dyDescent="0.25">
      <c r="A203" s="5" t="s">
        <v>2696</v>
      </c>
      <c r="B203" s="5" t="s">
        <v>359</v>
      </c>
      <c r="C203" s="5" t="s">
        <v>2697</v>
      </c>
      <c r="D203" s="5" t="s">
        <v>2698</v>
      </c>
      <c r="E203" s="5" t="s">
        <v>2699</v>
      </c>
      <c r="F203" s="5" t="s">
        <v>2700</v>
      </c>
      <c r="G203" s="5">
        <v>43.337829999999997</v>
      </c>
      <c r="H203" s="5">
        <v>-85.522739999999999</v>
      </c>
    </row>
    <row r="204" spans="1:8" ht="15.75" customHeight="1" x14ac:dyDescent="0.25">
      <c r="A204" s="5" t="s">
        <v>2701</v>
      </c>
      <c r="B204" s="5" t="s">
        <v>359</v>
      </c>
      <c r="C204" s="5" t="s">
        <v>2702</v>
      </c>
      <c r="D204" s="5" t="s">
        <v>2703</v>
      </c>
      <c r="E204" s="5" t="s">
        <v>1560</v>
      </c>
      <c r="F204" s="5" t="s">
        <v>2704</v>
      </c>
      <c r="G204" s="5">
        <v>42.914679999999997</v>
      </c>
      <c r="H204" s="5">
        <v>-83.722489999999993</v>
      </c>
    </row>
    <row r="205" spans="1:8" ht="15.75" customHeight="1" x14ac:dyDescent="0.25">
      <c r="A205" s="5" t="s">
        <v>2705</v>
      </c>
      <c r="B205" s="5" t="s">
        <v>359</v>
      </c>
      <c r="C205" s="5" t="s">
        <v>2706</v>
      </c>
      <c r="D205" s="5" t="s">
        <v>2707</v>
      </c>
      <c r="E205" s="5" t="s">
        <v>2707</v>
      </c>
      <c r="F205" s="5" t="s">
        <v>2708</v>
      </c>
      <c r="G205" s="5">
        <v>43.626370000000001</v>
      </c>
      <c r="H205" s="5">
        <v>-84.171530000000004</v>
      </c>
    </row>
    <row r="206" spans="1:8" ht="15.75" customHeight="1" x14ac:dyDescent="0.25">
      <c r="A206" s="5" t="s">
        <v>2709</v>
      </c>
      <c r="B206" s="5" t="s">
        <v>359</v>
      </c>
      <c r="C206" s="5" t="s">
        <v>2710</v>
      </c>
      <c r="D206" s="5" t="s">
        <v>2711</v>
      </c>
      <c r="E206" s="5" t="s">
        <v>2712</v>
      </c>
      <c r="F206" s="5" t="s">
        <v>2713</v>
      </c>
      <c r="G206" s="5">
        <v>42.722650000000002</v>
      </c>
      <c r="H206" s="5">
        <v>-83.254779999999997</v>
      </c>
    </row>
    <row r="207" spans="1:8" ht="15.75" customHeight="1" x14ac:dyDescent="0.25">
      <c r="A207" s="5" t="s">
        <v>2714</v>
      </c>
      <c r="B207" s="5" t="s">
        <v>359</v>
      </c>
      <c r="C207" s="5" t="s">
        <v>2715</v>
      </c>
      <c r="D207" s="5" t="s">
        <v>2716</v>
      </c>
      <c r="E207" s="5" t="s">
        <v>2717</v>
      </c>
      <c r="F207" s="5" t="s">
        <v>2718</v>
      </c>
      <c r="G207" s="5">
        <v>44.78978</v>
      </c>
      <c r="H207" s="5">
        <v>-85.840999999999994</v>
      </c>
    </row>
    <row r="208" spans="1:8" ht="15.75" customHeight="1" x14ac:dyDescent="0.25">
      <c r="A208" s="5" t="s">
        <v>2719</v>
      </c>
      <c r="B208" s="5" t="s">
        <v>359</v>
      </c>
      <c r="C208" s="5" t="s">
        <v>2720</v>
      </c>
      <c r="D208" s="5" t="s">
        <v>2721</v>
      </c>
      <c r="E208" s="5" t="s">
        <v>109</v>
      </c>
      <c r="F208" s="5" t="s">
        <v>2722</v>
      </c>
      <c r="G208" s="5">
        <v>42.7896</v>
      </c>
      <c r="H208" s="5">
        <v>-84.6935</v>
      </c>
    </row>
    <row r="209" spans="1:8" ht="15.75" customHeight="1" x14ac:dyDescent="0.25">
      <c r="A209" s="5" t="s">
        <v>2723</v>
      </c>
      <c r="B209" s="5" t="s">
        <v>359</v>
      </c>
      <c r="C209" s="5" t="s">
        <v>2724</v>
      </c>
      <c r="D209" s="5" t="s">
        <v>1445</v>
      </c>
      <c r="E209" s="5" t="s">
        <v>109</v>
      </c>
      <c r="F209" s="5" t="s">
        <v>2725</v>
      </c>
      <c r="G209" s="5">
        <v>42.763550000000002</v>
      </c>
      <c r="H209" s="5">
        <v>-84.557779999999994</v>
      </c>
    </row>
    <row r="210" spans="1:8" ht="15.75" customHeight="1" x14ac:dyDescent="0.25">
      <c r="A210" s="5" t="s">
        <v>2726</v>
      </c>
      <c r="B210" s="5" t="s">
        <v>359</v>
      </c>
      <c r="C210" s="5" t="s">
        <v>2727</v>
      </c>
      <c r="D210" s="5" t="s">
        <v>485</v>
      </c>
      <c r="E210" s="5" t="s">
        <v>1435</v>
      </c>
      <c r="F210" s="5">
        <v>49058</v>
      </c>
      <c r="G210" s="5">
        <v>42.680999999999997</v>
      </c>
      <c r="H210" s="5">
        <v>-85.298000000000002</v>
      </c>
    </row>
    <row r="211" spans="1:8" ht="15.75" customHeight="1" x14ac:dyDescent="0.25">
      <c r="A211" s="5" t="s">
        <v>2728</v>
      </c>
      <c r="B211" s="5" t="s">
        <v>359</v>
      </c>
      <c r="C211" s="5" t="s">
        <v>2729</v>
      </c>
      <c r="D211" s="5" t="s">
        <v>2730</v>
      </c>
      <c r="E211" s="5" t="s">
        <v>1116</v>
      </c>
      <c r="F211" s="5" t="s">
        <v>2731</v>
      </c>
      <c r="G211" s="5">
        <v>42.782710000000002</v>
      </c>
      <c r="H211" s="5">
        <v>-85.670649999999995</v>
      </c>
    </row>
    <row r="212" spans="1:8" ht="15.75" customHeight="1" x14ac:dyDescent="0.25">
      <c r="A212" s="5" t="s">
        <v>2732</v>
      </c>
      <c r="B212" s="5" t="s">
        <v>359</v>
      </c>
      <c r="C212" s="5" t="s">
        <v>2733</v>
      </c>
      <c r="D212" s="5" t="s">
        <v>518</v>
      </c>
      <c r="E212" s="5" t="s">
        <v>1437</v>
      </c>
      <c r="F212" s="5" t="s">
        <v>2734</v>
      </c>
      <c r="G212" s="5">
        <v>43.235100000000003</v>
      </c>
      <c r="H212" s="5">
        <v>-85.990499999999997</v>
      </c>
    </row>
    <row r="213" spans="1:8" ht="15.75" customHeight="1" x14ac:dyDescent="0.25">
      <c r="A213" s="5" t="s">
        <v>2735</v>
      </c>
      <c r="B213" s="5" t="s">
        <v>359</v>
      </c>
      <c r="C213" s="5" t="s">
        <v>2736</v>
      </c>
      <c r="D213" s="5" t="s">
        <v>2737</v>
      </c>
      <c r="E213" s="5" t="s">
        <v>2738</v>
      </c>
      <c r="F213" s="5" t="s">
        <v>2739</v>
      </c>
      <c r="G213" s="5">
        <v>43.993000000000002</v>
      </c>
      <c r="H213" s="5">
        <v>-84.798000000000002</v>
      </c>
    </row>
    <row r="214" spans="1:8" ht="15.75" customHeight="1" x14ac:dyDescent="0.25">
      <c r="A214" s="5" t="s">
        <v>2740</v>
      </c>
      <c r="B214" s="5" t="s">
        <v>359</v>
      </c>
      <c r="C214" s="5" t="s">
        <v>2741</v>
      </c>
      <c r="D214" s="5" t="s">
        <v>2742</v>
      </c>
      <c r="E214" s="5" t="s">
        <v>2712</v>
      </c>
      <c r="F214" s="5" t="s">
        <v>2743</v>
      </c>
      <c r="G214" s="5">
        <v>42.708460000000002</v>
      </c>
      <c r="H214" s="5">
        <v>-83.248729999999995</v>
      </c>
    </row>
    <row r="215" spans="1:8" ht="15.75" customHeight="1" x14ac:dyDescent="0.25">
      <c r="A215" s="5" t="s">
        <v>2744</v>
      </c>
      <c r="B215" s="5" t="s">
        <v>359</v>
      </c>
      <c r="C215" s="5" t="s">
        <v>2745</v>
      </c>
      <c r="D215" s="5" t="s">
        <v>2746</v>
      </c>
      <c r="E215" s="5" t="s">
        <v>2747</v>
      </c>
      <c r="F215" s="5" t="s">
        <v>2748</v>
      </c>
      <c r="G215" s="5">
        <v>42.17127</v>
      </c>
      <c r="H215" s="5">
        <v>-86.28116</v>
      </c>
    </row>
    <row r="216" spans="1:8" ht="15.75" customHeight="1" x14ac:dyDescent="0.25">
      <c r="A216" s="5" t="s">
        <v>2749</v>
      </c>
      <c r="B216" s="5" t="s">
        <v>359</v>
      </c>
      <c r="C216" s="5" t="s">
        <v>2750</v>
      </c>
      <c r="D216" s="5" t="s">
        <v>1448</v>
      </c>
      <c r="E216" s="5" t="s">
        <v>1449</v>
      </c>
      <c r="F216" s="5" t="s">
        <v>2751</v>
      </c>
      <c r="G216" s="5">
        <v>43.050199999999997</v>
      </c>
      <c r="H216" s="5">
        <v>-85.956819999999993</v>
      </c>
    </row>
    <row r="217" spans="1:8" ht="15.75" customHeight="1" x14ac:dyDescent="0.25">
      <c r="A217" s="5" t="s">
        <v>2752</v>
      </c>
      <c r="B217" s="5" t="s">
        <v>359</v>
      </c>
      <c r="C217" s="5" t="s">
        <v>2753</v>
      </c>
      <c r="D217" s="5" t="s">
        <v>2754</v>
      </c>
      <c r="E217" s="5" t="s">
        <v>2755</v>
      </c>
      <c r="F217" s="5" t="s">
        <v>2756</v>
      </c>
      <c r="G217" s="5">
        <v>43.280200000000001</v>
      </c>
      <c r="H217" s="5">
        <v>-83.869</v>
      </c>
    </row>
    <row r="218" spans="1:8" ht="15.75" customHeight="1" x14ac:dyDescent="0.25">
      <c r="A218" s="5" t="s">
        <v>2757</v>
      </c>
      <c r="B218" s="5" t="s">
        <v>359</v>
      </c>
      <c r="C218" s="5" t="s">
        <v>2758</v>
      </c>
      <c r="D218" s="5" t="s">
        <v>2759</v>
      </c>
      <c r="E218" s="5" t="s">
        <v>2760</v>
      </c>
      <c r="F218" s="5" t="s">
        <v>2761</v>
      </c>
      <c r="G218" s="5">
        <v>42.764899999999997</v>
      </c>
      <c r="H218" s="5">
        <v>-82.745599999999996</v>
      </c>
    </row>
    <row r="219" spans="1:8" ht="15.75" customHeight="1" x14ac:dyDescent="0.25">
      <c r="A219" s="5" t="s">
        <v>2762</v>
      </c>
      <c r="B219" s="5" t="s">
        <v>359</v>
      </c>
      <c r="C219" s="5" t="s">
        <v>2763</v>
      </c>
      <c r="D219" s="5" t="s">
        <v>2764</v>
      </c>
      <c r="E219" s="5" t="s">
        <v>1560</v>
      </c>
      <c r="F219" s="5" t="s">
        <v>2765</v>
      </c>
      <c r="G219" s="5">
        <v>43.127375999999998</v>
      </c>
      <c r="H219" s="5">
        <v>-83.485555000000005</v>
      </c>
    </row>
    <row r="220" spans="1:8" ht="15.75" customHeight="1" x14ac:dyDescent="0.25">
      <c r="A220" s="5" t="s">
        <v>2766</v>
      </c>
      <c r="B220" s="5" t="s">
        <v>359</v>
      </c>
      <c r="C220" s="5" t="s">
        <v>2767</v>
      </c>
      <c r="D220" s="5" t="s">
        <v>2768</v>
      </c>
      <c r="E220" s="5" t="s">
        <v>2694</v>
      </c>
      <c r="F220" s="5" t="s">
        <v>2769</v>
      </c>
      <c r="G220" s="5">
        <v>42.156210000000002</v>
      </c>
      <c r="H220" s="5">
        <v>-83.21208</v>
      </c>
    </row>
    <row r="221" spans="1:8" ht="15.75" customHeight="1" x14ac:dyDescent="0.25">
      <c r="A221" s="5" t="s">
        <v>2770</v>
      </c>
      <c r="B221" s="5" t="s">
        <v>359</v>
      </c>
      <c r="C221" s="5" t="s">
        <v>2771</v>
      </c>
      <c r="D221" s="5" t="s">
        <v>1550</v>
      </c>
      <c r="E221" s="5" t="s">
        <v>2694</v>
      </c>
      <c r="F221" s="5" t="s">
        <v>2772</v>
      </c>
      <c r="G221" s="5">
        <v>42.2744</v>
      </c>
      <c r="H221" s="5">
        <v>-83.456299999999999</v>
      </c>
    </row>
    <row r="222" spans="1:8" ht="15.75" customHeight="1" x14ac:dyDescent="0.25">
      <c r="A222" s="5" t="s">
        <v>2773</v>
      </c>
      <c r="B222" s="5" t="s">
        <v>359</v>
      </c>
      <c r="C222" s="5" t="s">
        <v>2774</v>
      </c>
      <c r="D222" s="5" t="s">
        <v>2775</v>
      </c>
      <c r="E222" s="5" t="s">
        <v>1865</v>
      </c>
      <c r="F222" s="5" t="s">
        <v>2776</v>
      </c>
      <c r="G222" s="5">
        <v>42.917430000000003</v>
      </c>
      <c r="H222" s="5">
        <v>-82.591679999999997</v>
      </c>
    </row>
    <row r="223" spans="1:8" ht="15.75" customHeight="1" x14ac:dyDescent="0.25">
      <c r="A223" s="5" t="s">
        <v>2777</v>
      </c>
      <c r="B223" s="5" t="s">
        <v>359</v>
      </c>
      <c r="C223" s="5" t="s">
        <v>2778</v>
      </c>
      <c r="D223" s="5" t="s">
        <v>2779</v>
      </c>
      <c r="E223" s="5" t="s">
        <v>2747</v>
      </c>
      <c r="F223" s="5" t="s">
        <v>2780</v>
      </c>
      <c r="G223" s="5">
        <v>41.813540000000003</v>
      </c>
      <c r="H223" s="5">
        <v>-86.32723</v>
      </c>
    </row>
    <row r="224" spans="1:8" ht="15.75" customHeight="1" x14ac:dyDescent="0.25">
      <c r="A224" s="5" t="s">
        <v>2781</v>
      </c>
      <c r="B224" s="5" t="s">
        <v>359</v>
      </c>
      <c r="C224" s="5" t="s">
        <v>2782</v>
      </c>
      <c r="D224" s="5" t="s">
        <v>2754</v>
      </c>
      <c r="E224" s="5" t="s">
        <v>2755</v>
      </c>
      <c r="F224" s="5" t="s">
        <v>2756</v>
      </c>
      <c r="G224" s="5">
        <v>43.274999999999999</v>
      </c>
      <c r="H224" s="5">
        <v>-83.861999999999995</v>
      </c>
    </row>
    <row r="225" spans="1:8" ht="15.75" customHeight="1" x14ac:dyDescent="0.25">
      <c r="A225" s="5" t="s">
        <v>2783</v>
      </c>
      <c r="B225" s="5" t="s">
        <v>359</v>
      </c>
      <c r="C225" s="5" t="s">
        <v>2784</v>
      </c>
      <c r="D225" s="5" t="s">
        <v>2785</v>
      </c>
      <c r="E225" s="5" t="s">
        <v>1443</v>
      </c>
      <c r="F225" s="5" t="s">
        <v>2786</v>
      </c>
      <c r="G225" s="5">
        <v>42.979931999999998</v>
      </c>
      <c r="H225" s="5">
        <v>-83.972656999999998</v>
      </c>
    </row>
    <row r="226" spans="1:8" ht="15.75" customHeight="1" x14ac:dyDescent="0.25">
      <c r="A226" s="5" t="s">
        <v>2787</v>
      </c>
      <c r="B226" s="5" t="s">
        <v>359</v>
      </c>
      <c r="C226" s="5" t="s">
        <v>2788</v>
      </c>
      <c r="D226" s="5" t="s">
        <v>2789</v>
      </c>
      <c r="E226" s="5" t="s">
        <v>1632</v>
      </c>
      <c r="F226" s="5" t="s">
        <v>2790</v>
      </c>
      <c r="G226" s="5">
        <v>44.854999999999997</v>
      </c>
      <c r="H226" s="5">
        <v>-84.68</v>
      </c>
    </row>
    <row r="227" spans="1:8" ht="15.75" customHeight="1" x14ac:dyDescent="0.25">
      <c r="A227" s="5" t="s">
        <v>2791</v>
      </c>
      <c r="B227" s="5" t="s">
        <v>359</v>
      </c>
      <c r="C227" s="5" t="s">
        <v>2792</v>
      </c>
      <c r="D227" s="5" t="s">
        <v>1655</v>
      </c>
      <c r="E227" s="5" t="s">
        <v>2694</v>
      </c>
      <c r="F227" s="5" t="s">
        <v>2793</v>
      </c>
      <c r="G227" s="5">
        <v>42.220100000000002</v>
      </c>
      <c r="H227" s="5">
        <v>-83.53</v>
      </c>
    </row>
    <row r="228" spans="1:8" ht="15.75" customHeight="1" x14ac:dyDescent="0.25">
      <c r="A228" s="5" t="s">
        <v>2794</v>
      </c>
      <c r="B228" s="5" t="s">
        <v>359</v>
      </c>
      <c r="C228" s="5" t="s">
        <v>2795</v>
      </c>
      <c r="D228" s="5" t="s">
        <v>2796</v>
      </c>
      <c r="E228" s="5" t="s">
        <v>345</v>
      </c>
      <c r="F228" s="5" t="s">
        <v>2797</v>
      </c>
      <c r="G228" s="5">
        <v>41.915550000000003</v>
      </c>
      <c r="H228" s="5">
        <v>-85.691999999999993</v>
      </c>
    </row>
    <row r="229" spans="1:8" ht="15.75" customHeight="1" x14ac:dyDescent="0.25">
      <c r="A229" s="5" t="s">
        <v>2798</v>
      </c>
      <c r="B229" s="5" t="s">
        <v>359</v>
      </c>
      <c r="C229" s="5" t="s">
        <v>2799</v>
      </c>
      <c r="D229" s="5" t="s">
        <v>2800</v>
      </c>
      <c r="E229" s="5" t="s">
        <v>2801</v>
      </c>
      <c r="F229" s="5" t="s">
        <v>2802</v>
      </c>
      <c r="G229" s="5">
        <v>43.896299999999997</v>
      </c>
      <c r="H229" s="5">
        <v>-83.9482</v>
      </c>
    </row>
    <row r="230" spans="1:8" ht="15.75" customHeight="1" x14ac:dyDescent="0.25">
      <c r="A230" s="5" t="s">
        <v>2803</v>
      </c>
      <c r="B230" s="5" t="s">
        <v>359</v>
      </c>
      <c r="C230" s="5" t="s">
        <v>2804</v>
      </c>
      <c r="D230" s="5" t="s">
        <v>2694</v>
      </c>
      <c r="E230" s="5" t="s">
        <v>2694</v>
      </c>
      <c r="F230" s="5" t="s">
        <v>2805</v>
      </c>
      <c r="G230" s="5">
        <v>42.2652</v>
      </c>
      <c r="H230" s="5">
        <v>-83.4315</v>
      </c>
    </row>
    <row r="231" spans="1:8" ht="15.75" customHeight="1" x14ac:dyDescent="0.25">
      <c r="A231" s="5" t="s">
        <v>2806</v>
      </c>
      <c r="B231" s="5" t="s">
        <v>376</v>
      </c>
      <c r="C231" s="5" t="s">
        <v>2807</v>
      </c>
      <c r="D231" s="5" t="s">
        <v>2808</v>
      </c>
      <c r="E231" s="5" t="s">
        <v>2809</v>
      </c>
      <c r="F231" s="5" t="s">
        <v>2810</v>
      </c>
      <c r="G231" s="5">
        <v>46.430500000000002</v>
      </c>
      <c r="H231" s="5">
        <v>-94.068299999999994</v>
      </c>
    </row>
    <row r="232" spans="1:8" ht="15.75" customHeight="1" x14ac:dyDescent="0.25">
      <c r="A232" s="5" t="s">
        <v>2811</v>
      </c>
      <c r="B232" s="5" t="s">
        <v>376</v>
      </c>
      <c r="C232" s="5" t="s">
        <v>2812</v>
      </c>
      <c r="D232" s="5" t="s">
        <v>2813</v>
      </c>
      <c r="E232" s="5" t="s">
        <v>2814</v>
      </c>
      <c r="F232" s="5" t="s">
        <v>2815</v>
      </c>
      <c r="G232" s="5">
        <v>45.846069999999997</v>
      </c>
      <c r="H232" s="5">
        <v>-93.357219999999998</v>
      </c>
    </row>
    <row r="233" spans="1:8" ht="15.75" customHeight="1" x14ac:dyDescent="0.25">
      <c r="A233" s="5" t="s">
        <v>2816</v>
      </c>
      <c r="B233" s="5" t="s">
        <v>376</v>
      </c>
      <c r="C233" s="5" t="s">
        <v>2817</v>
      </c>
      <c r="D233" s="5" t="s">
        <v>2818</v>
      </c>
      <c r="E233" s="5" t="s">
        <v>2819</v>
      </c>
      <c r="F233" s="52">
        <v>55077</v>
      </c>
      <c r="G233" s="5">
        <v>44.779200000000003</v>
      </c>
      <c r="H233" s="5">
        <v>-93.057109999999994</v>
      </c>
    </row>
    <row r="234" spans="1:8" ht="15.75" customHeight="1" x14ac:dyDescent="0.25">
      <c r="A234" s="5" t="s">
        <v>2820</v>
      </c>
      <c r="B234" s="5" t="s">
        <v>376</v>
      </c>
      <c r="C234" s="5" t="s">
        <v>2821</v>
      </c>
      <c r="D234" s="5" t="s">
        <v>2822</v>
      </c>
      <c r="E234" s="5" t="s">
        <v>2823</v>
      </c>
      <c r="F234" s="5" t="s">
        <v>2824</v>
      </c>
      <c r="G234" s="5">
        <v>44.815860000000001</v>
      </c>
      <c r="H234" s="5">
        <v>-94.248369999999994</v>
      </c>
    </row>
    <row r="235" spans="1:8" ht="15.75" customHeight="1" x14ac:dyDescent="0.25">
      <c r="A235" s="5" t="s">
        <v>2825</v>
      </c>
      <c r="B235" s="5" t="s">
        <v>1494</v>
      </c>
      <c r="C235" s="5" t="s">
        <v>2826</v>
      </c>
      <c r="D235" s="5" t="s">
        <v>2827</v>
      </c>
      <c r="E235" s="5" t="s">
        <v>2828</v>
      </c>
      <c r="F235" s="5" t="s">
        <v>2829</v>
      </c>
      <c r="G235" s="5">
        <v>33.528300000000002</v>
      </c>
      <c r="H235" s="5">
        <v>-88.672399999999996</v>
      </c>
    </row>
    <row r="236" spans="1:8" ht="15.75" customHeight="1" x14ac:dyDescent="0.25">
      <c r="A236" s="5" t="s">
        <v>2830</v>
      </c>
      <c r="B236" s="5" t="s">
        <v>1494</v>
      </c>
      <c r="C236" s="5" t="s">
        <v>2831</v>
      </c>
      <c r="D236" s="5" t="s">
        <v>2832</v>
      </c>
      <c r="E236" s="5" t="s">
        <v>2833</v>
      </c>
      <c r="F236" s="5" t="s">
        <v>2834</v>
      </c>
      <c r="G236" s="5">
        <v>34.947699999999998</v>
      </c>
      <c r="H236" s="5">
        <v>-88.937749999999994</v>
      </c>
    </row>
    <row r="237" spans="1:8" ht="15.75" customHeight="1" x14ac:dyDescent="0.25">
      <c r="A237" s="5" t="s">
        <v>2835</v>
      </c>
      <c r="B237" s="5" t="s">
        <v>1494</v>
      </c>
      <c r="C237" s="5" t="s">
        <v>2836</v>
      </c>
      <c r="D237" s="5" t="s">
        <v>2837</v>
      </c>
      <c r="E237" s="5" t="s">
        <v>2737</v>
      </c>
      <c r="F237" s="5" t="s">
        <v>2838</v>
      </c>
      <c r="G237" s="5">
        <v>30.427</v>
      </c>
      <c r="H237" s="5">
        <v>-89.266900000000007</v>
      </c>
    </row>
    <row r="238" spans="1:8" ht="15.75" customHeight="1" x14ac:dyDescent="0.25">
      <c r="A238" s="5" t="s">
        <v>2839</v>
      </c>
      <c r="B238" s="5" t="s">
        <v>1494</v>
      </c>
      <c r="C238" s="5" t="s">
        <v>2840</v>
      </c>
      <c r="D238" s="5" t="s">
        <v>2273</v>
      </c>
      <c r="E238" s="5" t="s">
        <v>2841</v>
      </c>
      <c r="F238" s="5" t="s">
        <v>2842</v>
      </c>
      <c r="G238" s="5">
        <v>33.958500000000001</v>
      </c>
      <c r="H238" s="5">
        <v>-88.992099999999994</v>
      </c>
    </row>
    <row r="239" spans="1:8" ht="15.75" customHeight="1" x14ac:dyDescent="0.25">
      <c r="A239" s="5" t="s">
        <v>2843</v>
      </c>
      <c r="B239" s="5" t="s">
        <v>1494</v>
      </c>
      <c r="C239" s="5" t="s">
        <v>2844</v>
      </c>
      <c r="D239" s="5" t="s">
        <v>2845</v>
      </c>
      <c r="E239" s="5" t="s">
        <v>2845</v>
      </c>
      <c r="F239" s="5" t="s">
        <v>2846</v>
      </c>
      <c r="G239" s="5">
        <v>34.295073000000002</v>
      </c>
      <c r="H239" s="5">
        <v>-89.058312999999998</v>
      </c>
    </row>
    <row r="240" spans="1:8" ht="15.75" customHeight="1" x14ac:dyDescent="0.25">
      <c r="A240" s="5" t="s">
        <v>2847</v>
      </c>
      <c r="B240" s="5" t="s">
        <v>443</v>
      </c>
      <c r="C240" s="5" t="s">
        <v>2848</v>
      </c>
      <c r="D240" s="5" t="s">
        <v>2849</v>
      </c>
      <c r="E240" s="5" t="s">
        <v>2850</v>
      </c>
      <c r="F240" s="5" t="s">
        <v>2851</v>
      </c>
      <c r="G240" s="5">
        <v>37.239800000000002</v>
      </c>
      <c r="H240" s="5">
        <v>-92.458500000000001</v>
      </c>
    </row>
    <row r="241" spans="1:8" ht="15.75" customHeight="1" x14ac:dyDescent="0.25">
      <c r="A241" s="5" t="s">
        <v>2852</v>
      </c>
      <c r="B241" s="5" t="s">
        <v>443</v>
      </c>
      <c r="C241" s="5" t="s">
        <v>2853</v>
      </c>
      <c r="D241" s="5" t="s">
        <v>2854</v>
      </c>
      <c r="E241" s="5" t="s">
        <v>2855</v>
      </c>
      <c r="F241" s="5" t="s">
        <v>2856</v>
      </c>
      <c r="G241" s="5">
        <v>38.743000000000002</v>
      </c>
      <c r="H241" s="5">
        <v>-90.46</v>
      </c>
    </row>
    <row r="242" spans="1:8" ht="15.75" customHeight="1" x14ac:dyDescent="0.25">
      <c r="A242" s="5" t="s">
        <v>2852</v>
      </c>
      <c r="B242" s="5" t="s">
        <v>443</v>
      </c>
      <c r="C242" s="5" t="s">
        <v>2853</v>
      </c>
      <c r="D242" s="5" t="s">
        <v>2854</v>
      </c>
      <c r="E242" s="5" t="s">
        <v>2855</v>
      </c>
      <c r="F242" s="5" t="s">
        <v>2856</v>
      </c>
      <c r="G242" s="5">
        <v>38.743000000000002</v>
      </c>
      <c r="H242" s="5">
        <v>-90.46</v>
      </c>
    </row>
    <row r="243" spans="1:8" ht="15.75" customHeight="1" x14ac:dyDescent="0.25">
      <c r="A243" s="5" t="s">
        <v>2852</v>
      </c>
      <c r="B243" s="5" t="s">
        <v>443</v>
      </c>
      <c r="C243" s="5" t="s">
        <v>2853</v>
      </c>
      <c r="D243" s="5" t="s">
        <v>2854</v>
      </c>
      <c r="E243" s="5" t="s">
        <v>2855</v>
      </c>
      <c r="F243" s="5" t="s">
        <v>2856</v>
      </c>
      <c r="G243" s="5">
        <v>38.743000000000002</v>
      </c>
      <c r="H243" s="5">
        <v>-90.46</v>
      </c>
    </row>
    <row r="244" spans="1:8" ht="15.75" customHeight="1" x14ac:dyDescent="0.25">
      <c r="A244" s="5" t="s">
        <v>2852</v>
      </c>
      <c r="B244" s="5" t="s">
        <v>443</v>
      </c>
      <c r="C244" s="5" t="s">
        <v>2853</v>
      </c>
      <c r="D244" s="5" t="s">
        <v>2854</v>
      </c>
      <c r="E244" s="5" t="s">
        <v>2855</v>
      </c>
      <c r="F244" s="5" t="s">
        <v>2856</v>
      </c>
      <c r="G244" s="5">
        <v>38.743000000000002</v>
      </c>
      <c r="H244" s="5">
        <v>-90.46</v>
      </c>
    </row>
    <row r="245" spans="1:8" ht="15.75" customHeight="1" x14ac:dyDescent="0.25">
      <c r="A245" s="5" t="s">
        <v>2852</v>
      </c>
      <c r="B245" s="5" t="s">
        <v>443</v>
      </c>
      <c r="C245" s="5" t="s">
        <v>2853</v>
      </c>
      <c r="D245" s="5" t="s">
        <v>2854</v>
      </c>
      <c r="E245" s="5" t="s">
        <v>2855</v>
      </c>
      <c r="F245" s="5" t="s">
        <v>2856</v>
      </c>
      <c r="G245" s="5">
        <v>38.743000000000002</v>
      </c>
      <c r="H245" s="5">
        <v>-90.46</v>
      </c>
    </row>
    <row r="246" spans="1:8" ht="15.75" customHeight="1" x14ac:dyDescent="0.25">
      <c r="A246" s="5" t="s">
        <v>2857</v>
      </c>
      <c r="B246" s="5" t="s">
        <v>443</v>
      </c>
      <c r="C246" s="5" t="s">
        <v>2858</v>
      </c>
      <c r="D246" s="5" t="s">
        <v>1472</v>
      </c>
      <c r="E246" s="5" t="s">
        <v>2502</v>
      </c>
      <c r="F246" s="5" t="s">
        <v>2859</v>
      </c>
      <c r="G246" s="5">
        <v>39.014400000000002</v>
      </c>
      <c r="H246" s="5">
        <v>-92.254099999999994</v>
      </c>
    </row>
    <row r="247" spans="1:8" ht="15.75" customHeight="1" x14ac:dyDescent="0.25">
      <c r="A247" s="5" t="s">
        <v>2857</v>
      </c>
      <c r="B247" s="5" t="s">
        <v>443</v>
      </c>
      <c r="C247" s="5" t="s">
        <v>2858</v>
      </c>
      <c r="D247" s="5" t="s">
        <v>1472</v>
      </c>
      <c r="E247" s="5" t="s">
        <v>2502</v>
      </c>
      <c r="F247" s="5" t="s">
        <v>2859</v>
      </c>
      <c r="G247" s="5">
        <v>39.014400000000002</v>
      </c>
      <c r="H247" s="5">
        <v>-92.254099999999994</v>
      </c>
    </row>
    <row r="248" spans="1:8" ht="15.75" customHeight="1" x14ac:dyDescent="0.25">
      <c r="A248" s="5" t="s">
        <v>2860</v>
      </c>
      <c r="B248" s="5" t="s">
        <v>443</v>
      </c>
      <c r="C248" s="5" t="s">
        <v>2861</v>
      </c>
      <c r="D248" s="5" t="s">
        <v>2862</v>
      </c>
      <c r="E248" s="5" t="s">
        <v>530</v>
      </c>
      <c r="F248" s="5" t="s">
        <v>2863</v>
      </c>
      <c r="G248" s="5">
        <v>39.141086999999999</v>
      </c>
      <c r="H248" s="5">
        <v>-94.388471999999993</v>
      </c>
    </row>
    <row r="249" spans="1:8" ht="15.75" customHeight="1" x14ac:dyDescent="0.25">
      <c r="A249" s="5" t="s">
        <v>2860</v>
      </c>
      <c r="B249" s="5" t="s">
        <v>443</v>
      </c>
      <c r="C249" s="5" t="s">
        <v>2861</v>
      </c>
      <c r="D249" s="5" t="s">
        <v>2862</v>
      </c>
      <c r="E249" s="5" t="s">
        <v>530</v>
      </c>
      <c r="F249" s="5" t="s">
        <v>2863</v>
      </c>
      <c r="G249" s="5">
        <v>39.141086999999999</v>
      </c>
      <c r="H249" s="5">
        <v>-94.388471999999993</v>
      </c>
    </row>
    <row r="250" spans="1:8" ht="15.75" customHeight="1" x14ac:dyDescent="0.25">
      <c r="A250" s="5" t="s">
        <v>2864</v>
      </c>
      <c r="B250" s="5" t="s">
        <v>443</v>
      </c>
      <c r="C250" s="5" t="s">
        <v>2865</v>
      </c>
      <c r="D250" s="5" t="s">
        <v>2390</v>
      </c>
      <c r="E250" s="5" t="s">
        <v>2866</v>
      </c>
      <c r="F250" s="5" t="s">
        <v>2867</v>
      </c>
      <c r="G250" s="5">
        <v>38.815899999999999</v>
      </c>
      <c r="H250" s="5">
        <v>-92.014099999999999</v>
      </c>
    </row>
    <row r="251" spans="1:8" ht="15.75" customHeight="1" x14ac:dyDescent="0.25">
      <c r="A251" s="5" t="s">
        <v>2868</v>
      </c>
      <c r="B251" s="5" t="s">
        <v>443</v>
      </c>
      <c r="C251" s="5" t="s">
        <v>2869</v>
      </c>
      <c r="D251" s="5" t="s">
        <v>2870</v>
      </c>
      <c r="E251" s="5" t="s">
        <v>1137</v>
      </c>
      <c r="F251" s="5" t="s">
        <v>2871</v>
      </c>
      <c r="G251" s="5">
        <v>38.171999999999997</v>
      </c>
      <c r="H251" s="5">
        <v>-90.77</v>
      </c>
    </row>
    <row r="252" spans="1:8" ht="15.75" customHeight="1" x14ac:dyDescent="0.25">
      <c r="A252" s="5" t="s">
        <v>2872</v>
      </c>
      <c r="B252" s="5" t="s">
        <v>443</v>
      </c>
      <c r="C252" s="5" t="s">
        <v>2873</v>
      </c>
      <c r="D252" s="5" t="s">
        <v>2874</v>
      </c>
      <c r="E252" s="5" t="s">
        <v>2875</v>
      </c>
      <c r="F252" s="5" t="s">
        <v>2876</v>
      </c>
      <c r="G252" s="5">
        <v>38.543500000000002</v>
      </c>
      <c r="H252" s="5">
        <v>-92.1</v>
      </c>
    </row>
    <row r="253" spans="1:8" ht="15.75" customHeight="1" x14ac:dyDescent="0.25">
      <c r="A253" s="5" t="s">
        <v>2877</v>
      </c>
      <c r="B253" s="5" t="s">
        <v>443</v>
      </c>
      <c r="C253" s="5" t="s">
        <v>2878</v>
      </c>
      <c r="D253" s="5" t="s">
        <v>1325</v>
      </c>
      <c r="E253" s="5" t="s">
        <v>2879</v>
      </c>
      <c r="F253" s="5" t="s">
        <v>2880</v>
      </c>
      <c r="G253" s="5">
        <v>37.546999999999997</v>
      </c>
      <c r="H253" s="5">
        <v>-94.301000000000002</v>
      </c>
    </row>
    <row r="254" spans="1:8" ht="15.75" customHeight="1" x14ac:dyDescent="0.25">
      <c r="A254" s="5" t="s">
        <v>2881</v>
      </c>
      <c r="B254" s="5" t="s">
        <v>443</v>
      </c>
      <c r="C254" s="5" t="s">
        <v>2882</v>
      </c>
      <c r="D254" s="5" t="s">
        <v>1325</v>
      </c>
      <c r="E254" s="5" t="s">
        <v>2879</v>
      </c>
      <c r="F254" s="5" t="s">
        <v>2880</v>
      </c>
      <c r="G254" s="5">
        <v>37.551000000000002</v>
      </c>
      <c r="H254" s="5">
        <v>-94.311000000000007</v>
      </c>
    </row>
    <row r="255" spans="1:8" ht="15.75" customHeight="1" x14ac:dyDescent="0.25">
      <c r="A255" s="5" t="s">
        <v>2883</v>
      </c>
      <c r="B255" s="5" t="s">
        <v>443</v>
      </c>
      <c r="C255" s="5" t="s">
        <v>2884</v>
      </c>
      <c r="D255" s="5" t="s">
        <v>2862</v>
      </c>
      <c r="E255" s="5" t="s">
        <v>530</v>
      </c>
      <c r="F255" s="5" t="s">
        <v>2863</v>
      </c>
      <c r="G255" s="5">
        <v>39.140500000000003</v>
      </c>
      <c r="H255" s="5">
        <v>-94.4</v>
      </c>
    </row>
    <row r="256" spans="1:8" ht="15.75" customHeight="1" x14ac:dyDescent="0.25">
      <c r="A256" s="5" t="s">
        <v>2883</v>
      </c>
      <c r="B256" s="5" t="s">
        <v>443</v>
      </c>
      <c r="C256" s="5" t="s">
        <v>2884</v>
      </c>
      <c r="D256" s="5" t="s">
        <v>2862</v>
      </c>
      <c r="E256" s="5" t="s">
        <v>530</v>
      </c>
      <c r="F256" s="5" t="s">
        <v>2863</v>
      </c>
      <c r="G256" s="5">
        <v>39.140500000000003</v>
      </c>
      <c r="H256" s="5">
        <v>-94.4</v>
      </c>
    </row>
    <row r="257" spans="1:8" ht="15.75" customHeight="1" x14ac:dyDescent="0.25">
      <c r="A257" s="5" t="s">
        <v>2885</v>
      </c>
      <c r="B257" s="5" t="s">
        <v>443</v>
      </c>
      <c r="C257" s="5" t="s">
        <v>2886</v>
      </c>
      <c r="D257" s="5" t="s">
        <v>2887</v>
      </c>
      <c r="E257" s="5" t="s">
        <v>1606</v>
      </c>
      <c r="F257" s="5" t="s">
        <v>2888</v>
      </c>
      <c r="G257" s="5">
        <v>37.384999999999998</v>
      </c>
      <c r="H257" s="5">
        <v>-93.35</v>
      </c>
    </row>
    <row r="258" spans="1:8" ht="15.75" customHeight="1" x14ac:dyDescent="0.25">
      <c r="A258" s="5" t="s">
        <v>2889</v>
      </c>
      <c r="B258" s="5" t="s">
        <v>443</v>
      </c>
      <c r="C258" s="5" t="s">
        <v>2890</v>
      </c>
      <c r="D258" s="5" t="s">
        <v>345</v>
      </c>
      <c r="E258" s="5" t="s">
        <v>2779</v>
      </c>
      <c r="F258" s="5" t="s">
        <v>2891</v>
      </c>
      <c r="G258" s="5">
        <v>39.671399999999998</v>
      </c>
      <c r="H258" s="5">
        <v>-94.772999999999996</v>
      </c>
    </row>
    <row r="259" spans="1:8" ht="15.75" customHeight="1" x14ac:dyDescent="0.25">
      <c r="A259" s="5" t="s">
        <v>2892</v>
      </c>
      <c r="B259" s="5" t="s">
        <v>1506</v>
      </c>
      <c r="C259" s="5" t="s">
        <v>2893</v>
      </c>
      <c r="D259" s="5" t="s">
        <v>2894</v>
      </c>
      <c r="E259" s="5" t="s">
        <v>2895</v>
      </c>
      <c r="F259" s="5" t="s">
        <v>2896</v>
      </c>
      <c r="G259" s="5">
        <v>45.7254</v>
      </c>
      <c r="H259" s="5">
        <v>-108.545</v>
      </c>
    </row>
    <row r="260" spans="1:8" ht="15.75" customHeight="1" x14ac:dyDescent="0.25">
      <c r="A260" s="5" t="s">
        <v>2897</v>
      </c>
      <c r="B260" s="5" t="s">
        <v>1506</v>
      </c>
      <c r="C260" s="5" t="s">
        <v>2898</v>
      </c>
      <c r="D260" s="5" t="s">
        <v>2899</v>
      </c>
      <c r="E260" s="5" t="s">
        <v>2900</v>
      </c>
      <c r="F260" s="5" t="s">
        <v>2901</v>
      </c>
      <c r="G260" s="5">
        <v>48.311700000000002</v>
      </c>
      <c r="H260" s="5">
        <v>-114.34399999999999</v>
      </c>
    </row>
    <row r="261" spans="1:8" ht="15.75" customHeight="1" x14ac:dyDescent="0.25">
      <c r="A261" s="5" t="s">
        <v>2902</v>
      </c>
      <c r="B261" s="5" t="s">
        <v>475</v>
      </c>
      <c r="C261" s="5" t="s">
        <v>2903</v>
      </c>
      <c r="D261" s="5" t="s">
        <v>2082</v>
      </c>
      <c r="E261" s="5" t="s">
        <v>1163</v>
      </c>
      <c r="F261" s="5" t="s">
        <v>2904</v>
      </c>
      <c r="G261" s="5">
        <v>40.9146</v>
      </c>
      <c r="H261" s="5">
        <v>-96.637900000000002</v>
      </c>
    </row>
    <row r="262" spans="1:8" ht="15.75" customHeight="1" x14ac:dyDescent="0.25">
      <c r="A262" s="5" t="s">
        <v>2905</v>
      </c>
      <c r="B262" s="5" t="s">
        <v>475</v>
      </c>
      <c r="C262" s="5" t="s">
        <v>2906</v>
      </c>
      <c r="D262" s="5" t="s">
        <v>2907</v>
      </c>
      <c r="E262" s="5" t="s">
        <v>2543</v>
      </c>
      <c r="F262" s="5" t="s">
        <v>2908</v>
      </c>
      <c r="G262" s="5">
        <v>41.261299999999999</v>
      </c>
      <c r="H262" s="5">
        <v>-97.042299999999997</v>
      </c>
    </row>
    <row r="263" spans="1:8" ht="15.75" customHeight="1" x14ac:dyDescent="0.25">
      <c r="A263" s="5" t="s">
        <v>2909</v>
      </c>
      <c r="B263" s="5" t="s">
        <v>475</v>
      </c>
      <c r="C263" s="5" t="s">
        <v>2910</v>
      </c>
      <c r="D263" s="5" t="s">
        <v>2911</v>
      </c>
      <c r="E263" s="5" t="s">
        <v>2912</v>
      </c>
      <c r="F263" s="5" t="s">
        <v>2913</v>
      </c>
      <c r="G263" s="5">
        <v>41.335700000000003</v>
      </c>
      <c r="H263" s="5">
        <v>-96.110100000000003</v>
      </c>
    </row>
    <row r="264" spans="1:8" ht="15.75" customHeight="1" x14ac:dyDescent="0.25">
      <c r="A264" s="5" t="s">
        <v>2914</v>
      </c>
      <c r="B264" s="5" t="s">
        <v>475</v>
      </c>
      <c r="C264" s="5" t="s">
        <v>2915</v>
      </c>
      <c r="D264" s="5" t="s">
        <v>2916</v>
      </c>
      <c r="E264" s="5" t="s">
        <v>2912</v>
      </c>
      <c r="F264" s="5" t="s">
        <v>2917</v>
      </c>
      <c r="G264" s="5">
        <v>41.384999999999998</v>
      </c>
      <c r="H264" s="5">
        <v>-96.241</v>
      </c>
    </row>
    <row r="265" spans="1:8" ht="15.75" customHeight="1" x14ac:dyDescent="0.25">
      <c r="A265" s="5" t="s">
        <v>2918</v>
      </c>
      <c r="B265" s="5" t="s">
        <v>475</v>
      </c>
      <c r="C265" s="5" t="s">
        <v>2919</v>
      </c>
      <c r="D265" s="5" t="s">
        <v>530</v>
      </c>
      <c r="E265" s="5" t="s">
        <v>2819</v>
      </c>
      <c r="F265" s="5" t="s">
        <v>2920</v>
      </c>
      <c r="G265" s="5">
        <v>42.47269</v>
      </c>
      <c r="H265" s="5">
        <v>-96.614559999999997</v>
      </c>
    </row>
    <row r="266" spans="1:8" ht="15.75" customHeight="1" x14ac:dyDescent="0.25">
      <c r="A266" s="5" t="s">
        <v>2921</v>
      </c>
      <c r="B266" s="5" t="s">
        <v>475</v>
      </c>
      <c r="C266" s="5" t="s">
        <v>2922</v>
      </c>
      <c r="D266" s="5" t="s">
        <v>2923</v>
      </c>
      <c r="E266" s="5" t="s">
        <v>2924</v>
      </c>
      <c r="F266" s="5" t="s">
        <v>2925</v>
      </c>
      <c r="G266" s="5">
        <v>41.099299999999999</v>
      </c>
      <c r="H266" s="5">
        <v>-96.162800000000004</v>
      </c>
    </row>
    <row r="267" spans="1:8" ht="15.75" customHeight="1" x14ac:dyDescent="0.25">
      <c r="A267" s="5" t="s">
        <v>2926</v>
      </c>
      <c r="B267" s="5" t="s">
        <v>2927</v>
      </c>
      <c r="C267" s="5" t="s">
        <v>2928</v>
      </c>
      <c r="D267" s="5" t="s">
        <v>2929</v>
      </c>
      <c r="E267" s="5" t="s">
        <v>1772</v>
      </c>
      <c r="F267" s="5" t="s">
        <v>2930</v>
      </c>
      <c r="G267" s="5">
        <v>36.374000000000002</v>
      </c>
      <c r="H267" s="5">
        <v>-114.86518</v>
      </c>
    </row>
    <row r="268" spans="1:8" ht="15.75" customHeight="1" x14ac:dyDescent="0.25">
      <c r="A268" s="5" t="s">
        <v>2931</v>
      </c>
      <c r="B268" s="5" t="s">
        <v>2927</v>
      </c>
      <c r="C268" s="5" t="s">
        <v>2932</v>
      </c>
      <c r="D268" s="5" t="s">
        <v>2933</v>
      </c>
      <c r="E268" s="5" t="s">
        <v>2934</v>
      </c>
      <c r="F268" s="5" t="s">
        <v>2935</v>
      </c>
      <c r="G268" s="5">
        <v>39.494</v>
      </c>
      <c r="H268" s="5">
        <v>-119.61499999999999</v>
      </c>
    </row>
    <row r="269" spans="1:8" ht="15.75" customHeight="1" x14ac:dyDescent="0.25">
      <c r="A269" s="5" t="s">
        <v>2936</v>
      </c>
      <c r="B269" s="5" t="s">
        <v>1125</v>
      </c>
      <c r="C269" s="5" t="s">
        <v>2937</v>
      </c>
      <c r="D269" s="5" t="s">
        <v>2938</v>
      </c>
      <c r="E269" s="5" t="s">
        <v>1083</v>
      </c>
      <c r="F269" s="5" t="s">
        <v>2939</v>
      </c>
      <c r="G269" s="5">
        <v>42.728000000000002</v>
      </c>
      <c r="H269" s="5">
        <v>-71.518000000000001</v>
      </c>
    </row>
    <row r="270" spans="1:8" ht="15.75" customHeight="1" x14ac:dyDescent="0.25">
      <c r="A270" s="5" t="s">
        <v>2940</v>
      </c>
      <c r="B270" s="5" t="s">
        <v>1125</v>
      </c>
      <c r="C270" s="5" t="s">
        <v>2941</v>
      </c>
      <c r="D270" s="5" t="s">
        <v>2942</v>
      </c>
      <c r="E270" s="5" t="s">
        <v>2943</v>
      </c>
      <c r="F270" s="5" t="s">
        <v>2944</v>
      </c>
      <c r="G270" s="5">
        <v>43.244799999999998</v>
      </c>
      <c r="H270" s="5">
        <v>-70.969499999999996</v>
      </c>
    </row>
    <row r="271" spans="1:8" ht="15.75" customHeight="1" x14ac:dyDescent="0.25">
      <c r="A271" s="5" t="s">
        <v>2945</v>
      </c>
      <c r="B271" s="5" t="s">
        <v>738</v>
      </c>
      <c r="C271" s="5" t="s">
        <v>2946</v>
      </c>
      <c r="D271" s="5" t="s">
        <v>2947</v>
      </c>
      <c r="E271" s="5" t="s">
        <v>2948</v>
      </c>
      <c r="F271" s="5" t="s">
        <v>2949</v>
      </c>
      <c r="G271" s="5">
        <v>40.076000000000001</v>
      </c>
      <c r="H271" s="5">
        <v>-74.760000000000005</v>
      </c>
    </row>
    <row r="272" spans="1:8" ht="15.75" customHeight="1" x14ac:dyDescent="0.25">
      <c r="A272" s="5" t="s">
        <v>2950</v>
      </c>
      <c r="B272" s="5" t="s">
        <v>738</v>
      </c>
      <c r="C272" s="5" t="s">
        <v>2951</v>
      </c>
      <c r="D272" s="5" t="s">
        <v>2952</v>
      </c>
      <c r="E272" s="5" t="s">
        <v>2953</v>
      </c>
      <c r="F272" s="5" t="s">
        <v>2954</v>
      </c>
      <c r="G272" s="5">
        <v>39.229399999999998</v>
      </c>
      <c r="H272" s="5">
        <v>-74.774900000000002</v>
      </c>
    </row>
    <row r="273" spans="1:8" ht="15.75" customHeight="1" x14ac:dyDescent="0.25">
      <c r="A273" s="5" t="s">
        <v>2955</v>
      </c>
      <c r="B273" s="5" t="s">
        <v>738</v>
      </c>
      <c r="C273" s="5" t="s">
        <v>2956</v>
      </c>
      <c r="D273" s="5" t="s">
        <v>2957</v>
      </c>
      <c r="E273" s="5" t="s">
        <v>1114</v>
      </c>
      <c r="F273" s="5" t="s">
        <v>2958</v>
      </c>
      <c r="G273" s="5">
        <v>39.450000000000003</v>
      </c>
      <c r="H273" s="5">
        <v>-75.099599999999995</v>
      </c>
    </row>
    <row r="274" spans="1:8" ht="15.75" customHeight="1" x14ac:dyDescent="0.25">
      <c r="A274" s="5" t="s">
        <v>2959</v>
      </c>
      <c r="B274" s="5" t="s">
        <v>738</v>
      </c>
      <c r="C274" s="5" t="s">
        <v>2960</v>
      </c>
      <c r="D274" s="5" t="s">
        <v>2961</v>
      </c>
      <c r="E274" s="5" t="s">
        <v>2962</v>
      </c>
      <c r="F274" s="5" t="s">
        <v>2963</v>
      </c>
      <c r="G274" s="5">
        <v>40.474167000000001</v>
      </c>
      <c r="H274" s="5">
        <v>-74.394833000000006</v>
      </c>
    </row>
    <row r="275" spans="1:8" ht="15.75" customHeight="1" x14ac:dyDescent="0.25">
      <c r="A275" s="5" t="s">
        <v>2964</v>
      </c>
      <c r="B275" s="5" t="s">
        <v>738</v>
      </c>
      <c r="C275" s="5" t="s">
        <v>2965</v>
      </c>
      <c r="D275" s="5" t="s">
        <v>2966</v>
      </c>
      <c r="E275" s="5" t="s">
        <v>2962</v>
      </c>
      <c r="F275" s="5" t="s">
        <v>2967</v>
      </c>
      <c r="G275" s="5">
        <v>40.489400000000003</v>
      </c>
      <c r="H275" s="5">
        <v>-74.383200000000002</v>
      </c>
    </row>
    <row r="276" spans="1:8" ht="15.75" customHeight="1" x14ac:dyDescent="0.25">
      <c r="A276" s="5" t="s">
        <v>2968</v>
      </c>
      <c r="B276" s="5" t="s">
        <v>738</v>
      </c>
      <c r="C276" s="5" t="s">
        <v>2969</v>
      </c>
      <c r="D276" s="5" t="s">
        <v>2966</v>
      </c>
      <c r="E276" s="5" t="s">
        <v>2962</v>
      </c>
      <c r="F276" s="5"/>
      <c r="G276" s="5">
        <v>40.487695000000002</v>
      </c>
      <c r="H276" s="5">
        <v>-74.359059999999999</v>
      </c>
    </row>
    <row r="277" spans="1:8" ht="15.75" customHeight="1" x14ac:dyDescent="0.25">
      <c r="A277" s="5" t="s">
        <v>2970</v>
      </c>
      <c r="B277" s="5" t="s">
        <v>738</v>
      </c>
      <c r="C277" s="5" t="s">
        <v>2971</v>
      </c>
      <c r="D277" s="5" t="s">
        <v>2961</v>
      </c>
      <c r="E277" s="5" t="s">
        <v>2962</v>
      </c>
      <c r="F277" s="5" t="s">
        <v>2963</v>
      </c>
      <c r="G277" s="5">
        <v>40.468800000000002</v>
      </c>
      <c r="H277" s="5">
        <v>-74.396100000000004</v>
      </c>
    </row>
    <row r="278" spans="1:8" ht="15.75" customHeight="1" x14ac:dyDescent="0.25">
      <c r="A278" s="5" t="s">
        <v>2972</v>
      </c>
      <c r="B278" s="5" t="s">
        <v>738</v>
      </c>
      <c r="C278" s="5" t="s">
        <v>2973</v>
      </c>
      <c r="D278" s="5" t="s">
        <v>2974</v>
      </c>
      <c r="E278" s="5" t="s">
        <v>2975</v>
      </c>
      <c r="F278" s="5" t="s">
        <v>2976</v>
      </c>
      <c r="G278" s="5">
        <v>40.024999999999999</v>
      </c>
      <c r="H278" s="5">
        <v>-74.254999999999995</v>
      </c>
    </row>
    <row r="279" spans="1:8" ht="15.75" customHeight="1" x14ac:dyDescent="0.25">
      <c r="A279" s="5" t="s">
        <v>2977</v>
      </c>
      <c r="B279" s="5" t="s">
        <v>738</v>
      </c>
      <c r="C279" s="5" t="s">
        <v>2978</v>
      </c>
      <c r="D279" s="5" t="s">
        <v>2979</v>
      </c>
      <c r="E279" s="5" t="s">
        <v>1128</v>
      </c>
      <c r="F279" s="5" t="s">
        <v>2980</v>
      </c>
      <c r="G279" s="5">
        <v>39.991</v>
      </c>
      <c r="H279" s="5">
        <v>-75.034199999999998</v>
      </c>
    </row>
    <row r="280" spans="1:8" ht="15.75" customHeight="1" x14ac:dyDescent="0.25">
      <c r="A280" s="5" t="s">
        <v>2981</v>
      </c>
      <c r="B280" s="5" t="s">
        <v>738</v>
      </c>
      <c r="C280" s="5" t="s">
        <v>2982</v>
      </c>
      <c r="D280" s="5" t="s">
        <v>2983</v>
      </c>
      <c r="E280" s="5" t="s">
        <v>2984</v>
      </c>
      <c r="F280" s="5" t="s">
        <v>2985</v>
      </c>
      <c r="G280" s="5">
        <v>39.5869</v>
      </c>
      <c r="H280" s="5">
        <v>-75.378500000000003</v>
      </c>
    </row>
    <row r="281" spans="1:8" ht="15.75" customHeight="1" x14ac:dyDescent="0.25">
      <c r="A281" s="5" t="s">
        <v>2986</v>
      </c>
      <c r="B281" s="5" t="s">
        <v>2987</v>
      </c>
      <c r="C281" s="5" t="s">
        <v>2988</v>
      </c>
      <c r="D281" s="5" t="s">
        <v>2989</v>
      </c>
      <c r="E281" s="5" t="s">
        <v>2990</v>
      </c>
      <c r="F281" s="5" t="s">
        <v>2991</v>
      </c>
      <c r="G281" s="5">
        <v>31.79</v>
      </c>
      <c r="H281" s="5">
        <v>-106.592</v>
      </c>
    </row>
    <row r="282" spans="1:8" ht="15.75" customHeight="1" x14ac:dyDescent="0.25">
      <c r="A282" s="5" t="s">
        <v>2992</v>
      </c>
      <c r="B282" s="5" t="s">
        <v>2987</v>
      </c>
      <c r="C282" s="5" t="s">
        <v>2993</v>
      </c>
      <c r="D282" s="5" t="s">
        <v>2994</v>
      </c>
      <c r="E282" s="5" t="s">
        <v>2995</v>
      </c>
      <c r="F282" s="5" t="s">
        <v>2996</v>
      </c>
      <c r="G282" s="5">
        <v>35.0105</v>
      </c>
      <c r="H282" s="5">
        <v>-106.877</v>
      </c>
    </row>
    <row r="283" spans="1:8" ht="15.75" customHeight="1" x14ac:dyDescent="0.25">
      <c r="A283" s="5" t="s">
        <v>2997</v>
      </c>
      <c r="B283" s="5" t="s">
        <v>545</v>
      </c>
      <c r="C283" s="5" t="s">
        <v>2998</v>
      </c>
      <c r="D283" s="5" t="s">
        <v>1394</v>
      </c>
      <c r="E283" s="5" t="s">
        <v>1966</v>
      </c>
      <c r="F283" s="5" t="s">
        <v>2999</v>
      </c>
      <c r="G283" s="5">
        <v>41.397629999999999</v>
      </c>
      <c r="H283" s="5">
        <v>-74.322329999999994</v>
      </c>
    </row>
    <row r="284" spans="1:8" ht="15.75" customHeight="1" x14ac:dyDescent="0.25">
      <c r="A284" s="5" t="s">
        <v>3000</v>
      </c>
      <c r="B284" s="5" t="s">
        <v>545</v>
      </c>
      <c r="C284" s="5" t="s">
        <v>3001</v>
      </c>
      <c r="D284" s="5" t="s">
        <v>1483</v>
      </c>
      <c r="E284" s="5" t="s">
        <v>1483</v>
      </c>
      <c r="F284" s="5" t="s">
        <v>3002</v>
      </c>
      <c r="G284" s="5">
        <v>42.703600000000002</v>
      </c>
      <c r="H284" s="5">
        <v>-73.846599999999995</v>
      </c>
    </row>
    <row r="285" spans="1:8" ht="15.75" customHeight="1" x14ac:dyDescent="0.25">
      <c r="A285" s="5" t="s">
        <v>3003</v>
      </c>
      <c r="B285" s="5" t="s">
        <v>545</v>
      </c>
      <c r="C285" s="5" t="s">
        <v>3004</v>
      </c>
      <c r="D285" s="5" t="s">
        <v>1515</v>
      </c>
      <c r="E285" s="5" t="s">
        <v>3005</v>
      </c>
      <c r="F285" s="5" t="s">
        <v>3006</v>
      </c>
      <c r="G285" s="5">
        <v>43.452964999999999</v>
      </c>
      <c r="H285" s="5">
        <v>-75.411582999999993</v>
      </c>
    </row>
    <row r="286" spans="1:8" ht="15.75" customHeight="1" x14ac:dyDescent="0.25">
      <c r="A286" s="5" t="s">
        <v>3007</v>
      </c>
      <c r="B286" s="5" t="s">
        <v>545</v>
      </c>
      <c r="C286" s="5" t="s">
        <v>3008</v>
      </c>
      <c r="D286" s="5" t="s">
        <v>3009</v>
      </c>
      <c r="E286" s="5" t="s">
        <v>1143</v>
      </c>
      <c r="F286" s="5" t="s">
        <v>3010</v>
      </c>
      <c r="G286" s="5">
        <v>40.795000000000002</v>
      </c>
      <c r="H286" s="5">
        <v>-72.930999999999997</v>
      </c>
    </row>
    <row r="287" spans="1:8" ht="15.75" customHeight="1" x14ac:dyDescent="0.25">
      <c r="A287" s="5" t="s">
        <v>3011</v>
      </c>
      <c r="B287" s="5" t="s">
        <v>545</v>
      </c>
      <c r="C287" s="5" t="s">
        <v>3012</v>
      </c>
      <c r="D287" s="5" t="s">
        <v>3013</v>
      </c>
      <c r="E287" s="5" t="s">
        <v>3014</v>
      </c>
      <c r="F287" s="5" t="s">
        <v>3015</v>
      </c>
      <c r="G287" s="5">
        <v>42.236800000000002</v>
      </c>
      <c r="H287" s="5">
        <v>-75.983379999999997</v>
      </c>
    </row>
    <row r="288" spans="1:8" ht="15.75" customHeight="1" x14ac:dyDescent="0.25">
      <c r="A288" s="5" t="s">
        <v>3016</v>
      </c>
      <c r="B288" s="5" t="s">
        <v>545</v>
      </c>
      <c r="C288" s="5" t="s">
        <v>3017</v>
      </c>
      <c r="D288" s="5" t="s">
        <v>3018</v>
      </c>
      <c r="E288" s="5" t="s">
        <v>2094</v>
      </c>
      <c r="F288" s="5" t="s">
        <v>3019</v>
      </c>
      <c r="G288" s="5">
        <v>42.582000000000001</v>
      </c>
      <c r="H288" s="5">
        <v>-78.504999999999995</v>
      </c>
    </row>
    <row r="289" spans="1:8" ht="15.75" customHeight="1" x14ac:dyDescent="0.25">
      <c r="A289" s="5" t="s">
        <v>3020</v>
      </c>
      <c r="B289" s="5" t="s">
        <v>545</v>
      </c>
      <c r="C289" s="5" t="s">
        <v>3021</v>
      </c>
      <c r="D289" s="5" t="s">
        <v>3022</v>
      </c>
      <c r="E289" s="5" t="s">
        <v>1568</v>
      </c>
      <c r="F289" s="5" t="s">
        <v>3023</v>
      </c>
      <c r="G289" s="5">
        <v>42.201500000000003</v>
      </c>
      <c r="H289" s="5">
        <v>-79.315600000000003</v>
      </c>
    </row>
    <row r="290" spans="1:8" ht="15.75" customHeight="1" x14ac:dyDescent="0.25">
      <c r="A290" s="5" t="s">
        <v>3024</v>
      </c>
      <c r="B290" s="5" t="s">
        <v>545</v>
      </c>
      <c r="C290" s="5" t="s">
        <v>3025</v>
      </c>
      <c r="D290" s="5" t="s">
        <v>3026</v>
      </c>
      <c r="E290" s="5" t="s">
        <v>109</v>
      </c>
      <c r="F290" s="5" t="s">
        <v>3027</v>
      </c>
      <c r="G290" s="5">
        <v>44.691000000000003</v>
      </c>
      <c r="H290" s="5">
        <v>-73.593999999999994</v>
      </c>
    </row>
    <row r="291" spans="1:8" ht="15.75" customHeight="1" x14ac:dyDescent="0.25">
      <c r="A291" s="5" t="s">
        <v>3028</v>
      </c>
      <c r="B291" s="5" t="s">
        <v>545</v>
      </c>
      <c r="C291" s="5" t="s">
        <v>3029</v>
      </c>
      <c r="D291" s="5" t="s">
        <v>3030</v>
      </c>
      <c r="E291" s="5" t="s">
        <v>1375</v>
      </c>
      <c r="F291" s="5" t="s">
        <v>3031</v>
      </c>
      <c r="G291" s="5">
        <v>43.82</v>
      </c>
      <c r="H291" s="5">
        <v>-75.918000000000006</v>
      </c>
    </row>
    <row r="292" spans="1:8" ht="15.75" customHeight="1" x14ac:dyDescent="0.25">
      <c r="A292" s="5" t="s">
        <v>3032</v>
      </c>
      <c r="B292" s="5" t="s">
        <v>545</v>
      </c>
      <c r="C292" s="5" t="s">
        <v>3033</v>
      </c>
      <c r="D292" s="5" t="s">
        <v>3034</v>
      </c>
      <c r="E292" s="5" t="s">
        <v>1411</v>
      </c>
      <c r="F292" s="5" t="s">
        <v>3035</v>
      </c>
      <c r="G292" s="5">
        <v>44.981499999999997</v>
      </c>
      <c r="H292" s="5">
        <v>-74.332300000000004</v>
      </c>
    </row>
    <row r="293" spans="1:8" ht="15.75" customHeight="1" x14ac:dyDescent="0.25">
      <c r="A293" s="5" t="s">
        <v>3036</v>
      </c>
      <c r="B293" s="5" t="s">
        <v>545</v>
      </c>
      <c r="C293" s="5" t="s">
        <v>3037</v>
      </c>
      <c r="D293" s="5" t="s">
        <v>3038</v>
      </c>
      <c r="E293" s="5" t="s">
        <v>2390</v>
      </c>
      <c r="F293" s="5" t="s">
        <v>3039</v>
      </c>
      <c r="G293" s="5">
        <v>43.012700000000002</v>
      </c>
      <c r="H293" s="5">
        <v>-74.472499999999997</v>
      </c>
    </row>
    <row r="294" spans="1:8" ht="15.75" customHeight="1" x14ac:dyDescent="0.25">
      <c r="A294" s="5" t="s">
        <v>3040</v>
      </c>
      <c r="B294" s="5" t="s">
        <v>545</v>
      </c>
      <c r="C294" s="5" t="s">
        <v>3041</v>
      </c>
      <c r="D294" s="5" t="s">
        <v>3042</v>
      </c>
      <c r="E294" s="5" t="s">
        <v>649</v>
      </c>
      <c r="F294" s="5" t="s">
        <v>3043</v>
      </c>
      <c r="G294" s="5">
        <v>43.086950000000002</v>
      </c>
      <c r="H294" s="5">
        <v>-77.379429999999999</v>
      </c>
    </row>
    <row r="295" spans="1:8" ht="15.75" customHeight="1" x14ac:dyDescent="0.25">
      <c r="A295" s="5" t="s">
        <v>3044</v>
      </c>
      <c r="B295" s="5" t="s">
        <v>545</v>
      </c>
      <c r="C295" s="5" t="s">
        <v>3045</v>
      </c>
      <c r="D295" s="5" t="s">
        <v>3046</v>
      </c>
      <c r="E295" s="5" t="s">
        <v>3047</v>
      </c>
      <c r="F295" s="5" t="s">
        <v>3048</v>
      </c>
      <c r="G295" s="5">
        <v>42.284999999999997</v>
      </c>
      <c r="H295" s="5">
        <v>-78.015000000000001</v>
      </c>
    </row>
    <row r="296" spans="1:8" ht="15.75" customHeight="1" x14ac:dyDescent="0.25">
      <c r="A296" s="5" t="s">
        <v>3049</v>
      </c>
      <c r="B296" s="5" t="s">
        <v>545</v>
      </c>
      <c r="C296" s="5" t="s">
        <v>3050</v>
      </c>
      <c r="D296" s="5" t="s">
        <v>3051</v>
      </c>
      <c r="E296" s="5" t="s">
        <v>256</v>
      </c>
      <c r="F296" s="5" t="s">
        <v>3052</v>
      </c>
      <c r="G296" s="5">
        <v>43.030799999999999</v>
      </c>
      <c r="H296" s="5">
        <v>-75.704499999999996</v>
      </c>
    </row>
    <row r="297" spans="1:8" ht="15.75" customHeight="1" x14ac:dyDescent="0.25">
      <c r="A297" s="5" t="s">
        <v>3053</v>
      </c>
      <c r="B297" s="5" t="s">
        <v>545</v>
      </c>
      <c r="C297" s="5" t="s">
        <v>3054</v>
      </c>
      <c r="D297" s="5" t="s">
        <v>3055</v>
      </c>
      <c r="E297" s="5" t="s">
        <v>649</v>
      </c>
      <c r="F297" s="5" t="s">
        <v>3056</v>
      </c>
      <c r="G297" s="5">
        <v>43.065040000000003</v>
      </c>
      <c r="H297" s="5">
        <v>-77.9328</v>
      </c>
    </row>
    <row r="298" spans="1:8" ht="15.75" customHeight="1" x14ac:dyDescent="0.25">
      <c r="A298" s="5" t="s">
        <v>3057</v>
      </c>
      <c r="B298" s="5" t="s">
        <v>545</v>
      </c>
      <c r="C298" s="5" t="s">
        <v>3058</v>
      </c>
      <c r="D298" s="5" t="s">
        <v>3059</v>
      </c>
      <c r="E298" s="5" t="s">
        <v>1141</v>
      </c>
      <c r="F298" s="5" t="s">
        <v>3060</v>
      </c>
      <c r="G298" s="5">
        <v>43.210707999999997</v>
      </c>
      <c r="H298" s="5">
        <v>-78.978997000000007</v>
      </c>
    </row>
    <row r="299" spans="1:8" ht="15.75" customHeight="1" x14ac:dyDescent="0.25">
      <c r="A299" s="5" t="s">
        <v>3061</v>
      </c>
      <c r="B299" s="5" t="s">
        <v>545</v>
      </c>
      <c r="C299" s="5" t="s">
        <v>3062</v>
      </c>
      <c r="D299" s="5" t="s">
        <v>642</v>
      </c>
      <c r="E299" s="5" t="s">
        <v>1554</v>
      </c>
      <c r="F299" s="5" t="s">
        <v>3063</v>
      </c>
      <c r="G299" s="5">
        <v>42.859099999999998</v>
      </c>
      <c r="H299" s="5">
        <v>-77.080399999999997</v>
      </c>
    </row>
    <row r="300" spans="1:8" ht="15.75" customHeight="1" x14ac:dyDescent="0.25">
      <c r="A300" s="5" t="s">
        <v>3064</v>
      </c>
      <c r="B300" s="5" t="s">
        <v>545</v>
      </c>
      <c r="C300" s="5" t="s">
        <v>3065</v>
      </c>
      <c r="D300" s="5" t="s">
        <v>3066</v>
      </c>
      <c r="E300" s="5" t="s">
        <v>3067</v>
      </c>
      <c r="F300" s="5" t="s">
        <v>3068</v>
      </c>
      <c r="G300" s="5">
        <v>43.09</v>
      </c>
      <c r="H300" s="5">
        <v>-73.743899999999996</v>
      </c>
    </row>
    <row r="301" spans="1:8" ht="15.75" customHeight="1" x14ac:dyDescent="0.25">
      <c r="A301" s="5" t="s">
        <v>3069</v>
      </c>
      <c r="B301" s="5" t="s">
        <v>545</v>
      </c>
      <c r="C301" s="5" t="s">
        <v>3070</v>
      </c>
      <c r="D301" s="5" t="s">
        <v>1781</v>
      </c>
      <c r="E301" s="5" t="s">
        <v>3071</v>
      </c>
      <c r="F301" s="5" t="s">
        <v>3072</v>
      </c>
      <c r="G301" s="5">
        <v>42.917949999999998</v>
      </c>
      <c r="H301" s="5">
        <v>-76.847160000000002</v>
      </c>
    </row>
    <row r="302" spans="1:8" ht="15.75" customHeight="1" x14ac:dyDescent="0.25">
      <c r="A302" s="5" t="s">
        <v>3073</v>
      </c>
      <c r="B302" s="5" t="s">
        <v>545</v>
      </c>
      <c r="C302" s="5" t="s">
        <v>3074</v>
      </c>
      <c r="D302" s="5" t="s">
        <v>3075</v>
      </c>
      <c r="E302" s="5" t="s">
        <v>1483</v>
      </c>
      <c r="F302" s="5" t="s">
        <v>3076</v>
      </c>
      <c r="G302" s="5">
        <v>42.807825000000001</v>
      </c>
      <c r="H302" s="5">
        <v>-73.730981</v>
      </c>
    </row>
    <row r="303" spans="1:8" ht="15.75" customHeight="1" x14ac:dyDescent="0.25">
      <c r="A303" s="5" t="s">
        <v>3077</v>
      </c>
      <c r="B303" s="5" t="s">
        <v>545</v>
      </c>
      <c r="C303" s="5" t="s">
        <v>3078</v>
      </c>
      <c r="D303" s="5" t="s">
        <v>3079</v>
      </c>
      <c r="E303" s="5" t="s">
        <v>281</v>
      </c>
      <c r="F303" s="5" t="s">
        <v>3080</v>
      </c>
      <c r="G303" s="5">
        <v>42.698799999999999</v>
      </c>
      <c r="H303" s="5">
        <v>-73.67</v>
      </c>
    </row>
    <row r="304" spans="1:8" ht="15.75" customHeight="1" x14ac:dyDescent="0.25">
      <c r="A304" s="5" t="s">
        <v>3081</v>
      </c>
      <c r="B304" s="5" t="s">
        <v>455</v>
      </c>
      <c r="C304" s="5" t="s">
        <v>3082</v>
      </c>
      <c r="D304" s="5" t="s">
        <v>3083</v>
      </c>
      <c r="E304" s="5" t="s">
        <v>3084</v>
      </c>
      <c r="F304" s="5" t="s">
        <v>3085</v>
      </c>
      <c r="G304" s="5">
        <v>35.727200000000003</v>
      </c>
      <c r="H304" s="5">
        <v>-82.644000000000005</v>
      </c>
    </row>
    <row r="305" spans="1:8" ht="15.75" customHeight="1" x14ac:dyDescent="0.25">
      <c r="A305" s="5" t="s">
        <v>3086</v>
      </c>
      <c r="B305" s="5" t="s">
        <v>455</v>
      </c>
      <c r="C305" s="5" t="s">
        <v>3087</v>
      </c>
      <c r="D305" s="5" t="s">
        <v>3088</v>
      </c>
      <c r="E305" s="5" t="s">
        <v>3089</v>
      </c>
      <c r="F305" s="5" t="s">
        <v>3090</v>
      </c>
      <c r="G305" s="5">
        <v>35.345700000000001</v>
      </c>
      <c r="H305" s="5">
        <v>-80.682599999999994</v>
      </c>
    </row>
    <row r="306" spans="1:8" ht="15.75" customHeight="1" x14ac:dyDescent="0.25">
      <c r="A306" s="5" t="s">
        <v>3091</v>
      </c>
      <c r="B306" s="5" t="s">
        <v>455</v>
      </c>
      <c r="C306" s="5" t="s">
        <v>3092</v>
      </c>
      <c r="D306" s="5" t="s">
        <v>3093</v>
      </c>
      <c r="E306" s="5" t="s">
        <v>3093</v>
      </c>
      <c r="F306" s="5" t="s">
        <v>3094</v>
      </c>
      <c r="G306" s="5">
        <v>36.026040000000002</v>
      </c>
      <c r="H306" s="5">
        <v>-78.856409999999997</v>
      </c>
    </row>
    <row r="307" spans="1:8" ht="15.75" customHeight="1" x14ac:dyDescent="0.25">
      <c r="A307" s="5" t="s">
        <v>3095</v>
      </c>
      <c r="B307" s="5" t="s">
        <v>455</v>
      </c>
      <c r="C307" s="5" t="s">
        <v>3096</v>
      </c>
      <c r="D307" s="5" t="s">
        <v>3097</v>
      </c>
      <c r="E307" s="5" t="s">
        <v>3098</v>
      </c>
      <c r="F307" s="5" t="s">
        <v>3099</v>
      </c>
      <c r="G307" s="5">
        <v>36.106999999999999</v>
      </c>
      <c r="H307" s="5">
        <v>-79.73</v>
      </c>
    </row>
    <row r="308" spans="1:8" ht="15.75" customHeight="1" x14ac:dyDescent="0.25">
      <c r="A308" s="5" t="s">
        <v>3100</v>
      </c>
      <c r="B308" s="5" t="s">
        <v>455</v>
      </c>
      <c r="C308" s="5" t="s">
        <v>3101</v>
      </c>
      <c r="D308" s="5" t="s">
        <v>3102</v>
      </c>
      <c r="E308" s="5" t="s">
        <v>474</v>
      </c>
      <c r="F308" s="5" t="s">
        <v>3103</v>
      </c>
      <c r="G308" s="5">
        <v>34.2941</v>
      </c>
      <c r="H308" s="5">
        <v>-78.754300000000001</v>
      </c>
    </row>
    <row r="309" spans="1:8" ht="15.75" customHeight="1" x14ac:dyDescent="0.25">
      <c r="A309" s="5" t="s">
        <v>3104</v>
      </c>
      <c r="B309" s="5" t="s">
        <v>455</v>
      </c>
      <c r="C309" s="5" t="s">
        <v>3105</v>
      </c>
      <c r="D309" s="5" t="s">
        <v>3106</v>
      </c>
      <c r="E309" s="5" t="s">
        <v>1114</v>
      </c>
      <c r="F309" s="5" t="s">
        <v>3107</v>
      </c>
      <c r="G309" s="5">
        <v>35.064999999999998</v>
      </c>
      <c r="H309" s="5">
        <v>-78.867999999999995</v>
      </c>
    </row>
    <row r="310" spans="1:8" ht="15.75" customHeight="1" x14ac:dyDescent="0.25">
      <c r="A310" s="5" t="s">
        <v>3108</v>
      </c>
      <c r="B310" s="5" t="s">
        <v>455</v>
      </c>
      <c r="C310" s="5" t="s">
        <v>3109</v>
      </c>
      <c r="D310" s="5" t="s">
        <v>3110</v>
      </c>
      <c r="E310" s="5" t="s">
        <v>3111</v>
      </c>
      <c r="F310" s="5" t="s">
        <v>3112</v>
      </c>
      <c r="G310" s="5">
        <v>35.8324</v>
      </c>
      <c r="H310" s="5">
        <v>-80.175600000000003</v>
      </c>
    </row>
    <row r="311" spans="1:8" ht="15.75" customHeight="1" x14ac:dyDescent="0.25">
      <c r="A311" s="5" t="s">
        <v>3113</v>
      </c>
      <c r="B311" s="5" t="s">
        <v>455</v>
      </c>
      <c r="C311" s="5" t="s">
        <v>3114</v>
      </c>
      <c r="D311" s="5" t="s">
        <v>3115</v>
      </c>
      <c r="E311" s="5" t="s">
        <v>3116</v>
      </c>
      <c r="F311" s="5" t="s">
        <v>3117</v>
      </c>
      <c r="G311" s="5">
        <v>35.822000000000003</v>
      </c>
      <c r="H311" s="5">
        <v>-77.564999999999998</v>
      </c>
    </row>
    <row r="312" spans="1:8" ht="15.75" customHeight="1" x14ac:dyDescent="0.25">
      <c r="A312" s="5" t="s">
        <v>3118</v>
      </c>
      <c r="B312" s="5" t="s">
        <v>455</v>
      </c>
      <c r="C312" s="5" t="s">
        <v>3119</v>
      </c>
      <c r="D312" s="5" t="s">
        <v>3120</v>
      </c>
      <c r="E312" s="5" t="s">
        <v>3121</v>
      </c>
      <c r="F312" s="5" t="s">
        <v>3122</v>
      </c>
      <c r="G312" s="5">
        <v>35.388599999999997</v>
      </c>
      <c r="H312" s="5">
        <v>-81.171800000000005</v>
      </c>
    </row>
    <row r="313" spans="1:8" ht="15.75" customHeight="1" x14ac:dyDescent="0.25">
      <c r="A313" s="5" t="s">
        <v>3123</v>
      </c>
      <c r="B313" s="5" t="s">
        <v>455</v>
      </c>
      <c r="C313" s="5" t="s">
        <v>3124</v>
      </c>
      <c r="D313" s="5" t="s">
        <v>3125</v>
      </c>
      <c r="E313" s="5" t="s">
        <v>3126</v>
      </c>
      <c r="F313" s="5" t="s">
        <v>3127</v>
      </c>
      <c r="G313" s="5">
        <v>36.186900000000001</v>
      </c>
      <c r="H313" s="5">
        <v>-80.280600000000007</v>
      </c>
    </row>
    <row r="314" spans="1:8" ht="15.75" customHeight="1" x14ac:dyDescent="0.25">
      <c r="A314" s="5" t="s">
        <v>3128</v>
      </c>
      <c r="B314" s="5" t="s">
        <v>455</v>
      </c>
      <c r="C314" s="5" t="s">
        <v>3129</v>
      </c>
      <c r="D314" s="5" t="s">
        <v>3130</v>
      </c>
      <c r="E314" s="5" t="s">
        <v>3131</v>
      </c>
      <c r="F314" s="5" t="s">
        <v>3132</v>
      </c>
      <c r="G314" s="5">
        <v>35.776800000000001</v>
      </c>
      <c r="H314" s="5">
        <v>-80.824399999999997</v>
      </c>
    </row>
    <row r="315" spans="1:8" ht="15.75" customHeight="1" x14ac:dyDescent="0.25">
      <c r="A315" s="5" t="s">
        <v>3133</v>
      </c>
      <c r="B315" s="5" t="s">
        <v>455</v>
      </c>
      <c r="C315" s="5"/>
      <c r="D315" s="5" t="s">
        <v>3134</v>
      </c>
      <c r="E315" s="5" t="s">
        <v>530</v>
      </c>
      <c r="F315" s="5" t="s">
        <v>3135</v>
      </c>
      <c r="G315" s="5">
        <v>35.371000000000002</v>
      </c>
      <c r="H315" s="5">
        <v>-83.260999999999996</v>
      </c>
    </row>
    <row r="316" spans="1:8" ht="15.75" customHeight="1" x14ac:dyDescent="0.25">
      <c r="A316" s="5" t="s">
        <v>3136</v>
      </c>
      <c r="B316" s="5" t="s">
        <v>455</v>
      </c>
      <c r="C316" s="5" t="s">
        <v>3137</v>
      </c>
      <c r="D316" s="5" t="s">
        <v>3138</v>
      </c>
      <c r="E316" s="5" t="s">
        <v>1509</v>
      </c>
      <c r="F316" s="5" t="s">
        <v>3139</v>
      </c>
      <c r="G316" s="5">
        <v>35.511699999999998</v>
      </c>
      <c r="H316" s="5">
        <v>-78.429500000000004</v>
      </c>
    </row>
    <row r="317" spans="1:8" ht="15.75" customHeight="1" x14ac:dyDescent="0.25">
      <c r="A317" s="5" t="s">
        <v>3140</v>
      </c>
      <c r="B317" s="5" t="s">
        <v>455</v>
      </c>
      <c r="C317" s="5" t="s">
        <v>3141</v>
      </c>
      <c r="D317" s="5" t="s">
        <v>3079</v>
      </c>
      <c r="E317" s="5" t="s">
        <v>1108</v>
      </c>
      <c r="F317" s="5"/>
      <c r="G317" s="5">
        <v>35.330883</v>
      </c>
      <c r="H317" s="5">
        <v>-79.963403999999997</v>
      </c>
    </row>
    <row r="318" spans="1:8" ht="15.75" customHeight="1" x14ac:dyDescent="0.25">
      <c r="A318" s="5" t="s">
        <v>3142</v>
      </c>
      <c r="B318" s="5" t="s">
        <v>455</v>
      </c>
      <c r="C318" s="5" t="s">
        <v>3143</v>
      </c>
      <c r="D318" s="5" t="s">
        <v>3144</v>
      </c>
      <c r="E318" s="5" t="s">
        <v>3145</v>
      </c>
      <c r="F318" s="5" t="s">
        <v>3146</v>
      </c>
      <c r="G318" s="5">
        <v>35.908000000000001</v>
      </c>
      <c r="H318" s="5">
        <v>-78.58</v>
      </c>
    </row>
    <row r="319" spans="1:8" ht="15.75" customHeight="1" x14ac:dyDescent="0.25">
      <c r="A319" s="5" t="s">
        <v>3147</v>
      </c>
      <c r="B319" s="5" t="s">
        <v>455</v>
      </c>
      <c r="C319" s="5" t="s">
        <v>3148</v>
      </c>
      <c r="D319" s="5" t="s">
        <v>3149</v>
      </c>
      <c r="E319" s="5" t="s">
        <v>3150</v>
      </c>
      <c r="F319" s="5" t="s">
        <v>3151</v>
      </c>
      <c r="G319" s="5">
        <v>34.787199999999999</v>
      </c>
      <c r="H319" s="5">
        <v>-77.530900000000003</v>
      </c>
    </row>
    <row r="320" spans="1:8" ht="15.75" customHeight="1" x14ac:dyDescent="0.25">
      <c r="A320" s="5" t="s">
        <v>3152</v>
      </c>
      <c r="B320" s="5" t="s">
        <v>455</v>
      </c>
      <c r="C320" s="5" t="s">
        <v>3153</v>
      </c>
      <c r="D320" s="5" t="s">
        <v>3154</v>
      </c>
      <c r="E320" s="5" t="s">
        <v>3126</v>
      </c>
      <c r="F320" s="5" t="s">
        <v>3155</v>
      </c>
      <c r="G320" s="5">
        <v>36.194400000000002</v>
      </c>
      <c r="H320" s="5">
        <v>-80.040700000000001</v>
      </c>
    </row>
    <row r="321" spans="1:8" ht="15.75" customHeight="1" x14ac:dyDescent="0.25">
      <c r="A321" s="5" t="s">
        <v>3156</v>
      </c>
      <c r="B321" s="5" t="s">
        <v>455</v>
      </c>
      <c r="C321" s="5" t="s">
        <v>3157</v>
      </c>
      <c r="D321" s="5" t="s">
        <v>3158</v>
      </c>
      <c r="E321" s="5" t="s">
        <v>3159</v>
      </c>
      <c r="F321" s="5" t="s">
        <v>3160</v>
      </c>
      <c r="G321" s="5">
        <v>34.79</v>
      </c>
      <c r="H321" s="5">
        <v>-78.908000000000001</v>
      </c>
    </row>
    <row r="322" spans="1:8" ht="15.75" customHeight="1" x14ac:dyDescent="0.25">
      <c r="A322" s="5" t="s">
        <v>3161</v>
      </c>
      <c r="B322" s="5" t="s">
        <v>455</v>
      </c>
      <c r="C322" s="5" t="s">
        <v>3162</v>
      </c>
      <c r="D322" s="5" t="s">
        <v>3163</v>
      </c>
      <c r="E322" s="5" t="s">
        <v>3164</v>
      </c>
      <c r="F322" s="5" t="s">
        <v>3165</v>
      </c>
      <c r="G322" s="5">
        <v>34.9634</v>
      </c>
      <c r="H322" s="5">
        <v>-78.448599999999999</v>
      </c>
    </row>
    <row r="323" spans="1:8" ht="15.75" customHeight="1" x14ac:dyDescent="0.25">
      <c r="A323" s="5" t="s">
        <v>3166</v>
      </c>
      <c r="B323" s="5" t="s">
        <v>455</v>
      </c>
      <c r="C323" s="5" t="s">
        <v>3167</v>
      </c>
      <c r="D323" s="5" t="s">
        <v>3168</v>
      </c>
      <c r="E323" s="5" t="s">
        <v>3145</v>
      </c>
      <c r="F323" s="5" t="s">
        <v>3169</v>
      </c>
      <c r="G323" s="5">
        <v>35.674999999999997</v>
      </c>
      <c r="H323" s="5">
        <v>-78.849999999999994</v>
      </c>
    </row>
    <row r="324" spans="1:8" ht="15.75" customHeight="1" x14ac:dyDescent="0.25">
      <c r="A324" s="5" t="s">
        <v>3170</v>
      </c>
      <c r="B324" s="5" t="s">
        <v>455</v>
      </c>
      <c r="C324" s="5" t="s">
        <v>3171</v>
      </c>
      <c r="D324" s="5" t="s">
        <v>3172</v>
      </c>
      <c r="E324" s="5" t="s">
        <v>3173</v>
      </c>
      <c r="F324" s="5" t="s">
        <v>3174</v>
      </c>
      <c r="G324" s="5">
        <v>36.441699999999997</v>
      </c>
      <c r="H324" s="5">
        <v>-80.570700000000002</v>
      </c>
    </row>
    <row r="325" spans="1:8" ht="15.75" customHeight="1" x14ac:dyDescent="0.25">
      <c r="A325" s="5" t="s">
        <v>3175</v>
      </c>
      <c r="B325" s="5" t="s">
        <v>455</v>
      </c>
      <c r="C325" s="5" t="s">
        <v>3176</v>
      </c>
      <c r="D325" s="5" t="s">
        <v>3177</v>
      </c>
      <c r="E325" s="5" t="s">
        <v>3178</v>
      </c>
      <c r="F325" s="5" t="s">
        <v>3179</v>
      </c>
      <c r="G325" s="5">
        <v>35.162959999999998</v>
      </c>
      <c r="H325" s="5">
        <v>-77.226119999999995</v>
      </c>
    </row>
    <row r="326" spans="1:8" ht="15.75" customHeight="1" x14ac:dyDescent="0.25">
      <c r="A326" s="5" t="s">
        <v>3180</v>
      </c>
      <c r="B326" s="5" t="s">
        <v>455</v>
      </c>
      <c r="C326" s="5" t="s">
        <v>3181</v>
      </c>
      <c r="D326" s="5" t="s">
        <v>3182</v>
      </c>
      <c r="E326" s="5" t="s">
        <v>1108</v>
      </c>
      <c r="F326" s="5" t="s">
        <v>3183</v>
      </c>
      <c r="G326" s="5">
        <v>35.341500000000003</v>
      </c>
      <c r="H326" s="5">
        <v>-79.960999999999999</v>
      </c>
    </row>
    <row r="327" spans="1:8" ht="15.75" customHeight="1" x14ac:dyDescent="0.25">
      <c r="A327" s="5" t="s">
        <v>3184</v>
      </c>
      <c r="B327" s="5" t="s">
        <v>455</v>
      </c>
      <c r="C327" s="5" t="s">
        <v>3185</v>
      </c>
      <c r="D327" s="5" t="s">
        <v>3186</v>
      </c>
      <c r="E327" s="5" t="s">
        <v>2694</v>
      </c>
      <c r="F327" s="5" t="s">
        <v>3187</v>
      </c>
      <c r="G327" s="5">
        <v>35.290799999999997</v>
      </c>
      <c r="H327" s="5">
        <v>-78.064700000000002</v>
      </c>
    </row>
    <row r="328" spans="1:8" ht="15.75" customHeight="1" x14ac:dyDescent="0.25">
      <c r="A328" s="5" t="s">
        <v>3188</v>
      </c>
      <c r="B328" s="5" t="s">
        <v>459</v>
      </c>
      <c r="C328" s="5" t="s">
        <v>3189</v>
      </c>
      <c r="D328" s="5" t="s">
        <v>3190</v>
      </c>
      <c r="E328" s="5" t="s">
        <v>2430</v>
      </c>
      <c r="F328" s="5" t="s">
        <v>3191</v>
      </c>
      <c r="G328" s="5">
        <v>46.883499999999998</v>
      </c>
      <c r="H328" s="5">
        <v>-96.8613</v>
      </c>
    </row>
    <row r="329" spans="1:8" ht="15.75" customHeight="1" x14ac:dyDescent="0.25">
      <c r="A329" s="5" t="s">
        <v>3192</v>
      </c>
      <c r="B329" s="5" t="s">
        <v>549</v>
      </c>
      <c r="C329" s="5" t="s">
        <v>3193</v>
      </c>
      <c r="D329" s="5" t="s">
        <v>3194</v>
      </c>
      <c r="E329" s="5" t="s">
        <v>3195</v>
      </c>
      <c r="F329" s="5" t="s">
        <v>3196</v>
      </c>
      <c r="G329" s="5">
        <v>40.72</v>
      </c>
      <c r="H329" s="5">
        <v>-81.263999999999996</v>
      </c>
    </row>
    <row r="330" spans="1:8" ht="15.75" customHeight="1" x14ac:dyDescent="0.25">
      <c r="A330" s="5" t="s">
        <v>3197</v>
      </c>
      <c r="B330" s="5" t="s">
        <v>549</v>
      </c>
      <c r="C330" s="5" t="s">
        <v>3198</v>
      </c>
      <c r="D330" s="5" t="s">
        <v>1543</v>
      </c>
      <c r="E330" s="5" t="s">
        <v>1375</v>
      </c>
      <c r="F330" s="5" t="s">
        <v>3199</v>
      </c>
      <c r="G330" s="5">
        <v>40.435000000000002</v>
      </c>
      <c r="H330" s="5">
        <v>-80.91</v>
      </c>
    </row>
    <row r="331" spans="1:8" ht="15.75" customHeight="1" x14ac:dyDescent="0.25">
      <c r="A331" s="5" t="s">
        <v>3200</v>
      </c>
      <c r="B331" s="5" t="s">
        <v>549</v>
      </c>
      <c r="C331" s="5" t="s">
        <v>3201</v>
      </c>
      <c r="D331" s="5" t="s">
        <v>3202</v>
      </c>
      <c r="E331" s="5" t="s">
        <v>3203</v>
      </c>
      <c r="F331" s="5" t="s">
        <v>3204</v>
      </c>
      <c r="G331" s="5">
        <v>41.001629999999999</v>
      </c>
      <c r="H331" s="5">
        <v>-80.519000000000005</v>
      </c>
    </row>
    <row r="332" spans="1:8" ht="15.75" customHeight="1" x14ac:dyDescent="0.25">
      <c r="A332" s="5" t="s">
        <v>3205</v>
      </c>
      <c r="B332" s="5" t="s">
        <v>549</v>
      </c>
      <c r="C332" s="5" t="s">
        <v>3206</v>
      </c>
      <c r="D332" s="5" t="s">
        <v>3207</v>
      </c>
      <c r="E332" s="5" t="s">
        <v>2094</v>
      </c>
      <c r="F332" s="5" t="s">
        <v>3208</v>
      </c>
      <c r="G332" s="5">
        <v>41.344000000000001</v>
      </c>
      <c r="H332" s="5">
        <v>-82.603499999999997</v>
      </c>
    </row>
    <row r="333" spans="1:8" ht="15.75" customHeight="1" x14ac:dyDescent="0.25">
      <c r="A333" s="5" t="s">
        <v>3209</v>
      </c>
      <c r="B333" s="5" t="s">
        <v>549</v>
      </c>
      <c r="C333" s="5" t="s">
        <v>3210</v>
      </c>
      <c r="D333" s="5" t="s">
        <v>3211</v>
      </c>
      <c r="E333" s="5" t="s">
        <v>1411</v>
      </c>
      <c r="F333" s="5" t="s">
        <v>3212</v>
      </c>
      <c r="G333" s="5">
        <v>39.841859999999997</v>
      </c>
      <c r="H333" s="5">
        <v>-83.109039999999993</v>
      </c>
    </row>
    <row r="334" spans="1:8" ht="15.75" customHeight="1" x14ac:dyDescent="0.25">
      <c r="A334" s="5" t="s">
        <v>3213</v>
      </c>
      <c r="B334" s="5" t="s">
        <v>549</v>
      </c>
      <c r="C334" s="5" t="s">
        <v>3214</v>
      </c>
      <c r="D334" s="5" t="s">
        <v>2175</v>
      </c>
      <c r="E334" s="5" t="s">
        <v>3215</v>
      </c>
      <c r="F334" s="5" t="s">
        <v>3216</v>
      </c>
      <c r="G334" s="5">
        <v>41.793892999999997</v>
      </c>
      <c r="H334" s="5">
        <v>-80.905226999999996</v>
      </c>
    </row>
    <row r="335" spans="1:8" ht="15.75" customHeight="1" x14ac:dyDescent="0.25">
      <c r="A335" s="5" t="s">
        <v>3217</v>
      </c>
      <c r="B335" s="5" t="s">
        <v>549</v>
      </c>
      <c r="C335" s="5" t="s">
        <v>3218</v>
      </c>
      <c r="D335" s="5" t="s">
        <v>3219</v>
      </c>
      <c r="E335" s="5" t="s">
        <v>1456</v>
      </c>
      <c r="F335" s="5" t="s">
        <v>3220</v>
      </c>
      <c r="G335" s="5">
        <v>41.112499999999997</v>
      </c>
      <c r="H335" s="5">
        <v>-83.6785</v>
      </c>
    </row>
    <row r="336" spans="1:8" ht="15.75" customHeight="1" x14ac:dyDescent="0.25">
      <c r="A336" s="5" t="s">
        <v>3221</v>
      </c>
      <c r="B336" s="5" t="s">
        <v>549</v>
      </c>
      <c r="C336" s="5" t="s">
        <v>3222</v>
      </c>
      <c r="D336" s="5" t="s">
        <v>3223</v>
      </c>
      <c r="E336" s="5" t="s">
        <v>3224</v>
      </c>
      <c r="F336" s="5" t="s">
        <v>3225</v>
      </c>
      <c r="G336" s="5">
        <v>41.305</v>
      </c>
      <c r="H336" s="5">
        <v>-82.174999999999997</v>
      </c>
    </row>
    <row r="337" spans="1:8" ht="15.75" customHeight="1" x14ac:dyDescent="0.25">
      <c r="A337" s="5" t="s">
        <v>3226</v>
      </c>
      <c r="B337" s="5" t="s">
        <v>549</v>
      </c>
      <c r="C337" s="5" t="s">
        <v>3227</v>
      </c>
      <c r="D337" s="5" t="s">
        <v>3228</v>
      </c>
      <c r="E337" s="5" t="s">
        <v>3203</v>
      </c>
      <c r="F337" s="5" t="s">
        <v>3229</v>
      </c>
      <c r="G337" s="5">
        <v>40.914603</v>
      </c>
      <c r="H337" s="5">
        <v>-80.585632000000004</v>
      </c>
    </row>
    <row r="338" spans="1:8" ht="15.75" customHeight="1" x14ac:dyDescent="0.25">
      <c r="A338" s="5" t="s">
        <v>3230</v>
      </c>
      <c r="B338" s="5" t="s">
        <v>549</v>
      </c>
      <c r="C338" s="5" t="s">
        <v>3231</v>
      </c>
      <c r="D338" s="5" t="s">
        <v>3232</v>
      </c>
      <c r="E338" s="5" t="s">
        <v>3233</v>
      </c>
      <c r="F338" s="5" t="s">
        <v>3234</v>
      </c>
      <c r="G338" s="5">
        <v>40.975859999999997</v>
      </c>
      <c r="H338" s="5">
        <v>-82.487369999999999</v>
      </c>
    </row>
    <row r="339" spans="1:8" ht="15.75" customHeight="1" x14ac:dyDescent="0.25">
      <c r="A339" s="5" t="s">
        <v>3235</v>
      </c>
      <c r="B339" s="5" t="s">
        <v>549</v>
      </c>
      <c r="C339" s="5" t="s">
        <v>3236</v>
      </c>
      <c r="D339" s="5" t="s">
        <v>3237</v>
      </c>
      <c r="E339" s="5" t="s">
        <v>1449</v>
      </c>
      <c r="F339" s="5" t="s">
        <v>3238</v>
      </c>
      <c r="G339" s="5">
        <v>41.524999999999999</v>
      </c>
      <c r="H339" s="5">
        <v>-83.033000000000001</v>
      </c>
    </row>
    <row r="340" spans="1:8" ht="15.75" customHeight="1" x14ac:dyDescent="0.25">
      <c r="A340" s="5" t="s">
        <v>3239</v>
      </c>
      <c r="B340" s="5" t="s">
        <v>549</v>
      </c>
      <c r="C340" s="5" t="s">
        <v>3240</v>
      </c>
      <c r="D340" s="5" t="s">
        <v>2116</v>
      </c>
      <c r="E340" s="5" t="s">
        <v>3241</v>
      </c>
      <c r="F340" s="5" t="s">
        <v>3242</v>
      </c>
      <c r="G340" s="5">
        <v>38.897300000000001</v>
      </c>
      <c r="H340" s="5">
        <v>-83.901799999999994</v>
      </c>
    </row>
    <row r="341" spans="1:8" ht="15.75" customHeight="1" x14ac:dyDescent="0.25">
      <c r="A341" s="5" t="s">
        <v>3243</v>
      </c>
      <c r="B341" s="5" t="s">
        <v>549</v>
      </c>
      <c r="C341" s="5" t="s">
        <v>3244</v>
      </c>
      <c r="D341" s="5" t="s">
        <v>3245</v>
      </c>
      <c r="E341" s="5" t="s">
        <v>1439</v>
      </c>
      <c r="F341" s="5" t="s">
        <v>3246</v>
      </c>
      <c r="G341" s="5">
        <v>39.274500000000003</v>
      </c>
      <c r="H341" s="5">
        <v>-84.598219999999998</v>
      </c>
    </row>
    <row r="342" spans="1:8" ht="15.75" customHeight="1" x14ac:dyDescent="0.25">
      <c r="A342" s="5" t="s">
        <v>3247</v>
      </c>
      <c r="B342" s="5" t="s">
        <v>549</v>
      </c>
      <c r="C342" s="5" t="s">
        <v>3248</v>
      </c>
      <c r="D342" s="5" t="s">
        <v>1624</v>
      </c>
      <c r="E342" s="5" t="s">
        <v>1108</v>
      </c>
      <c r="F342" s="5" t="s">
        <v>3249</v>
      </c>
      <c r="G342" s="5">
        <v>39.715519999999998</v>
      </c>
      <c r="H342" s="5">
        <v>-84.252219999999994</v>
      </c>
    </row>
    <row r="343" spans="1:8" ht="15.75" customHeight="1" x14ac:dyDescent="0.25">
      <c r="A343" s="5" t="s">
        <v>3250</v>
      </c>
      <c r="B343" s="5" t="s">
        <v>549</v>
      </c>
      <c r="C343" s="5" t="s">
        <v>3251</v>
      </c>
      <c r="D343" s="5" t="s">
        <v>3252</v>
      </c>
      <c r="E343" s="5" t="s">
        <v>1548</v>
      </c>
      <c r="F343" s="5" t="s">
        <v>3253</v>
      </c>
      <c r="G343" s="5">
        <v>39.875999999999998</v>
      </c>
      <c r="H343" s="5">
        <v>-82.288499999999999</v>
      </c>
    </row>
    <row r="344" spans="1:8" ht="15.75" customHeight="1" x14ac:dyDescent="0.25">
      <c r="A344" s="5" t="s">
        <v>3254</v>
      </c>
      <c r="B344" s="5" t="s">
        <v>1153</v>
      </c>
      <c r="C344" s="5" t="s">
        <v>3255</v>
      </c>
      <c r="D344" s="5" t="s">
        <v>3256</v>
      </c>
      <c r="E344" s="5" t="s">
        <v>3257</v>
      </c>
      <c r="F344" s="5" t="s">
        <v>3258</v>
      </c>
      <c r="G344" s="5">
        <v>36.158802999999999</v>
      </c>
      <c r="H344" s="5">
        <v>-96.190532000000005</v>
      </c>
    </row>
    <row r="345" spans="1:8" ht="15.75" customHeight="1" x14ac:dyDescent="0.25">
      <c r="A345" s="5" t="s">
        <v>3259</v>
      </c>
      <c r="B345" s="5" t="s">
        <v>1153</v>
      </c>
      <c r="C345" s="5" t="s">
        <v>3260</v>
      </c>
      <c r="D345" s="5" t="s">
        <v>3261</v>
      </c>
      <c r="E345" s="5" t="s">
        <v>3262</v>
      </c>
      <c r="F345" s="5" t="s">
        <v>3263</v>
      </c>
      <c r="G345" s="5">
        <v>35.503729999999997</v>
      </c>
      <c r="H345" s="5">
        <v>-97.415130000000005</v>
      </c>
    </row>
    <row r="346" spans="1:8" ht="15.75" customHeight="1" x14ac:dyDescent="0.25">
      <c r="A346" s="5" t="s">
        <v>3264</v>
      </c>
      <c r="B346" s="5" t="s">
        <v>1153</v>
      </c>
      <c r="C346" s="5" t="s">
        <v>3265</v>
      </c>
      <c r="D346" s="5" t="s">
        <v>3261</v>
      </c>
      <c r="E346" s="5" t="s">
        <v>3262</v>
      </c>
      <c r="F346" s="5" t="s">
        <v>3266</v>
      </c>
      <c r="G346" s="5">
        <v>35.445500000000003</v>
      </c>
      <c r="H346" s="5">
        <v>-97.64</v>
      </c>
    </row>
    <row r="347" spans="1:8" ht="15.75" customHeight="1" x14ac:dyDescent="0.25">
      <c r="A347" s="5" t="s">
        <v>3267</v>
      </c>
      <c r="B347" s="5" t="s">
        <v>1153</v>
      </c>
      <c r="C347" s="5" t="s">
        <v>3268</v>
      </c>
      <c r="D347" s="5" t="s">
        <v>3269</v>
      </c>
      <c r="E347" s="5" t="s">
        <v>2176</v>
      </c>
      <c r="F347" s="5" t="s">
        <v>3270</v>
      </c>
      <c r="G347" s="5">
        <v>35.18</v>
      </c>
      <c r="H347" s="5">
        <v>-96.546000000000006</v>
      </c>
    </row>
    <row r="348" spans="1:8" ht="15.75" customHeight="1" x14ac:dyDescent="0.25">
      <c r="A348" s="5" t="s">
        <v>3271</v>
      </c>
      <c r="B348" s="5" t="s">
        <v>1153</v>
      </c>
      <c r="C348" s="5" t="s">
        <v>3272</v>
      </c>
      <c r="D348" s="5" t="s">
        <v>3261</v>
      </c>
      <c r="E348" s="5" t="s">
        <v>3262</v>
      </c>
      <c r="F348" s="5" t="s">
        <v>3273</v>
      </c>
      <c r="G348" s="5">
        <v>35.397199999999998</v>
      </c>
      <c r="H348" s="5">
        <v>-97.459199999999996</v>
      </c>
    </row>
    <row r="349" spans="1:8" ht="15.75" customHeight="1" x14ac:dyDescent="0.25">
      <c r="A349" s="5" t="s">
        <v>3274</v>
      </c>
      <c r="B349" s="5" t="s">
        <v>1153</v>
      </c>
      <c r="C349" s="5" t="s">
        <v>3275</v>
      </c>
      <c r="D349" s="5" t="s">
        <v>3276</v>
      </c>
      <c r="E349" s="5" t="s">
        <v>3277</v>
      </c>
      <c r="F349" s="5" t="s">
        <v>3278</v>
      </c>
      <c r="G349" s="5">
        <v>34.189100000000003</v>
      </c>
      <c r="H349" s="5">
        <v>-97.038200000000003</v>
      </c>
    </row>
    <row r="350" spans="1:8" ht="15.75" customHeight="1" x14ac:dyDescent="0.25">
      <c r="A350" s="5" t="s">
        <v>3279</v>
      </c>
      <c r="B350" s="5" t="s">
        <v>571</v>
      </c>
      <c r="C350" s="5" t="s">
        <v>3280</v>
      </c>
      <c r="D350" s="5" t="s">
        <v>1504</v>
      </c>
      <c r="E350" s="5" t="s">
        <v>3281</v>
      </c>
      <c r="F350" s="5" t="s">
        <v>3282</v>
      </c>
      <c r="G350" s="5">
        <v>44.699150000000003</v>
      </c>
      <c r="H350" s="5">
        <v>-123.22506</v>
      </c>
    </row>
    <row r="351" spans="1:8" ht="15.75" customHeight="1" x14ac:dyDescent="0.25">
      <c r="A351" s="5" t="s">
        <v>3283</v>
      </c>
      <c r="B351" s="5" t="s">
        <v>571</v>
      </c>
      <c r="C351" s="5" t="s">
        <v>3284</v>
      </c>
      <c r="D351" s="5" t="s">
        <v>3285</v>
      </c>
      <c r="E351" s="5" t="s">
        <v>3286</v>
      </c>
      <c r="F351" s="5" t="s">
        <v>3287</v>
      </c>
      <c r="G351" s="5">
        <v>45.639234000000002</v>
      </c>
      <c r="H351" s="5">
        <v>-120.217237</v>
      </c>
    </row>
    <row r="352" spans="1:8" ht="15.75" customHeight="1" x14ac:dyDescent="0.25">
      <c r="A352" s="5" t="s">
        <v>3288</v>
      </c>
      <c r="B352" s="5" t="s">
        <v>571</v>
      </c>
      <c r="C352" s="5" t="s">
        <v>3289</v>
      </c>
      <c r="D352" s="5" t="s">
        <v>3290</v>
      </c>
      <c r="E352" s="5" t="s">
        <v>530</v>
      </c>
      <c r="F352" s="5" t="s">
        <v>3291</v>
      </c>
      <c r="G352" s="5">
        <v>42.381999999999998</v>
      </c>
      <c r="H352" s="5">
        <v>-122.773</v>
      </c>
    </row>
    <row r="353" spans="1:8" ht="15.75" customHeight="1" x14ac:dyDescent="0.25">
      <c r="A353" s="5" t="s">
        <v>3292</v>
      </c>
      <c r="B353" s="5" t="s">
        <v>571</v>
      </c>
      <c r="C353" s="5" t="s">
        <v>3293</v>
      </c>
      <c r="D353" s="5" t="s">
        <v>570</v>
      </c>
      <c r="E353" s="5" t="s">
        <v>1609</v>
      </c>
      <c r="F353" s="5" t="s">
        <v>3294</v>
      </c>
      <c r="G353" s="5">
        <v>45.744700000000002</v>
      </c>
      <c r="H353" s="5">
        <v>-119.623</v>
      </c>
    </row>
    <row r="354" spans="1:8" ht="15.75" customHeight="1" x14ac:dyDescent="0.25">
      <c r="A354" s="5" t="s">
        <v>3295</v>
      </c>
      <c r="B354" s="5" t="s">
        <v>571</v>
      </c>
      <c r="C354" s="5" t="s">
        <v>3296</v>
      </c>
      <c r="D354" s="5" t="s">
        <v>3297</v>
      </c>
      <c r="E354" s="5" t="s">
        <v>1625</v>
      </c>
      <c r="F354" s="5" t="s">
        <v>3298</v>
      </c>
      <c r="G354" s="5">
        <v>45.161000000000001</v>
      </c>
      <c r="H354" s="5">
        <v>-123.247</v>
      </c>
    </row>
    <row r="355" spans="1:8" ht="15.75" customHeight="1" x14ac:dyDescent="0.25">
      <c r="A355" s="5" t="s">
        <v>3299</v>
      </c>
      <c r="B355" s="5" t="s">
        <v>571</v>
      </c>
      <c r="C355" s="5" t="s">
        <v>3300</v>
      </c>
      <c r="D355" s="5" t="s">
        <v>3301</v>
      </c>
      <c r="E355" s="5" t="s">
        <v>2912</v>
      </c>
      <c r="F355" s="5" t="s">
        <v>3302</v>
      </c>
      <c r="G355" s="5">
        <v>43.185899999999997</v>
      </c>
      <c r="H355" s="5">
        <v>-123.379</v>
      </c>
    </row>
    <row r="356" spans="1:8" ht="15.75" customHeight="1" x14ac:dyDescent="0.25">
      <c r="A356" s="5" t="s">
        <v>3303</v>
      </c>
      <c r="B356" s="5" t="s">
        <v>571</v>
      </c>
      <c r="C356" s="5" t="s">
        <v>3304</v>
      </c>
      <c r="D356" s="5" t="s">
        <v>3305</v>
      </c>
      <c r="E356" s="5" t="s">
        <v>1620</v>
      </c>
      <c r="F356" s="5" t="s">
        <v>3306</v>
      </c>
      <c r="G356" s="5">
        <v>43.979199999999999</v>
      </c>
      <c r="H356" s="5">
        <v>-123.00879999999999</v>
      </c>
    </row>
    <row r="357" spans="1:8" ht="15.75" customHeight="1" x14ac:dyDescent="0.25">
      <c r="A357" s="5" t="s">
        <v>3307</v>
      </c>
      <c r="B357" s="5" t="s">
        <v>575</v>
      </c>
      <c r="C357" s="5" t="s">
        <v>3308</v>
      </c>
      <c r="D357" s="5" t="s">
        <v>1405</v>
      </c>
      <c r="E357" s="5" t="s">
        <v>3309</v>
      </c>
      <c r="F357" s="5" t="s">
        <v>3310</v>
      </c>
      <c r="G357" s="5">
        <v>41.398000000000003</v>
      </c>
      <c r="H357" s="5">
        <v>-75.734999999999999</v>
      </c>
    </row>
    <row r="358" spans="1:8" ht="15.75" customHeight="1" x14ac:dyDescent="0.25">
      <c r="A358" s="5" t="s">
        <v>3311</v>
      </c>
      <c r="B358" s="5" t="s">
        <v>575</v>
      </c>
      <c r="C358" s="5" t="s">
        <v>3312</v>
      </c>
      <c r="D358" s="5" t="s">
        <v>1137</v>
      </c>
      <c r="E358" s="5" t="s">
        <v>1137</v>
      </c>
      <c r="F358" s="5" t="s">
        <v>3313</v>
      </c>
      <c r="G358" s="5">
        <v>40.208300000000001</v>
      </c>
      <c r="H358" s="5">
        <v>-80.264700000000005</v>
      </c>
    </row>
    <row r="359" spans="1:8" ht="15.75" customHeight="1" x14ac:dyDescent="0.25">
      <c r="A359" s="5" t="s">
        <v>3314</v>
      </c>
      <c r="B359" s="5" t="s">
        <v>575</v>
      </c>
      <c r="C359" s="5" t="s">
        <v>3315</v>
      </c>
      <c r="D359" s="5" t="s">
        <v>3316</v>
      </c>
      <c r="E359" s="5" t="s">
        <v>1411</v>
      </c>
      <c r="F359" s="5" t="s">
        <v>3317</v>
      </c>
      <c r="G359" s="5">
        <v>39.97204</v>
      </c>
      <c r="H359" s="5">
        <v>-77.556830000000005</v>
      </c>
    </row>
    <row r="360" spans="1:8" ht="15.75" customHeight="1" x14ac:dyDescent="0.25">
      <c r="A360" s="5" t="s">
        <v>3318</v>
      </c>
      <c r="B360" s="5" t="s">
        <v>575</v>
      </c>
      <c r="C360" s="5" t="s">
        <v>3319</v>
      </c>
      <c r="D360" s="5" t="s">
        <v>3079</v>
      </c>
      <c r="E360" s="5" t="s">
        <v>3320</v>
      </c>
      <c r="F360" s="5" t="s">
        <v>3321</v>
      </c>
      <c r="G360" s="5">
        <v>41.777000000000001</v>
      </c>
      <c r="H360" s="5">
        <v>-76.63</v>
      </c>
    </row>
    <row r="361" spans="1:8" ht="15.75" customHeight="1" x14ac:dyDescent="0.25">
      <c r="A361" s="5" t="s">
        <v>3322</v>
      </c>
      <c r="B361" s="5" t="s">
        <v>575</v>
      </c>
      <c r="C361" s="5" t="s">
        <v>3323</v>
      </c>
      <c r="D361" s="5" t="s">
        <v>3324</v>
      </c>
      <c r="E361" s="5" t="s">
        <v>3325</v>
      </c>
      <c r="F361" s="5" t="s">
        <v>3326</v>
      </c>
      <c r="G361" s="5">
        <v>40.674999999999997</v>
      </c>
      <c r="H361" s="5">
        <v>-76.375</v>
      </c>
    </row>
    <row r="362" spans="1:8" ht="15.75" customHeight="1" x14ac:dyDescent="0.25">
      <c r="A362" s="5" t="s">
        <v>3327</v>
      </c>
      <c r="B362" s="5" t="s">
        <v>575</v>
      </c>
      <c r="C362" s="5" t="s">
        <v>3328</v>
      </c>
      <c r="D362" s="5" t="s">
        <v>3329</v>
      </c>
      <c r="E362" s="5" t="s">
        <v>1667</v>
      </c>
      <c r="F362" s="5" t="s">
        <v>3330</v>
      </c>
      <c r="G362" s="5">
        <v>40.180599999999998</v>
      </c>
      <c r="H362" s="5">
        <v>-75.914400000000001</v>
      </c>
    </row>
    <row r="363" spans="1:8" ht="15.75" customHeight="1" x14ac:dyDescent="0.25">
      <c r="A363" s="5" t="s">
        <v>3331</v>
      </c>
      <c r="B363" s="5" t="s">
        <v>575</v>
      </c>
      <c r="C363" s="5" t="s">
        <v>3332</v>
      </c>
      <c r="D363" s="5" t="s">
        <v>1648</v>
      </c>
      <c r="E363" s="5" t="s">
        <v>1114</v>
      </c>
      <c r="F363" s="5" t="s">
        <v>3333</v>
      </c>
      <c r="G363" s="5">
        <v>40.134399999999999</v>
      </c>
      <c r="H363" s="5">
        <v>-77.503900000000002</v>
      </c>
    </row>
    <row r="364" spans="1:8" ht="15.75" customHeight="1" x14ac:dyDescent="0.25">
      <c r="A364" s="5" t="s">
        <v>3334</v>
      </c>
      <c r="B364" s="5" t="s">
        <v>575</v>
      </c>
      <c r="C364" s="5" t="s">
        <v>3335</v>
      </c>
      <c r="D364" s="5" t="s">
        <v>3336</v>
      </c>
      <c r="E364" s="5" t="s">
        <v>1163</v>
      </c>
      <c r="F364" s="5" t="s">
        <v>3337</v>
      </c>
      <c r="G364" s="5">
        <v>39.955047</v>
      </c>
      <c r="H364" s="5">
        <v>-76.446214999999995</v>
      </c>
    </row>
    <row r="365" spans="1:8" ht="15.75" customHeight="1" x14ac:dyDescent="0.25">
      <c r="A365" s="5" t="s">
        <v>3338</v>
      </c>
      <c r="B365" s="5" t="s">
        <v>575</v>
      </c>
      <c r="C365" s="5" t="s">
        <v>3339</v>
      </c>
      <c r="D365" s="5" t="s">
        <v>3340</v>
      </c>
      <c r="E365" s="5" t="s">
        <v>3341</v>
      </c>
      <c r="F365" s="5" t="s">
        <v>3342</v>
      </c>
      <c r="G365" s="5">
        <v>40.8581</v>
      </c>
      <c r="H365" s="5">
        <v>-75.261899999999997</v>
      </c>
    </row>
    <row r="366" spans="1:8" ht="15.75" customHeight="1" x14ac:dyDescent="0.25">
      <c r="A366" s="5" t="s">
        <v>3343</v>
      </c>
      <c r="B366" s="5" t="s">
        <v>575</v>
      </c>
      <c r="C366" s="5" t="s">
        <v>3344</v>
      </c>
      <c r="D366" s="5" t="s">
        <v>1012</v>
      </c>
      <c r="E366" s="5" t="s">
        <v>1012</v>
      </c>
      <c r="F366" s="5" t="s">
        <v>3345</v>
      </c>
      <c r="G366" s="5">
        <v>40.36401</v>
      </c>
      <c r="H366" s="5">
        <v>-76.494429999999994</v>
      </c>
    </row>
    <row r="367" spans="1:8" ht="15.75" customHeight="1" x14ac:dyDescent="0.25">
      <c r="A367" s="5" t="s">
        <v>3346</v>
      </c>
      <c r="B367" s="5" t="s">
        <v>575</v>
      </c>
      <c r="C367" s="5" t="s">
        <v>3347</v>
      </c>
      <c r="D367" s="5" t="s">
        <v>3348</v>
      </c>
      <c r="E367" s="5" t="s">
        <v>3349</v>
      </c>
      <c r="F367" s="5" t="s">
        <v>3350</v>
      </c>
      <c r="G367" s="5">
        <v>41.295299999999997</v>
      </c>
      <c r="H367" s="5">
        <v>-78.646900000000002</v>
      </c>
    </row>
    <row r="368" spans="1:8" ht="15.75" customHeight="1" x14ac:dyDescent="0.25">
      <c r="A368" s="5" t="s">
        <v>3351</v>
      </c>
      <c r="B368" s="5" t="s">
        <v>575</v>
      </c>
      <c r="C368" s="5" t="s">
        <v>3352</v>
      </c>
      <c r="D368" s="5" t="s">
        <v>3353</v>
      </c>
      <c r="E368" s="5" t="s">
        <v>3354</v>
      </c>
      <c r="F368" s="5" t="s">
        <v>3355</v>
      </c>
      <c r="G368" s="5">
        <v>40.435119999999998</v>
      </c>
      <c r="H368" s="5">
        <v>-80.291250000000005</v>
      </c>
    </row>
    <row r="369" spans="1:8" ht="15.75" customHeight="1" x14ac:dyDescent="0.25">
      <c r="A369" s="5" t="s">
        <v>3356</v>
      </c>
      <c r="B369" s="5" t="s">
        <v>575</v>
      </c>
      <c r="C369" s="5" t="s">
        <v>3357</v>
      </c>
      <c r="D369" s="5" t="s">
        <v>3358</v>
      </c>
      <c r="E369" s="5" t="s">
        <v>1614</v>
      </c>
      <c r="F369" s="5" t="s">
        <v>3359</v>
      </c>
      <c r="G369" s="5">
        <v>40.72</v>
      </c>
      <c r="H369" s="5">
        <v>-80.170299999999997</v>
      </c>
    </row>
    <row r="370" spans="1:8" ht="15.75" customHeight="1" x14ac:dyDescent="0.25">
      <c r="A370" s="5" t="s">
        <v>3360</v>
      </c>
      <c r="B370" s="5" t="s">
        <v>575</v>
      </c>
      <c r="C370" s="5" t="s">
        <v>3361</v>
      </c>
      <c r="D370" s="5" t="s">
        <v>3362</v>
      </c>
      <c r="E370" s="5" t="s">
        <v>3309</v>
      </c>
      <c r="F370" s="5" t="s">
        <v>3363</v>
      </c>
      <c r="G370" s="5">
        <v>41.427</v>
      </c>
      <c r="H370" s="5">
        <v>-75.608000000000004</v>
      </c>
    </row>
    <row r="371" spans="1:8" ht="15.75" customHeight="1" x14ac:dyDescent="0.25">
      <c r="A371" s="5" t="s">
        <v>3364</v>
      </c>
      <c r="B371" s="5" t="s">
        <v>575</v>
      </c>
      <c r="C371" s="5" t="s">
        <v>3365</v>
      </c>
      <c r="D371" s="5" t="s">
        <v>2094</v>
      </c>
      <c r="E371" s="5" t="s">
        <v>2094</v>
      </c>
      <c r="F371" s="5" t="s">
        <v>3366</v>
      </c>
      <c r="G371" s="5">
        <v>42.061900000000001</v>
      </c>
      <c r="H371" s="5">
        <v>-80.017799999999994</v>
      </c>
    </row>
    <row r="372" spans="1:8" ht="15.75" customHeight="1" x14ac:dyDescent="0.25">
      <c r="A372" s="5" t="s">
        <v>3367</v>
      </c>
      <c r="B372" s="5" t="s">
        <v>575</v>
      </c>
      <c r="C372" s="5" t="s">
        <v>3368</v>
      </c>
      <c r="D372" s="5" t="s">
        <v>1690</v>
      </c>
      <c r="E372" s="5" t="s">
        <v>1163</v>
      </c>
      <c r="F372" s="5" t="s">
        <v>3369</v>
      </c>
      <c r="G372" s="5">
        <v>40.106699999999996</v>
      </c>
      <c r="H372" s="5">
        <v>-75.945599999999999</v>
      </c>
    </row>
    <row r="373" spans="1:8" ht="15.75" customHeight="1" x14ac:dyDescent="0.25">
      <c r="A373" s="5" t="s">
        <v>3370</v>
      </c>
      <c r="B373" s="5" t="s">
        <v>575</v>
      </c>
      <c r="C373" s="5" t="s">
        <v>3371</v>
      </c>
      <c r="D373" s="5" t="s">
        <v>3038</v>
      </c>
      <c r="E373" s="5" t="s">
        <v>655</v>
      </c>
      <c r="F373" s="5" t="s">
        <v>3372</v>
      </c>
      <c r="G373" s="5">
        <v>40.432099999999998</v>
      </c>
      <c r="H373" s="5">
        <v>-78.876000000000005</v>
      </c>
    </row>
    <row r="374" spans="1:8" ht="15.75" customHeight="1" x14ac:dyDescent="0.25">
      <c r="A374" s="5" t="s">
        <v>3373</v>
      </c>
      <c r="B374" s="5" t="s">
        <v>575</v>
      </c>
      <c r="C374" s="5" t="s">
        <v>3374</v>
      </c>
      <c r="D374" s="5" t="s">
        <v>1108</v>
      </c>
      <c r="E374" s="5" t="s">
        <v>3375</v>
      </c>
      <c r="F374" s="5" t="s">
        <v>3376</v>
      </c>
      <c r="G374" s="5">
        <v>41.151899999999998</v>
      </c>
      <c r="H374" s="5">
        <v>-76.919399999999996</v>
      </c>
    </row>
    <row r="375" spans="1:8" ht="15.75" customHeight="1" x14ac:dyDescent="0.25">
      <c r="A375" s="5" t="s">
        <v>3377</v>
      </c>
      <c r="B375" s="5" t="s">
        <v>575</v>
      </c>
      <c r="C375" s="5" t="s">
        <v>3378</v>
      </c>
      <c r="D375" s="5" t="s">
        <v>3379</v>
      </c>
      <c r="E375" s="5" t="s">
        <v>3354</v>
      </c>
      <c r="F375" s="5" t="s">
        <v>3380</v>
      </c>
      <c r="G375" s="5">
        <v>40.405000000000001</v>
      </c>
      <c r="H375" s="5">
        <v>-79.790000000000006</v>
      </c>
    </row>
    <row r="376" spans="1:8" ht="15.75" customHeight="1" x14ac:dyDescent="0.25">
      <c r="A376" s="5" t="s">
        <v>3381</v>
      </c>
      <c r="B376" s="5" t="s">
        <v>575</v>
      </c>
      <c r="C376" s="5" t="s">
        <v>3382</v>
      </c>
      <c r="D376" s="5" t="s">
        <v>1643</v>
      </c>
      <c r="E376" s="5" t="s">
        <v>1643</v>
      </c>
      <c r="F376" s="5" t="s">
        <v>3383</v>
      </c>
      <c r="G376" s="5">
        <v>39.971899999999998</v>
      </c>
      <c r="H376" s="5">
        <v>-78.989699999999999</v>
      </c>
    </row>
    <row r="377" spans="1:8" ht="15.75" customHeight="1" x14ac:dyDescent="0.25">
      <c r="A377" s="5" t="s">
        <v>3384</v>
      </c>
      <c r="B377" s="5" t="s">
        <v>575</v>
      </c>
      <c r="C377" s="5" t="s">
        <v>3385</v>
      </c>
      <c r="D377" s="5" t="s">
        <v>3386</v>
      </c>
      <c r="E377" s="5" t="s">
        <v>1411</v>
      </c>
      <c r="F377" s="5" t="s">
        <v>3387</v>
      </c>
      <c r="G377" s="5">
        <v>39.794699999999999</v>
      </c>
      <c r="H377" s="5">
        <v>-77.803299999999993</v>
      </c>
    </row>
    <row r="378" spans="1:8" ht="15.75" customHeight="1" x14ac:dyDescent="0.25">
      <c r="A378" s="5" t="s">
        <v>3388</v>
      </c>
      <c r="B378" s="5" t="s">
        <v>575</v>
      </c>
      <c r="C378" s="5" t="s">
        <v>3389</v>
      </c>
      <c r="D378" s="5" t="s">
        <v>3390</v>
      </c>
      <c r="E378" s="5" t="s">
        <v>3325</v>
      </c>
      <c r="F378" s="5" t="s">
        <v>3391</v>
      </c>
      <c r="G378" s="5">
        <v>40.567540000000001</v>
      </c>
      <c r="H378" s="5">
        <v>-76.405479999999997</v>
      </c>
    </row>
    <row r="379" spans="1:8" ht="15.75" customHeight="1" x14ac:dyDescent="0.25">
      <c r="A379" s="5" t="s">
        <v>3392</v>
      </c>
      <c r="B379" s="5" t="s">
        <v>575</v>
      </c>
      <c r="C379" s="5" t="s">
        <v>3393</v>
      </c>
      <c r="D379" s="5" t="s">
        <v>3394</v>
      </c>
      <c r="E379" s="5" t="s">
        <v>1667</v>
      </c>
      <c r="F379" s="5" t="s">
        <v>3395</v>
      </c>
      <c r="G379" s="5">
        <v>40.273600000000002</v>
      </c>
      <c r="H379" s="5">
        <v>-75.813900000000004</v>
      </c>
    </row>
    <row r="380" spans="1:8" ht="15.75" customHeight="1" x14ac:dyDescent="0.25">
      <c r="A380" s="5" t="s">
        <v>3396</v>
      </c>
      <c r="B380" s="5" t="s">
        <v>575</v>
      </c>
      <c r="C380" s="5" t="s">
        <v>3397</v>
      </c>
      <c r="D380" s="5" t="s">
        <v>3398</v>
      </c>
      <c r="E380" s="5" t="s">
        <v>1629</v>
      </c>
      <c r="F380" s="5" t="s">
        <v>3399</v>
      </c>
      <c r="G380" s="5">
        <v>39.867289999999997</v>
      </c>
      <c r="H380" s="5">
        <v>-75.841149999999999</v>
      </c>
    </row>
    <row r="381" spans="1:8" ht="15.75" customHeight="1" x14ac:dyDescent="0.25">
      <c r="A381" s="5" t="s">
        <v>3400</v>
      </c>
      <c r="B381" s="5" t="s">
        <v>575</v>
      </c>
      <c r="C381" s="5" t="s">
        <v>3401</v>
      </c>
      <c r="D381" s="5" t="s">
        <v>3402</v>
      </c>
      <c r="E381" s="5" t="s">
        <v>2543</v>
      </c>
      <c r="F381" s="5" t="s">
        <v>3403</v>
      </c>
      <c r="G381" s="5">
        <v>40.811700000000002</v>
      </c>
      <c r="H381" s="5">
        <v>-80.078299999999999</v>
      </c>
    </row>
    <row r="382" spans="1:8" ht="15.75" customHeight="1" x14ac:dyDescent="0.25">
      <c r="A382" s="5" t="s">
        <v>3404</v>
      </c>
      <c r="B382" s="5" t="s">
        <v>575</v>
      </c>
      <c r="C382" s="5" t="s">
        <v>3405</v>
      </c>
      <c r="D382" s="5" t="s">
        <v>3406</v>
      </c>
      <c r="E382" s="5" t="s">
        <v>1643</v>
      </c>
      <c r="F382" s="5" t="s">
        <v>3407</v>
      </c>
      <c r="G382" s="5">
        <v>40.12039</v>
      </c>
      <c r="H382" s="5">
        <v>-78.802180000000007</v>
      </c>
    </row>
    <row r="383" spans="1:8" ht="15.75" customHeight="1" x14ac:dyDescent="0.25">
      <c r="A383" s="5" t="s">
        <v>3408</v>
      </c>
      <c r="B383" s="5" t="s">
        <v>575</v>
      </c>
      <c r="C383" s="5" t="s">
        <v>3409</v>
      </c>
      <c r="D383" s="5" t="s">
        <v>3410</v>
      </c>
      <c r="E383" s="5" t="s">
        <v>1643</v>
      </c>
      <c r="F383" s="5" t="s">
        <v>3411</v>
      </c>
      <c r="G383" s="5">
        <v>40.2361</v>
      </c>
      <c r="H383" s="5">
        <v>-78.900000000000006</v>
      </c>
    </row>
    <row r="384" spans="1:8" ht="15.75" customHeight="1" x14ac:dyDescent="0.25">
      <c r="A384" s="5" t="s">
        <v>3412</v>
      </c>
      <c r="B384" s="5" t="s">
        <v>575</v>
      </c>
      <c r="C384" s="5" t="s">
        <v>3413</v>
      </c>
      <c r="D384" s="5" t="s">
        <v>3414</v>
      </c>
      <c r="E384" s="5" t="s">
        <v>1166</v>
      </c>
      <c r="F384" s="5" t="s">
        <v>3415</v>
      </c>
      <c r="G384" s="5">
        <v>40.130000000000003</v>
      </c>
      <c r="H384" s="5">
        <v>-74.805000000000007</v>
      </c>
    </row>
    <row r="385" spans="1:8" ht="15.75" customHeight="1" x14ac:dyDescent="0.25">
      <c r="A385" s="5" t="s">
        <v>3416</v>
      </c>
      <c r="B385" s="5" t="s">
        <v>575</v>
      </c>
      <c r="C385" s="5" t="s">
        <v>3417</v>
      </c>
      <c r="D385" s="5" t="s">
        <v>3418</v>
      </c>
      <c r="E385" s="5" t="s">
        <v>3419</v>
      </c>
      <c r="F385" s="5" t="s">
        <v>3420</v>
      </c>
      <c r="G385" s="5">
        <v>40.388100000000001</v>
      </c>
      <c r="H385" s="5">
        <v>-79.674199999999999</v>
      </c>
    </row>
    <row r="386" spans="1:8" ht="15.75" customHeight="1" x14ac:dyDescent="0.25">
      <c r="A386" s="5" t="s">
        <v>3421</v>
      </c>
      <c r="B386" s="5" t="s">
        <v>575</v>
      </c>
      <c r="C386" s="5" t="s">
        <v>3422</v>
      </c>
      <c r="D386" s="5" t="s">
        <v>3423</v>
      </c>
      <c r="E386" s="5" t="s">
        <v>3419</v>
      </c>
      <c r="F386" s="5" t="s">
        <v>3424</v>
      </c>
      <c r="G386" s="5">
        <v>40.144300000000001</v>
      </c>
      <c r="H386" s="5">
        <v>-79.859300000000005</v>
      </c>
    </row>
    <row r="387" spans="1:8" ht="15.75" customHeight="1" x14ac:dyDescent="0.25">
      <c r="A387" s="5" t="s">
        <v>3425</v>
      </c>
      <c r="B387" s="5" t="s">
        <v>3426</v>
      </c>
      <c r="C387" s="5" t="s">
        <v>3427</v>
      </c>
      <c r="D387" s="5" t="s">
        <v>3428</v>
      </c>
      <c r="E387" s="5" t="s">
        <v>3428</v>
      </c>
      <c r="F387" s="5" t="s">
        <v>3429</v>
      </c>
      <c r="G387" s="5">
        <v>18.465776000000002</v>
      </c>
      <c r="H387" s="5">
        <v>-66.621263999999996</v>
      </c>
    </row>
    <row r="388" spans="1:8" ht="15.75" customHeight="1" x14ac:dyDescent="0.25">
      <c r="A388" s="5" t="s">
        <v>3430</v>
      </c>
      <c r="B388" s="5" t="s">
        <v>3426</v>
      </c>
      <c r="C388" s="5" t="s">
        <v>3431</v>
      </c>
      <c r="D388" s="5" t="s">
        <v>3432</v>
      </c>
      <c r="E388" s="5" t="s">
        <v>3432</v>
      </c>
      <c r="F388" s="5" t="s">
        <v>3433</v>
      </c>
      <c r="G388" s="5">
        <v>18.291343000000001</v>
      </c>
      <c r="H388" s="5">
        <v>-65.679315000000003</v>
      </c>
    </row>
    <row r="389" spans="1:8" ht="15.75" customHeight="1" x14ac:dyDescent="0.25">
      <c r="A389" s="5" t="s">
        <v>3434</v>
      </c>
      <c r="B389" s="5" t="s">
        <v>3426</v>
      </c>
      <c r="C389" s="5" t="s">
        <v>3435</v>
      </c>
      <c r="D389" s="5" t="s">
        <v>3436</v>
      </c>
      <c r="E389" s="5" t="s">
        <v>3436</v>
      </c>
      <c r="F389" s="5" t="s">
        <v>3437</v>
      </c>
      <c r="G389" s="5">
        <v>18.421713</v>
      </c>
      <c r="H389" s="5">
        <v>-66.204524000000006</v>
      </c>
    </row>
    <row r="390" spans="1:8" ht="15.75" customHeight="1" x14ac:dyDescent="0.25">
      <c r="A390" s="5" t="s">
        <v>3438</v>
      </c>
      <c r="B390" s="5" t="s">
        <v>3439</v>
      </c>
      <c r="C390" s="5" t="s">
        <v>3440</v>
      </c>
      <c r="D390" s="5" t="s">
        <v>1509</v>
      </c>
      <c r="E390" s="5" t="s">
        <v>3441</v>
      </c>
      <c r="F390" s="5" t="s">
        <v>3442</v>
      </c>
      <c r="G390" s="5">
        <v>41.804679999999998</v>
      </c>
      <c r="H390" s="5">
        <v>-71.502160000000003</v>
      </c>
    </row>
    <row r="391" spans="1:8" ht="15.75" customHeight="1" x14ac:dyDescent="0.25">
      <c r="A391" s="5" t="s">
        <v>3443</v>
      </c>
      <c r="B391" s="5" t="s">
        <v>3439</v>
      </c>
      <c r="C391" s="5" t="s">
        <v>3444</v>
      </c>
      <c r="D391" s="5" t="s">
        <v>3445</v>
      </c>
      <c r="E391" s="5" t="s">
        <v>3441</v>
      </c>
      <c r="F391" s="5" t="s">
        <v>3446</v>
      </c>
      <c r="G391" s="5">
        <v>41.735700000000001</v>
      </c>
      <c r="H391" s="5">
        <v>-71.461699999999993</v>
      </c>
    </row>
    <row r="392" spans="1:8" ht="15.75" customHeight="1" x14ac:dyDescent="0.25">
      <c r="A392" s="5" t="s">
        <v>3447</v>
      </c>
      <c r="B392" s="5" t="s">
        <v>1694</v>
      </c>
      <c r="C392" s="5" t="s">
        <v>3448</v>
      </c>
      <c r="D392" s="5" t="s">
        <v>3449</v>
      </c>
      <c r="E392" s="5" t="s">
        <v>3450</v>
      </c>
      <c r="F392" s="5" t="s">
        <v>3451</v>
      </c>
      <c r="G392" s="5">
        <v>34.575200000000002</v>
      </c>
      <c r="H392" s="5">
        <v>-82.457999999999998</v>
      </c>
    </row>
    <row r="393" spans="1:8" ht="15.75" customHeight="1" x14ac:dyDescent="0.25">
      <c r="A393" s="5" t="s">
        <v>3452</v>
      </c>
      <c r="B393" s="5" t="s">
        <v>1694</v>
      </c>
      <c r="C393" s="5" t="s">
        <v>3453</v>
      </c>
      <c r="D393" s="5" t="s">
        <v>3454</v>
      </c>
      <c r="E393" s="5" t="s">
        <v>3455</v>
      </c>
      <c r="F393" s="5" t="s">
        <v>3456</v>
      </c>
      <c r="G393" s="5">
        <v>33.1325</v>
      </c>
      <c r="H393" s="5">
        <v>-80.042749999999998</v>
      </c>
    </row>
    <row r="394" spans="1:8" ht="15.75" customHeight="1" x14ac:dyDescent="0.25">
      <c r="A394" s="5" t="s">
        <v>3457</v>
      </c>
      <c r="B394" s="5" t="s">
        <v>1694</v>
      </c>
      <c r="C394" s="5" t="s">
        <v>3458</v>
      </c>
      <c r="D394" s="5" t="s">
        <v>3459</v>
      </c>
      <c r="E394" s="5" t="s">
        <v>561</v>
      </c>
      <c r="F394" s="5" t="s">
        <v>3460</v>
      </c>
      <c r="G394" s="5">
        <v>34.801220000000001</v>
      </c>
      <c r="H394" s="5">
        <v>-82.184700000000007</v>
      </c>
    </row>
    <row r="395" spans="1:8" ht="15.75" customHeight="1" x14ac:dyDescent="0.25">
      <c r="A395" s="5" t="s">
        <v>3461</v>
      </c>
      <c r="B395" s="5" t="s">
        <v>1694</v>
      </c>
      <c r="C395" s="5" t="s">
        <v>3462</v>
      </c>
      <c r="D395" s="5" t="s">
        <v>1183</v>
      </c>
      <c r="E395" s="5" t="s">
        <v>3463</v>
      </c>
      <c r="F395" s="5" t="s">
        <v>3464</v>
      </c>
      <c r="G395" s="5">
        <v>33.815800000000003</v>
      </c>
      <c r="H395" s="5">
        <v>-78.960899999999995</v>
      </c>
    </row>
    <row r="396" spans="1:8" ht="15.75" customHeight="1" x14ac:dyDescent="0.25">
      <c r="A396" s="5" t="s">
        <v>3465</v>
      </c>
      <c r="B396" s="5" t="s">
        <v>1694</v>
      </c>
      <c r="C396" s="5" t="s">
        <v>3466</v>
      </c>
      <c r="D396" s="5" t="s">
        <v>3467</v>
      </c>
      <c r="E396" s="5" t="s">
        <v>3468</v>
      </c>
      <c r="F396" s="5" t="s">
        <v>3469</v>
      </c>
      <c r="G396" s="5">
        <v>33.492800000000003</v>
      </c>
      <c r="H396" s="5">
        <v>-81.841499999999996</v>
      </c>
    </row>
    <row r="397" spans="1:8" ht="15.75" customHeight="1" x14ac:dyDescent="0.25">
      <c r="A397" s="5" t="s">
        <v>3470</v>
      </c>
      <c r="B397" s="5" t="s">
        <v>1694</v>
      </c>
      <c r="C397" s="5" t="s">
        <v>3471</v>
      </c>
      <c r="D397" s="5" t="s">
        <v>3472</v>
      </c>
      <c r="E397" s="5" t="s">
        <v>1090</v>
      </c>
      <c r="F397" s="5" t="s">
        <v>3473</v>
      </c>
      <c r="G397" s="5">
        <v>34.18</v>
      </c>
      <c r="H397" s="5">
        <v>-80.272499999999994</v>
      </c>
    </row>
    <row r="398" spans="1:8" ht="15.75" customHeight="1" x14ac:dyDescent="0.25">
      <c r="A398" s="5" t="s">
        <v>3474</v>
      </c>
      <c r="B398" s="5" t="s">
        <v>1694</v>
      </c>
      <c r="C398" s="5" t="s">
        <v>3475</v>
      </c>
      <c r="D398" s="5" t="s">
        <v>1771</v>
      </c>
      <c r="E398" s="5" t="s">
        <v>1771</v>
      </c>
      <c r="F398" s="5" t="s">
        <v>3476</v>
      </c>
      <c r="G398" s="5">
        <v>33.135913000000002</v>
      </c>
      <c r="H398" s="5">
        <v>-80.396299999999997</v>
      </c>
    </row>
    <row r="399" spans="1:8" ht="15.75" customHeight="1" x14ac:dyDescent="0.25">
      <c r="A399" s="5" t="s">
        <v>3477</v>
      </c>
      <c r="B399" s="5" t="s">
        <v>1694</v>
      </c>
      <c r="C399" s="5" t="s">
        <v>3478</v>
      </c>
      <c r="D399" s="5" t="s">
        <v>3479</v>
      </c>
      <c r="E399" s="5" t="s">
        <v>3480</v>
      </c>
      <c r="F399" s="5" t="s">
        <v>3481</v>
      </c>
      <c r="G399" s="5">
        <v>34.934800000000003</v>
      </c>
      <c r="H399" s="5">
        <v>-82.076099999999997</v>
      </c>
    </row>
    <row r="400" spans="1:8" ht="15.75" customHeight="1" x14ac:dyDescent="0.25">
      <c r="A400" s="5" t="s">
        <v>3482</v>
      </c>
      <c r="B400" s="5" t="s">
        <v>1694</v>
      </c>
      <c r="C400" s="5" t="s">
        <v>3483</v>
      </c>
      <c r="D400" s="5" t="s">
        <v>3484</v>
      </c>
      <c r="E400" s="5" t="s">
        <v>3233</v>
      </c>
      <c r="F400" s="5" t="s">
        <v>3485</v>
      </c>
      <c r="G400" s="5">
        <v>34.104199999999999</v>
      </c>
      <c r="H400" s="5">
        <v>-80.781999999999996</v>
      </c>
    </row>
    <row r="401" spans="1:8" ht="15.75" customHeight="1" x14ac:dyDescent="0.25">
      <c r="A401" s="5" t="s">
        <v>3486</v>
      </c>
      <c r="B401" s="5" t="s">
        <v>1694</v>
      </c>
      <c r="C401" s="5" t="s">
        <v>3487</v>
      </c>
      <c r="D401" s="5" t="s">
        <v>3488</v>
      </c>
      <c r="E401" s="5" t="s">
        <v>1133</v>
      </c>
      <c r="F401" s="5" t="s">
        <v>3489</v>
      </c>
      <c r="G401" s="5">
        <v>34.612499999999997</v>
      </c>
      <c r="H401" s="5">
        <v>-81.820999999999998</v>
      </c>
    </row>
    <row r="402" spans="1:8" ht="15.75" customHeight="1" x14ac:dyDescent="0.25">
      <c r="A402" s="5" t="s">
        <v>3490</v>
      </c>
      <c r="B402" s="5" t="s">
        <v>1694</v>
      </c>
      <c r="C402" s="5" t="s">
        <v>3491</v>
      </c>
      <c r="D402" s="5" t="s">
        <v>3479</v>
      </c>
      <c r="E402" s="5" t="s">
        <v>3480</v>
      </c>
      <c r="F402" s="5" t="s">
        <v>3481</v>
      </c>
      <c r="G402" s="5">
        <v>34.996670000000002</v>
      </c>
      <c r="H402" s="5">
        <v>-82.13861</v>
      </c>
    </row>
    <row r="403" spans="1:8" ht="15.75" customHeight="1" x14ac:dyDescent="0.25">
      <c r="A403" s="5" t="s">
        <v>3492</v>
      </c>
      <c r="B403" s="5" t="s">
        <v>586</v>
      </c>
      <c r="C403" s="5" t="s">
        <v>3493</v>
      </c>
      <c r="D403" s="5" t="s">
        <v>3494</v>
      </c>
      <c r="E403" s="5" t="s">
        <v>3495</v>
      </c>
      <c r="F403" s="5" t="s">
        <v>3496</v>
      </c>
      <c r="G403" s="5">
        <v>44.026000000000003</v>
      </c>
      <c r="H403" s="5">
        <v>-103.19799999999999</v>
      </c>
    </row>
    <row r="404" spans="1:8" ht="15.75" customHeight="1" x14ac:dyDescent="0.25">
      <c r="A404" s="5" t="s">
        <v>3497</v>
      </c>
      <c r="B404" s="5" t="s">
        <v>586</v>
      </c>
      <c r="C404" s="5" t="s">
        <v>3498</v>
      </c>
      <c r="D404" s="5" t="s">
        <v>1069</v>
      </c>
      <c r="E404" s="5" t="s">
        <v>3499</v>
      </c>
      <c r="F404" s="5" t="s">
        <v>3500</v>
      </c>
      <c r="G404" s="5">
        <v>43.500500000000002</v>
      </c>
      <c r="H404" s="5">
        <v>-96.93</v>
      </c>
    </row>
    <row r="405" spans="1:8" ht="15.75" customHeight="1" x14ac:dyDescent="0.25">
      <c r="A405" s="5" t="s">
        <v>3501</v>
      </c>
      <c r="B405" s="5" t="s">
        <v>624</v>
      </c>
      <c r="C405" s="5" t="s">
        <v>3502</v>
      </c>
      <c r="D405" s="5" t="s">
        <v>3503</v>
      </c>
      <c r="E405" s="5" t="s">
        <v>1108</v>
      </c>
      <c r="F405" s="5" t="s">
        <v>3504</v>
      </c>
      <c r="G405" s="5">
        <v>36.538699999999999</v>
      </c>
      <c r="H405" s="5">
        <v>-87.544799999999995</v>
      </c>
    </row>
    <row r="406" spans="1:8" ht="15.75" customHeight="1" x14ac:dyDescent="0.25">
      <c r="A406" s="5" t="s">
        <v>3505</v>
      </c>
      <c r="B406" s="5" t="s">
        <v>624</v>
      </c>
      <c r="C406" s="5" t="s">
        <v>3506</v>
      </c>
      <c r="D406" s="5" t="s">
        <v>3507</v>
      </c>
      <c r="E406" s="5" t="s">
        <v>3508</v>
      </c>
      <c r="F406" s="5" t="s">
        <v>3509</v>
      </c>
      <c r="G406" s="5">
        <v>36.541699999999999</v>
      </c>
      <c r="H406" s="5">
        <v>-82.791700000000006</v>
      </c>
    </row>
    <row r="407" spans="1:8" ht="15.75" customHeight="1" x14ac:dyDescent="0.25">
      <c r="A407" s="5" t="s">
        <v>3510</v>
      </c>
      <c r="B407" s="5" t="s">
        <v>624</v>
      </c>
      <c r="C407" s="5" t="s">
        <v>3511</v>
      </c>
      <c r="D407" s="5" t="s">
        <v>3512</v>
      </c>
      <c r="E407" s="5" t="s">
        <v>3450</v>
      </c>
      <c r="F407" s="5" t="s">
        <v>3513</v>
      </c>
      <c r="G407" s="5">
        <v>36.115000000000002</v>
      </c>
      <c r="H407" s="5">
        <v>-84.037999999999997</v>
      </c>
    </row>
    <row r="408" spans="1:8" ht="15.75" customHeight="1" x14ac:dyDescent="0.25">
      <c r="A408" s="5" t="s">
        <v>3514</v>
      </c>
      <c r="B408" s="5" t="s">
        <v>624</v>
      </c>
      <c r="C408" s="5" t="s">
        <v>3515</v>
      </c>
      <c r="D408" s="5" t="s">
        <v>3516</v>
      </c>
      <c r="E408" s="5" t="s">
        <v>1137</v>
      </c>
      <c r="F408" s="5" t="s">
        <v>3517</v>
      </c>
      <c r="G408" s="5">
        <v>36.3294</v>
      </c>
      <c r="H408" s="5">
        <v>-82.3322</v>
      </c>
    </row>
    <row r="409" spans="1:8" ht="15.75" customHeight="1" x14ac:dyDescent="0.25">
      <c r="A409" s="5" t="s">
        <v>3518</v>
      </c>
      <c r="B409" s="5" t="s">
        <v>624</v>
      </c>
      <c r="C409" s="5" t="s">
        <v>3519</v>
      </c>
      <c r="D409" s="5" t="s">
        <v>1342</v>
      </c>
      <c r="E409" s="5" t="s">
        <v>3520</v>
      </c>
      <c r="F409" s="5" t="s">
        <v>3521</v>
      </c>
      <c r="G409" s="5">
        <v>35.482799999999997</v>
      </c>
      <c r="H409" s="5">
        <v>-84.680999999999997</v>
      </c>
    </row>
    <row r="410" spans="1:8" ht="15.75" customHeight="1" x14ac:dyDescent="0.25">
      <c r="A410" s="5" t="s">
        <v>3522</v>
      </c>
      <c r="B410" s="5" t="s">
        <v>624</v>
      </c>
      <c r="C410" s="5" t="s">
        <v>3523</v>
      </c>
      <c r="D410" s="5" t="s">
        <v>3524</v>
      </c>
      <c r="E410" s="5" t="s">
        <v>3525</v>
      </c>
      <c r="F410" s="5" t="s">
        <v>3526</v>
      </c>
      <c r="G410" s="5">
        <v>35.326999999999998</v>
      </c>
      <c r="H410" s="5">
        <v>-89.944999999999993</v>
      </c>
    </row>
    <row r="411" spans="1:8" ht="15.75" customHeight="1" x14ac:dyDescent="0.25">
      <c r="A411" s="5" t="s">
        <v>3527</v>
      </c>
      <c r="B411" s="5" t="s">
        <v>624</v>
      </c>
      <c r="C411" s="5" t="s">
        <v>3528</v>
      </c>
      <c r="D411" s="5" t="s">
        <v>3529</v>
      </c>
      <c r="E411" s="5" t="s">
        <v>3525</v>
      </c>
      <c r="F411" s="5" t="s">
        <v>3530</v>
      </c>
      <c r="G411" s="5">
        <v>34.998089999999998</v>
      </c>
      <c r="H411" s="5">
        <v>-89.918899999999994</v>
      </c>
    </row>
    <row r="412" spans="1:8" ht="15.75" customHeight="1" x14ac:dyDescent="0.25">
      <c r="A412" s="5" t="s">
        <v>3531</v>
      </c>
      <c r="B412" s="5" t="s">
        <v>624</v>
      </c>
      <c r="C412" s="5" t="s">
        <v>3532</v>
      </c>
      <c r="D412" s="5" t="s">
        <v>1128</v>
      </c>
      <c r="E412" s="5" t="s">
        <v>3281</v>
      </c>
      <c r="F412" s="5" t="s">
        <v>3533</v>
      </c>
      <c r="G412" s="5">
        <v>36.054499999999997</v>
      </c>
      <c r="H412" s="5">
        <v>-88.137500000000003</v>
      </c>
    </row>
    <row r="413" spans="1:8" ht="15.75" customHeight="1" x14ac:dyDescent="0.25">
      <c r="A413" s="5" t="s">
        <v>3534</v>
      </c>
      <c r="B413" s="5" t="s">
        <v>631</v>
      </c>
      <c r="C413" s="5" t="s">
        <v>3535</v>
      </c>
      <c r="D413" s="5" t="s">
        <v>3536</v>
      </c>
      <c r="E413" s="5" t="s">
        <v>3537</v>
      </c>
      <c r="F413" s="5" t="s">
        <v>3538</v>
      </c>
      <c r="G413" s="5">
        <v>33.295431999999998</v>
      </c>
      <c r="H413" s="5">
        <v>-96.518814000000006</v>
      </c>
    </row>
    <row r="414" spans="1:8" ht="15.75" customHeight="1" x14ac:dyDescent="0.25">
      <c r="A414" s="5" t="s">
        <v>3539</v>
      </c>
      <c r="B414" s="5" t="s">
        <v>631</v>
      </c>
      <c r="C414" s="5" t="s">
        <v>3540</v>
      </c>
      <c r="D414" s="5" t="s">
        <v>3541</v>
      </c>
      <c r="E414" s="5" t="s">
        <v>3542</v>
      </c>
      <c r="F414" s="5" t="s">
        <v>3543</v>
      </c>
      <c r="G414" s="5">
        <v>32.799999999999997</v>
      </c>
      <c r="H414" s="5">
        <v>-97.108333999999999</v>
      </c>
    </row>
    <row r="415" spans="1:8" ht="15.75" customHeight="1" x14ac:dyDescent="0.25">
      <c r="A415" s="5" t="s">
        <v>3544</v>
      </c>
      <c r="B415" s="5" t="s">
        <v>631</v>
      </c>
      <c r="C415" s="5" t="s">
        <v>3545</v>
      </c>
      <c r="D415" s="5" t="s">
        <v>3546</v>
      </c>
      <c r="E415" s="5" t="s">
        <v>1480</v>
      </c>
      <c r="F415" s="5" t="s">
        <v>3547</v>
      </c>
      <c r="G415" s="5">
        <v>29.958334000000001</v>
      </c>
      <c r="H415" s="5">
        <v>-95.238333999999995</v>
      </c>
    </row>
    <row r="416" spans="1:8" ht="15.75" customHeight="1" x14ac:dyDescent="0.25">
      <c r="A416" s="5" t="s">
        <v>3548</v>
      </c>
      <c r="B416" s="5" t="s">
        <v>631</v>
      </c>
      <c r="C416" s="5" t="s">
        <v>3549</v>
      </c>
      <c r="D416" s="5" t="s">
        <v>3550</v>
      </c>
      <c r="E416" s="5" t="s">
        <v>3551</v>
      </c>
      <c r="F416" s="5" t="s">
        <v>3552</v>
      </c>
      <c r="G416" s="5">
        <v>30.345220000000001</v>
      </c>
      <c r="H416" s="5">
        <v>-97.613950000000003</v>
      </c>
    </row>
    <row r="417" spans="1:8" ht="15.75" customHeight="1" x14ac:dyDescent="0.25">
      <c r="A417" s="5" t="s">
        <v>3553</v>
      </c>
      <c r="B417" s="5" t="s">
        <v>631</v>
      </c>
      <c r="C417" s="5" t="s">
        <v>3554</v>
      </c>
      <c r="D417" s="5" t="s">
        <v>1205</v>
      </c>
      <c r="E417" s="5" t="s">
        <v>3555</v>
      </c>
      <c r="F417" s="5" t="s">
        <v>3556</v>
      </c>
      <c r="G417" s="5">
        <v>29.555900000000001</v>
      </c>
      <c r="H417" s="5">
        <v>-95.441900000000004</v>
      </c>
    </row>
    <row r="418" spans="1:8" ht="15.75" customHeight="1" x14ac:dyDescent="0.25">
      <c r="A418" s="5" t="s">
        <v>3557</v>
      </c>
      <c r="B418" s="5" t="s">
        <v>631</v>
      </c>
      <c r="C418" s="5" t="s">
        <v>3558</v>
      </c>
      <c r="D418" s="5" t="s">
        <v>3559</v>
      </c>
      <c r="E418" s="5" t="s">
        <v>3560</v>
      </c>
      <c r="F418" s="5" t="s">
        <v>3561</v>
      </c>
      <c r="G418" s="5">
        <v>33.029167000000001</v>
      </c>
      <c r="H418" s="5">
        <v>-96.950999999999993</v>
      </c>
    </row>
    <row r="419" spans="1:8" ht="15.75" customHeight="1" x14ac:dyDescent="0.25">
      <c r="A419" s="5" t="s">
        <v>3562</v>
      </c>
      <c r="B419" s="5" t="s">
        <v>631</v>
      </c>
      <c r="C419" s="5" t="s">
        <v>3563</v>
      </c>
      <c r="D419" s="5" t="s">
        <v>3564</v>
      </c>
      <c r="E419" s="5" t="s">
        <v>3120</v>
      </c>
      <c r="F419" s="5" t="s">
        <v>3565</v>
      </c>
      <c r="G419" s="5">
        <v>32.959000000000003</v>
      </c>
      <c r="H419" s="5">
        <v>-96.543000000000006</v>
      </c>
    </row>
    <row r="420" spans="1:8" ht="15.75" customHeight="1" x14ac:dyDescent="0.25">
      <c r="A420" s="5" t="s">
        <v>3566</v>
      </c>
      <c r="B420" s="5" t="s">
        <v>631</v>
      </c>
      <c r="C420" s="5" t="s">
        <v>3567</v>
      </c>
      <c r="D420" s="5" t="s">
        <v>3568</v>
      </c>
      <c r="E420" s="5" t="s">
        <v>3569</v>
      </c>
      <c r="F420" s="5" t="s">
        <v>3570</v>
      </c>
      <c r="G420" s="5">
        <v>26.397651</v>
      </c>
      <c r="H420" s="5">
        <v>-98.125471000000005</v>
      </c>
    </row>
    <row r="421" spans="1:8" ht="15.75" customHeight="1" x14ac:dyDescent="0.25">
      <c r="A421" s="5" t="s">
        <v>3571</v>
      </c>
      <c r="B421" s="5" t="s">
        <v>631</v>
      </c>
      <c r="C421" s="5" t="s">
        <v>3572</v>
      </c>
      <c r="D421" s="5" t="s">
        <v>2308</v>
      </c>
      <c r="E421" s="5" t="s">
        <v>3573</v>
      </c>
      <c r="F421" s="5" t="s">
        <v>3574</v>
      </c>
      <c r="G421" s="5">
        <v>28.6934</v>
      </c>
      <c r="H421" s="5">
        <v>-96.906700000000001</v>
      </c>
    </row>
    <row r="422" spans="1:8" ht="15.75" customHeight="1" x14ac:dyDescent="0.25">
      <c r="A422" s="5" t="s">
        <v>3575</v>
      </c>
      <c r="B422" s="5" t="s">
        <v>631</v>
      </c>
      <c r="C422" s="5" t="s">
        <v>3576</v>
      </c>
      <c r="D422" s="5" t="s">
        <v>3577</v>
      </c>
      <c r="E422" s="5" t="s">
        <v>3578</v>
      </c>
      <c r="F422" s="5" t="s">
        <v>3579</v>
      </c>
      <c r="G422" s="5">
        <v>29.424167000000001</v>
      </c>
      <c r="H422" s="5">
        <v>-95.190833999999995</v>
      </c>
    </row>
    <row r="423" spans="1:8" ht="15.75" customHeight="1" x14ac:dyDescent="0.25">
      <c r="A423" s="5" t="s">
        <v>3580</v>
      </c>
      <c r="B423" s="5" t="s">
        <v>631</v>
      </c>
      <c r="C423" s="5" t="s">
        <v>3581</v>
      </c>
      <c r="D423" s="5" t="s">
        <v>3582</v>
      </c>
      <c r="E423" s="5" t="s">
        <v>3583</v>
      </c>
      <c r="F423" s="5" t="s">
        <v>3584</v>
      </c>
      <c r="G423" s="5">
        <v>29.350079999999998</v>
      </c>
      <c r="H423" s="5">
        <v>-98.64631</v>
      </c>
    </row>
    <row r="424" spans="1:8" ht="15.75" customHeight="1" x14ac:dyDescent="0.25">
      <c r="A424" s="5" t="s">
        <v>3585</v>
      </c>
      <c r="B424" s="5" t="s">
        <v>631</v>
      </c>
      <c r="C424" s="5" t="s">
        <v>3586</v>
      </c>
      <c r="D424" s="5" t="s">
        <v>3559</v>
      </c>
      <c r="E424" s="5" t="s">
        <v>3560</v>
      </c>
      <c r="F424" s="5" t="s">
        <v>3587</v>
      </c>
      <c r="G424" s="5">
        <v>33.016150000000003</v>
      </c>
      <c r="H424" s="5">
        <v>-96.963160000000002</v>
      </c>
    </row>
    <row r="425" spans="1:8" ht="15.75" customHeight="1" x14ac:dyDescent="0.25">
      <c r="A425" s="5" t="s">
        <v>3588</v>
      </c>
      <c r="B425" s="5" t="s">
        <v>631</v>
      </c>
      <c r="C425" s="5" t="s">
        <v>3589</v>
      </c>
      <c r="D425" s="5" t="s">
        <v>3590</v>
      </c>
      <c r="E425" s="5" t="s">
        <v>3555</v>
      </c>
      <c r="F425" s="5" t="s">
        <v>3591</v>
      </c>
      <c r="G425" s="5">
        <v>29.3965</v>
      </c>
      <c r="H425" s="5">
        <v>-95.725899999999996</v>
      </c>
    </row>
    <row r="426" spans="1:8" ht="15.75" customHeight="1" x14ac:dyDescent="0.25">
      <c r="A426" s="5" t="s">
        <v>3592</v>
      </c>
      <c r="B426" s="5" t="s">
        <v>631</v>
      </c>
      <c r="C426" s="5" t="s">
        <v>3593</v>
      </c>
      <c r="D426" s="5" t="s">
        <v>3594</v>
      </c>
      <c r="E426" s="5" t="s">
        <v>3578</v>
      </c>
      <c r="F426" s="5" t="s">
        <v>3595</v>
      </c>
      <c r="G426" s="5">
        <v>29.388100000000001</v>
      </c>
      <c r="H426" s="5">
        <v>-95.055899999999994</v>
      </c>
    </row>
    <row r="427" spans="1:8" ht="15.75" customHeight="1" x14ac:dyDescent="0.25">
      <c r="A427" s="5" t="s">
        <v>3596</v>
      </c>
      <c r="B427" s="5" t="s">
        <v>631</v>
      </c>
      <c r="C427" s="5" t="s">
        <v>3597</v>
      </c>
      <c r="D427" s="5" t="s">
        <v>3598</v>
      </c>
      <c r="E427" s="5" t="s">
        <v>3599</v>
      </c>
      <c r="F427" s="5" t="s">
        <v>3600</v>
      </c>
      <c r="G427" s="5">
        <v>32.369166999999997</v>
      </c>
      <c r="H427" s="5">
        <v>-95.182501000000002</v>
      </c>
    </row>
    <row r="428" spans="1:8" ht="15.75" customHeight="1" x14ac:dyDescent="0.25">
      <c r="A428" s="5" t="s">
        <v>3601</v>
      </c>
      <c r="B428" s="5" t="s">
        <v>631</v>
      </c>
      <c r="C428" s="5" t="s">
        <v>3602</v>
      </c>
      <c r="D428" s="5" t="s">
        <v>2273</v>
      </c>
      <c r="E428" s="5" t="s">
        <v>1480</v>
      </c>
      <c r="F428" s="5" t="s">
        <v>3603</v>
      </c>
      <c r="G428" s="5">
        <v>29.827501000000002</v>
      </c>
      <c r="H428" s="5">
        <v>-95.243334000000004</v>
      </c>
    </row>
    <row r="429" spans="1:8" ht="15.75" customHeight="1" x14ac:dyDescent="0.25">
      <c r="A429" s="5" t="s">
        <v>3604</v>
      </c>
      <c r="B429" s="5" t="s">
        <v>631</v>
      </c>
      <c r="C429" s="5" t="s">
        <v>3605</v>
      </c>
      <c r="D429" s="5" t="s">
        <v>3120</v>
      </c>
      <c r="E429" s="5" t="s">
        <v>3120</v>
      </c>
      <c r="F429" s="5" t="s">
        <v>3606</v>
      </c>
      <c r="G429" s="5">
        <v>32.684168</v>
      </c>
      <c r="H429" s="5">
        <v>-96.718333999999999</v>
      </c>
    </row>
    <row r="430" spans="1:8" ht="15.75" customHeight="1" x14ac:dyDescent="0.25">
      <c r="A430" s="5" t="s">
        <v>3607</v>
      </c>
      <c r="B430" s="5" t="s">
        <v>631</v>
      </c>
      <c r="C430" s="5" t="s">
        <v>3608</v>
      </c>
      <c r="D430" s="5" t="s">
        <v>3609</v>
      </c>
      <c r="E430" s="5" t="s">
        <v>3610</v>
      </c>
      <c r="F430" s="5" t="s">
        <v>3611</v>
      </c>
      <c r="G430" s="5">
        <v>29.732474</v>
      </c>
      <c r="H430" s="5">
        <v>-98.020419000000004</v>
      </c>
    </row>
    <row r="431" spans="1:8" ht="15.75" customHeight="1" x14ac:dyDescent="0.25">
      <c r="A431" s="5" t="s">
        <v>3612</v>
      </c>
      <c r="B431" s="5" t="s">
        <v>631</v>
      </c>
      <c r="C431" s="5" t="s">
        <v>3613</v>
      </c>
      <c r="D431" s="5" t="s">
        <v>3582</v>
      </c>
      <c r="E431" s="5" t="s">
        <v>3583</v>
      </c>
      <c r="F431" s="5" t="s">
        <v>3584</v>
      </c>
      <c r="G431" s="5">
        <v>29.341999999999999</v>
      </c>
      <c r="H431" s="5">
        <v>-98.668000000000006</v>
      </c>
    </row>
    <row r="432" spans="1:8" ht="15.75" customHeight="1" x14ac:dyDescent="0.25">
      <c r="A432" s="5" t="s">
        <v>3614</v>
      </c>
      <c r="B432" s="5" t="s">
        <v>631</v>
      </c>
      <c r="C432" s="5" t="s">
        <v>3615</v>
      </c>
      <c r="D432" s="5" t="s">
        <v>3616</v>
      </c>
      <c r="E432" s="5" t="s">
        <v>3617</v>
      </c>
      <c r="F432" s="5" t="s">
        <v>3618</v>
      </c>
      <c r="G432" s="5">
        <v>32.450000000000003</v>
      </c>
      <c r="H432" s="5">
        <v>-94.831999999999994</v>
      </c>
    </row>
    <row r="433" spans="1:8" ht="15.75" customHeight="1" x14ac:dyDescent="0.25">
      <c r="A433" s="5" t="s">
        <v>3619</v>
      </c>
      <c r="B433" s="5" t="s">
        <v>631</v>
      </c>
      <c r="C433" s="5" t="s">
        <v>3620</v>
      </c>
      <c r="D433" s="5" t="s">
        <v>3621</v>
      </c>
      <c r="E433" s="5" t="s">
        <v>3622</v>
      </c>
      <c r="F433" s="5" t="s">
        <v>3623</v>
      </c>
      <c r="G433" s="5">
        <v>29.090834000000001</v>
      </c>
      <c r="H433" s="5">
        <v>-95.36</v>
      </c>
    </row>
    <row r="434" spans="1:8" ht="15.75" customHeight="1" x14ac:dyDescent="0.25">
      <c r="A434" s="5" t="s">
        <v>3624</v>
      </c>
      <c r="B434" s="5" t="s">
        <v>631</v>
      </c>
      <c r="C434" s="5" t="s">
        <v>3625</v>
      </c>
      <c r="D434" s="5" t="s">
        <v>1823</v>
      </c>
      <c r="E434" s="5" t="s">
        <v>1108</v>
      </c>
      <c r="F434" s="5" t="s">
        <v>3626</v>
      </c>
      <c r="G434" s="5">
        <v>30.3292</v>
      </c>
      <c r="H434" s="5">
        <v>-95.269199999999998</v>
      </c>
    </row>
    <row r="435" spans="1:8" ht="15.75" customHeight="1" x14ac:dyDescent="0.25">
      <c r="A435" s="5" t="s">
        <v>3627</v>
      </c>
      <c r="B435" s="5" t="s">
        <v>631</v>
      </c>
      <c r="C435" s="5" t="s">
        <v>3628</v>
      </c>
      <c r="D435" s="5" t="s">
        <v>3629</v>
      </c>
      <c r="E435" s="5" t="s">
        <v>3120</v>
      </c>
      <c r="F435" s="5" t="s">
        <v>3630</v>
      </c>
      <c r="G435" s="5">
        <v>32.548999999999999</v>
      </c>
      <c r="H435" s="5">
        <v>-96.68</v>
      </c>
    </row>
    <row r="436" spans="1:8" ht="15.75" customHeight="1" x14ac:dyDescent="0.25">
      <c r="A436" s="5" t="s">
        <v>3631</v>
      </c>
      <c r="B436" s="5" t="s">
        <v>631</v>
      </c>
      <c r="C436" s="5" t="s">
        <v>3632</v>
      </c>
      <c r="D436" s="5" t="s">
        <v>3582</v>
      </c>
      <c r="E436" s="5" t="s">
        <v>3583</v>
      </c>
      <c r="F436" s="52">
        <v>78219</v>
      </c>
      <c r="G436" s="5">
        <v>29.4358</v>
      </c>
      <c r="H436" s="5">
        <v>-98.339169999999996</v>
      </c>
    </row>
    <row r="437" spans="1:8" ht="15.75" customHeight="1" x14ac:dyDescent="0.25">
      <c r="A437" s="5" t="s">
        <v>3633</v>
      </c>
      <c r="B437" s="5" t="s">
        <v>631</v>
      </c>
      <c r="C437" s="5" t="s">
        <v>3634</v>
      </c>
      <c r="D437" s="5" t="s">
        <v>3635</v>
      </c>
      <c r="E437" s="5" t="s">
        <v>2486</v>
      </c>
      <c r="F437" s="5" t="s">
        <v>3636</v>
      </c>
      <c r="G437" s="5">
        <v>32.356200000000001</v>
      </c>
      <c r="H437" s="5">
        <v>-97.201999999999998</v>
      </c>
    </row>
    <row r="438" spans="1:8" ht="15.75" customHeight="1" x14ac:dyDescent="0.25">
      <c r="A438" s="5" t="s">
        <v>3637</v>
      </c>
      <c r="B438" s="5" t="s">
        <v>631</v>
      </c>
      <c r="C438" s="5" t="s">
        <v>3638</v>
      </c>
      <c r="D438" s="5" t="s">
        <v>3635</v>
      </c>
      <c r="E438" s="5" t="s">
        <v>3639</v>
      </c>
      <c r="F438" s="52">
        <v>77830</v>
      </c>
      <c r="G438" s="5">
        <v>30.598099999999999</v>
      </c>
      <c r="H438" s="5">
        <v>-96.144869999999997</v>
      </c>
    </row>
    <row r="439" spans="1:8" ht="15.75" customHeight="1" x14ac:dyDescent="0.25">
      <c r="A439" s="5" t="s">
        <v>3640</v>
      </c>
      <c r="B439" s="5" t="s">
        <v>631</v>
      </c>
      <c r="C439" s="5" t="s">
        <v>3641</v>
      </c>
      <c r="D439" s="5" t="s">
        <v>3642</v>
      </c>
      <c r="E439" s="5" t="s">
        <v>3542</v>
      </c>
      <c r="F439" s="5" t="s">
        <v>3643</v>
      </c>
      <c r="G439" s="5">
        <v>32.727169000000004</v>
      </c>
      <c r="H439" s="5">
        <v>-97.534516999999994</v>
      </c>
    </row>
    <row r="440" spans="1:8" ht="15.75" customHeight="1" x14ac:dyDescent="0.25">
      <c r="A440" s="5" t="s">
        <v>3644</v>
      </c>
      <c r="B440" s="5" t="s">
        <v>1714</v>
      </c>
      <c r="C440" s="5" t="s">
        <v>3645</v>
      </c>
      <c r="D440" s="5" t="s">
        <v>3646</v>
      </c>
      <c r="E440" s="5" t="s">
        <v>2069</v>
      </c>
      <c r="F440" s="5" t="s">
        <v>3647</v>
      </c>
      <c r="G440" s="5">
        <v>41.113999999999997</v>
      </c>
      <c r="H440" s="5">
        <v>-111.931</v>
      </c>
    </row>
    <row r="441" spans="1:8" ht="15.75" customHeight="1" x14ac:dyDescent="0.25">
      <c r="A441" s="5" t="s">
        <v>3648</v>
      </c>
      <c r="B441" s="5" t="s">
        <v>1714</v>
      </c>
      <c r="C441" s="5" t="s">
        <v>3649</v>
      </c>
      <c r="D441" s="5" t="s">
        <v>3650</v>
      </c>
      <c r="E441" s="5" t="s">
        <v>3651</v>
      </c>
      <c r="F441" s="5" t="s">
        <v>3652</v>
      </c>
      <c r="G441" s="5">
        <v>40.746000000000002</v>
      </c>
      <c r="H441" s="5">
        <v>-112.042</v>
      </c>
    </row>
    <row r="442" spans="1:8" ht="15.75" customHeight="1" x14ac:dyDescent="0.25">
      <c r="A442" s="5" t="s">
        <v>3653</v>
      </c>
      <c r="B442" s="5" t="s">
        <v>1714</v>
      </c>
      <c r="C442" s="5" t="s">
        <v>3654</v>
      </c>
      <c r="D442" s="5" t="s">
        <v>3655</v>
      </c>
      <c r="E442" s="5" t="s">
        <v>3651</v>
      </c>
      <c r="F442" s="5" t="s">
        <v>3656</v>
      </c>
      <c r="G442" s="5">
        <v>40.558619999999998</v>
      </c>
      <c r="H442" s="5">
        <v>-112.053</v>
      </c>
    </row>
    <row r="443" spans="1:8" ht="15.75" customHeight="1" x14ac:dyDescent="0.25">
      <c r="A443" s="5" t="s">
        <v>3657</v>
      </c>
      <c r="B443" s="5" t="s">
        <v>1714</v>
      </c>
      <c r="C443" s="5" t="s">
        <v>3658</v>
      </c>
      <c r="D443" s="5" t="s">
        <v>3659</v>
      </c>
      <c r="E443" s="5" t="s">
        <v>1721</v>
      </c>
      <c r="F443" s="5" t="s">
        <v>3660</v>
      </c>
      <c r="G443" s="5">
        <v>41.218000000000004</v>
      </c>
      <c r="H443" s="5">
        <v>-111.99</v>
      </c>
    </row>
    <row r="444" spans="1:8" ht="15.75" customHeight="1" x14ac:dyDescent="0.25">
      <c r="A444" s="5" t="s">
        <v>3661</v>
      </c>
      <c r="B444" s="5" t="s">
        <v>1728</v>
      </c>
      <c r="C444" s="5" t="s">
        <v>3662</v>
      </c>
      <c r="D444" s="5" t="s">
        <v>3663</v>
      </c>
      <c r="E444" s="5" t="s">
        <v>1137</v>
      </c>
      <c r="F444" s="5" t="s">
        <v>3664</v>
      </c>
      <c r="G444" s="5">
        <v>44.311</v>
      </c>
      <c r="H444" s="5">
        <v>-72.702500000000001</v>
      </c>
    </row>
    <row r="445" spans="1:8" ht="15.75" customHeight="1" x14ac:dyDescent="0.25">
      <c r="A445" s="5" t="s">
        <v>3665</v>
      </c>
      <c r="B445" s="5" t="s">
        <v>1728</v>
      </c>
      <c r="C445" s="5" t="s">
        <v>3666</v>
      </c>
      <c r="D445" s="5" t="s">
        <v>3667</v>
      </c>
      <c r="E445" s="5" t="s">
        <v>1453</v>
      </c>
      <c r="F445" s="5" t="s">
        <v>3668</v>
      </c>
      <c r="G445" s="5">
        <v>44.908583</v>
      </c>
      <c r="H445" s="5">
        <v>-72.221500000000006</v>
      </c>
    </row>
    <row r="446" spans="1:8" ht="15.75" customHeight="1" x14ac:dyDescent="0.25">
      <c r="A446" s="5" t="s">
        <v>3669</v>
      </c>
      <c r="B446" s="5" t="s">
        <v>1168</v>
      </c>
      <c r="C446" s="5" t="s">
        <v>3670</v>
      </c>
      <c r="D446" s="5" t="s">
        <v>3671</v>
      </c>
      <c r="E446" s="5" t="s">
        <v>2117</v>
      </c>
      <c r="F446" s="5" t="s">
        <v>3672</v>
      </c>
      <c r="G446" s="5">
        <v>37.069249999999997</v>
      </c>
      <c r="H446" s="5">
        <v>-77.181079999999994</v>
      </c>
    </row>
    <row r="447" spans="1:8" ht="15.75" customHeight="1" x14ac:dyDescent="0.25">
      <c r="A447" s="5" t="s">
        <v>3673</v>
      </c>
      <c r="B447" s="5" t="s">
        <v>1168</v>
      </c>
      <c r="C447" s="5" t="s">
        <v>3674</v>
      </c>
      <c r="D447" s="5" t="s">
        <v>3675</v>
      </c>
      <c r="E447" s="5" t="s">
        <v>3676</v>
      </c>
      <c r="F447" s="5" t="s">
        <v>3677</v>
      </c>
      <c r="G447" s="5">
        <v>37.072009999999999</v>
      </c>
      <c r="H447" s="5">
        <v>-76.427040000000005</v>
      </c>
    </row>
    <row r="448" spans="1:8" ht="15.75" customHeight="1" x14ac:dyDescent="0.25">
      <c r="A448" s="5" t="s">
        <v>3678</v>
      </c>
      <c r="B448" s="5" t="s">
        <v>1168</v>
      </c>
      <c r="C448" s="5" t="s">
        <v>3679</v>
      </c>
      <c r="D448" s="5" t="s">
        <v>3680</v>
      </c>
      <c r="E448" s="5" t="s">
        <v>3681</v>
      </c>
      <c r="F448" s="5" t="s">
        <v>3682</v>
      </c>
      <c r="G448" s="5">
        <v>36.744999999999997</v>
      </c>
      <c r="H448" s="5">
        <v>-77.8035</v>
      </c>
    </row>
    <row r="449" spans="1:8" ht="15.75" customHeight="1" x14ac:dyDescent="0.25">
      <c r="A449" s="5" t="s">
        <v>3683</v>
      </c>
      <c r="B449" s="5" t="s">
        <v>1168</v>
      </c>
      <c r="C449" s="5" t="s">
        <v>3684</v>
      </c>
      <c r="D449" s="5" t="s">
        <v>210</v>
      </c>
      <c r="E449" s="5" t="s">
        <v>210</v>
      </c>
      <c r="F449" s="5" t="s">
        <v>3685</v>
      </c>
      <c r="G449" s="5">
        <v>37.439190000000004</v>
      </c>
      <c r="H449" s="5">
        <v>-77.133309999999994</v>
      </c>
    </row>
    <row r="450" spans="1:8" ht="15.75" customHeight="1" x14ac:dyDescent="0.25">
      <c r="A450" s="5" t="s">
        <v>3686</v>
      </c>
      <c r="B450" s="5" t="s">
        <v>1168</v>
      </c>
      <c r="C450" s="5" t="s">
        <v>3687</v>
      </c>
      <c r="D450" s="5" t="s">
        <v>1734</v>
      </c>
      <c r="E450" s="5" t="s">
        <v>3688</v>
      </c>
      <c r="F450" s="5" t="s">
        <v>3689</v>
      </c>
      <c r="G450" s="5">
        <v>36.603499999999997</v>
      </c>
      <c r="H450" s="5">
        <v>-82.154300000000006</v>
      </c>
    </row>
    <row r="451" spans="1:8" ht="15.75" customHeight="1" x14ac:dyDescent="0.25">
      <c r="A451" s="5" t="s">
        <v>3690</v>
      </c>
      <c r="B451" s="5" t="s">
        <v>1168</v>
      </c>
      <c r="C451" s="5" t="s">
        <v>3691</v>
      </c>
      <c r="D451" s="5" t="s">
        <v>3692</v>
      </c>
      <c r="E451" s="5" t="s">
        <v>3693</v>
      </c>
      <c r="F451" s="5" t="s">
        <v>3694</v>
      </c>
      <c r="G451" s="5">
        <v>37.392000000000003</v>
      </c>
      <c r="H451" s="5">
        <v>-79.108999999999995</v>
      </c>
    </row>
    <row r="452" spans="1:8" ht="15.75" customHeight="1" x14ac:dyDescent="0.25">
      <c r="A452" s="5" t="s">
        <v>3695</v>
      </c>
      <c r="B452" s="5" t="s">
        <v>1168</v>
      </c>
      <c r="C452" s="5" t="s">
        <v>3696</v>
      </c>
      <c r="D452" s="5" t="s">
        <v>3697</v>
      </c>
      <c r="E452" s="5" t="s">
        <v>3698</v>
      </c>
      <c r="F452" s="5" t="s">
        <v>3699</v>
      </c>
      <c r="G452" s="5">
        <v>39.141599999999997</v>
      </c>
      <c r="H452" s="5">
        <v>-78.098799999999997</v>
      </c>
    </row>
    <row r="453" spans="1:8" ht="15.75" customHeight="1" x14ac:dyDescent="0.25">
      <c r="A453" s="5" t="s">
        <v>3700</v>
      </c>
      <c r="B453" s="5" t="s">
        <v>1168</v>
      </c>
      <c r="C453" s="5" t="s">
        <v>3701</v>
      </c>
      <c r="D453" s="5" t="s">
        <v>3702</v>
      </c>
      <c r="E453" s="5" t="s">
        <v>3702</v>
      </c>
      <c r="F453" s="5" t="s">
        <v>3703</v>
      </c>
      <c r="G453" s="5">
        <v>37.7532</v>
      </c>
      <c r="H453" s="5">
        <v>-77.356399999999994</v>
      </c>
    </row>
    <row r="454" spans="1:8" ht="15.75" customHeight="1" x14ac:dyDescent="0.25">
      <c r="A454" s="5" t="s">
        <v>3704</v>
      </c>
      <c r="B454" s="5" t="s">
        <v>1168</v>
      </c>
      <c r="C454" s="5" t="s">
        <v>3705</v>
      </c>
      <c r="D454" s="5" t="s">
        <v>1169</v>
      </c>
      <c r="E454" s="5" t="s">
        <v>1169</v>
      </c>
      <c r="F454" s="5" t="s">
        <v>3706</v>
      </c>
      <c r="G454" s="5">
        <v>38.851999999999997</v>
      </c>
      <c r="H454" s="5">
        <v>-77.381</v>
      </c>
    </row>
    <row r="455" spans="1:8" ht="15.75" customHeight="1" x14ac:dyDescent="0.25">
      <c r="A455" s="5" t="s">
        <v>3707</v>
      </c>
      <c r="B455" s="5" t="s">
        <v>1168</v>
      </c>
      <c r="C455" s="5" t="s">
        <v>3708</v>
      </c>
      <c r="D455" s="5" t="s">
        <v>3709</v>
      </c>
      <c r="E455" s="5" t="s">
        <v>1169</v>
      </c>
      <c r="F455" s="5" t="s">
        <v>3710</v>
      </c>
      <c r="G455" s="5">
        <v>38.688090000000003</v>
      </c>
      <c r="H455" s="5">
        <v>-77.237340000000003</v>
      </c>
    </row>
    <row r="456" spans="1:8" ht="15.75" customHeight="1" x14ac:dyDescent="0.25">
      <c r="A456" s="5" t="s">
        <v>3711</v>
      </c>
      <c r="B456" s="5" t="s">
        <v>1168</v>
      </c>
      <c r="C456" s="5" t="s">
        <v>3712</v>
      </c>
      <c r="D456" s="5" t="s">
        <v>3713</v>
      </c>
      <c r="E456" s="5" t="s">
        <v>3714</v>
      </c>
      <c r="F456" s="5" t="s">
        <v>3715</v>
      </c>
      <c r="G456" s="5">
        <v>37.664999999999999</v>
      </c>
      <c r="H456" s="5">
        <v>-76.77</v>
      </c>
    </row>
    <row r="457" spans="1:8" ht="15.75" customHeight="1" x14ac:dyDescent="0.25">
      <c r="A457" s="5" t="s">
        <v>3716</v>
      </c>
      <c r="B457" s="5" t="s">
        <v>1168</v>
      </c>
      <c r="C457" s="5" t="s">
        <v>3717</v>
      </c>
      <c r="D457" s="5" t="s">
        <v>3718</v>
      </c>
      <c r="E457" s="5" t="s">
        <v>3718</v>
      </c>
      <c r="F457" s="5" t="s">
        <v>3719</v>
      </c>
      <c r="G457" s="5">
        <v>38.269640000000003</v>
      </c>
      <c r="H457" s="5">
        <v>-77.305959999999999</v>
      </c>
    </row>
    <row r="458" spans="1:8" ht="15.75" customHeight="1" x14ac:dyDescent="0.25">
      <c r="A458" s="5" t="s">
        <v>3720</v>
      </c>
      <c r="B458" s="5" t="s">
        <v>1168</v>
      </c>
      <c r="C458" s="5" t="s">
        <v>3721</v>
      </c>
      <c r="D458" s="5" t="s">
        <v>3722</v>
      </c>
      <c r="E458" s="5" t="s">
        <v>3723</v>
      </c>
      <c r="F458" s="5" t="s">
        <v>3724</v>
      </c>
      <c r="G458" s="5">
        <v>37.307000000000002</v>
      </c>
      <c r="H458" s="5">
        <v>-78.063400000000001</v>
      </c>
    </row>
    <row r="459" spans="1:8" ht="15.75" customHeight="1" x14ac:dyDescent="0.25">
      <c r="A459" s="5" t="s">
        <v>3725</v>
      </c>
      <c r="B459" s="5" t="s">
        <v>1168</v>
      </c>
      <c r="C459" s="5" t="s">
        <v>3726</v>
      </c>
      <c r="D459" s="5" t="s">
        <v>3727</v>
      </c>
      <c r="E459" s="5" t="s">
        <v>3728</v>
      </c>
      <c r="F459" s="5" t="s">
        <v>3729</v>
      </c>
      <c r="G459" s="5">
        <v>36.718000000000004</v>
      </c>
      <c r="H459" s="5">
        <v>-79.846000000000004</v>
      </c>
    </row>
    <row r="460" spans="1:8" ht="15.75" customHeight="1" x14ac:dyDescent="0.25">
      <c r="A460" s="5" t="s">
        <v>3730</v>
      </c>
      <c r="B460" s="5" t="s">
        <v>1168</v>
      </c>
      <c r="C460" s="5" t="s">
        <v>3731</v>
      </c>
      <c r="D460" s="5" t="s">
        <v>3732</v>
      </c>
      <c r="E460" s="5" t="s">
        <v>1131</v>
      </c>
      <c r="F460" s="5" t="s">
        <v>3733</v>
      </c>
      <c r="G460" s="5">
        <v>37.520200000000003</v>
      </c>
      <c r="H460" s="5">
        <v>-76.620099999999994</v>
      </c>
    </row>
    <row r="461" spans="1:8" ht="15.75" customHeight="1" x14ac:dyDescent="0.25">
      <c r="A461" s="5" t="s">
        <v>3734</v>
      </c>
      <c r="B461" s="5" t="s">
        <v>1168</v>
      </c>
      <c r="C461" s="5" t="s">
        <v>3735</v>
      </c>
      <c r="D461" s="5" t="s">
        <v>3736</v>
      </c>
      <c r="E461" s="5" t="s">
        <v>1902</v>
      </c>
      <c r="F461" s="5" t="s">
        <v>3737</v>
      </c>
      <c r="G461" s="5">
        <v>37.197499999999998</v>
      </c>
      <c r="H461" s="5">
        <v>-80.685000000000002</v>
      </c>
    </row>
    <row r="462" spans="1:8" ht="15.75" customHeight="1" x14ac:dyDescent="0.25">
      <c r="A462" s="5" t="s">
        <v>3738</v>
      </c>
      <c r="B462" s="5" t="s">
        <v>1168</v>
      </c>
      <c r="C462" s="5" t="s">
        <v>3739</v>
      </c>
      <c r="D462" s="5" t="s">
        <v>3740</v>
      </c>
      <c r="E462" s="5" t="s">
        <v>3741</v>
      </c>
      <c r="F462" s="5" t="s">
        <v>3742</v>
      </c>
      <c r="G462" s="5">
        <v>37.147500000000001</v>
      </c>
      <c r="H462" s="5">
        <v>-76.539000000000001</v>
      </c>
    </row>
    <row r="463" spans="1:8" ht="15.75" customHeight="1" x14ac:dyDescent="0.25">
      <c r="A463" s="5" t="s">
        <v>3743</v>
      </c>
      <c r="B463" s="5" t="s">
        <v>1168</v>
      </c>
      <c r="C463" s="5" t="s">
        <v>3744</v>
      </c>
      <c r="D463" s="5" t="s">
        <v>2077</v>
      </c>
      <c r="E463" s="5" t="s">
        <v>3745</v>
      </c>
      <c r="F463" s="5" t="s">
        <v>3746</v>
      </c>
      <c r="G463" s="5">
        <v>37.508000000000003</v>
      </c>
      <c r="H463" s="5">
        <v>-77.376000000000005</v>
      </c>
    </row>
    <row r="464" spans="1:8" ht="15.75" customHeight="1" x14ac:dyDescent="0.25">
      <c r="A464" s="5" t="s">
        <v>3747</v>
      </c>
      <c r="B464" s="5" t="s">
        <v>1168</v>
      </c>
      <c r="C464" s="5" t="s">
        <v>3748</v>
      </c>
      <c r="D464" s="5" t="s">
        <v>3749</v>
      </c>
      <c r="E464" s="5" t="s">
        <v>3750</v>
      </c>
      <c r="F464" s="5" t="s">
        <v>3751</v>
      </c>
      <c r="G464" s="5">
        <v>38.637999999999998</v>
      </c>
      <c r="H464" s="5">
        <v>-77.421999999999997</v>
      </c>
    </row>
    <row r="465" spans="1:8" ht="15.75" customHeight="1" x14ac:dyDescent="0.25">
      <c r="A465" s="5" t="s">
        <v>3752</v>
      </c>
      <c r="B465" s="5" t="s">
        <v>1168</v>
      </c>
      <c r="C465" s="5" t="s">
        <v>3753</v>
      </c>
      <c r="D465" s="5" t="s">
        <v>1629</v>
      </c>
      <c r="E465" s="5" t="s">
        <v>3754</v>
      </c>
      <c r="F465" s="5" t="s">
        <v>3755</v>
      </c>
      <c r="G465" s="5">
        <v>37.351199999999999</v>
      </c>
      <c r="H465" s="5">
        <v>-77.495599999999996</v>
      </c>
    </row>
    <row r="466" spans="1:8" ht="15.75" customHeight="1" x14ac:dyDescent="0.25">
      <c r="A466" s="5" t="s">
        <v>3756</v>
      </c>
      <c r="B466" s="5" t="s">
        <v>1168</v>
      </c>
      <c r="C466" s="5" t="s">
        <v>3757</v>
      </c>
      <c r="D466" s="5" t="s">
        <v>3758</v>
      </c>
      <c r="E466" s="5" t="s">
        <v>3745</v>
      </c>
      <c r="F466" s="5" t="s">
        <v>3759</v>
      </c>
      <c r="G466" s="5">
        <v>37.679169999999999</v>
      </c>
      <c r="H466" s="5">
        <v>-77.566100000000006</v>
      </c>
    </row>
    <row r="467" spans="1:8" ht="15.75" customHeight="1" x14ac:dyDescent="0.25">
      <c r="A467" s="5" t="s">
        <v>3760</v>
      </c>
      <c r="B467" s="5" t="s">
        <v>1168</v>
      </c>
      <c r="C467" s="5" t="s">
        <v>3761</v>
      </c>
      <c r="D467" s="5" t="s">
        <v>1143</v>
      </c>
      <c r="E467" s="5" t="s">
        <v>3762</v>
      </c>
      <c r="F467" s="5" t="s">
        <v>3763</v>
      </c>
      <c r="G467" s="5">
        <v>36.759</v>
      </c>
      <c r="H467" s="5">
        <v>-76.522000000000006</v>
      </c>
    </row>
    <row r="468" spans="1:8" ht="15.75" customHeight="1" x14ac:dyDescent="0.25">
      <c r="A468" s="5" t="s">
        <v>3764</v>
      </c>
      <c r="B468" s="5" t="s">
        <v>1168</v>
      </c>
      <c r="C468" s="5" t="s">
        <v>3765</v>
      </c>
      <c r="D468" s="5" t="s">
        <v>3766</v>
      </c>
      <c r="E468" s="5" t="s">
        <v>3766</v>
      </c>
      <c r="F468" s="5" t="s">
        <v>3767</v>
      </c>
      <c r="G468" s="5">
        <v>38.384999999999998</v>
      </c>
      <c r="H468" s="5">
        <v>-77.412499999999994</v>
      </c>
    </row>
    <row r="469" spans="1:8" ht="15.75" customHeight="1" x14ac:dyDescent="0.25">
      <c r="A469" s="5" t="s">
        <v>3768</v>
      </c>
      <c r="B469" s="5" t="s">
        <v>1168</v>
      </c>
      <c r="C469" s="5" t="s">
        <v>3769</v>
      </c>
      <c r="D469" s="5" t="s">
        <v>3770</v>
      </c>
      <c r="E469" s="5" t="s">
        <v>3771</v>
      </c>
      <c r="F469" s="5" t="s">
        <v>3772</v>
      </c>
      <c r="G469" s="5">
        <v>36.784999999999997</v>
      </c>
      <c r="H469" s="5">
        <v>-76.204999999999998</v>
      </c>
    </row>
    <row r="470" spans="1:8" ht="15.75" customHeight="1" x14ac:dyDescent="0.25">
      <c r="A470" s="5" t="s">
        <v>3773</v>
      </c>
      <c r="B470" s="5" t="s">
        <v>1175</v>
      </c>
      <c r="C470" s="5" t="s">
        <v>3774</v>
      </c>
      <c r="D470" s="5" t="s">
        <v>3775</v>
      </c>
      <c r="E470" s="5" t="s">
        <v>1767</v>
      </c>
      <c r="F470" s="5" t="s">
        <v>3776</v>
      </c>
      <c r="G470" s="5">
        <v>47.442</v>
      </c>
      <c r="H470" s="5">
        <v>-122.06</v>
      </c>
    </row>
    <row r="471" spans="1:8" ht="15.75" customHeight="1" x14ac:dyDescent="0.25">
      <c r="A471" s="5" t="s">
        <v>3777</v>
      </c>
      <c r="B471" s="5" t="s">
        <v>1175</v>
      </c>
      <c r="C471" s="5" t="s">
        <v>3778</v>
      </c>
      <c r="D471" s="5" t="s">
        <v>3779</v>
      </c>
      <c r="E471" s="5" t="s">
        <v>3780</v>
      </c>
      <c r="F471" s="5" t="s">
        <v>3781</v>
      </c>
      <c r="G471" s="5">
        <v>46.696669</v>
      </c>
      <c r="H471" s="5">
        <v>-122.9633</v>
      </c>
    </row>
    <row r="472" spans="1:8" ht="15.75" customHeight="1" x14ac:dyDescent="0.25">
      <c r="A472" s="5" t="s">
        <v>3782</v>
      </c>
      <c r="B472" s="5" t="s">
        <v>1175</v>
      </c>
      <c r="C472" s="5" t="s">
        <v>3783</v>
      </c>
      <c r="D472" s="5" t="s">
        <v>3784</v>
      </c>
      <c r="E472" s="5" t="s">
        <v>3785</v>
      </c>
      <c r="F472" s="5" t="s">
        <v>3786</v>
      </c>
      <c r="G472" s="5">
        <v>46.970999999999997</v>
      </c>
      <c r="H472" s="5">
        <v>-122.29049999999999</v>
      </c>
    </row>
    <row r="473" spans="1:8" ht="15.75" customHeight="1" x14ac:dyDescent="0.25">
      <c r="A473" s="5" t="s">
        <v>3787</v>
      </c>
      <c r="B473" s="5" t="s">
        <v>1175</v>
      </c>
      <c r="C473" s="5" t="s">
        <v>3788</v>
      </c>
      <c r="D473" s="5" t="s">
        <v>3789</v>
      </c>
      <c r="E473" s="5" t="s">
        <v>3790</v>
      </c>
      <c r="F473" s="5" t="s">
        <v>3791</v>
      </c>
      <c r="G473" s="5">
        <v>45.805</v>
      </c>
      <c r="H473" s="5">
        <v>-120.17400000000001</v>
      </c>
    </row>
    <row r="474" spans="1:8" ht="15.75" customHeight="1" x14ac:dyDescent="0.25">
      <c r="A474" s="5" t="s">
        <v>3792</v>
      </c>
      <c r="B474" s="5" t="s">
        <v>3793</v>
      </c>
      <c r="C474" s="5" t="s">
        <v>3794</v>
      </c>
      <c r="D474" s="5" t="s">
        <v>3795</v>
      </c>
      <c r="E474" s="5" t="s">
        <v>3796</v>
      </c>
      <c r="F474" s="5" t="s">
        <v>3797</v>
      </c>
      <c r="G474" s="5">
        <v>38.31279</v>
      </c>
      <c r="H474" s="5">
        <v>-81.618539999999996</v>
      </c>
    </row>
    <row r="475" spans="1:8" ht="15.75" customHeight="1" x14ac:dyDescent="0.25">
      <c r="A475" s="5" t="s">
        <v>3798</v>
      </c>
      <c r="B475" s="5" t="s">
        <v>3793</v>
      </c>
      <c r="C475" s="5" t="s">
        <v>3799</v>
      </c>
      <c r="D475" s="5" t="s">
        <v>3800</v>
      </c>
      <c r="E475" s="5" t="s">
        <v>3144</v>
      </c>
      <c r="F475" s="5" t="s">
        <v>3801</v>
      </c>
      <c r="G475" s="5">
        <v>37.816699999999997</v>
      </c>
      <c r="H475" s="5">
        <v>-81.1631</v>
      </c>
    </row>
    <row r="476" spans="1:8" ht="15.75" customHeight="1" x14ac:dyDescent="0.25">
      <c r="A476" s="5" t="s">
        <v>3802</v>
      </c>
      <c r="B476" s="5" t="s">
        <v>3793</v>
      </c>
      <c r="C476" s="5" t="s">
        <v>3803</v>
      </c>
      <c r="D476" s="5" t="s">
        <v>3804</v>
      </c>
      <c r="E476" s="5" t="s">
        <v>3805</v>
      </c>
      <c r="F476" s="5" t="s">
        <v>3806</v>
      </c>
      <c r="G476" s="5">
        <v>39.605020000000003</v>
      </c>
      <c r="H476" s="5">
        <v>-80.856390000000005</v>
      </c>
    </row>
    <row r="477" spans="1:8" ht="15.75" customHeight="1" x14ac:dyDescent="0.25">
      <c r="A477" s="5" t="s">
        <v>3807</v>
      </c>
      <c r="B477" s="5" t="s">
        <v>643</v>
      </c>
      <c r="C477" s="5" t="s">
        <v>3808</v>
      </c>
      <c r="D477" s="5" t="s">
        <v>3809</v>
      </c>
      <c r="E477" s="5" t="s">
        <v>1779</v>
      </c>
      <c r="F477" s="5" t="s">
        <v>3810</v>
      </c>
      <c r="G477" s="5">
        <v>44.409179999999999</v>
      </c>
      <c r="H477" s="5">
        <v>-89.854820000000004</v>
      </c>
    </row>
    <row r="478" spans="1:8" ht="15.75" customHeight="1" x14ac:dyDescent="0.25">
      <c r="A478" s="5" t="s">
        <v>3811</v>
      </c>
      <c r="B478" s="5" t="s">
        <v>643</v>
      </c>
      <c r="C478" s="5" t="s">
        <v>3812</v>
      </c>
      <c r="D478" s="5" t="s">
        <v>3813</v>
      </c>
      <c r="E478" s="5" t="s">
        <v>1795</v>
      </c>
      <c r="F478" s="5" t="s">
        <v>3814</v>
      </c>
      <c r="G478" s="5">
        <v>42.992800000000003</v>
      </c>
      <c r="H478" s="5">
        <v>-89.5261</v>
      </c>
    </row>
    <row r="479" spans="1:8" ht="15.75" customHeight="1" x14ac:dyDescent="0.25">
      <c r="A479" s="5" t="s">
        <v>3815</v>
      </c>
      <c r="B479" s="5" t="s">
        <v>643</v>
      </c>
      <c r="C479" s="5" t="s">
        <v>3816</v>
      </c>
      <c r="D479" s="5" t="s">
        <v>256</v>
      </c>
      <c r="E479" s="5" t="s">
        <v>1795</v>
      </c>
      <c r="F479" s="5" t="s">
        <v>3817</v>
      </c>
      <c r="G479" s="5">
        <v>43.045000000000002</v>
      </c>
      <c r="H479" s="5">
        <v>-89.254000000000005</v>
      </c>
    </row>
    <row r="480" spans="1:8" ht="15.75" customHeight="1" x14ac:dyDescent="0.25">
      <c r="A480" s="5" t="s">
        <v>3818</v>
      </c>
      <c r="B480" s="5" t="s">
        <v>643</v>
      </c>
      <c r="C480" s="5" t="s">
        <v>3819</v>
      </c>
      <c r="D480" s="5" t="s">
        <v>592</v>
      </c>
      <c r="E480" s="5" t="s">
        <v>1375</v>
      </c>
      <c r="F480" s="5" t="s">
        <v>3820</v>
      </c>
      <c r="G480" s="5">
        <v>43.0869</v>
      </c>
      <c r="H480" s="5">
        <v>-88.756600000000006</v>
      </c>
    </row>
    <row r="481" spans="1:8" ht="15.75" customHeight="1" x14ac:dyDescent="0.25">
      <c r="A481" s="5" t="s">
        <v>3821</v>
      </c>
      <c r="B481" s="5" t="s">
        <v>643</v>
      </c>
      <c r="C481" s="5" t="s">
        <v>3822</v>
      </c>
      <c r="D481" s="5" t="s">
        <v>3823</v>
      </c>
      <c r="E481" s="5" t="s">
        <v>3824</v>
      </c>
      <c r="F481" s="5" t="s">
        <v>3825</v>
      </c>
      <c r="G481" s="5">
        <v>42.850999999999999</v>
      </c>
      <c r="H481" s="5">
        <v>-88.0745</v>
      </c>
    </row>
    <row r="482" spans="1:8" ht="15.75" customHeight="1" x14ac:dyDescent="0.25">
      <c r="A482" s="5" t="s">
        <v>3826</v>
      </c>
      <c r="B482" s="5" t="s">
        <v>643</v>
      </c>
      <c r="C482" s="5" t="s">
        <v>3827</v>
      </c>
      <c r="D482" s="5" t="s">
        <v>3828</v>
      </c>
      <c r="E482" s="5" t="s">
        <v>1782</v>
      </c>
      <c r="F482" s="5" t="s">
        <v>3829</v>
      </c>
      <c r="G482" s="5">
        <v>43.465000000000003</v>
      </c>
      <c r="H482" s="5">
        <v>-88.555000000000007</v>
      </c>
    </row>
    <row r="483" spans="1:8" ht="15.75" customHeight="1" x14ac:dyDescent="0.25">
      <c r="A483" s="5" t="s">
        <v>3830</v>
      </c>
      <c r="B483" s="5" t="s">
        <v>643</v>
      </c>
      <c r="C483" s="5" t="s">
        <v>3831</v>
      </c>
      <c r="D483" s="5" t="s">
        <v>1817</v>
      </c>
      <c r="E483" s="5" t="s">
        <v>1792</v>
      </c>
      <c r="F483" s="5" t="s">
        <v>3832</v>
      </c>
      <c r="G483" s="5">
        <v>44.104999999999997</v>
      </c>
      <c r="H483" s="5">
        <v>-88.191999999999993</v>
      </c>
    </row>
    <row r="484" spans="1:8" ht="15.75" customHeight="1" x14ac:dyDescent="0.25">
      <c r="A484" s="5" t="s">
        <v>3833</v>
      </c>
      <c r="B484" s="5" t="s">
        <v>643</v>
      </c>
      <c r="C484" s="5" t="s">
        <v>3834</v>
      </c>
      <c r="D484" s="5" t="s">
        <v>3835</v>
      </c>
      <c r="E484" s="5" t="s">
        <v>3836</v>
      </c>
      <c r="F484" s="5" t="s">
        <v>3837</v>
      </c>
      <c r="G484" s="5">
        <v>42.704599999999999</v>
      </c>
      <c r="H484" s="5">
        <v>-89.021799999999999</v>
      </c>
    </row>
    <row r="485" spans="1:8" ht="15.75" customHeight="1" x14ac:dyDescent="0.25">
      <c r="A485" s="5" t="s">
        <v>3838</v>
      </c>
      <c r="B485" s="5" t="s">
        <v>643</v>
      </c>
      <c r="C485" s="5" t="s">
        <v>3839</v>
      </c>
      <c r="D485" s="5" t="s">
        <v>3840</v>
      </c>
      <c r="E485" s="5" t="s">
        <v>3840</v>
      </c>
      <c r="F485" s="5" t="s">
        <v>3841</v>
      </c>
      <c r="G485" s="5">
        <v>42.7074</v>
      </c>
      <c r="H485" s="5">
        <v>-87.8703</v>
      </c>
    </row>
    <row r="486" spans="1:8" ht="15.75" customHeight="1" x14ac:dyDescent="0.25">
      <c r="A486" s="5" t="s">
        <v>3842</v>
      </c>
      <c r="B486" s="5" t="s">
        <v>643</v>
      </c>
      <c r="C486" s="5" t="s">
        <v>3843</v>
      </c>
      <c r="D486" s="5" t="s">
        <v>3844</v>
      </c>
      <c r="E486" s="5" t="s">
        <v>3844</v>
      </c>
      <c r="F486" s="5" t="s">
        <v>3845</v>
      </c>
      <c r="G486" s="5">
        <v>43.878</v>
      </c>
      <c r="H486" s="5">
        <v>-91.156999999999996</v>
      </c>
    </row>
    <row r="487" spans="1:8" ht="15.75" customHeight="1" x14ac:dyDescent="0.25">
      <c r="A487" s="5" t="s">
        <v>3846</v>
      </c>
      <c r="B487" s="5" t="s">
        <v>643</v>
      </c>
      <c r="C487" s="5" t="s">
        <v>3847</v>
      </c>
      <c r="D487" s="5" t="s">
        <v>3848</v>
      </c>
      <c r="E487" s="5" t="s">
        <v>3849</v>
      </c>
      <c r="F487" s="5" t="s">
        <v>3850</v>
      </c>
      <c r="G487" s="5">
        <v>44.890439000000001</v>
      </c>
      <c r="H487" s="5">
        <v>-89.384867</v>
      </c>
    </row>
    <row r="488" spans="1:8" ht="15.75" customHeight="1" x14ac:dyDescent="0.25">
      <c r="A488" s="5" t="s">
        <v>3851</v>
      </c>
      <c r="B488" s="5" t="s">
        <v>643</v>
      </c>
      <c r="C488" s="5" t="s">
        <v>3852</v>
      </c>
      <c r="D488" s="5" t="s">
        <v>1411</v>
      </c>
      <c r="E488" s="5" t="s">
        <v>3853</v>
      </c>
      <c r="F488" s="5" t="s">
        <v>3854</v>
      </c>
      <c r="G488" s="5">
        <v>42.849510000000002</v>
      </c>
      <c r="H488" s="5">
        <v>-88.064999999999998</v>
      </c>
    </row>
    <row r="489" spans="1:8" ht="15.75" customHeight="1" x14ac:dyDescent="0.25">
      <c r="A489" s="5" t="s">
        <v>3855</v>
      </c>
      <c r="B489" s="5" t="s">
        <v>643</v>
      </c>
      <c r="C489" s="5" t="s">
        <v>3856</v>
      </c>
      <c r="D489" s="5" t="s">
        <v>3857</v>
      </c>
      <c r="E489" s="5" t="s">
        <v>3824</v>
      </c>
      <c r="F489" s="5" t="s">
        <v>3858</v>
      </c>
      <c r="G489" s="5">
        <v>43.188000000000002</v>
      </c>
      <c r="H489" s="5">
        <v>-88.076499999999996</v>
      </c>
    </row>
    <row r="490" spans="1:8" ht="15.75" customHeight="1" x14ac:dyDescent="0.25">
      <c r="A490" s="5" t="s">
        <v>3859</v>
      </c>
      <c r="B490" s="5" t="s">
        <v>643</v>
      </c>
      <c r="C490" s="5" t="s">
        <v>3860</v>
      </c>
      <c r="D490" s="5" t="s">
        <v>3861</v>
      </c>
      <c r="E490" s="5" t="s">
        <v>3862</v>
      </c>
      <c r="F490" s="52">
        <v>54911</v>
      </c>
      <c r="G490" s="5">
        <v>44.287199999999999</v>
      </c>
      <c r="H490" s="5">
        <v>-88.348699999999994</v>
      </c>
    </row>
    <row r="491" spans="1:8" ht="15.75" customHeight="1" x14ac:dyDescent="0.25">
      <c r="A491" s="5" t="s">
        <v>3863</v>
      </c>
      <c r="B491" s="5" t="s">
        <v>643</v>
      </c>
      <c r="C491" s="5" t="s">
        <v>3864</v>
      </c>
      <c r="D491" s="5" t="s">
        <v>1734</v>
      </c>
      <c r="E491" s="5" t="s">
        <v>3865</v>
      </c>
      <c r="F491" s="5" t="s">
        <v>3866</v>
      </c>
      <c r="G491" s="5">
        <v>42.582749999999997</v>
      </c>
      <c r="H491" s="5">
        <v>-88.04383</v>
      </c>
    </row>
    <row r="492" spans="1:8" ht="15.75" customHeight="1" x14ac:dyDescent="0.25">
      <c r="A492" s="5" t="s">
        <v>3867</v>
      </c>
      <c r="B492" s="5" t="s">
        <v>643</v>
      </c>
      <c r="C492" s="5" t="s">
        <v>3868</v>
      </c>
      <c r="D492" s="5" t="s">
        <v>3869</v>
      </c>
      <c r="E492" s="5" t="s">
        <v>1824</v>
      </c>
      <c r="F492" s="5" t="s">
        <v>3870</v>
      </c>
      <c r="G492" s="5">
        <v>44.172499999999999</v>
      </c>
      <c r="H492" s="5">
        <v>-87.841800000000006</v>
      </c>
    </row>
    <row r="493" spans="1:8" ht="15.75" customHeight="1" x14ac:dyDescent="0.25">
      <c r="A493" s="5" t="s">
        <v>3871</v>
      </c>
      <c r="B493" s="5" t="s">
        <v>643</v>
      </c>
      <c r="C493" s="5" t="s">
        <v>3872</v>
      </c>
      <c r="D493" s="5" t="s">
        <v>3873</v>
      </c>
      <c r="E493" s="5" t="s">
        <v>3874</v>
      </c>
      <c r="F493" s="5" t="s">
        <v>3875</v>
      </c>
      <c r="G493" s="5">
        <v>43.5184</v>
      </c>
      <c r="H493" s="5">
        <v>-89.878</v>
      </c>
    </row>
    <row r="494" spans="1:8" ht="15.75" customHeight="1" x14ac:dyDescent="0.25">
      <c r="A494" s="5" t="s">
        <v>3876</v>
      </c>
      <c r="B494" s="5" t="s">
        <v>643</v>
      </c>
      <c r="C494" s="5" t="s">
        <v>3877</v>
      </c>
      <c r="D494" s="5" t="s">
        <v>3878</v>
      </c>
      <c r="E494" s="5" t="s">
        <v>3879</v>
      </c>
      <c r="F494" s="5" t="s">
        <v>3880</v>
      </c>
      <c r="G494" s="5">
        <v>45.454169999999998</v>
      </c>
      <c r="H494" s="5">
        <v>-91.358379999999997</v>
      </c>
    </row>
    <row r="495" spans="1:8" ht="15.75" customHeight="1" x14ac:dyDescent="0.25">
      <c r="A495" s="5" t="s">
        <v>3881</v>
      </c>
      <c r="B495" s="5" t="s">
        <v>643</v>
      </c>
      <c r="C495" s="5" t="s">
        <v>3882</v>
      </c>
      <c r="D495" s="5" t="s">
        <v>1642</v>
      </c>
      <c r="E495" s="5" t="s">
        <v>3883</v>
      </c>
      <c r="F495" s="5" t="s">
        <v>3884</v>
      </c>
      <c r="G495" s="5">
        <v>43.959829999999997</v>
      </c>
      <c r="H495" s="5">
        <v>-88.906319999999994</v>
      </c>
    </row>
    <row r="496" spans="1:8" ht="15.75" customHeight="1" x14ac:dyDescent="0.25">
      <c r="A496" s="5" t="s">
        <v>3885</v>
      </c>
      <c r="B496" s="5" t="s">
        <v>643</v>
      </c>
      <c r="C496" s="5" t="s">
        <v>3886</v>
      </c>
      <c r="D496" s="5" t="s">
        <v>658</v>
      </c>
      <c r="E496" s="5" t="s">
        <v>405</v>
      </c>
      <c r="F496" s="5" t="s">
        <v>3887</v>
      </c>
      <c r="G496" s="5">
        <v>44.082610000000003</v>
      </c>
      <c r="H496" s="5">
        <v>-88.545919999999995</v>
      </c>
    </row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306C"/>
  </sheetPr>
  <dimension ref="A1:L1282"/>
  <sheetViews>
    <sheetView workbookViewId="0">
      <selection activeCell="Q4" sqref="Q4"/>
    </sheetView>
  </sheetViews>
  <sheetFormatPr defaultColWidth="14.42578125" defaultRowHeight="15" customHeight="1" x14ac:dyDescent="0.25"/>
  <cols>
    <col min="1" max="1" width="27.5703125" customWidth="1"/>
    <col min="2" max="2" width="12.42578125" customWidth="1"/>
    <col min="3" max="3" width="12.140625" customWidth="1"/>
    <col min="4" max="4" width="5.5703125" customWidth="1"/>
    <col min="5" max="5" width="9.85546875" customWidth="1"/>
    <col min="6" max="6" width="11.42578125" customWidth="1"/>
    <col min="7" max="7" width="12.28515625" bestFit="1" customWidth="1"/>
    <col min="8" max="26" width="8.7109375" customWidth="1"/>
  </cols>
  <sheetData>
    <row r="1" spans="1:8" x14ac:dyDescent="0.25">
      <c r="A1" s="4" t="s">
        <v>3888</v>
      </c>
      <c r="B1" s="4" t="s">
        <v>1179</v>
      </c>
      <c r="C1" s="4" t="s">
        <v>1055</v>
      </c>
      <c r="D1" s="4" t="s">
        <v>14</v>
      </c>
      <c r="E1" s="4" t="s">
        <v>3889</v>
      </c>
      <c r="F1" s="28" t="s">
        <v>731</v>
      </c>
      <c r="G1" s="28" t="s">
        <v>730</v>
      </c>
    </row>
    <row r="2" spans="1:8" ht="30" x14ac:dyDescent="0.25">
      <c r="A2" s="8" t="s">
        <v>3890</v>
      </c>
      <c r="B2" s="8" t="s">
        <v>3891</v>
      </c>
      <c r="C2" s="8" t="s">
        <v>3892</v>
      </c>
      <c r="D2" s="8" t="s">
        <v>732</v>
      </c>
      <c r="E2" s="8">
        <v>99702</v>
      </c>
      <c r="F2" s="8">
        <v>64.675519499999993</v>
      </c>
      <c r="G2" s="8">
        <v>-147.057196242</v>
      </c>
    </row>
    <row r="3" spans="1:8" ht="30" x14ac:dyDescent="0.25">
      <c r="A3" s="8" t="s">
        <v>3893</v>
      </c>
      <c r="B3" s="8" t="s">
        <v>3894</v>
      </c>
      <c r="C3" s="8" t="s">
        <v>3895</v>
      </c>
      <c r="D3" s="8" t="s">
        <v>1862</v>
      </c>
      <c r="E3" s="8">
        <v>35023</v>
      </c>
      <c r="F3" s="8">
        <v>33.401776599999998</v>
      </c>
      <c r="G3" s="8">
        <v>-86.954436999999999</v>
      </c>
    </row>
    <row r="4" spans="1:8" ht="30" x14ac:dyDescent="0.25">
      <c r="A4" s="8" t="s">
        <v>3896</v>
      </c>
      <c r="B4" s="8" t="s">
        <v>3897</v>
      </c>
      <c r="C4" s="8" t="s">
        <v>3895</v>
      </c>
      <c r="D4" s="8" t="s">
        <v>1862</v>
      </c>
      <c r="E4" s="8">
        <v>35203</v>
      </c>
      <c r="F4" s="8">
        <v>33.512273700000001</v>
      </c>
      <c r="G4" s="8">
        <v>-86.807144100000002</v>
      </c>
      <c r="H4" s="53"/>
    </row>
    <row r="5" spans="1:8" ht="30" x14ac:dyDescent="0.25">
      <c r="A5" s="8" t="s">
        <v>3898</v>
      </c>
      <c r="B5" s="8" t="s">
        <v>3899</v>
      </c>
      <c r="C5" s="8" t="s">
        <v>3900</v>
      </c>
      <c r="D5" s="8" t="s">
        <v>1862</v>
      </c>
      <c r="E5" s="8">
        <v>35802</v>
      </c>
      <c r="F5" s="8">
        <v>34.729846999999999</v>
      </c>
      <c r="G5" s="8">
        <v>-86.585901100000001</v>
      </c>
    </row>
    <row r="6" spans="1:8" x14ac:dyDescent="0.25">
      <c r="A6" s="8" t="s">
        <v>3901</v>
      </c>
      <c r="B6" s="8" t="s">
        <v>3902</v>
      </c>
      <c r="C6" s="8" t="s">
        <v>3903</v>
      </c>
      <c r="D6" s="8" t="s">
        <v>1862</v>
      </c>
      <c r="E6" s="8">
        <v>35602</v>
      </c>
      <c r="F6" s="8">
        <v>34.606020299999997</v>
      </c>
      <c r="G6" s="8">
        <v>-86.983816500000003</v>
      </c>
    </row>
    <row r="7" spans="1:8" ht="30" x14ac:dyDescent="0.25">
      <c r="A7" s="8" t="s">
        <v>3904</v>
      </c>
      <c r="B7" s="8" t="s">
        <v>3905</v>
      </c>
      <c r="C7" s="8" t="s">
        <v>3905</v>
      </c>
      <c r="D7" s="8" t="s">
        <v>1862</v>
      </c>
      <c r="E7" s="8">
        <v>36108</v>
      </c>
      <c r="F7" s="8">
        <v>32.3669656</v>
      </c>
      <c r="G7" s="8">
        <v>-86.300648499999994</v>
      </c>
    </row>
    <row r="8" spans="1:8" x14ac:dyDescent="0.25">
      <c r="A8" s="8" t="s">
        <v>3906</v>
      </c>
      <c r="B8" s="8" t="s">
        <v>3907</v>
      </c>
      <c r="C8" s="8" t="s">
        <v>3907</v>
      </c>
      <c r="D8" s="8" t="s">
        <v>1862</v>
      </c>
      <c r="E8" s="8">
        <v>36603</v>
      </c>
      <c r="F8" s="8">
        <v>30.694356599999999</v>
      </c>
      <c r="G8" s="8">
        <v>-88.043054100000006</v>
      </c>
    </row>
    <row r="9" spans="1:8" ht="30" x14ac:dyDescent="0.25">
      <c r="A9" s="8" t="s">
        <v>3908</v>
      </c>
      <c r="B9" s="8" t="s">
        <v>3909</v>
      </c>
      <c r="C9" s="8" t="s">
        <v>3909</v>
      </c>
      <c r="D9" s="8" t="s">
        <v>1862</v>
      </c>
      <c r="E9" s="8">
        <v>35401</v>
      </c>
      <c r="F9" s="8">
        <v>33.193384600000002</v>
      </c>
      <c r="G9" s="8">
        <v>-87.559966900000006</v>
      </c>
    </row>
    <row r="10" spans="1:8" ht="30" x14ac:dyDescent="0.25">
      <c r="A10" s="8" t="s">
        <v>3910</v>
      </c>
      <c r="B10" s="8" t="s">
        <v>3905</v>
      </c>
      <c r="C10" s="8" t="s">
        <v>3905</v>
      </c>
      <c r="D10" s="8" t="s">
        <v>1862</v>
      </c>
      <c r="E10" s="8">
        <v>36104</v>
      </c>
      <c r="F10" s="8">
        <v>32.3669656</v>
      </c>
      <c r="G10" s="8">
        <v>-86.300648499999994</v>
      </c>
    </row>
    <row r="11" spans="1:8" ht="30" x14ac:dyDescent="0.25">
      <c r="A11" s="8" t="s">
        <v>3911</v>
      </c>
      <c r="B11" s="8" t="s">
        <v>3912</v>
      </c>
      <c r="C11" s="8" t="s">
        <v>3895</v>
      </c>
      <c r="D11" s="8" t="s">
        <v>1862</v>
      </c>
      <c r="E11" s="8">
        <v>35068</v>
      </c>
      <c r="F11" s="8">
        <v>33.604826099999997</v>
      </c>
      <c r="G11" s="8">
        <v>-86.793880000000001</v>
      </c>
    </row>
    <row r="12" spans="1:8" x14ac:dyDescent="0.25">
      <c r="A12" s="8" t="s">
        <v>3913</v>
      </c>
      <c r="B12" s="8" t="s">
        <v>3907</v>
      </c>
      <c r="C12" s="8" t="s">
        <v>3907</v>
      </c>
      <c r="D12" s="8" t="s">
        <v>1862</v>
      </c>
      <c r="E12" s="8">
        <v>36604</v>
      </c>
      <c r="F12" s="8">
        <v>30.694356599999999</v>
      </c>
      <c r="G12" s="8">
        <v>-88.043054100000006</v>
      </c>
    </row>
    <row r="13" spans="1:8" x14ac:dyDescent="0.25">
      <c r="A13" s="8" t="s">
        <v>3914</v>
      </c>
      <c r="B13" s="8" t="s">
        <v>3915</v>
      </c>
      <c r="C13" s="8" t="s">
        <v>3916</v>
      </c>
      <c r="D13" s="8" t="s">
        <v>1862</v>
      </c>
      <c r="E13" s="8">
        <v>35951</v>
      </c>
      <c r="F13" s="8">
        <v>34.267593699999999</v>
      </c>
      <c r="G13" s="8">
        <v>-86.208866900000004</v>
      </c>
    </row>
    <row r="14" spans="1:8" x14ac:dyDescent="0.25">
      <c r="A14" s="8" t="s">
        <v>3917</v>
      </c>
      <c r="B14" s="8" t="s">
        <v>3918</v>
      </c>
      <c r="C14" s="8" t="s">
        <v>3919</v>
      </c>
      <c r="D14" s="8" t="s">
        <v>1862</v>
      </c>
      <c r="E14" s="8">
        <v>35901</v>
      </c>
      <c r="F14" s="8">
        <v>34.010928999999997</v>
      </c>
      <c r="G14" s="8">
        <v>-85.998959600000006</v>
      </c>
    </row>
    <row r="15" spans="1:8" x14ac:dyDescent="0.25">
      <c r="A15" s="8" t="s">
        <v>3920</v>
      </c>
      <c r="B15" s="8" t="s">
        <v>3921</v>
      </c>
      <c r="C15" s="8" t="s">
        <v>3922</v>
      </c>
      <c r="D15" s="8" t="s">
        <v>1862</v>
      </c>
      <c r="E15" s="8">
        <v>36203</v>
      </c>
      <c r="F15" s="8">
        <v>33.614921099999997</v>
      </c>
      <c r="G15" s="8">
        <v>-85.833939099999995</v>
      </c>
    </row>
    <row r="16" spans="1:8" x14ac:dyDescent="0.25">
      <c r="A16" s="8" t="s">
        <v>3923</v>
      </c>
      <c r="B16" s="8" t="s">
        <v>3924</v>
      </c>
      <c r="C16" s="8" t="s">
        <v>3925</v>
      </c>
      <c r="D16" s="8" t="s">
        <v>1862</v>
      </c>
      <c r="E16" s="8">
        <v>36868</v>
      </c>
      <c r="F16" s="8">
        <v>32.439831875000003</v>
      </c>
      <c r="G16" s="8">
        <v>-85.020164750000006</v>
      </c>
    </row>
    <row r="17" spans="1:7" x14ac:dyDescent="0.25">
      <c r="A17" s="8" t="s">
        <v>3926</v>
      </c>
      <c r="B17" s="8" t="s">
        <v>3918</v>
      </c>
      <c r="C17" s="8" t="s">
        <v>3919</v>
      </c>
      <c r="D17" s="8" t="s">
        <v>1862</v>
      </c>
      <c r="E17" s="8">
        <v>35903</v>
      </c>
      <c r="F17" s="8">
        <v>34.010928999999997</v>
      </c>
      <c r="G17" s="8">
        <v>-85.998959600000006</v>
      </c>
    </row>
    <row r="18" spans="1:7" x14ac:dyDescent="0.25">
      <c r="A18" s="8" t="s">
        <v>3927</v>
      </c>
      <c r="B18" s="8" t="s">
        <v>3928</v>
      </c>
      <c r="C18" s="8" t="s">
        <v>3916</v>
      </c>
      <c r="D18" s="8" t="s">
        <v>1862</v>
      </c>
      <c r="E18" s="8">
        <v>35957</v>
      </c>
      <c r="F18" s="8">
        <v>34.2006503</v>
      </c>
      <c r="G18" s="8">
        <v>-86.166365499999998</v>
      </c>
    </row>
    <row r="19" spans="1:7" x14ac:dyDescent="0.25">
      <c r="A19" s="8" t="s">
        <v>3929</v>
      </c>
      <c r="B19" s="8" t="s">
        <v>3930</v>
      </c>
      <c r="C19" s="8" t="s">
        <v>3931</v>
      </c>
      <c r="D19" s="8" t="s">
        <v>1862</v>
      </c>
      <c r="E19" s="8">
        <v>36701</v>
      </c>
      <c r="F19" s="8">
        <v>32.407863200000001</v>
      </c>
      <c r="G19" s="8">
        <v>-87.020747299999996</v>
      </c>
    </row>
    <row r="20" spans="1:7" x14ac:dyDescent="0.25">
      <c r="A20" s="8" t="s">
        <v>3932</v>
      </c>
      <c r="B20" s="8" t="s">
        <v>3933</v>
      </c>
      <c r="C20" s="8" t="s">
        <v>3933</v>
      </c>
      <c r="D20" s="8" t="s">
        <v>1862</v>
      </c>
      <c r="E20" s="8">
        <v>35055</v>
      </c>
      <c r="F20" s="8">
        <v>34.133533200000002</v>
      </c>
      <c r="G20" s="8">
        <v>-86.877926799999997</v>
      </c>
    </row>
    <row r="21" spans="1:7" ht="15.75" customHeight="1" x14ac:dyDescent="0.25">
      <c r="A21" s="8" t="s">
        <v>3934</v>
      </c>
      <c r="B21" s="8" t="s">
        <v>3935</v>
      </c>
      <c r="C21" s="8" t="s">
        <v>3936</v>
      </c>
      <c r="D21" s="8" t="s">
        <v>1862</v>
      </c>
      <c r="E21" s="8">
        <v>35040</v>
      </c>
      <c r="F21" s="8">
        <v>33.1035045</v>
      </c>
      <c r="G21" s="8">
        <v>-86.750573299999999</v>
      </c>
    </row>
    <row r="22" spans="1:7" ht="15.75" customHeight="1" x14ac:dyDescent="0.25">
      <c r="A22" s="8" t="s">
        <v>3937</v>
      </c>
      <c r="B22" s="8" t="s">
        <v>3938</v>
      </c>
      <c r="C22" s="8" t="s">
        <v>3938</v>
      </c>
      <c r="D22" s="8" t="s">
        <v>1862</v>
      </c>
      <c r="E22" s="8">
        <v>35160</v>
      </c>
      <c r="F22" s="8">
        <v>33.4359416</v>
      </c>
      <c r="G22" s="8">
        <v>-86.105804800000001</v>
      </c>
    </row>
    <row r="23" spans="1:7" ht="15.75" customHeight="1" x14ac:dyDescent="0.25">
      <c r="A23" s="8" t="s">
        <v>3939</v>
      </c>
      <c r="B23" s="8" t="s">
        <v>3940</v>
      </c>
      <c r="C23" s="8" t="s">
        <v>3922</v>
      </c>
      <c r="D23" s="8" t="s">
        <v>1862</v>
      </c>
      <c r="E23" s="8">
        <v>36265</v>
      </c>
      <c r="F23" s="8">
        <v>33.813716300000003</v>
      </c>
      <c r="G23" s="8">
        <v>-85.761347599999993</v>
      </c>
    </row>
    <row r="24" spans="1:7" ht="15.75" customHeight="1" x14ac:dyDescent="0.25">
      <c r="A24" s="8" t="s">
        <v>3941</v>
      </c>
      <c r="B24" s="8" t="s">
        <v>3942</v>
      </c>
      <c r="C24" s="8" t="s">
        <v>3907</v>
      </c>
      <c r="D24" s="8" t="s">
        <v>1862</v>
      </c>
      <c r="E24" s="8">
        <v>36509</v>
      </c>
      <c r="F24" s="8">
        <v>30.410012500000001</v>
      </c>
      <c r="G24" s="8">
        <v>-88.252790767999997</v>
      </c>
    </row>
    <row r="25" spans="1:7" ht="15.75" customHeight="1" x14ac:dyDescent="0.25">
      <c r="A25" s="8" t="s">
        <v>3943</v>
      </c>
      <c r="B25" s="8" t="s">
        <v>3905</v>
      </c>
      <c r="C25" s="8" t="s">
        <v>3905</v>
      </c>
      <c r="D25" s="8" t="s">
        <v>1862</v>
      </c>
      <c r="E25" s="8">
        <v>36109</v>
      </c>
      <c r="F25" s="8">
        <v>32.3669656</v>
      </c>
      <c r="G25" s="8">
        <v>-86.300648499999994</v>
      </c>
    </row>
    <row r="26" spans="1:7" ht="15.75" customHeight="1" x14ac:dyDescent="0.25">
      <c r="A26" s="8" t="s">
        <v>3944</v>
      </c>
      <c r="B26" s="8" t="s">
        <v>3944</v>
      </c>
      <c r="C26" s="8" t="s">
        <v>3945</v>
      </c>
      <c r="D26" s="8" t="s">
        <v>1862</v>
      </c>
      <c r="E26" s="8">
        <v>35674</v>
      </c>
      <c r="F26" s="8">
        <v>34.7312005</v>
      </c>
      <c r="G26" s="8">
        <v>-87.702529999999996</v>
      </c>
    </row>
    <row r="27" spans="1:7" ht="15.75" customHeight="1" x14ac:dyDescent="0.25">
      <c r="A27" s="8" t="s">
        <v>3946</v>
      </c>
      <c r="B27" s="8" t="s">
        <v>3947</v>
      </c>
      <c r="C27" s="8" t="s">
        <v>3948</v>
      </c>
      <c r="D27" s="8" t="s">
        <v>1184</v>
      </c>
      <c r="E27" s="8">
        <v>72206</v>
      </c>
      <c r="F27" s="8">
        <v>34.642982199999999</v>
      </c>
      <c r="G27" s="8">
        <v>-92.243348699999999</v>
      </c>
    </row>
    <row r="28" spans="1:7" ht="15.75" customHeight="1" x14ac:dyDescent="0.25">
      <c r="A28" s="8" t="s">
        <v>3949</v>
      </c>
      <c r="B28" s="8" t="s">
        <v>3950</v>
      </c>
      <c r="C28" s="8" t="s">
        <v>3951</v>
      </c>
      <c r="D28" s="8" t="s">
        <v>1184</v>
      </c>
      <c r="E28" s="8">
        <v>71901</v>
      </c>
      <c r="F28" s="8">
        <v>34.502621494499998</v>
      </c>
      <c r="G28" s="8">
        <v>-93.014182848299995</v>
      </c>
    </row>
    <row r="29" spans="1:7" ht="15.75" customHeight="1" x14ac:dyDescent="0.25">
      <c r="A29" s="8" t="s">
        <v>3952</v>
      </c>
      <c r="B29" s="8" t="s">
        <v>3953</v>
      </c>
      <c r="C29" s="8" t="s">
        <v>724</v>
      </c>
      <c r="D29" s="8" t="s">
        <v>1184</v>
      </c>
      <c r="E29" s="8">
        <v>72704</v>
      </c>
      <c r="F29" s="8">
        <v>36.119744400000002</v>
      </c>
      <c r="G29" s="8">
        <v>-94.335963500000005</v>
      </c>
    </row>
    <row r="30" spans="1:7" ht="15.75" customHeight="1" x14ac:dyDescent="0.25">
      <c r="A30" s="8" t="s">
        <v>3954</v>
      </c>
      <c r="B30" s="8" t="s">
        <v>3902</v>
      </c>
      <c r="C30" s="8" t="s">
        <v>3955</v>
      </c>
      <c r="D30" s="8" t="s">
        <v>1184</v>
      </c>
      <c r="E30" s="8">
        <v>72722</v>
      </c>
      <c r="F30" s="8">
        <v>36.335911199999998</v>
      </c>
      <c r="G30" s="8">
        <v>-94.460770699999998</v>
      </c>
    </row>
    <row r="31" spans="1:7" ht="15.75" customHeight="1" x14ac:dyDescent="0.25">
      <c r="A31" s="8" t="s">
        <v>3956</v>
      </c>
      <c r="B31" s="8" t="s">
        <v>3957</v>
      </c>
      <c r="C31" s="8" t="s">
        <v>3958</v>
      </c>
      <c r="D31" s="8" t="s">
        <v>1184</v>
      </c>
      <c r="E31" s="8">
        <v>72032</v>
      </c>
      <c r="F31" s="8">
        <v>35.088696300000002</v>
      </c>
      <c r="G31" s="8">
        <v>-92.442101100000002</v>
      </c>
    </row>
    <row r="32" spans="1:7" ht="15.75" customHeight="1" x14ac:dyDescent="0.25">
      <c r="A32" s="8" t="s">
        <v>3959</v>
      </c>
      <c r="B32" s="8" t="s">
        <v>3960</v>
      </c>
      <c r="C32" s="8" t="s">
        <v>59</v>
      </c>
      <c r="D32" s="8" t="s">
        <v>60</v>
      </c>
      <c r="E32" s="8">
        <v>85009</v>
      </c>
      <c r="F32" s="8">
        <v>33.448586599999999</v>
      </c>
      <c r="G32" s="8">
        <v>-112.0773456</v>
      </c>
    </row>
    <row r="33" spans="1:7" ht="15.75" customHeight="1" x14ac:dyDescent="0.25">
      <c r="A33" s="8" t="s">
        <v>3961</v>
      </c>
      <c r="B33" s="8" t="s">
        <v>3962</v>
      </c>
      <c r="C33" s="8" t="s">
        <v>3963</v>
      </c>
      <c r="D33" s="8" t="s">
        <v>60</v>
      </c>
      <c r="E33" s="8">
        <v>85743</v>
      </c>
      <c r="F33" s="8">
        <v>32.33</v>
      </c>
      <c r="G33" s="8">
        <v>-111.06</v>
      </c>
    </row>
    <row r="34" spans="1:7" ht="15.75" customHeight="1" x14ac:dyDescent="0.25">
      <c r="A34" s="8" t="s">
        <v>3964</v>
      </c>
      <c r="B34" s="8" t="s">
        <v>3965</v>
      </c>
      <c r="C34" s="8" t="s">
        <v>3966</v>
      </c>
      <c r="D34" s="8" t="s">
        <v>60</v>
      </c>
      <c r="E34" s="8">
        <v>85383</v>
      </c>
      <c r="F34" s="8">
        <v>33.450049700000001</v>
      </c>
      <c r="G34" s="8">
        <v>-112.2593093</v>
      </c>
    </row>
    <row r="35" spans="1:7" ht="15.75" customHeight="1" x14ac:dyDescent="0.25">
      <c r="A35" s="8" t="s">
        <v>3967</v>
      </c>
      <c r="B35" s="8" t="s">
        <v>3968</v>
      </c>
      <c r="C35" s="8" t="s">
        <v>3969</v>
      </c>
      <c r="D35" s="8" t="s">
        <v>60</v>
      </c>
      <c r="E35" s="8">
        <v>86004</v>
      </c>
      <c r="F35" s="8">
        <v>35.199458</v>
      </c>
      <c r="G35" s="8">
        <v>-111.65142590000001</v>
      </c>
    </row>
    <row r="36" spans="1:7" ht="15.75" customHeight="1" x14ac:dyDescent="0.25">
      <c r="A36" s="8" t="s">
        <v>3970</v>
      </c>
      <c r="B36" s="8" t="s">
        <v>3971</v>
      </c>
      <c r="C36" s="8" t="s">
        <v>3971</v>
      </c>
      <c r="D36" s="8" t="s">
        <v>60</v>
      </c>
      <c r="E36" s="8">
        <v>85364</v>
      </c>
      <c r="F36" s="8">
        <v>32.729999999999997</v>
      </c>
      <c r="G36" s="8">
        <v>-114.66</v>
      </c>
    </row>
    <row r="37" spans="1:7" ht="15.75" customHeight="1" x14ac:dyDescent="0.25">
      <c r="A37" s="8" t="s">
        <v>3972</v>
      </c>
      <c r="B37" s="8" t="s">
        <v>3973</v>
      </c>
      <c r="C37" s="8" t="s">
        <v>59</v>
      </c>
      <c r="D37" s="8" t="s">
        <v>60</v>
      </c>
      <c r="E37" s="8">
        <v>85297</v>
      </c>
      <c r="F37" s="8">
        <v>33.352825899999999</v>
      </c>
      <c r="G37" s="8">
        <v>-111.7890239</v>
      </c>
    </row>
    <row r="38" spans="1:7" ht="15.75" customHeight="1" x14ac:dyDescent="0.25">
      <c r="A38" s="8" t="s">
        <v>3974</v>
      </c>
      <c r="B38" s="8" t="s">
        <v>3975</v>
      </c>
      <c r="C38" s="8" t="s">
        <v>3976</v>
      </c>
      <c r="D38" s="8" t="s">
        <v>68</v>
      </c>
      <c r="E38" s="8">
        <v>90293</v>
      </c>
      <c r="F38" s="8">
        <v>33.9550828</v>
      </c>
      <c r="G38" s="8">
        <v>-118.4367496</v>
      </c>
    </row>
    <row r="39" spans="1:7" ht="15.75" customHeight="1" x14ac:dyDescent="0.25">
      <c r="A39" s="8" t="s">
        <v>3977</v>
      </c>
      <c r="B39" s="8" t="s">
        <v>3978</v>
      </c>
      <c r="C39" s="8" t="s">
        <v>3979</v>
      </c>
      <c r="D39" s="8" t="s">
        <v>68</v>
      </c>
      <c r="E39" s="8">
        <v>90745</v>
      </c>
      <c r="F39" s="8">
        <v>33.820097699999998</v>
      </c>
      <c r="G39" s="8">
        <v>-118.2863857</v>
      </c>
    </row>
    <row r="40" spans="1:7" ht="15.75" customHeight="1" x14ac:dyDescent="0.25">
      <c r="A40" s="8" t="s">
        <v>3980</v>
      </c>
      <c r="B40" s="8" t="s">
        <v>1996</v>
      </c>
      <c r="C40" s="8" t="s">
        <v>3981</v>
      </c>
      <c r="D40" s="8" t="s">
        <v>68</v>
      </c>
      <c r="E40" s="8">
        <v>92111</v>
      </c>
      <c r="F40" s="8">
        <v>32.801043465200003</v>
      </c>
      <c r="G40" s="8">
        <v>-117.17296777999999</v>
      </c>
    </row>
    <row r="41" spans="1:7" ht="15.75" customHeight="1" x14ac:dyDescent="0.25">
      <c r="A41" s="8" t="s">
        <v>3982</v>
      </c>
      <c r="B41" s="8" t="s">
        <v>1311</v>
      </c>
      <c r="C41" s="8" t="s">
        <v>1275</v>
      </c>
      <c r="D41" s="8" t="s">
        <v>68</v>
      </c>
      <c r="E41" s="8">
        <v>95831</v>
      </c>
      <c r="F41" s="8">
        <v>38.408799299999998</v>
      </c>
      <c r="G41" s="8">
        <v>-121.3716178</v>
      </c>
    </row>
    <row r="42" spans="1:7" ht="15.75" customHeight="1" x14ac:dyDescent="0.25">
      <c r="A42" s="8" t="s">
        <v>3983</v>
      </c>
      <c r="B42" s="8" t="s">
        <v>3984</v>
      </c>
      <c r="C42" s="8" t="s">
        <v>1966</v>
      </c>
      <c r="D42" s="8" t="s">
        <v>68</v>
      </c>
      <c r="E42" s="8">
        <v>92646</v>
      </c>
      <c r="F42" s="8">
        <v>33.669225889899998</v>
      </c>
      <c r="G42" s="8">
        <v>-117.96741465700001</v>
      </c>
    </row>
    <row r="43" spans="1:7" ht="15.75" customHeight="1" x14ac:dyDescent="0.25">
      <c r="A43" s="8" t="s">
        <v>3985</v>
      </c>
      <c r="B43" s="8" t="s">
        <v>3986</v>
      </c>
      <c r="C43" s="8" t="s">
        <v>1911</v>
      </c>
      <c r="D43" s="8" t="s">
        <v>68</v>
      </c>
      <c r="E43" s="8">
        <v>95134</v>
      </c>
      <c r="F43" s="8">
        <v>37.329708500000002</v>
      </c>
      <c r="G43" s="8">
        <v>-121.90315990000001</v>
      </c>
    </row>
    <row r="44" spans="1:7" ht="15.75" customHeight="1" x14ac:dyDescent="0.25">
      <c r="A44" s="8" t="s">
        <v>3987</v>
      </c>
      <c r="B44" s="8" t="s">
        <v>2712</v>
      </c>
      <c r="C44" s="8" t="s">
        <v>3988</v>
      </c>
      <c r="D44" s="8" t="s">
        <v>68</v>
      </c>
      <c r="E44" s="8">
        <v>94608</v>
      </c>
      <c r="F44" s="8">
        <v>37.804455699999998</v>
      </c>
      <c r="G44" s="8">
        <v>-122.27135629999999</v>
      </c>
    </row>
    <row r="45" spans="1:7" ht="15.75" customHeight="1" x14ac:dyDescent="0.25">
      <c r="A45" s="8" t="s">
        <v>3989</v>
      </c>
      <c r="B45" s="8" t="s">
        <v>3990</v>
      </c>
      <c r="C45" s="8" t="s">
        <v>3991</v>
      </c>
      <c r="D45" s="8" t="s">
        <v>68</v>
      </c>
      <c r="E45" s="8">
        <v>90607</v>
      </c>
      <c r="F45" s="8">
        <v>33.974893199999997</v>
      </c>
      <c r="G45" s="8">
        <v>-118.0336975</v>
      </c>
    </row>
    <row r="46" spans="1:7" ht="15.75" customHeight="1" x14ac:dyDescent="0.25">
      <c r="A46" s="8" t="s">
        <v>3992</v>
      </c>
      <c r="B46" s="8" t="s">
        <v>3993</v>
      </c>
      <c r="C46" s="8" t="s">
        <v>3993</v>
      </c>
      <c r="D46" s="8" t="s">
        <v>68</v>
      </c>
      <c r="E46" s="8">
        <v>94124</v>
      </c>
      <c r="F46" s="8">
        <v>37.716299999999997</v>
      </c>
      <c r="G46" s="8">
        <v>-122.3945623</v>
      </c>
    </row>
    <row r="47" spans="1:7" ht="15.75" customHeight="1" x14ac:dyDescent="0.25">
      <c r="A47" s="8" t="s">
        <v>3994</v>
      </c>
      <c r="B47" s="8" t="s">
        <v>3995</v>
      </c>
      <c r="C47" s="8" t="s">
        <v>3991</v>
      </c>
      <c r="D47" s="8" t="s">
        <v>68</v>
      </c>
      <c r="E47" s="8">
        <v>91406</v>
      </c>
      <c r="F47" s="8">
        <v>34.186658100000002</v>
      </c>
      <c r="G47" s="8">
        <v>-118.448729</v>
      </c>
    </row>
    <row r="48" spans="1:7" ht="15.75" customHeight="1" x14ac:dyDescent="0.25">
      <c r="A48" s="8" t="s">
        <v>3996</v>
      </c>
      <c r="B48" s="8" t="s">
        <v>3997</v>
      </c>
      <c r="C48" s="8" t="s">
        <v>3998</v>
      </c>
      <c r="D48" s="8" t="s">
        <v>68</v>
      </c>
      <c r="E48" s="8">
        <v>95206</v>
      </c>
      <c r="F48" s="8">
        <v>37.9577016</v>
      </c>
      <c r="G48" s="8">
        <v>-121.29077959999999</v>
      </c>
    </row>
    <row r="49" spans="1:12" ht="15.75" customHeight="1" x14ac:dyDescent="0.25">
      <c r="A49" s="8" t="s">
        <v>3999</v>
      </c>
      <c r="B49" s="8" t="s">
        <v>1554</v>
      </c>
      <c r="C49" s="8" t="s">
        <v>4000</v>
      </c>
      <c r="D49" s="8" t="s">
        <v>68</v>
      </c>
      <c r="E49" s="8">
        <v>91761</v>
      </c>
      <c r="F49" s="8">
        <v>34.065846000000001</v>
      </c>
      <c r="G49" s="8">
        <v>-117.6484304</v>
      </c>
    </row>
    <row r="50" spans="1:12" ht="15.75" customHeight="1" x14ac:dyDescent="0.25">
      <c r="A50" s="8" t="s">
        <v>4001</v>
      </c>
      <c r="B50" s="8" t="s">
        <v>4002</v>
      </c>
      <c r="C50" s="8" t="s">
        <v>3991</v>
      </c>
      <c r="D50" s="8" t="s">
        <v>68</v>
      </c>
      <c r="E50" s="8">
        <v>90703</v>
      </c>
      <c r="F50" s="8">
        <v>33.864429100000002</v>
      </c>
      <c r="G50" s="8">
        <v>-118.0539323</v>
      </c>
    </row>
    <row r="51" spans="1:12" ht="15.75" customHeight="1" x14ac:dyDescent="0.25">
      <c r="A51" s="8" t="s">
        <v>4003</v>
      </c>
      <c r="B51" s="8" t="s">
        <v>4000</v>
      </c>
      <c r="C51" s="8" t="s">
        <v>4004</v>
      </c>
      <c r="D51" s="8" t="s">
        <v>68</v>
      </c>
      <c r="E51" s="8">
        <v>92408</v>
      </c>
      <c r="F51" s="8">
        <v>34.074042818400002</v>
      </c>
      <c r="G51" s="8">
        <v>-117.274868716</v>
      </c>
    </row>
    <row r="52" spans="1:12" ht="15.75" customHeight="1" x14ac:dyDescent="0.25">
      <c r="A52" s="8" t="s">
        <v>4005</v>
      </c>
      <c r="B52" s="8" t="s">
        <v>268</v>
      </c>
      <c r="C52" s="8" t="s">
        <v>1916</v>
      </c>
      <c r="D52" s="8" t="s">
        <v>68</v>
      </c>
      <c r="E52" s="8">
        <v>94587</v>
      </c>
      <c r="F52" s="8">
        <v>37.582716699999999</v>
      </c>
      <c r="G52" s="8">
        <v>-122.02365159999999</v>
      </c>
    </row>
    <row r="53" spans="1:12" ht="15.75" customHeight="1" x14ac:dyDescent="0.25">
      <c r="A53" s="8" t="s">
        <v>4006</v>
      </c>
      <c r="B53" s="8" t="s">
        <v>4007</v>
      </c>
      <c r="C53" s="8" t="s">
        <v>4008</v>
      </c>
      <c r="D53" s="8" t="s">
        <v>68</v>
      </c>
      <c r="E53" s="8">
        <v>93033</v>
      </c>
      <c r="F53" s="8">
        <v>34.197630799999999</v>
      </c>
      <c r="G53" s="8">
        <v>-119.18038180000001</v>
      </c>
    </row>
    <row r="54" spans="1:12" ht="15.75" customHeight="1" x14ac:dyDescent="0.25">
      <c r="A54" s="8" t="s">
        <v>6605</v>
      </c>
      <c r="B54" s="8" t="s">
        <v>6606</v>
      </c>
      <c r="C54" s="8" t="s">
        <v>1064</v>
      </c>
      <c r="D54" s="8" t="s">
        <v>68</v>
      </c>
      <c r="E54" s="8">
        <v>90731</v>
      </c>
      <c r="F54" s="8">
        <v>33.751196700000001</v>
      </c>
      <c r="G54" s="8">
        <v>-118.2579623</v>
      </c>
    </row>
    <row r="55" spans="1:12" ht="15.75" customHeight="1" x14ac:dyDescent="0.25">
      <c r="A55" s="8" t="s">
        <v>4009</v>
      </c>
      <c r="B55" s="8" t="s">
        <v>4010</v>
      </c>
      <c r="C55" s="8" t="s">
        <v>4011</v>
      </c>
      <c r="D55" s="8" t="s">
        <v>68</v>
      </c>
      <c r="E55" s="8">
        <v>93933</v>
      </c>
      <c r="F55" s="8">
        <v>36.690078499999998</v>
      </c>
      <c r="G55" s="8">
        <v>-121.80063982999999</v>
      </c>
    </row>
    <row r="56" spans="1:12" ht="15.75" customHeight="1" x14ac:dyDescent="0.25">
      <c r="A56" s="8" t="s">
        <v>4012</v>
      </c>
      <c r="B56" s="8" t="s">
        <v>4013</v>
      </c>
      <c r="C56" s="8" t="s">
        <v>2012</v>
      </c>
      <c r="D56" s="8" t="s">
        <v>68</v>
      </c>
      <c r="E56" s="8">
        <v>94065</v>
      </c>
      <c r="F56" s="8">
        <v>37.534611282599997</v>
      </c>
      <c r="G56" s="8">
        <v>-122.252282592</v>
      </c>
    </row>
    <row r="57" spans="1:12" ht="15.75" customHeight="1" x14ac:dyDescent="0.25">
      <c r="A57" s="8" t="s">
        <v>4014</v>
      </c>
      <c r="B57" s="8" t="s">
        <v>4015</v>
      </c>
      <c r="C57" s="8" t="s">
        <v>4016</v>
      </c>
      <c r="D57" s="8" t="s">
        <v>68</v>
      </c>
      <c r="E57" s="8">
        <v>95351</v>
      </c>
      <c r="F57" s="8">
        <v>37.639097200000002</v>
      </c>
      <c r="G57" s="8">
        <v>-120.9968782</v>
      </c>
      <c r="L57" s="54"/>
    </row>
    <row r="58" spans="1:12" ht="15.75" customHeight="1" x14ac:dyDescent="0.25">
      <c r="A58" s="8" t="s">
        <v>4017</v>
      </c>
      <c r="B58" s="8" t="s">
        <v>4018</v>
      </c>
      <c r="C58" s="8" t="s">
        <v>3991</v>
      </c>
      <c r="D58" s="8" t="s">
        <v>68</v>
      </c>
      <c r="E58" s="8">
        <v>90815</v>
      </c>
      <c r="F58" s="8">
        <v>33.793944400000001</v>
      </c>
      <c r="G58" s="8">
        <v>-118.1373603</v>
      </c>
      <c r="H58" s="55"/>
      <c r="L58" s="54"/>
    </row>
    <row r="59" spans="1:12" ht="15.75" customHeight="1" x14ac:dyDescent="0.25">
      <c r="A59" s="8" t="s">
        <v>4019</v>
      </c>
      <c r="B59" s="8" t="s">
        <v>4020</v>
      </c>
      <c r="C59" s="8" t="s">
        <v>4021</v>
      </c>
      <c r="D59" s="8" t="s">
        <v>68</v>
      </c>
      <c r="E59" s="8">
        <v>94089</v>
      </c>
      <c r="F59" s="8">
        <v>37.368830099999997</v>
      </c>
      <c r="G59" s="8">
        <v>-122.03634959999999</v>
      </c>
      <c r="H59" s="55"/>
      <c r="L59" s="54"/>
    </row>
    <row r="60" spans="1:12" ht="15.75" customHeight="1" x14ac:dyDescent="0.25">
      <c r="A60" s="8" t="s">
        <v>4022</v>
      </c>
      <c r="B60" s="8" t="s">
        <v>1071</v>
      </c>
      <c r="C60" s="8" t="s">
        <v>2021</v>
      </c>
      <c r="D60" s="8" t="s">
        <v>68</v>
      </c>
      <c r="E60" s="8">
        <v>94534</v>
      </c>
      <c r="F60" s="8">
        <v>38.249358100000002</v>
      </c>
      <c r="G60" s="8">
        <v>-122.0399663</v>
      </c>
      <c r="H60" s="55"/>
      <c r="L60" s="54"/>
    </row>
    <row r="61" spans="1:12" ht="15.75" customHeight="1" x14ac:dyDescent="0.25">
      <c r="A61" s="8" t="s">
        <v>4023</v>
      </c>
      <c r="B61" s="8" t="s">
        <v>3993</v>
      </c>
      <c r="C61" s="8" t="s">
        <v>3993</v>
      </c>
      <c r="D61" s="8" t="s">
        <v>68</v>
      </c>
      <c r="E61" s="8">
        <v>94132</v>
      </c>
      <c r="F61" s="8">
        <v>37.736072700000001</v>
      </c>
      <c r="G61" s="8">
        <v>-122.4784629</v>
      </c>
      <c r="L61" s="54"/>
    </row>
    <row r="62" spans="1:12" ht="15.75" customHeight="1" x14ac:dyDescent="0.25">
      <c r="A62" s="8" t="s">
        <v>4024</v>
      </c>
      <c r="B62" s="8" t="s">
        <v>4025</v>
      </c>
      <c r="C62" s="8" t="s">
        <v>2045</v>
      </c>
      <c r="D62" s="8" t="s">
        <v>68</v>
      </c>
      <c r="E62" s="8">
        <v>95407</v>
      </c>
      <c r="F62" s="8">
        <v>38.440467499999997</v>
      </c>
      <c r="G62" s="8">
        <v>-122.7144314</v>
      </c>
      <c r="L62" s="54"/>
    </row>
    <row r="63" spans="1:12" ht="15.75" customHeight="1" x14ac:dyDescent="0.25">
      <c r="A63" s="8" t="s">
        <v>4026</v>
      </c>
      <c r="B63" s="8" t="s">
        <v>1925</v>
      </c>
      <c r="C63" s="8" t="s">
        <v>1925</v>
      </c>
      <c r="D63" s="8" t="s">
        <v>68</v>
      </c>
      <c r="E63" s="8">
        <v>95060</v>
      </c>
      <c r="F63" s="8">
        <v>36.968756550199998</v>
      </c>
      <c r="G63" s="8">
        <v>-122.036591035</v>
      </c>
    </row>
    <row r="64" spans="1:12" ht="15.75" customHeight="1" x14ac:dyDescent="0.25">
      <c r="A64" s="8" t="s">
        <v>4027</v>
      </c>
      <c r="B64" s="8" t="s">
        <v>4028</v>
      </c>
      <c r="C64" s="8" t="s">
        <v>3981</v>
      </c>
      <c r="D64" s="8" t="s">
        <v>68</v>
      </c>
      <c r="E64" s="8" t="s">
        <v>4029</v>
      </c>
      <c r="F64" s="8">
        <v>33.121675099999997</v>
      </c>
      <c r="G64" s="8">
        <v>-117.08148490000001</v>
      </c>
      <c r="I64" s="56"/>
      <c r="J64" s="56"/>
      <c r="K64" s="56"/>
      <c r="L64" s="56"/>
    </row>
    <row r="65" spans="1:12" ht="15.75" customHeight="1" x14ac:dyDescent="0.25">
      <c r="A65" s="8" t="s">
        <v>4030</v>
      </c>
      <c r="B65" s="8" t="s">
        <v>4031</v>
      </c>
      <c r="C65" s="8" t="s">
        <v>3979</v>
      </c>
      <c r="D65" s="8" t="s">
        <v>68</v>
      </c>
      <c r="E65" s="8">
        <v>91355</v>
      </c>
      <c r="F65" s="8">
        <v>34.413818999999997</v>
      </c>
      <c r="G65" s="8">
        <v>-118.56103779999999</v>
      </c>
      <c r="L65" s="56"/>
    </row>
    <row r="66" spans="1:12" ht="15.75" customHeight="1" x14ac:dyDescent="0.25">
      <c r="A66" s="8" t="s">
        <v>4032</v>
      </c>
      <c r="B66" s="8" t="s">
        <v>4033</v>
      </c>
      <c r="C66" s="8" t="s">
        <v>4034</v>
      </c>
      <c r="D66" s="8" t="s">
        <v>68</v>
      </c>
      <c r="E66" s="8">
        <v>93292</v>
      </c>
      <c r="F66" s="8">
        <v>36.330228400000003</v>
      </c>
      <c r="G66" s="8">
        <v>-119.2920585</v>
      </c>
      <c r="L66" s="56"/>
    </row>
    <row r="67" spans="1:12" ht="15.75" customHeight="1" x14ac:dyDescent="0.25">
      <c r="A67" s="8" t="s">
        <v>4035</v>
      </c>
      <c r="B67" s="8" t="s">
        <v>4036</v>
      </c>
      <c r="C67" s="8" t="s">
        <v>1916</v>
      </c>
      <c r="D67" s="8" t="s">
        <v>68</v>
      </c>
      <c r="E67" s="8">
        <v>94588</v>
      </c>
      <c r="F67" s="8">
        <v>37.6624312</v>
      </c>
      <c r="G67" s="8">
        <v>-121.87467890000001</v>
      </c>
      <c r="L67" s="56"/>
    </row>
    <row r="68" spans="1:12" ht="15.75" customHeight="1" x14ac:dyDescent="0.25">
      <c r="A68" s="8" t="s">
        <v>4037</v>
      </c>
      <c r="B68" s="8" t="s">
        <v>2077</v>
      </c>
      <c r="C68" s="8" t="s">
        <v>4038</v>
      </c>
      <c r="D68" s="8" t="s">
        <v>68</v>
      </c>
      <c r="E68" s="8">
        <v>94801</v>
      </c>
      <c r="F68" s="8">
        <v>37.936859499999997</v>
      </c>
      <c r="G68" s="8">
        <v>-122.353398</v>
      </c>
      <c r="L68" s="56"/>
    </row>
    <row r="69" spans="1:12" ht="15.75" customHeight="1" x14ac:dyDescent="0.25">
      <c r="A69" s="8" t="s">
        <v>6607</v>
      </c>
      <c r="B69" s="8" t="s">
        <v>4039</v>
      </c>
      <c r="C69" s="8" t="s">
        <v>4008</v>
      </c>
      <c r="D69" s="8" t="s">
        <v>68</v>
      </c>
      <c r="E69" s="8">
        <v>91302</v>
      </c>
      <c r="F69" s="8">
        <v>34.144664300000002</v>
      </c>
      <c r="G69" s="8">
        <v>-118.6440973</v>
      </c>
    </row>
    <row r="70" spans="1:12" ht="15.75" customHeight="1" x14ac:dyDescent="0.25">
      <c r="A70" s="8" t="s">
        <v>4040</v>
      </c>
      <c r="B70" s="8" t="s">
        <v>4041</v>
      </c>
      <c r="C70" s="8" t="s">
        <v>3991</v>
      </c>
      <c r="D70" s="8" t="s">
        <v>68</v>
      </c>
      <c r="E70" s="8">
        <v>91733</v>
      </c>
      <c r="F70" s="8">
        <v>34.075157099999998</v>
      </c>
      <c r="G70" s="8">
        <v>-118.036849</v>
      </c>
    </row>
    <row r="71" spans="1:12" ht="15.75" customHeight="1" x14ac:dyDescent="0.25">
      <c r="A71" s="8" t="s">
        <v>4042</v>
      </c>
      <c r="B71" s="8" t="s">
        <v>4043</v>
      </c>
      <c r="C71" s="8" t="s">
        <v>4044</v>
      </c>
      <c r="D71" s="8" t="s">
        <v>68</v>
      </c>
      <c r="E71" s="8">
        <v>91710</v>
      </c>
      <c r="F71" s="8">
        <v>34.013356100000003</v>
      </c>
      <c r="G71" s="8">
        <v>-117.69007499999999</v>
      </c>
    </row>
    <row r="72" spans="1:12" ht="15.75" customHeight="1" x14ac:dyDescent="0.25">
      <c r="A72" s="8" t="s">
        <v>4045</v>
      </c>
      <c r="B72" s="8" t="s">
        <v>3991</v>
      </c>
      <c r="C72" s="8" t="s">
        <v>3991</v>
      </c>
      <c r="D72" s="8" t="s">
        <v>68</v>
      </c>
      <c r="E72" s="8">
        <v>90039</v>
      </c>
      <c r="F72" s="8">
        <v>34.054935</v>
      </c>
      <c r="G72" s="8">
        <v>-118.24447600000001</v>
      </c>
    </row>
    <row r="73" spans="1:12" ht="15.75" customHeight="1" x14ac:dyDescent="0.25">
      <c r="A73" s="8" t="s">
        <v>4046</v>
      </c>
      <c r="B73" s="8" t="s">
        <v>4047</v>
      </c>
      <c r="C73" s="8" t="s">
        <v>4048</v>
      </c>
      <c r="D73" s="8" t="s">
        <v>68</v>
      </c>
      <c r="E73" s="8">
        <v>92612</v>
      </c>
      <c r="F73" s="8">
        <v>33.684474700000003</v>
      </c>
      <c r="G73" s="8">
        <v>-117.80850580000001</v>
      </c>
    </row>
    <row r="74" spans="1:12" ht="15.75" customHeight="1" x14ac:dyDescent="0.25">
      <c r="A74" s="8" t="s">
        <v>4051</v>
      </c>
      <c r="B74" s="8" t="s">
        <v>6608</v>
      </c>
      <c r="C74" s="8" t="s">
        <v>4052</v>
      </c>
      <c r="D74" s="8" t="s">
        <v>68</v>
      </c>
      <c r="E74" s="8">
        <v>93022</v>
      </c>
      <c r="F74" s="8">
        <v>34.343648999999999</v>
      </c>
      <c r="G74" s="8">
        <v>-119.29517101099999</v>
      </c>
    </row>
    <row r="75" spans="1:12" ht="15.75" customHeight="1" x14ac:dyDescent="0.25">
      <c r="A75" s="8" t="s">
        <v>4053</v>
      </c>
      <c r="B75" s="8" t="s">
        <v>4054</v>
      </c>
      <c r="C75" s="8" t="s">
        <v>3981</v>
      </c>
      <c r="D75" s="8" t="s">
        <v>68</v>
      </c>
      <c r="E75" s="8">
        <v>92054</v>
      </c>
      <c r="F75" s="8">
        <v>33.1912485</v>
      </c>
      <c r="G75" s="8">
        <v>-117.37860120000001</v>
      </c>
    </row>
    <row r="76" spans="1:12" ht="15.75" customHeight="1" x14ac:dyDescent="0.25">
      <c r="A76" s="8" t="s">
        <v>4055</v>
      </c>
      <c r="B76" s="8" t="s">
        <v>2012</v>
      </c>
      <c r="C76" s="8" t="s">
        <v>2012</v>
      </c>
      <c r="D76" s="8" t="s">
        <v>68</v>
      </c>
      <c r="E76" s="8">
        <v>94404</v>
      </c>
      <c r="F76" s="8">
        <v>37.543968399999997</v>
      </c>
      <c r="G76" s="8">
        <v>-122.30667889999999</v>
      </c>
    </row>
    <row r="77" spans="1:12" ht="15.75" customHeight="1" x14ac:dyDescent="0.25">
      <c r="A77" s="8" t="s">
        <v>4056</v>
      </c>
      <c r="B77" s="8" t="s">
        <v>4057</v>
      </c>
      <c r="C77" s="8" t="s">
        <v>4048</v>
      </c>
      <c r="D77" s="8" t="s">
        <v>68</v>
      </c>
      <c r="E77" s="8">
        <v>92629</v>
      </c>
      <c r="F77" s="8">
        <v>33.474126499999997</v>
      </c>
      <c r="G77" s="8">
        <v>-117.71726459999999</v>
      </c>
    </row>
    <row r="78" spans="1:12" ht="15.75" customHeight="1" x14ac:dyDescent="0.25">
      <c r="A78" s="8" t="s">
        <v>4058</v>
      </c>
      <c r="B78" s="8" t="s">
        <v>4059</v>
      </c>
      <c r="C78" s="8" t="s">
        <v>4060</v>
      </c>
      <c r="D78" s="8" t="s">
        <v>68</v>
      </c>
      <c r="E78" s="8">
        <v>94080</v>
      </c>
      <c r="F78" s="8">
        <v>37.655734600000002</v>
      </c>
      <c r="G78" s="8">
        <v>-122.40522660000001</v>
      </c>
    </row>
    <row r="79" spans="1:12" ht="15.75" customHeight="1" x14ac:dyDescent="0.25">
      <c r="A79" s="8" t="s">
        <v>4061</v>
      </c>
      <c r="B79" s="8" t="s">
        <v>4062</v>
      </c>
      <c r="C79" s="8" t="s">
        <v>4052</v>
      </c>
      <c r="D79" s="8" t="s">
        <v>68</v>
      </c>
      <c r="E79" s="8" t="s">
        <v>4063</v>
      </c>
      <c r="F79" s="8">
        <v>34.2754267543</v>
      </c>
      <c r="G79" s="8">
        <v>-118.777529234</v>
      </c>
    </row>
    <row r="80" spans="1:12" ht="15.75" customHeight="1" x14ac:dyDescent="0.25">
      <c r="A80" s="8" t="s">
        <v>6609</v>
      </c>
      <c r="B80" s="8" t="s">
        <v>4064</v>
      </c>
      <c r="C80" s="8" t="s">
        <v>4050</v>
      </c>
      <c r="D80" s="8" t="s">
        <v>68</v>
      </c>
      <c r="E80" s="8">
        <v>92530</v>
      </c>
      <c r="F80" s="8">
        <v>33.662388700000001</v>
      </c>
      <c r="G80" s="8">
        <v>-117.31492799999999</v>
      </c>
    </row>
    <row r="81" spans="1:7" ht="15.75" customHeight="1" x14ac:dyDescent="0.25">
      <c r="A81" s="8" t="s">
        <v>4065</v>
      </c>
      <c r="B81" s="8" t="s">
        <v>4066</v>
      </c>
      <c r="C81" s="8" t="s">
        <v>4052</v>
      </c>
      <c r="D81" s="8" t="s">
        <v>68</v>
      </c>
      <c r="E81" s="8">
        <v>93012</v>
      </c>
      <c r="F81" s="8">
        <v>34.2163939</v>
      </c>
      <c r="G81" s="8">
        <v>-119.0376024</v>
      </c>
    </row>
    <row r="82" spans="1:7" ht="15.75" customHeight="1" x14ac:dyDescent="0.25">
      <c r="A82" s="8" t="s">
        <v>4067</v>
      </c>
      <c r="B82" s="8" t="s">
        <v>4068</v>
      </c>
      <c r="C82" s="8" t="s">
        <v>3991</v>
      </c>
      <c r="D82" s="8" t="s">
        <v>68</v>
      </c>
      <c r="E82" s="8">
        <v>91502</v>
      </c>
      <c r="F82" s="8">
        <v>34.181648199999998</v>
      </c>
      <c r="G82" s="8">
        <v>-118.32585539999999</v>
      </c>
    </row>
    <row r="83" spans="1:7" ht="15.75" customHeight="1" x14ac:dyDescent="0.25">
      <c r="A83" s="8" t="s">
        <v>4069</v>
      </c>
      <c r="B83" s="8" t="s">
        <v>2037</v>
      </c>
      <c r="C83" s="8" t="s">
        <v>2037</v>
      </c>
      <c r="D83" s="8" t="s">
        <v>68</v>
      </c>
      <c r="E83" s="8">
        <v>93103</v>
      </c>
      <c r="F83" s="8">
        <v>34.422028391399998</v>
      </c>
      <c r="G83" s="8">
        <v>-119.676558856</v>
      </c>
    </row>
    <row r="84" spans="1:7" ht="15.75" customHeight="1" x14ac:dyDescent="0.25">
      <c r="A84" s="8" t="s">
        <v>4070</v>
      </c>
      <c r="B84" s="8" t="s">
        <v>4071</v>
      </c>
      <c r="C84" s="8" t="s">
        <v>4072</v>
      </c>
      <c r="D84" s="8" t="s">
        <v>68</v>
      </c>
      <c r="E84" s="8">
        <v>92394</v>
      </c>
      <c r="F84" s="8">
        <v>34.536106699999998</v>
      </c>
      <c r="G84" s="8">
        <v>-117.2911565</v>
      </c>
    </row>
    <row r="85" spans="1:7" ht="15.75" customHeight="1" x14ac:dyDescent="0.25">
      <c r="A85" s="8" t="s">
        <v>4073</v>
      </c>
      <c r="B85" s="8" t="s">
        <v>4074</v>
      </c>
      <c r="C85" s="8" t="s">
        <v>4044</v>
      </c>
      <c r="D85" s="8" t="s">
        <v>68</v>
      </c>
      <c r="E85" s="8" t="s">
        <v>4075</v>
      </c>
      <c r="F85" s="8">
        <v>34.060709000000003</v>
      </c>
      <c r="G85" s="8">
        <v>-117.400813723</v>
      </c>
    </row>
    <row r="86" spans="1:7" ht="15.75" customHeight="1" x14ac:dyDescent="0.25">
      <c r="A86" s="8" t="s">
        <v>4076</v>
      </c>
      <c r="B86" s="8" t="s">
        <v>4043</v>
      </c>
      <c r="C86" s="8" t="s">
        <v>4044</v>
      </c>
      <c r="D86" s="8" t="s">
        <v>68</v>
      </c>
      <c r="E86" s="8">
        <v>91710</v>
      </c>
      <c r="F86" s="8">
        <v>34.013356100000003</v>
      </c>
      <c r="G86" s="8">
        <v>-117.69007499999999</v>
      </c>
    </row>
    <row r="87" spans="1:7" ht="15.75" customHeight="1" x14ac:dyDescent="0.25">
      <c r="A87" s="8" t="s">
        <v>4077</v>
      </c>
      <c r="B87" s="8" t="s">
        <v>4078</v>
      </c>
      <c r="C87" s="8" t="s">
        <v>4079</v>
      </c>
      <c r="D87" s="8" t="s">
        <v>68</v>
      </c>
      <c r="E87" s="8">
        <v>95625</v>
      </c>
      <c r="F87" s="8">
        <v>38.352600000000002</v>
      </c>
      <c r="G87" s="8">
        <v>-121.910765821</v>
      </c>
    </row>
    <row r="88" spans="1:7" ht="15.75" customHeight="1" x14ac:dyDescent="0.25">
      <c r="A88" s="8" t="s">
        <v>4080</v>
      </c>
      <c r="B88" s="8" t="s">
        <v>4081</v>
      </c>
      <c r="C88" s="8" t="s">
        <v>4081</v>
      </c>
      <c r="D88" s="8" t="s">
        <v>68</v>
      </c>
      <c r="E88" s="8">
        <v>95340</v>
      </c>
      <c r="F88" s="8">
        <v>37.303381999999999</v>
      </c>
      <c r="G88" s="8">
        <v>-120.479883</v>
      </c>
    </row>
    <row r="89" spans="1:7" ht="15.75" customHeight="1" x14ac:dyDescent="0.25">
      <c r="A89" s="8" t="s">
        <v>4082</v>
      </c>
      <c r="B89" s="8" t="s">
        <v>4083</v>
      </c>
      <c r="C89" s="8" t="s">
        <v>1992</v>
      </c>
      <c r="D89" s="8" t="s">
        <v>68</v>
      </c>
      <c r="E89" s="8">
        <v>95928</v>
      </c>
      <c r="F89" s="8">
        <v>39.728494499999996</v>
      </c>
      <c r="G89" s="8">
        <v>-121.83747769999999</v>
      </c>
    </row>
    <row r="90" spans="1:7" ht="15.75" customHeight="1" x14ac:dyDescent="0.25">
      <c r="A90" s="8" t="s">
        <v>4084</v>
      </c>
      <c r="B90" s="8" t="s">
        <v>4085</v>
      </c>
      <c r="C90" s="8" t="s">
        <v>4086</v>
      </c>
      <c r="D90" s="8" t="s">
        <v>68</v>
      </c>
      <c r="E90" s="8">
        <v>93117</v>
      </c>
      <c r="F90" s="8">
        <v>34.435829400000003</v>
      </c>
      <c r="G90" s="8">
        <v>-119.8276389</v>
      </c>
    </row>
    <row r="91" spans="1:7" ht="15.75" customHeight="1" x14ac:dyDescent="0.25">
      <c r="A91" s="8" t="s">
        <v>4087</v>
      </c>
      <c r="B91" s="8" t="s">
        <v>4088</v>
      </c>
      <c r="C91" s="8" t="s">
        <v>3998</v>
      </c>
      <c r="D91" s="8" t="s">
        <v>68</v>
      </c>
      <c r="E91" s="8">
        <v>95376</v>
      </c>
      <c r="F91" s="8">
        <v>37.739651299999998</v>
      </c>
      <c r="G91" s="8">
        <v>-121.42522270000001</v>
      </c>
    </row>
    <row r="92" spans="1:7" ht="15.75" customHeight="1" x14ac:dyDescent="0.25">
      <c r="A92" s="8" t="s">
        <v>4089</v>
      </c>
      <c r="B92" s="8" t="s">
        <v>4090</v>
      </c>
      <c r="C92" s="8" t="s">
        <v>4091</v>
      </c>
      <c r="D92" s="8" t="s">
        <v>68</v>
      </c>
      <c r="E92" s="8">
        <v>96007</v>
      </c>
      <c r="F92" s="8">
        <v>40.586356299999998</v>
      </c>
      <c r="G92" s="8">
        <v>-122.3916754</v>
      </c>
    </row>
    <row r="93" spans="1:7" ht="15.75" customHeight="1" x14ac:dyDescent="0.25">
      <c r="A93" s="8" t="s">
        <v>4092</v>
      </c>
      <c r="B93" s="8" t="s">
        <v>4093</v>
      </c>
      <c r="C93" s="8" t="s">
        <v>4094</v>
      </c>
      <c r="D93" s="8" t="s">
        <v>68</v>
      </c>
      <c r="E93" s="8">
        <v>94551</v>
      </c>
      <c r="F93" s="8">
        <v>37.682058300000001</v>
      </c>
      <c r="G93" s="8">
        <v>-121.7680531</v>
      </c>
    </row>
    <row r="94" spans="1:7" ht="15.75" customHeight="1" x14ac:dyDescent="0.25">
      <c r="A94" s="8" t="s">
        <v>4095</v>
      </c>
      <c r="B94" s="8" t="s">
        <v>4096</v>
      </c>
      <c r="C94" s="8" t="s">
        <v>3998</v>
      </c>
      <c r="D94" s="8" t="s">
        <v>68</v>
      </c>
      <c r="E94" s="8" t="s">
        <v>4097</v>
      </c>
      <c r="F94" s="8">
        <v>38.1301968</v>
      </c>
      <c r="G94" s="8">
        <v>-121.2724473</v>
      </c>
    </row>
    <row r="95" spans="1:7" ht="15.75" customHeight="1" x14ac:dyDescent="0.25">
      <c r="A95" s="8" t="s">
        <v>4098</v>
      </c>
      <c r="B95" s="8" t="s">
        <v>4099</v>
      </c>
      <c r="C95" s="8" t="s">
        <v>4044</v>
      </c>
      <c r="D95" s="8" t="s">
        <v>68</v>
      </c>
      <c r="E95" s="8">
        <v>92324</v>
      </c>
      <c r="F95" s="8">
        <v>34.073901599999999</v>
      </c>
      <c r="G95" s="8">
        <v>-117.3136547</v>
      </c>
    </row>
    <row r="96" spans="1:7" ht="15.75" customHeight="1" x14ac:dyDescent="0.25">
      <c r="A96" s="8" t="s">
        <v>4100</v>
      </c>
      <c r="B96" s="8" t="s">
        <v>1924</v>
      </c>
      <c r="C96" s="8" t="s">
        <v>1925</v>
      </c>
      <c r="D96" s="8" t="s">
        <v>68</v>
      </c>
      <c r="E96" s="8">
        <v>95076</v>
      </c>
      <c r="F96" s="8">
        <v>36.952989600000002</v>
      </c>
      <c r="G96" s="8">
        <v>-121.769608972</v>
      </c>
    </row>
    <row r="97" spans="1:7" ht="15.75" customHeight="1" x14ac:dyDescent="0.25">
      <c r="A97" s="8" t="s">
        <v>4101</v>
      </c>
      <c r="B97" s="8" t="s">
        <v>4102</v>
      </c>
      <c r="C97" s="8" t="s">
        <v>4103</v>
      </c>
      <c r="D97" s="8" t="s">
        <v>68</v>
      </c>
      <c r="E97" s="8">
        <v>95616</v>
      </c>
      <c r="F97" s="8">
        <v>38.545378999999997</v>
      </c>
      <c r="G97" s="8">
        <v>-121.7445835</v>
      </c>
    </row>
    <row r="98" spans="1:7" ht="15.75" customHeight="1" x14ac:dyDescent="0.25">
      <c r="A98" s="8" t="s">
        <v>4104</v>
      </c>
      <c r="B98" s="8" t="s">
        <v>4105</v>
      </c>
      <c r="C98" s="8" t="s">
        <v>4106</v>
      </c>
      <c r="D98" s="8" t="s">
        <v>68</v>
      </c>
      <c r="E98" s="8">
        <v>95991</v>
      </c>
      <c r="F98" s="8">
        <v>39.140447700000003</v>
      </c>
      <c r="G98" s="8">
        <v>-121.6169108</v>
      </c>
    </row>
    <row r="99" spans="1:7" ht="15.75" customHeight="1" x14ac:dyDescent="0.25">
      <c r="A99" s="8" t="s">
        <v>4107</v>
      </c>
      <c r="B99" s="8" t="s">
        <v>4108</v>
      </c>
      <c r="C99" s="8" t="s">
        <v>3998</v>
      </c>
      <c r="D99" s="8" t="s">
        <v>68</v>
      </c>
      <c r="E99" s="8">
        <v>95336</v>
      </c>
      <c r="F99" s="8">
        <v>37.798618400000002</v>
      </c>
      <c r="G99" s="8">
        <v>-121.2117148</v>
      </c>
    </row>
    <row r="100" spans="1:7" ht="15.75" customHeight="1" x14ac:dyDescent="0.25">
      <c r="A100" s="8" t="s">
        <v>4109</v>
      </c>
      <c r="B100" s="8" t="s">
        <v>4110</v>
      </c>
      <c r="C100" s="8" t="s">
        <v>2012</v>
      </c>
      <c r="D100" s="8" t="s">
        <v>68</v>
      </c>
      <c r="E100" s="8">
        <v>94015</v>
      </c>
      <c r="F100" s="8">
        <v>37.705767100000003</v>
      </c>
      <c r="G100" s="8">
        <v>-122.46192050000001</v>
      </c>
    </row>
    <row r="101" spans="1:7" ht="15.75" customHeight="1" x14ac:dyDescent="0.25">
      <c r="A101" s="8" t="s">
        <v>4111</v>
      </c>
      <c r="B101" s="8" t="s">
        <v>4066</v>
      </c>
      <c r="C101" s="8" t="s">
        <v>4052</v>
      </c>
      <c r="D101" s="8" t="s">
        <v>68</v>
      </c>
      <c r="E101" s="8">
        <v>93012</v>
      </c>
      <c r="F101" s="8">
        <v>34.19</v>
      </c>
      <c r="G101" s="8">
        <v>-119</v>
      </c>
    </row>
    <row r="102" spans="1:7" ht="15.75" customHeight="1" x14ac:dyDescent="0.25">
      <c r="A102" s="8" t="s">
        <v>4112</v>
      </c>
      <c r="B102" s="8" t="s">
        <v>2044</v>
      </c>
      <c r="C102" s="8" t="s">
        <v>2045</v>
      </c>
      <c r="D102" s="8" t="s">
        <v>68</v>
      </c>
      <c r="E102" s="8">
        <v>94954</v>
      </c>
      <c r="F102" s="8">
        <v>38.270021999999997</v>
      </c>
      <c r="G102" s="8">
        <v>-122.60612241299999</v>
      </c>
    </row>
    <row r="103" spans="1:7" ht="15.75" customHeight="1" x14ac:dyDescent="0.25">
      <c r="A103" s="8" t="s">
        <v>4113</v>
      </c>
      <c r="B103" s="8" t="s">
        <v>2029</v>
      </c>
      <c r="C103" s="8" t="s">
        <v>4114</v>
      </c>
      <c r="D103" s="8" t="s">
        <v>68</v>
      </c>
      <c r="E103" s="8">
        <v>94945</v>
      </c>
      <c r="F103" s="8">
        <v>38.106197899999998</v>
      </c>
      <c r="G103" s="8">
        <v>-122.5681191</v>
      </c>
    </row>
    <row r="104" spans="1:7" ht="15.75" customHeight="1" x14ac:dyDescent="0.25">
      <c r="A104" s="8" t="s">
        <v>4115</v>
      </c>
      <c r="B104" s="8" t="s">
        <v>4116</v>
      </c>
      <c r="C104" s="8" t="s">
        <v>3991</v>
      </c>
      <c r="D104" s="8" t="s">
        <v>68</v>
      </c>
      <c r="E104" s="8">
        <v>91350</v>
      </c>
      <c r="F104" s="8">
        <v>34.449348899999997</v>
      </c>
      <c r="G104" s="8">
        <v>-118.5168257</v>
      </c>
    </row>
    <row r="105" spans="1:7" ht="15.75" customHeight="1" x14ac:dyDescent="0.25">
      <c r="A105" s="8" t="s">
        <v>4117</v>
      </c>
      <c r="B105" s="8" t="s">
        <v>4118</v>
      </c>
      <c r="C105" s="8" t="s">
        <v>4119</v>
      </c>
      <c r="D105" s="8" t="s">
        <v>68</v>
      </c>
      <c r="E105" s="8">
        <v>92227</v>
      </c>
      <c r="F105" s="8">
        <v>32.978656600000001</v>
      </c>
      <c r="G105" s="8">
        <v>-115.53026699999999</v>
      </c>
    </row>
    <row r="106" spans="1:7" ht="15.75" customHeight="1" x14ac:dyDescent="0.25">
      <c r="A106" s="8" t="s">
        <v>4120</v>
      </c>
      <c r="B106" s="8" t="s">
        <v>4121</v>
      </c>
      <c r="C106" s="8" t="s">
        <v>4081</v>
      </c>
      <c r="D106" s="8" t="s">
        <v>68</v>
      </c>
      <c r="E106" s="8">
        <v>95301</v>
      </c>
      <c r="F106" s="8">
        <v>37.347717400000001</v>
      </c>
      <c r="G106" s="8">
        <v>-120.609084</v>
      </c>
    </row>
    <row r="107" spans="1:7" ht="15.75" customHeight="1" x14ac:dyDescent="0.25">
      <c r="A107" s="8" t="s">
        <v>4122</v>
      </c>
      <c r="B107" s="8" t="s">
        <v>4123</v>
      </c>
      <c r="C107" s="8" t="s">
        <v>4048</v>
      </c>
      <c r="D107" s="8" t="s">
        <v>68</v>
      </c>
      <c r="E107" s="8">
        <v>92656</v>
      </c>
      <c r="F107" s="8">
        <v>33.5225261</v>
      </c>
      <c r="G107" s="8">
        <v>-117.7075526</v>
      </c>
    </row>
    <row r="108" spans="1:7" ht="15.75" customHeight="1" x14ac:dyDescent="0.25">
      <c r="A108" s="8" t="s">
        <v>4124</v>
      </c>
      <c r="B108" s="8" t="s">
        <v>4125</v>
      </c>
      <c r="C108" s="8" t="s">
        <v>4119</v>
      </c>
      <c r="D108" s="8" t="s">
        <v>68</v>
      </c>
      <c r="E108" s="8">
        <v>92243</v>
      </c>
      <c r="F108" s="8">
        <v>32.776240700000002</v>
      </c>
      <c r="G108" s="8">
        <v>-115.5695494</v>
      </c>
    </row>
    <row r="109" spans="1:7" ht="15.75" customHeight="1" x14ac:dyDescent="0.25">
      <c r="A109" s="8" t="s">
        <v>4126</v>
      </c>
      <c r="B109" s="8" t="s">
        <v>4127</v>
      </c>
      <c r="C109" s="8" t="s">
        <v>3981</v>
      </c>
      <c r="D109" s="8" t="s">
        <v>68</v>
      </c>
      <c r="E109" s="8">
        <v>92007</v>
      </c>
      <c r="F109" s="8">
        <v>33.022015500000002</v>
      </c>
      <c r="G109" s="8">
        <v>-117.28034630000001</v>
      </c>
    </row>
    <row r="110" spans="1:7" ht="15.75" customHeight="1" x14ac:dyDescent="0.25">
      <c r="A110" s="8" t="s">
        <v>4128</v>
      </c>
      <c r="B110" s="8" t="s">
        <v>4129</v>
      </c>
      <c r="C110" s="8" t="s">
        <v>4130</v>
      </c>
      <c r="D110" s="8" t="s">
        <v>68</v>
      </c>
      <c r="E110" s="8">
        <v>95503</v>
      </c>
      <c r="F110" s="8">
        <v>40.8020712</v>
      </c>
      <c r="G110" s="8">
        <v>-124.16367289999999</v>
      </c>
    </row>
    <row r="111" spans="1:7" ht="15.75" customHeight="1" x14ac:dyDescent="0.25">
      <c r="A111" s="8" t="s">
        <v>4131</v>
      </c>
      <c r="B111" s="8" t="s">
        <v>1949</v>
      </c>
      <c r="C111" s="8" t="s">
        <v>4132</v>
      </c>
      <c r="D111" s="8" t="s">
        <v>68</v>
      </c>
      <c r="E111" s="8">
        <v>93401</v>
      </c>
      <c r="F111" s="8">
        <v>35.263828821600001</v>
      </c>
      <c r="G111" s="8">
        <v>-120.65360175799999</v>
      </c>
    </row>
    <row r="112" spans="1:7" ht="15.75" customHeight="1" x14ac:dyDescent="0.25">
      <c r="A112" s="8" t="s">
        <v>4133</v>
      </c>
      <c r="B112" s="8" t="s">
        <v>4134</v>
      </c>
      <c r="C112" s="8" t="s">
        <v>4086</v>
      </c>
      <c r="D112" s="8" t="s">
        <v>68</v>
      </c>
      <c r="E112" s="8">
        <v>93436</v>
      </c>
      <c r="F112" s="8">
        <v>34.667494550000001</v>
      </c>
      <c r="G112" s="8">
        <v>-120.44353709400001</v>
      </c>
    </row>
    <row r="113" spans="1:7" ht="15.75" customHeight="1" x14ac:dyDescent="0.25">
      <c r="A113" s="8" t="s">
        <v>4135</v>
      </c>
      <c r="B113" s="8" t="s">
        <v>4136</v>
      </c>
      <c r="C113" s="8" t="s">
        <v>4132</v>
      </c>
      <c r="D113" s="8" t="s">
        <v>68</v>
      </c>
      <c r="E113" s="8">
        <v>93445</v>
      </c>
      <c r="F113" s="8">
        <v>35.098864800000001</v>
      </c>
      <c r="G113" s="8">
        <v>-120.61239310000001</v>
      </c>
    </row>
    <row r="114" spans="1:7" ht="15.75" customHeight="1" x14ac:dyDescent="0.25">
      <c r="A114" s="8" t="s">
        <v>4137</v>
      </c>
      <c r="B114" s="8" t="s">
        <v>4138</v>
      </c>
      <c r="C114" s="8" t="s">
        <v>4139</v>
      </c>
      <c r="D114" s="8" t="s">
        <v>68</v>
      </c>
      <c r="E114" s="8">
        <v>96019</v>
      </c>
      <c r="F114" s="8">
        <v>40.679963800000003</v>
      </c>
      <c r="G114" s="8">
        <v>-122.3626507</v>
      </c>
    </row>
    <row r="115" spans="1:7" ht="15.75" customHeight="1" x14ac:dyDescent="0.25">
      <c r="A115" s="8" t="s">
        <v>4140</v>
      </c>
      <c r="B115" s="8" t="s">
        <v>4141</v>
      </c>
      <c r="C115" s="8" t="s">
        <v>4142</v>
      </c>
      <c r="D115" s="8" t="s">
        <v>68</v>
      </c>
      <c r="E115" s="8">
        <v>96021</v>
      </c>
      <c r="F115" s="8">
        <v>39.927657199999999</v>
      </c>
      <c r="G115" s="8">
        <v>-122.1791556</v>
      </c>
    </row>
    <row r="116" spans="1:7" ht="15.75" customHeight="1" x14ac:dyDescent="0.25">
      <c r="A116" s="8" t="s">
        <v>4143</v>
      </c>
      <c r="B116" s="8" t="s">
        <v>4144</v>
      </c>
      <c r="C116" s="8" t="s">
        <v>4145</v>
      </c>
      <c r="D116" s="8" t="s">
        <v>68</v>
      </c>
      <c r="E116" s="8">
        <v>95521</v>
      </c>
      <c r="F116" s="8">
        <v>40.866517000000002</v>
      </c>
      <c r="G116" s="8">
        <v>-124.08284</v>
      </c>
    </row>
    <row r="117" spans="1:7" ht="15.75" customHeight="1" x14ac:dyDescent="0.25">
      <c r="A117" s="8" t="s">
        <v>4146</v>
      </c>
      <c r="B117" s="8" t="s">
        <v>4147</v>
      </c>
      <c r="C117" s="8" t="s">
        <v>4148</v>
      </c>
      <c r="D117" s="8" t="s">
        <v>68</v>
      </c>
      <c r="E117" s="8">
        <v>95482</v>
      </c>
      <c r="F117" s="8">
        <v>39.150166200000001</v>
      </c>
      <c r="G117" s="8">
        <v>-123.20778610000001</v>
      </c>
    </row>
    <row r="118" spans="1:7" ht="15.75" customHeight="1" x14ac:dyDescent="0.25">
      <c r="A118" s="8" t="s">
        <v>4149</v>
      </c>
      <c r="B118" s="8" t="s">
        <v>4150</v>
      </c>
      <c r="C118" s="8" t="s">
        <v>4038</v>
      </c>
      <c r="D118" s="8" t="s">
        <v>68</v>
      </c>
      <c r="E118" s="8">
        <v>94533</v>
      </c>
      <c r="F118" s="8">
        <v>38.013893400000001</v>
      </c>
      <c r="G118" s="8">
        <v>-122.1338674</v>
      </c>
    </row>
    <row r="119" spans="1:7" ht="15.75" customHeight="1" x14ac:dyDescent="0.25">
      <c r="A119" s="8" t="s">
        <v>4151</v>
      </c>
      <c r="B119" s="8" t="s">
        <v>4152</v>
      </c>
      <c r="C119" s="8" t="s">
        <v>4114</v>
      </c>
      <c r="D119" s="8" t="s">
        <v>68</v>
      </c>
      <c r="E119" s="8">
        <v>94903</v>
      </c>
      <c r="F119" s="8">
        <v>38.000726184500003</v>
      </c>
      <c r="G119" s="8">
        <v>-122.532591717</v>
      </c>
    </row>
    <row r="120" spans="1:7" ht="15.75" customHeight="1" x14ac:dyDescent="0.25">
      <c r="A120" s="8" t="s">
        <v>4153</v>
      </c>
      <c r="B120" s="8" t="s">
        <v>4154</v>
      </c>
      <c r="C120" s="8" t="s">
        <v>4114</v>
      </c>
      <c r="D120" s="8" t="s">
        <v>68</v>
      </c>
      <c r="E120" s="8">
        <v>94965</v>
      </c>
      <c r="F120" s="8">
        <v>37.8590272</v>
      </c>
      <c r="G120" s="8">
        <v>-122.4854694</v>
      </c>
    </row>
    <row r="121" spans="1:7" ht="15.75" customHeight="1" x14ac:dyDescent="0.25">
      <c r="A121" s="8" t="s">
        <v>4155</v>
      </c>
      <c r="B121" s="8" t="s">
        <v>4156</v>
      </c>
      <c r="C121" s="8" t="s">
        <v>4079</v>
      </c>
      <c r="D121" s="8" t="s">
        <v>68</v>
      </c>
      <c r="E121" s="8">
        <v>94510</v>
      </c>
      <c r="F121" s="8">
        <v>38.051678600000002</v>
      </c>
      <c r="G121" s="8">
        <v>-122.15220960000001</v>
      </c>
    </row>
    <row r="122" spans="1:7" ht="15.75" customHeight="1" x14ac:dyDescent="0.25">
      <c r="A122" s="8" t="s">
        <v>4157</v>
      </c>
      <c r="B122" s="8" t="s">
        <v>3993</v>
      </c>
      <c r="C122" s="8" t="s">
        <v>3993</v>
      </c>
      <c r="D122" s="8" t="s">
        <v>68</v>
      </c>
      <c r="E122" s="8">
        <v>94128</v>
      </c>
      <c r="F122" s="8">
        <v>37.779118500000003</v>
      </c>
      <c r="G122" s="8">
        <v>-122.4138641</v>
      </c>
    </row>
    <row r="123" spans="1:7" ht="15.75" customHeight="1" x14ac:dyDescent="0.25">
      <c r="A123" s="8" t="s">
        <v>4158</v>
      </c>
      <c r="B123" s="8" t="s">
        <v>4159</v>
      </c>
      <c r="C123" s="8" t="s">
        <v>4132</v>
      </c>
      <c r="D123" s="8" t="s">
        <v>68</v>
      </c>
      <c r="E123" s="8">
        <v>93442</v>
      </c>
      <c r="F123" s="8">
        <v>35.365807500000003</v>
      </c>
      <c r="G123" s="8">
        <v>-120.8499013</v>
      </c>
    </row>
    <row r="124" spans="1:7" ht="15.75" customHeight="1" x14ac:dyDescent="0.25">
      <c r="A124" s="8" t="s">
        <v>4160</v>
      </c>
      <c r="B124" s="8" t="s">
        <v>4161</v>
      </c>
      <c r="C124" s="8" t="s">
        <v>4016</v>
      </c>
      <c r="D124" s="8" t="s">
        <v>68</v>
      </c>
      <c r="E124" s="8">
        <v>95380</v>
      </c>
      <c r="F124" s="8">
        <v>37.494656800000001</v>
      </c>
      <c r="G124" s="8">
        <v>-120.8465941</v>
      </c>
    </row>
    <row r="125" spans="1:7" ht="15.75" customHeight="1" x14ac:dyDescent="0.25">
      <c r="A125" s="8" t="s">
        <v>4162</v>
      </c>
      <c r="B125" s="8" t="s">
        <v>4163</v>
      </c>
      <c r="C125" s="8" t="s">
        <v>4164</v>
      </c>
      <c r="D125" s="8" t="s">
        <v>68</v>
      </c>
      <c r="E125" s="8">
        <v>95667</v>
      </c>
      <c r="F125" s="8">
        <v>38.729625200000001</v>
      </c>
      <c r="G125" s="8">
        <v>-120.798546</v>
      </c>
    </row>
    <row r="126" spans="1:7" ht="15.75" customHeight="1" x14ac:dyDescent="0.25">
      <c r="A126" s="8" t="s">
        <v>4165</v>
      </c>
      <c r="B126" s="8" t="s">
        <v>4166</v>
      </c>
      <c r="C126" s="8" t="s">
        <v>4167</v>
      </c>
      <c r="D126" s="8" t="s">
        <v>68</v>
      </c>
      <c r="E126" s="8">
        <v>95747</v>
      </c>
      <c r="F126" s="8">
        <v>38.752123500000003</v>
      </c>
      <c r="G126" s="8">
        <v>-121.2880059</v>
      </c>
    </row>
    <row r="127" spans="1:7" ht="15.75" customHeight="1" x14ac:dyDescent="0.25">
      <c r="A127" s="8" t="s">
        <v>4168</v>
      </c>
      <c r="B127" s="8" t="s">
        <v>4169</v>
      </c>
      <c r="C127" s="8" t="s">
        <v>4170</v>
      </c>
      <c r="D127" s="8" t="s">
        <v>68</v>
      </c>
      <c r="E127" s="8">
        <v>95901</v>
      </c>
      <c r="F127" s="8">
        <v>39.095448400000002</v>
      </c>
      <c r="G127" s="8">
        <v>-121.5521858</v>
      </c>
    </row>
    <row r="128" spans="1:7" ht="15.75" customHeight="1" x14ac:dyDescent="0.25">
      <c r="A128" s="8" t="s">
        <v>4171</v>
      </c>
      <c r="B128" s="8" t="s">
        <v>4172</v>
      </c>
      <c r="C128" s="8" t="s">
        <v>705</v>
      </c>
      <c r="D128" s="8" t="s">
        <v>68</v>
      </c>
      <c r="E128" s="8">
        <v>95945</v>
      </c>
      <c r="F128" s="8">
        <v>39.219060200000001</v>
      </c>
      <c r="G128" s="8">
        <v>-121.0610575</v>
      </c>
    </row>
    <row r="129" spans="1:7" ht="15.75" customHeight="1" x14ac:dyDescent="0.25">
      <c r="A129" s="8" t="s">
        <v>4173</v>
      </c>
      <c r="B129" s="8" t="s">
        <v>4174</v>
      </c>
      <c r="C129" s="8" t="s">
        <v>4044</v>
      </c>
      <c r="D129" s="8" t="s">
        <v>68</v>
      </c>
      <c r="E129" s="8">
        <v>92399</v>
      </c>
      <c r="F129" s="8">
        <v>34.040931</v>
      </c>
      <c r="G129" s="8">
        <v>-117.051671392</v>
      </c>
    </row>
    <row r="130" spans="1:7" ht="15.75" customHeight="1" x14ac:dyDescent="0.25">
      <c r="A130" s="8" t="s">
        <v>4175</v>
      </c>
      <c r="B130" s="8" t="s">
        <v>4176</v>
      </c>
      <c r="C130" s="8" t="s">
        <v>4177</v>
      </c>
      <c r="D130" s="8" t="s">
        <v>68</v>
      </c>
      <c r="E130" s="8">
        <v>95531</v>
      </c>
      <c r="F130" s="8">
        <v>41.755947999999997</v>
      </c>
      <c r="G130" s="8">
        <v>-124.201747</v>
      </c>
    </row>
    <row r="131" spans="1:7" ht="15.75" customHeight="1" x14ac:dyDescent="0.25">
      <c r="A131" s="8" t="s">
        <v>4178</v>
      </c>
      <c r="B131" s="8" t="s">
        <v>4179</v>
      </c>
      <c r="C131" s="8" t="s">
        <v>4180</v>
      </c>
      <c r="D131" s="8" t="s">
        <v>68</v>
      </c>
      <c r="E131" s="8">
        <v>95448</v>
      </c>
      <c r="F131" s="8">
        <v>38.610681200000002</v>
      </c>
      <c r="G131" s="8">
        <v>-122.870138</v>
      </c>
    </row>
    <row r="132" spans="1:7" ht="15.75" customHeight="1" x14ac:dyDescent="0.25">
      <c r="A132" s="8" t="s">
        <v>4181</v>
      </c>
      <c r="B132" s="8" t="s">
        <v>4182</v>
      </c>
      <c r="C132" s="8" t="s">
        <v>2012</v>
      </c>
      <c r="D132" s="8" t="s">
        <v>68</v>
      </c>
      <c r="E132" s="8">
        <v>94030</v>
      </c>
      <c r="F132" s="8">
        <v>37.600114300000001</v>
      </c>
      <c r="G132" s="8">
        <v>-122.3870094</v>
      </c>
    </row>
    <row r="133" spans="1:7" ht="15.75" customHeight="1" x14ac:dyDescent="0.25">
      <c r="A133" s="8" t="s">
        <v>6610</v>
      </c>
      <c r="B133" s="8" t="s">
        <v>1945</v>
      </c>
      <c r="C133" s="8" t="s">
        <v>1945</v>
      </c>
      <c r="D133" s="8" t="s">
        <v>68</v>
      </c>
      <c r="E133" s="8">
        <v>94558</v>
      </c>
      <c r="F133" s="8">
        <v>38.3753174</v>
      </c>
      <c r="G133" s="8">
        <v>-122.42165970000001</v>
      </c>
    </row>
    <row r="134" spans="1:7" ht="15.75" customHeight="1" x14ac:dyDescent="0.25">
      <c r="A134" s="8" t="s">
        <v>4183</v>
      </c>
      <c r="B134" s="8" t="s">
        <v>4184</v>
      </c>
      <c r="C134" s="8" t="s">
        <v>1209</v>
      </c>
      <c r="D134" s="8" t="s">
        <v>68</v>
      </c>
      <c r="E134" s="8">
        <v>94941</v>
      </c>
      <c r="F134" s="8">
        <v>37.906036800000003</v>
      </c>
      <c r="G134" s="8">
        <v>-122.5449763</v>
      </c>
    </row>
    <row r="135" spans="1:7" ht="15.75" customHeight="1" x14ac:dyDescent="0.25">
      <c r="A135" s="8" t="s">
        <v>4185</v>
      </c>
      <c r="B135" s="8" t="s">
        <v>4186</v>
      </c>
      <c r="C135" s="8" t="s">
        <v>4114</v>
      </c>
      <c r="D135" s="8" t="s">
        <v>68</v>
      </c>
      <c r="E135" s="8" t="s">
        <v>4187</v>
      </c>
      <c r="F135" s="8">
        <v>37.873437099999997</v>
      </c>
      <c r="G135" s="8">
        <v>-122.4566122</v>
      </c>
    </row>
    <row r="136" spans="1:7" ht="15.75" customHeight="1" x14ac:dyDescent="0.25">
      <c r="A136" s="8" t="s">
        <v>4188</v>
      </c>
      <c r="B136" s="8" t="s">
        <v>4189</v>
      </c>
      <c r="C136" s="8" t="s">
        <v>2012</v>
      </c>
      <c r="D136" s="8" t="s">
        <v>68</v>
      </c>
      <c r="E136" s="8">
        <v>94010</v>
      </c>
      <c r="F136" s="8">
        <v>37.579877000000003</v>
      </c>
      <c r="G136" s="8">
        <v>-122.3443351</v>
      </c>
    </row>
    <row r="137" spans="1:7" ht="15.75" customHeight="1" x14ac:dyDescent="0.25">
      <c r="A137" s="8" t="s">
        <v>4190</v>
      </c>
      <c r="B137" s="8" t="s">
        <v>4191</v>
      </c>
      <c r="C137" s="8" t="s">
        <v>4038</v>
      </c>
      <c r="D137" s="8" t="s">
        <v>68</v>
      </c>
      <c r="E137" s="8">
        <v>94564</v>
      </c>
      <c r="F137" s="8">
        <v>38.004366699999999</v>
      </c>
      <c r="G137" s="8">
        <v>-122.2988587</v>
      </c>
    </row>
    <row r="138" spans="1:7" ht="15.75" customHeight="1" x14ac:dyDescent="0.25">
      <c r="A138" s="8" t="s">
        <v>4192</v>
      </c>
      <c r="B138" s="8" t="s">
        <v>4193</v>
      </c>
      <c r="C138" s="8" t="s">
        <v>4194</v>
      </c>
      <c r="D138" s="8" t="s">
        <v>68</v>
      </c>
      <c r="E138" s="8" t="s">
        <v>4195</v>
      </c>
      <c r="F138" s="8">
        <v>38.017786899999997</v>
      </c>
      <c r="G138" s="8">
        <v>-121.81516139999999</v>
      </c>
    </row>
    <row r="139" spans="1:7" ht="15.75" customHeight="1" x14ac:dyDescent="0.25">
      <c r="A139" s="8" t="s">
        <v>4196</v>
      </c>
      <c r="B139" s="8" t="s">
        <v>2011</v>
      </c>
      <c r="C139" s="8" t="s">
        <v>4060</v>
      </c>
      <c r="D139" s="8" t="s">
        <v>68</v>
      </c>
      <c r="E139" s="8">
        <v>94019</v>
      </c>
      <c r="F139" s="8">
        <v>37.463551899999999</v>
      </c>
      <c r="G139" s="8">
        <v>-122.4285862</v>
      </c>
    </row>
    <row r="140" spans="1:7" ht="15.75" customHeight="1" x14ac:dyDescent="0.25">
      <c r="A140" s="8" t="s">
        <v>4197</v>
      </c>
      <c r="B140" s="8" t="s">
        <v>4152</v>
      </c>
      <c r="C140" s="8" t="s">
        <v>1209</v>
      </c>
      <c r="D140" s="8" t="s">
        <v>68</v>
      </c>
      <c r="E140" s="8">
        <v>94903</v>
      </c>
      <c r="F140" s="8">
        <v>38.000726184500003</v>
      </c>
      <c r="G140" s="8">
        <v>-122.532591717</v>
      </c>
    </row>
    <row r="141" spans="1:7" ht="15.75" customHeight="1" x14ac:dyDescent="0.25">
      <c r="A141" s="8" t="s">
        <v>4198</v>
      </c>
      <c r="B141" s="8" t="s">
        <v>4199</v>
      </c>
      <c r="C141" s="8" t="s">
        <v>1949</v>
      </c>
      <c r="D141" s="8" t="s">
        <v>68</v>
      </c>
      <c r="E141" s="8">
        <v>93446</v>
      </c>
      <c r="F141" s="8">
        <v>35.660128</v>
      </c>
      <c r="G141" s="8">
        <v>-120.659702</v>
      </c>
    </row>
    <row r="142" spans="1:7" ht="15.75" customHeight="1" x14ac:dyDescent="0.25">
      <c r="A142" s="8" t="s">
        <v>4200</v>
      </c>
      <c r="B142" s="8" t="s">
        <v>4201</v>
      </c>
      <c r="C142" s="8" t="s">
        <v>1971</v>
      </c>
      <c r="D142" s="8" t="s">
        <v>68</v>
      </c>
      <c r="E142" s="8">
        <v>93923</v>
      </c>
      <c r="F142" s="8">
        <v>-34.787544599999997</v>
      </c>
      <c r="G142" s="8">
        <v>-55.980469100000001</v>
      </c>
    </row>
    <row r="143" spans="1:7" ht="15.75" customHeight="1" x14ac:dyDescent="0.25">
      <c r="A143" s="8" t="s">
        <v>4202</v>
      </c>
      <c r="B143" s="8" t="s">
        <v>4203</v>
      </c>
      <c r="C143" s="8" t="s">
        <v>2065</v>
      </c>
      <c r="D143" s="8" t="s">
        <v>68</v>
      </c>
      <c r="E143" s="8">
        <v>95667</v>
      </c>
      <c r="F143" s="8">
        <v>38.679505050000003</v>
      </c>
      <c r="G143" s="8">
        <v>-121.059366049</v>
      </c>
    </row>
    <row r="144" spans="1:7" ht="15.75" customHeight="1" x14ac:dyDescent="0.25">
      <c r="A144" s="8" t="s">
        <v>4204</v>
      </c>
      <c r="B144" s="8" t="s">
        <v>4205</v>
      </c>
      <c r="C144" s="8" t="s">
        <v>4206</v>
      </c>
      <c r="D144" s="8" t="s">
        <v>68</v>
      </c>
      <c r="E144" s="8">
        <v>95318</v>
      </c>
      <c r="F144" s="8">
        <v>37.674652600000002</v>
      </c>
      <c r="G144" s="8">
        <v>-119.7840681</v>
      </c>
    </row>
    <row r="145" spans="1:7" ht="15.75" customHeight="1" x14ac:dyDescent="0.25">
      <c r="A145" s="8" t="s">
        <v>4207</v>
      </c>
      <c r="B145" s="8" t="s">
        <v>4208</v>
      </c>
      <c r="C145" s="8" t="s">
        <v>4119</v>
      </c>
      <c r="D145" s="8" t="s">
        <v>68</v>
      </c>
      <c r="E145" s="8">
        <v>92231</v>
      </c>
      <c r="F145" s="8">
        <v>32.679057200000003</v>
      </c>
      <c r="G145" s="8">
        <v>-115.49870300000001</v>
      </c>
    </row>
    <row r="146" spans="1:7" ht="15.75" customHeight="1" x14ac:dyDescent="0.25">
      <c r="A146" s="8" t="s">
        <v>4209</v>
      </c>
      <c r="B146" s="8" t="s">
        <v>4210</v>
      </c>
      <c r="C146" s="8" t="s">
        <v>4048</v>
      </c>
      <c r="D146" s="8" t="s">
        <v>68</v>
      </c>
      <c r="E146" s="8">
        <v>92630</v>
      </c>
      <c r="F146" s="8">
        <v>33.645532600000003</v>
      </c>
      <c r="G146" s="8">
        <v>-117.68177350000001</v>
      </c>
    </row>
    <row r="147" spans="1:7" ht="15.75" customHeight="1" x14ac:dyDescent="0.25">
      <c r="A147" s="8" t="s">
        <v>4211</v>
      </c>
      <c r="B147" s="8" t="s">
        <v>4043</v>
      </c>
      <c r="C147" s="8" t="s">
        <v>4044</v>
      </c>
      <c r="D147" s="8" t="s">
        <v>68</v>
      </c>
      <c r="E147" s="8">
        <v>91710</v>
      </c>
      <c r="F147" s="8">
        <v>34.013356100000003</v>
      </c>
      <c r="G147" s="8">
        <v>-117.69007499999999</v>
      </c>
    </row>
    <row r="148" spans="1:7" ht="15.75" customHeight="1" x14ac:dyDescent="0.25">
      <c r="A148" s="8" t="s">
        <v>4212</v>
      </c>
      <c r="B148" s="8" t="s">
        <v>4213</v>
      </c>
      <c r="C148" s="8" t="s">
        <v>3981</v>
      </c>
      <c r="D148" s="8" t="s">
        <v>68</v>
      </c>
      <c r="E148" s="8">
        <v>92055</v>
      </c>
      <c r="F148" s="8">
        <v>33.321783000000003</v>
      </c>
      <c r="G148" s="8">
        <v>-117.315266151</v>
      </c>
    </row>
    <row r="149" spans="1:7" ht="15.75" customHeight="1" x14ac:dyDescent="0.25">
      <c r="A149" s="8" t="s">
        <v>4214</v>
      </c>
      <c r="B149" s="8" t="s">
        <v>4215</v>
      </c>
      <c r="C149" s="8" t="s">
        <v>4170</v>
      </c>
      <c r="D149" s="8" t="s">
        <v>68</v>
      </c>
      <c r="E149" s="8" t="s">
        <v>4216</v>
      </c>
      <c r="F149" s="8">
        <v>39.122939000000002</v>
      </c>
      <c r="G149" s="8">
        <v>-121.380079659</v>
      </c>
    </row>
    <row r="150" spans="1:7" ht="15.75" customHeight="1" x14ac:dyDescent="0.25">
      <c r="A150" s="8" t="s">
        <v>4217</v>
      </c>
      <c r="B150" s="8" t="s">
        <v>4218</v>
      </c>
      <c r="C150" s="8" t="s">
        <v>1916</v>
      </c>
      <c r="D150" s="8" t="s">
        <v>68</v>
      </c>
      <c r="E150" s="8">
        <v>94580</v>
      </c>
      <c r="F150" s="8">
        <v>37.6810422</v>
      </c>
      <c r="G150" s="8">
        <v>-122.1244088</v>
      </c>
    </row>
    <row r="151" spans="1:7" ht="15.75" customHeight="1" x14ac:dyDescent="0.25">
      <c r="A151" s="8" t="s">
        <v>4219</v>
      </c>
      <c r="B151" s="8" t="s">
        <v>4220</v>
      </c>
      <c r="C151" s="8" t="s">
        <v>4048</v>
      </c>
      <c r="D151" s="8" t="s">
        <v>68</v>
      </c>
      <c r="E151" s="8">
        <v>92675</v>
      </c>
      <c r="F151" s="8">
        <v>33.492276699999998</v>
      </c>
      <c r="G151" s="8">
        <v>-117.6389582</v>
      </c>
    </row>
    <row r="152" spans="1:7" ht="15.75" customHeight="1" x14ac:dyDescent="0.25">
      <c r="A152" s="8" t="s">
        <v>4221</v>
      </c>
      <c r="B152" s="8" t="s">
        <v>4213</v>
      </c>
      <c r="C152" s="8" t="s">
        <v>1996</v>
      </c>
      <c r="D152" s="8" t="s">
        <v>68</v>
      </c>
      <c r="E152" s="8">
        <v>92055</v>
      </c>
      <c r="F152" s="8">
        <v>33.321783000000003</v>
      </c>
      <c r="G152" s="8">
        <v>-117.315266151</v>
      </c>
    </row>
    <row r="153" spans="1:7" ht="15.75" customHeight="1" x14ac:dyDescent="0.25">
      <c r="A153" s="8" t="s">
        <v>4222</v>
      </c>
      <c r="B153" s="8" t="s">
        <v>4223</v>
      </c>
      <c r="C153" s="8" t="s">
        <v>4094</v>
      </c>
      <c r="D153" s="8" t="s">
        <v>68</v>
      </c>
      <c r="E153" s="8">
        <v>95477</v>
      </c>
      <c r="F153" s="8">
        <v>37.724929600000003</v>
      </c>
      <c r="G153" s="8">
        <v>-122.15607679999999</v>
      </c>
    </row>
    <row r="154" spans="1:7" ht="15.75" customHeight="1" x14ac:dyDescent="0.25">
      <c r="A154" s="8" t="s">
        <v>4224</v>
      </c>
      <c r="B154" s="8" t="s">
        <v>2308</v>
      </c>
      <c r="C154" s="8" t="s">
        <v>4000</v>
      </c>
      <c r="D154" s="8" t="s">
        <v>68</v>
      </c>
      <c r="E154" s="8">
        <v>92316</v>
      </c>
      <c r="F154" s="8">
        <v>34.07029</v>
      </c>
      <c r="G154" s="8">
        <v>-117.39587969999999</v>
      </c>
    </row>
    <row r="155" spans="1:7" ht="15.75" customHeight="1" x14ac:dyDescent="0.25">
      <c r="A155" s="8" t="s">
        <v>4225</v>
      </c>
      <c r="B155" s="8" t="s">
        <v>4226</v>
      </c>
      <c r="C155" s="8" t="s">
        <v>4050</v>
      </c>
      <c r="D155" s="8" t="s">
        <v>68</v>
      </c>
      <c r="E155" s="8">
        <v>92220</v>
      </c>
      <c r="F155" s="8">
        <v>33.925568499999997</v>
      </c>
      <c r="G155" s="8">
        <v>-116.875289</v>
      </c>
    </row>
    <row r="156" spans="1:7" ht="15.75" customHeight="1" x14ac:dyDescent="0.25">
      <c r="A156" s="8" t="s">
        <v>4227</v>
      </c>
      <c r="B156" s="8" t="s">
        <v>1281</v>
      </c>
      <c r="C156" s="8" t="s">
        <v>4228</v>
      </c>
      <c r="D156" s="8" t="s">
        <v>68</v>
      </c>
      <c r="E156" s="8">
        <v>93212</v>
      </c>
      <c r="F156" s="8">
        <v>36.098007000000003</v>
      </c>
      <c r="G156" s="8">
        <v>-119.5604015</v>
      </c>
    </row>
    <row r="157" spans="1:7" ht="15.75" customHeight="1" x14ac:dyDescent="0.25">
      <c r="A157" s="8" t="s">
        <v>4229</v>
      </c>
      <c r="B157" s="8" t="s">
        <v>4230</v>
      </c>
      <c r="C157" s="8" t="s">
        <v>4231</v>
      </c>
      <c r="D157" s="8" t="s">
        <v>68</v>
      </c>
      <c r="E157" s="8">
        <v>93215</v>
      </c>
      <c r="F157" s="8">
        <v>35.768842499999998</v>
      </c>
      <c r="G157" s="8">
        <v>-119.2470536</v>
      </c>
    </row>
    <row r="158" spans="1:7" ht="15.75" customHeight="1" x14ac:dyDescent="0.25">
      <c r="A158" s="8" t="s">
        <v>4232</v>
      </c>
      <c r="B158" s="8" t="s">
        <v>4233</v>
      </c>
      <c r="C158" s="8" t="s">
        <v>4228</v>
      </c>
      <c r="D158" s="8" t="s">
        <v>68</v>
      </c>
      <c r="E158" s="8">
        <v>93230</v>
      </c>
      <c r="F158" s="8">
        <v>36.327450200000001</v>
      </c>
      <c r="G158" s="8">
        <v>-119.64568439999999</v>
      </c>
    </row>
    <row r="159" spans="1:7" ht="15.75" customHeight="1" x14ac:dyDescent="0.25">
      <c r="A159" s="8" t="s">
        <v>4234</v>
      </c>
      <c r="B159" s="8" t="s">
        <v>4235</v>
      </c>
      <c r="C159" s="8" t="s">
        <v>4231</v>
      </c>
      <c r="D159" s="8" t="s">
        <v>68</v>
      </c>
      <c r="E159" s="8">
        <v>93301</v>
      </c>
      <c r="F159" s="8">
        <v>35.371872000000003</v>
      </c>
      <c r="G159" s="8">
        <v>-119.0085484</v>
      </c>
    </row>
    <row r="160" spans="1:7" ht="15.75" customHeight="1" x14ac:dyDescent="0.25">
      <c r="A160" s="8" t="s">
        <v>4236</v>
      </c>
      <c r="B160" s="8" t="s">
        <v>4237</v>
      </c>
      <c r="C160" s="8" t="s">
        <v>4231</v>
      </c>
      <c r="D160" s="8" t="s">
        <v>68</v>
      </c>
      <c r="E160" s="8">
        <v>93555</v>
      </c>
      <c r="F160" s="8">
        <v>35.622506399999999</v>
      </c>
      <c r="G160" s="8">
        <v>-117.6699414</v>
      </c>
    </row>
    <row r="161" spans="1:7" ht="15.75" customHeight="1" x14ac:dyDescent="0.25">
      <c r="A161" s="8" t="s">
        <v>4238</v>
      </c>
      <c r="B161" s="8" t="s">
        <v>4123</v>
      </c>
      <c r="C161" s="8" t="s">
        <v>4048</v>
      </c>
      <c r="D161" s="8" t="s">
        <v>68</v>
      </c>
      <c r="E161" s="8">
        <v>92656</v>
      </c>
      <c r="F161" s="8">
        <v>33.5225261</v>
      </c>
      <c r="G161" s="8">
        <v>-117.7075526</v>
      </c>
    </row>
    <row r="162" spans="1:7" ht="15.75" customHeight="1" x14ac:dyDescent="0.25">
      <c r="A162" s="8" t="s">
        <v>4239</v>
      </c>
      <c r="B162" s="8" t="s">
        <v>4240</v>
      </c>
      <c r="C162" s="8" t="s">
        <v>4048</v>
      </c>
      <c r="D162" s="8" t="s">
        <v>68</v>
      </c>
      <c r="E162" s="8">
        <v>92672</v>
      </c>
      <c r="F162" s="8">
        <v>33.420966800000002</v>
      </c>
      <c r="G162" s="8">
        <v>-117.6166973</v>
      </c>
    </row>
    <row r="163" spans="1:7" ht="15.75" customHeight="1" x14ac:dyDescent="0.25">
      <c r="A163" s="8" t="s">
        <v>4241</v>
      </c>
      <c r="B163" s="8" t="s">
        <v>1211</v>
      </c>
      <c r="C163" s="8" t="s">
        <v>4034</v>
      </c>
      <c r="D163" s="8" t="s">
        <v>68</v>
      </c>
      <c r="E163" s="8">
        <v>93274</v>
      </c>
      <c r="F163" s="8">
        <v>36.251647499999997</v>
      </c>
      <c r="G163" s="8">
        <v>-118.852583</v>
      </c>
    </row>
    <row r="164" spans="1:7" ht="15.75" customHeight="1" x14ac:dyDescent="0.25">
      <c r="A164" s="8" t="s">
        <v>4242</v>
      </c>
      <c r="B164" s="8" t="s">
        <v>4243</v>
      </c>
      <c r="C164" s="8" t="s">
        <v>3353</v>
      </c>
      <c r="D164" s="8" t="s">
        <v>68</v>
      </c>
      <c r="E164" s="8">
        <v>92250</v>
      </c>
      <c r="F164" s="8">
        <v>32.8104966</v>
      </c>
      <c r="G164" s="8">
        <v>-115.3794264</v>
      </c>
    </row>
    <row r="165" spans="1:7" ht="15.75" customHeight="1" x14ac:dyDescent="0.25">
      <c r="A165" s="8" t="s">
        <v>4244</v>
      </c>
      <c r="B165" s="8" t="s">
        <v>4245</v>
      </c>
      <c r="C165" s="8" t="s">
        <v>4034</v>
      </c>
      <c r="D165" s="8" t="s">
        <v>68</v>
      </c>
      <c r="E165" s="8">
        <v>93258</v>
      </c>
      <c r="F165" s="8">
        <v>36.06523</v>
      </c>
      <c r="G165" s="8">
        <v>-119.0167679</v>
      </c>
    </row>
    <row r="166" spans="1:7" ht="15.75" customHeight="1" x14ac:dyDescent="0.25">
      <c r="A166" s="8" t="s">
        <v>4246</v>
      </c>
      <c r="B166" s="8" t="s">
        <v>4247</v>
      </c>
      <c r="C166" s="8" t="s">
        <v>4086</v>
      </c>
      <c r="D166" s="8" t="s">
        <v>68</v>
      </c>
      <c r="E166" s="8">
        <v>93458</v>
      </c>
      <c r="F166" s="8">
        <v>34.952257977899997</v>
      </c>
      <c r="G166" s="8">
        <v>-120.454838567</v>
      </c>
    </row>
    <row r="167" spans="1:7" ht="15.75" customHeight="1" x14ac:dyDescent="0.25">
      <c r="A167" s="8" t="s">
        <v>4248</v>
      </c>
      <c r="B167" s="8" t="s">
        <v>4249</v>
      </c>
      <c r="C167" s="8" t="s">
        <v>4250</v>
      </c>
      <c r="D167" s="8" t="s">
        <v>68</v>
      </c>
      <c r="E167" s="8">
        <v>95370</v>
      </c>
      <c r="F167" s="8">
        <v>37.984091100000001</v>
      </c>
      <c r="G167" s="8">
        <v>-120.38213810000001</v>
      </c>
    </row>
    <row r="168" spans="1:7" ht="15.75" customHeight="1" x14ac:dyDescent="0.25">
      <c r="A168" s="8" t="s">
        <v>4251</v>
      </c>
      <c r="B168" s="8" t="s">
        <v>4235</v>
      </c>
      <c r="C168" s="8" t="s">
        <v>4231</v>
      </c>
      <c r="D168" s="8" t="s">
        <v>68</v>
      </c>
      <c r="E168" s="8">
        <v>93313</v>
      </c>
      <c r="F168" s="8">
        <v>35.269052500000001</v>
      </c>
      <c r="G168" s="8">
        <v>-119.025389086</v>
      </c>
    </row>
    <row r="169" spans="1:7" ht="15.75" customHeight="1" x14ac:dyDescent="0.25">
      <c r="A169" s="8" t="s">
        <v>4252</v>
      </c>
      <c r="B169" s="8" t="s">
        <v>4253</v>
      </c>
      <c r="C169" s="8" t="s">
        <v>4231</v>
      </c>
      <c r="D169" s="8" t="s">
        <v>68</v>
      </c>
      <c r="E169" s="8">
        <v>93280</v>
      </c>
      <c r="F169" s="8">
        <v>35.594210500000003</v>
      </c>
      <c r="G169" s="8">
        <v>-119.33177120000001</v>
      </c>
    </row>
    <row r="170" spans="1:7" ht="15.75" customHeight="1" x14ac:dyDescent="0.25">
      <c r="A170" s="8" t="s">
        <v>4254</v>
      </c>
      <c r="B170" s="8" t="s">
        <v>1299</v>
      </c>
      <c r="C170" s="8" t="s">
        <v>4231</v>
      </c>
      <c r="D170" s="8" t="s">
        <v>68</v>
      </c>
      <c r="E170" s="8">
        <v>93308</v>
      </c>
      <c r="F170" s="8">
        <v>35.500513900000001</v>
      </c>
      <c r="G170" s="8">
        <v>-119.2717761</v>
      </c>
    </row>
    <row r="171" spans="1:7" ht="15.75" customHeight="1" x14ac:dyDescent="0.25">
      <c r="A171" s="8" t="s">
        <v>4255</v>
      </c>
      <c r="B171" s="8" t="s">
        <v>4235</v>
      </c>
      <c r="C171" s="8" t="s">
        <v>4231</v>
      </c>
      <c r="D171" s="8" t="s">
        <v>68</v>
      </c>
      <c r="E171" s="8">
        <v>93307</v>
      </c>
      <c r="F171" s="8">
        <v>35.332355499999998</v>
      </c>
      <c r="G171" s="8">
        <v>-119.013798236</v>
      </c>
    </row>
    <row r="172" spans="1:7" ht="15.75" customHeight="1" x14ac:dyDescent="0.25">
      <c r="A172" s="8" t="s">
        <v>6611</v>
      </c>
      <c r="B172" s="8" t="s">
        <v>4054</v>
      </c>
      <c r="C172" s="8" t="s">
        <v>5389</v>
      </c>
      <c r="D172" s="8" t="s">
        <v>68</v>
      </c>
      <c r="E172" s="8"/>
      <c r="F172" s="8">
        <v>33.18</v>
      </c>
      <c r="G172" s="8">
        <v>-118.31</v>
      </c>
    </row>
    <row r="173" spans="1:7" ht="15.75" customHeight="1" x14ac:dyDescent="0.25">
      <c r="A173" s="8" t="s">
        <v>4256</v>
      </c>
      <c r="B173" s="8" t="s">
        <v>4049</v>
      </c>
      <c r="C173" s="8" t="s">
        <v>4050</v>
      </c>
      <c r="D173" s="8" t="s">
        <v>68</v>
      </c>
      <c r="E173" s="8" t="s">
        <v>4257</v>
      </c>
      <c r="F173" s="8">
        <v>33.875294500000003</v>
      </c>
      <c r="G173" s="8">
        <v>-117.56644489999999</v>
      </c>
    </row>
    <row r="174" spans="1:7" ht="15.75" customHeight="1" x14ac:dyDescent="0.25">
      <c r="A174" s="8" t="s">
        <v>4258</v>
      </c>
      <c r="B174" s="8" t="s">
        <v>4259</v>
      </c>
      <c r="C174" s="8" t="s">
        <v>4260</v>
      </c>
      <c r="D174" s="8" t="s">
        <v>68</v>
      </c>
      <c r="E174" s="8">
        <v>93575</v>
      </c>
      <c r="F174" s="8">
        <v>36.708005999999997</v>
      </c>
      <c r="G174" s="8">
        <v>-119.5559652</v>
      </c>
    </row>
    <row r="175" spans="1:7" ht="15.75" customHeight="1" x14ac:dyDescent="0.25">
      <c r="A175" s="8" t="s">
        <v>4261</v>
      </c>
      <c r="B175" s="8" t="s">
        <v>4262</v>
      </c>
      <c r="C175" s="8" t="s">
        <v>4050</v>
      </c>
      <c r="D175" s="8" t="s">
        <v>68</v>
      </c>
      <c r="E175" s="8">
        <v>92590</v>
      </c>
      <c r="F175" s="8">
        <v>33.494635299999999</v>
      </c>
      <c r="G175" s="8">
        <v>-117.1473661</v>
      </c>
    </row>
    <row r="176" spans="1:7" ht="15.75" customHeight="1" x14ac:dyDescent="0.25">
      <c r="A176" s="8" t="s">
        <v>4263</v>
      </c>
      <c r="B176" s="8" t="s">
        <v>4247</v>
      </c>
      <c r="C176" s="8" t="s">
        <v>4086</v>
      </c>
      <c r="D176" s="8" t="s">
        <v>68</v>
      </c>
      <c r="E176" s="8">
        <v>93455</v>
      </c>
      <c r="F176" s="8">
        <v>34.855776400000003</v>
      </c>
      <c r="G176" s="8">
        <v>-120.397289962</v>
      </c>
    </row>
    <row r="177" spans="1:7" ht="15.75" customHeight="1" x14ac:dyDescent="0.25">
      <c r="A177" s="8" t="s">
        <v>4264</v>
      </c>
      <c r="B177" s="8" t="s">
        <v>1205</v>
      </c>
      <c r="C177" s="8" t="s">
        <v>1205</v>
      </c>
      <c r="D177" s="8" t="s">
        <v>68</v>
      </c>
      <c r="E177" s="8">
        <v>93706</v>
      </c>
      <c r="F177" s="8">
        <v>36.739442099999998</v>
      </c>
      <c r="G177" s="8">
        <v>-119.7848307</v>
      </c>
    </row>
    <row r="178" spans="1:7" ht="15.75" customHeight="1" x14ac:dyDescent="0.25">
      <c r="A178" s="8" t="s">
        <v>4265</v>
      </c>
      <c r="B178" s="8" t="s">
        <v>4266</v>
      </c>
      <c r="C178" s="8" t="s">
        <v>4034</v>
      </c>
      <c r="D178" s="8" t="s">
        <v>68</v>
      </c>
      <c r="E178" s="8">
        <v>93618</v>
      </c>
      <c r="F178" s="8">
        <v>36.543283700000003</v>
      </c>
      <c r="G178" s="8">
        <v>-119.3870656</v>
      </c>
    </row>
    <row r="179" spans="1:7" ht="15.75" customHeight="1" x14ac:dyDescent="0.25">
      <c r="A179" s="8" t="s">
        <v>4267</v>
      </c>
      <c r="B179" s="8" t="s">
        <v>4268</v>
      </c>
      <c r="C179" s="8" t="s">
        <v>4050</v>
      </c>
      <c r="D179" s="8" t="s">
        <v>68</v>
      </c>
      <c r="E179" s="8">
        <v>92553</v>
      </c>
      <c r="F179" s="8">
        <v>33.9344318829</v>
      </c>
      <c r="G179" s="8">
        <v>-117.257895547</v>
      </c>
    </row>
    <row r="180" spans="1:7" ht="15.75" customHeight="1" x14ac:dyDescent="0.25">
      <c r="A180" s="8" t="s">
        <v>4269</v>
      </c>
      <c r="B180" s="8" t="s">
        <v>4270</v>
      </c>
      <c r="C180" s="8" t="s">
        <v>4050</v>
      </c>
      <c r="D180" s="8" t="s">
        <v>68</v>
      </c>
      <c r="E180" s="8">
        <v>92570</v>
      </c>
      <c r="F180" s="8">
        <v>33.782519399999998</v>
      </c>
      <c r="G180" s="8">
        <v>-117.2286478</v>
      </c>
    </row>
    <row r="181" spans="1:7" ht="15.75" customHeight="1" x14ac:dyDescent="0.25">
      <c r="A181" s="8" t="s">
        <v>4271</v>
      </c>
      <c r="B181" s="8" t="s">
        <v>4272</v>
      </c>
      <c r="C181" s="8" t="s">
        <v>4050</v>
      </c>
      <c r="D181" s="8" t="s">
        <v>68</v>
      </c>
      <c r="E181" s="8">
        <v>92583</v>
      </c>
      <c r="F181" s="8">
        <v>33.747520299999998</v>
      </c>
      <c r="G181" s="8">
        <v>-116.97196839999999</v>
      </c>
    </row>
    <row r="182" spans="1:7" ht="15.75" customHeight="1" x14ac:dyDescent="0.25">
      <c r="A182" s="8" t="s">
        <v>4273</v>
      </c>
      <c r="B182" s="8" t="s">
        <v>4274</v>
      </c>
      <c r="C182" s="8" t="s">
        <v>4274</v>
      </c>
      <c r="D182" s="8" t="s">
        <v>68</v>
      </c>
      <c r="E182" s="8">
        <v>93637</v>
      </c>
      <c r="F182" s="8">
        <v>36.962274499999999</v>
      </c>
      <c r="G182" s="8">
        <v>-120.05946849999999</v>
      </c>
    </row>
    <row r="183" spans="1:7" ht="15.75" customHeight="1" x14ac:dyDescent="0.25">
      <c r="A183" s="8" t="s">
        <v>4275</v>
      </c>
      <c r="B183" s="8" t="s">
        <v>4276</v>
      </c>
      <c r="C183" s="8" t="s">
        <v>4170</v>
      </c>
      <c r="D183" s="8" t="s">
        <v>68</v>
      </c>
      <c r="E183" s="8">
        <v>95901</v>
      </c>
      <c r="F183" s="8">
        <v>39.145724700000002</v>
      </c>
      <c r="G183" s="8">
        <v>-121.5913516</v>
      </c>
    </row>
    <row r="184" spans="1:7" ht="15.75" customHeight="1" x14ac:dyDescent="0.25">
      <c r="A184" s="8" t="s">
        <v>4277</v>
      </c>
      <c r="B184" s="8" t="s">
        <v>4278</v>
      </c>
      <c r="C184" s="8" t="s">
        <v>4050</v>
      </c>
      <c r="D184" s="8" t="s">
        <v>68</v>
      </c>
      <c r="E184" s="8">
        <v>92264</v>
      </c>
      <c r="F184" s="8">
        <v>33.797721373599998</v>
      </c>
      <c r="G184" s="8">
        <v>-116.522164723</v>
      </c>
    </row>
    <row r="185" spans="1:7" ht="15.75" customHeight="1" x14ac:dyDescent="0.25">
      <c r="A185" s="8" t="s">
        <v>4279</v>
      </c>
      <c r="B185" s="8" t="s">
        <v>4280</v>
      </c>
      <c r="C185" s="8" t="s">
        <v>4004</v>
      </c>
      <c r="D185" s="8" t="s">
        <v>68</v>
      </c>
      <c r="E185" s="8">
        <v>92373</v>
      </c>
      <c r="F185" s="8">
        <v>34.055734999999999</v>
      </c>
      <c r="G185" s="8">
        <v>-117.18889609999999</v>
      </c>
    </row>
    <row r="186" spans="1:7" ht="15.75" customHeight="1" x14ac:dyDescent="0.25">
      <c r="A186" s="8" t="s">
        <v>4281</v>
      </c>
      <c r="B186" s="8" t="s">
        <v>4282</v>
      </c>
      <c r="C186" s="8" t="s">
        <v>705</v>
      </c>
      <c r="D186" s="8" t="s">
        <v>68</v>
      </c>
      <c r="E186" s="8">
        <v>96161</v>
      </c>
      <c r="F186" s="8">
        <v>39.327961999999999</v>
      </c>
      <c r="G186" s="8">
        <v>-120.1832533</v>
      </c>
    </row>
    <row r="187" spans="1:7" ht="15.75" customHeight="1" x14ac:dyDescent="0.25">
      <c r="A187" s="8" t="s">
        <v>4283</v>
      </c>
      <c r="B187" s="8" t="s">
        <v>1233</v>
      </c>
      <c r="C187" s="8" t="s">
        <v>1227</v>
      </c>
      <c r="D187" s="8" t="s">
        <v>68</v>
      </c>
      <c r="E187" s="8">
        <v>93610</v>
      </c>
      <c r="F187" s="8">
        <v>37.122999700000001</v>
      </c>
      <c r="G187" s="8">
        <v>-120.26017539999999</v>
      </c>
    </row>
    <row r="188" spans="1:7" ht="15.75" customHeight="1" x14ac:dyDescent="0.25">
      <c r="A188" s="8" t="s">
        <v>4284</v>
      </c>
      <c r="B188" s="8" t="s">
        <v>1163</v>
      </c>
      <c r="C188" s="8" t="s">
        <v>1064</v>
      </c>
      <c r="D188" s="8" t="s">
        <v>68</v>
      </c>
      <c r="E188" s="8">
        <v>93534</v>
      </c>
      <c r="F188" s="8">
        <v>34.69658175</v>
      </c>
      <c r="G188" s="8">
        <v>-118.13611924200001</v>
      </c>
    </row>
    <row r="189" spans="1:7" ht="15.75" customHeight="1" x14ac:dyDescent="0.25">
      <c r="A189" s="8" t="s">
        <v>4285</v>
      </c>
      <c r="B189" s="8" t="s">
        <v>4286</v>
      </c>
      <c r="C189" s="8" t="s">
        <v>1064</v>
      </c>
      <c r="D189" s="8" t="s">
        <v>68</v>
      </c>
      <c r="E189" s="8">
        <v>93550</v>
      </c>
      <c r="F189" s="8">
        <v>34.5793131</v>
      </c>
      <c r="G189" s="8">
        <v>-118.11711080000001</v>
      </c>
    </row>
    <row r="190" spans="1:7" ht="15.75" customHeight="1" x14ac:dyDescent="0.25">
      <c r="A190" s="8" t="s">
        <v>4287</v>
      </c>
      <c r="B190" s="8" t="s">
        <v>1996</v>
      </c>
      <c r="C190" s="8" t="s">
        <v>1996</v>
      </c>
      <c r="D190" s="8" t="s">
        <v>68</v>
      </c>
      <c r="E190" s="8">
        <v>92106</v>
      </c>
      <c r="F190" s="8">
        <v>32.673985000000002</v>
      </c>
      <c r="G190" s="8">
        <v>-117.242203</v>
      </c>
    </row>
    <row r="191" spans="1:7" ht="15.75" customHeight="1" x14ac:dyDescent="0.25">
      <c r="A191" s="8" t="s">
        <v>4288</v>
      </c>
      <c r="B191" s="8" t="s">
        <v>4289</v>
      </c>
      <c r="C191" s="8" t="s">
        <v>4289</v>
      </c>
      <c r="D191" s="8" t="s">
        <v>84</v>
      </c>
      <c r="E191" s="8">
        <v>80229</v>
      </c>
      <c r="F191" s="8">
        <v>39.739142800000003</v>
      </c>
      <c r="G191" s="8">
        <v>-104.984696</v>
      </c>
    </row>
    <row r="192" spans="1:7" ht="15.75" customHeight="1" x14ac:dyDescent="0.25">
      <c r="A192" s="8" t="s">
        <v>4290</v>
      </c>
      <c r="B192" s="8" t="s">
        <v>4291</v>
      </c>
      <c r="C192" s="8" t="s">
        <v>2090</v>
      </c>
      <c r="D192" s="8" t="s">
        <v>84</v>
      </c>
      <c r="E192" s="8">
        <v>80110</v>
      </c>
      <c r="F192" s="8">
        <v>39.655579099999997</v>
      </c>
      <c r="G192" s="8">
        <v>-104.9999358</v>
      </c>
    </row>
    <row r="193" spans="1:7" ht="15.75" customHeight="1" x14ac:dyDescent="0.25">
      <c r="A193" s="8" t="s">
        <v>4292</v>
      </c>
      <c r="B193" s="8" t="s">
        <v>4293</v>
      </c>
      <c r="C193" s="8" t="s">
        <v>4293</v>
      </c>
      <c r="D193" s="8" t="s">
        <v>84</v>
      </c>
      <c r="E193" s="8">
        <v>81001</v>
      </c>
      <c r="F193" s="8">
        <v>38.254447200000001</v>
      </c>
      <c r="G193" s="8">
        <v>-104.60914099999999</v>
      </c>
    </row>
    <row r="194" spans="1:7" ht="15.75" customHeight="1" x14ac:dyDescent="0.25">
      <c r="A194" s="8" t="s">
        <v>4294</v>
      </c>
      <c r="B194" s="8" t="s">
        <v>4295</v>
      </c>
      <c r="C194" s="8" t="s">
        <v>4296</v>
      </c>
      <c r="D194" s="8" t="s">
        <v>84</v>
      </c>
      <c r="E194" s="8">
        <v>80031</v>
      </c>
      <c r="F194" s="8">
        <v>39.836652800000003</v>
      </c>
      <c r="G194" s="8">
        <v>-105.0372046</v>
      </c>
    </row>
    <row r="195" spans="1:7" ht="15.75" customHeight="1" x14ac:dyDescent="0.25">
      <c r="A195" s="8" t="s">
        <v>4297</v>
      </c>
      <c r="B195" s="8" t="s">
        <v>4298</v>
      </c>
      <c r="C195" s="8" t="s">
        <v>4299</v>
      </c>
      <c r="D195" s="8" t="s">
        <v>84</v>
      </c>
      <c r="E195" s="8">
        <v>80524</v>
      </c>
      <c r="F195" s="8">
        <v>40.585948705200003</v>
      </c>
      <c r="G195" s="8">
        <v>-105.061829648</v>
      </c>
    </row>
    <row r="196" spans="1:7" ht="15.75" customHeight="1" x14ac:dyDescent="0.25">
      <c r="A196" s="8" t="s">
        <v>4300</v>
      </c>
      <c r="B196" s="8" t="s">
        <v>4301</v>
      </c>
      <c r="C196" s="8" t="s">
        <v>4302</v>
      </c>
      <c r="D196" s="8" t="s">
        <v>84</v>
      </c>
      <c r="E196" s="8">
        <v>80537</v>
      </c>
      <c r="F196" s="8">
        <v>40.397761199999998</v>
      </c>
      <c r="G196" s="8">
        <v>-105.0749801</v>
      </c>
    </row>
    <row r="197" spans="1:7" ht="15.75" customHeight="1" x14ac:dyDescent="0.25">
      <c r="A197" s="8" t="s">
        <v>4303</v>
      </c>
      <c r="B197" s="8" t="s">
        <v>4304</v>
      </c>
      <c r="C197" s="8" t="s">
        <v>4296</v>
      </c>
      <c r="D197" s="8" t="s">
        <v>84</v>
      </c>
      <c r="E197" s="8">
        <v>80640</v>
      </c>
      <c r="F197" s="8">
        <v>39.920540500000001</v>
      </c>
      <c r="G197" s="8">
        <v>-104.86580840000001</v>
      </c>
    </row>
    <row r="198" spans="1:7" ht="15.75" customHeight="1" x14ac:dyDescent="0.25">
      <c r="A198" s="8" t="s">
        <v>4305</v>
      </c>
      <c r="B198" s="8" t="s">
        <v>4306</v>
      </c>
      <c r="C198" s="8" t="s">
        <v>4307</v>
      </c>
      <c r="D198" s="8" t="s">
        <v>84</v>
      </c>
      <c r="E198" s="8">
        <v>81601</v>
      </c>
      <c r="F198" s="8">
        <v>39.550744799999997</v>
      </c>
      <c r="G198" s="8">
        <v>-107.3255001</v>
      </c>
    </row>
    <row r="199" spans="1:7" ht="15.75" customHeight="1" x14ac:dyDescent="0.25">
      <c r="A199" s="8" t="s">
        <v>4308</v>
      </c>
      <c r="B199" s="8" t="s">
        <v>4309</v>
      </c>
      <c r="C199" s="8" t="s">
        <v>1870</v>
      </c>
      <c r="D199" s="8" t="s">
        <v>84</v>
      </c>
      <c r="E199" s="8">
        <v>80723</v>
      </c>
      <c r="F199" s="8">
        <v>40.258491399999997</v>
      </c>
      <c r="G199" s="8">
        <v>-103.6234736</v>
      </c>
    </row>
    <row r="200" spans="1:7" ht="15.75" customHeight="1" x14ac:dyDescent="0.25">
      <c r="A200" s="8" t="s">
        <v>4310</v>
      </c>
      <c r="B200" s="8" t="s">
        <v>4311</v>
      </c>
      <c r="C200" s="8" t="s">
        <v>4312</v>
      </c>
      <c r="D200" s="8" t="s">
        <v>84</v>
      </c>
      <c r="E200" s="8">
        <v>81050</v>
      </c>
      <c r="F200" s="8">
        <v>37.985009099999999</v>
      </c>
      <c r="G200" s="8">
        <v>-103.5438321</v>
      </c>
    </row>
    <row r="201" spans="1:7" ht="15.75" customHeight="1" x14ac:dyDescent="0.25">
      <c r="A201" s="8" t="s">
        <v>4313</v>
      </c>
      <c r="B201" s="8" t="s">
        <v>4314</v>
      </c>
      <c r="C201" s="8" t="s">
        <v>4315</v>
      </c>
      <c r="D201" s="8" t="s">
        <v>84</v>
      </c>
      <c r="E201" s="8">
        <v>81301</v>
      </c>
      <c r="F201" s="8">
        <v>37.275373899999998</v>
      </c>
      <c r="G201" s="8">
        <v>-107.8799422</v>
      </c>
    </row>
    <row r="202" spans="1:7" ht="15.75" customHeight="1" x14ac:dyDescent="0.25">
      <c r="A202" s="8" t="s">
        <v>4316</v>
      </c>
      <c r="B202" s="8" t="s">
        <v>4317</v>
      </c>
      <c r="C202" s="8" t="s">
        <v>4317</v>
      </c>
      <c r="D202" s="8" t="s">
        <v>84</v>
      </c>
      <c r="E202" s="8">
        <v>80301</v>
      </c>
      <c r="F202" s="8">
        <v>40.014985600000003</v>
      </c>
      <c r="G202" s="8">
        <v>-105.27054560000001</v>
      </c>
    </row>
    <row r="203" spans="1:7" ht="15.75" customHeight="1" x14ac:dyDescent="0.25">
      <c r="A203" s="8" t="s">
        <v>4318</v>
      </c>
      <c r="B203" s="8" t="s">
        <v>4319</v>
      </c>
      <c r="C203" s="8" t="s">
        <v>4319</v>
      </c>
      <c r="D203" s="8" t="s">
        <v>84</v>
      </c>
      <c r="E203" s="8" t="s">
        <v>4320</v>
      </c>
      <c r="F203" s="8">
        <v>39.937989199999997</v>
      </c>
      <c r="G203" s="8">
        <v>-105.0587294</v>
      </c>
    </row>
    <row r="204" spans="1:7" ht="15.75" customHeight="1" x14ac:dyDescent="0.25">
      <c r="A204" s="8" t="s">
        <v>4321</v>
      </c>
      <c r="B204" s="8" t="s">
        <v>155</v>
      </c>
      <c r="C204" s="8" t="s">
        <v>4322</v>
      </c>
      <c r="D204" s="8" t="s">
        <v>84</v>
      </c>
      <c r="E204" s="8">
        <v>81501</v>
      </c>
      <c r="F204" s="8">
        <v>39.068406199999998</v>
      </c>
      <c r="G204" s="8">
        <v>-108.5644417</v>
      </c>
    </row>
    <row r="205" spans="1:7" ht="15.75" customHeight="1" x14ac:dyDescent="0.25">
      <c r="A205" s="8" t="s">
        <v>4323</v>
      </c>
      <c r="B205" s="8" t="s">
        <v>4324</v>
      </c>
      <c r="C205" s="8" t="s">
        <v>4325</v>
      </c>
      <c r="D205" s="8" t="s">
        <v>84</v>
      </c>
      <c r="E205" s="8">
        <v>80631</v>
      </c>
      <c r="F205" s="8">
        <v>40.4233142</v>
      </c>
      <c r="G205" s="8">
        <v>-104.7091322</v>
      </c>
    </row>
    <row r="206" spans="1:7" ht="15.75" customHeight="1" x14ac:dyDescent="0.25">
      <c r="A206" s="8" t="s">
        <v>4326</v>
      </c>
      <c r="B206" s="8" t="s">
        <v>4327</v>
      </c>
      <c r="C206" s="8" t="s">
        <v>3018</v>
      </c>
      <c r="D206" s="8" t="s">
        <v>84</v>
      </c>
      <c r="E206" s="8">
        <v>81201</v>
      </c>
      <c r="F206" s="8">
        <v>38.534719299999999</v>
      </c>
      <c r="G206" s="8">
        <v>-105.9989023</v>
      </c>
    </row>
    <row r="207" spans="1:7" ht="15.75" customHeight="1" x14ac:dyDescent="0.25">
      <c r="A207" s="8" t="s">
        <v>4328</v>
      </c>
      <c r="B207" s="8" t="s">
        <v>4329</v>
      </c>
      <c r="C207" s="8" t="s">
        <v>4330</v>
      </c>
      <c r="D207" s="8" t="s">
        <v>84</v>
      </c>
      <c r="E207" s="8">
        <v>80840</v>
      </c>
      <c r="F207" s="8">
        <v>38.998357300000002</v>
      </c>
      <c r="G207" s="8">
        <v>-104.8617533</v>
      </c>
    </row>
    <row r="208" spans="1:7" ht="15.75" customHeight="1" x14ac:dyDescent="0.25">
      <c r="A208" s="8" t="s">
        <v>4331</v>
      </c>
      <c r="B208" s="8" t="s">
        <v>4332</v>
      </c>
      <c r="C208" s="8" t="s">
        <v>4317</v>
      </c>
      <c r="D208" s="8" t="s">
        <v>84</v>
      </c>
      <c r="E208" s="8">
        <v>80026</v>
      </c>
      <c r="F208" s="8">
        <v>40.002443499999998</v>
      </c>
      <c r="G208" s="8">
        <v>-105.109579977</v>
      </c>
    </row>
    <row r="209" spans="1:7" ht="15.75" customHeight="1" x14ac:dyDescent="0.25">
      <c r="A209" s="8" t="s">
        <v>4333</v>
      </c>
      <c r="B209" s="8" t="s">
        <v>4334</v>
      </c>
      <c r="C209" s="8" t="s">
        <v>3976</v>
      </c>
      <c r="D209" s="8" t="s">
        <v>84</v>
      </c>
      <c r="E209" s="8">
        <v>80501</v>
      </c>
      <c r="F209" s="8">
        <v>40.167211700000003</v>
      </c>
      <c r="G209" s="8">
        <v>-105.1019287</v>
      </c>
    </row>
    <row r="210" spans="1:7" ht="15.75" customHeight="1" x14ac:dyDescent="0.25">
      <c r="A210" s="8" t="s">
        <v>4335</v>
      </c>
      <c r="B210" s="8" t="s">
        <v>4336</v>
      </c>
      <c r="C210" s="8" t="s">
        <v>4302</v>
      </c>
      <c r="D210" s="8" t="s">
        <v>84</v>
      </c>
      <c r="E210" s="8">
        <v>80525</v>
      </c>
      <c r="F210" s="8">
        <v>40.540013007900001</v>
      </c>
      <c r="G210" s="8">
        <v>-105.05904546799999</v>
      </c>
    </row>
    <row r="211" spans="1:7" ht="15.75" customHeight="1" x14ac:dyDescent="0.25">
      <c r="A211" s="8" t="s">
        <v>4337</v>
      </c>
      <c r="B211" s="8" t="s">
        <v>4338</v>
      </c>
      <c r="C211" s="8" t="s">
        <v>4339</v>
      </c>
      <c r="D211" s="8" t="s">
        <v>1066</v>
      </c>
      <c r="E211" s="8">
        <v>6810</v>
      </c>
      <c r="F211" s="8">
        <v>41.396124550000003</v>
      </c>
      <c r="G211" s="8">
        <v>-73.448791205099994</v>
      </c>
    </row>
    <row r="212" spans="1:7" ht="15.75" customHeight="1" x14ac:dyDescent="0.25">
      <c r="A212" s="8" t="s">
        <v>4340</v>
      </c>
      <c r="B212" s="8" t="s">
        <v>1071</v>
      </c>
      <c r="C212" s="8" t="s">
        <v>4339</v>
      </c>
      <c r="D212" s="8" t="s">
        <v>1066</v>
      </c>
      <c r="E212" s="8">
        <v>6824</v>
      </c>
      <c r="F212" s="8">
        <v>41.142814000000001</v>
      </c>
      <c r="G212" s="8">
        <v>-73.257923025699995</v>
      </c>
    </row>
    <row r="213" spans="1:7" ht="15.75" customHeight="1" x14ac:dyDescent="0.25">
      <c r="A213" s="8" t="s">
        <v>4341</v>
      </c>
      <c r="B213" s="8" t="s">
        <v>4342</v>
      </c>
      <c r="C213" s="8" t="s">
        <v>4343</v>
      </c>
      <c r="D213" s="8" t="s">
        <v>1066</v>
      </c>
      <c r="E213" s="8">
        <v>6360</v>
      </c>
      <c r="F213" s="8">
        <v>41.524264899999999</v>
      </c>
      <c r="G213" s="8">
        <v>-72.075910500000006</v>
      </c>
    </row>
    <row r="214" spans="1:7" ht="15.75" customHeight="1" x14ac:dyDescent="0.25">
      <c r="A214" s="8" t="s">
        <v>4344</v>
      </c>
      <c r="B214" s="8" t="s">
        <v>1716</v>
      </c>
      <c r="C214" s="8" t="s">
        <v>4345</v>
      </c>
      <c r="D214" s="8" t="s">
        <v>1066</v>
      </c>
      <c r="E214" s="8">
        <v>6460</v>
      </c>
      <c r="F214" s="8">
        <v>41.2222218</v>
      </c>
      <c r="G214" s="8">
        <v>-73.057060300000003</v>
      </c>
    </row>
    <row r="215" spans="1:7" ht="15.75" customHeight="1" x14ac:dyDescent="0.25">
      <c r="A215" s="8" t="s">
        <v>4346</v>
      </c>
      <c r="B215" s="8" t="s">
        <v>2974</v>
      </c>
      <c r="C215" s="8" t="s">
        <v>4347</v>
      </c>
      <c r="D215" s="8" t="s">
        <v>1066</v>
      </c>
      <c r="E215" s="8">
        <v>6040</v>
      </c>
      <c r="F215" s="8">
        <v>41.783401699999999</v>
      </c>
      <c r="G215" s="8">
        <v>-72.523197300000007</v>
      </c>
    </row>
    <row r="216" spans="1:7" ht="15.75" customHeight="1" x14ac:dyDescent="0.25">
      <c r="A216" s="8" t="s">
        <v>4348</v>
      </c>
      <c r="B216" s="8" t="s">
        <v>4349</v>
      </c>
      <c r="C216" s="8" t="s">
        <v>4345</v>
      </c>
      <c r="D216" s="8" t="s">
        <v>1066</v>
      </c>
      <c r="E216" s="8">
        <v>6492</v>
      </c>
      <c r="F216" s="8">
        <v>41.457041799999999</v>
      </c>
      <c r="G216" s="8">
        <v>-72.823155200000002</v>
      </c>
    </row>
    <row r="217" spans="1:7" ht="15.75" customHeight="1" x14ac:dyDescent="0.25">
      <c r="A217" s="8" t="s">
        <v>4350</v>
      </c>
      <c r="B217" s="8" t="s">
        <v>4351</v>
      </c>
      <c r="C217" s="8" t="s">
        <v>4347</v>
      </c>
      <c r="D217" s="8" t="s">
        <v>1066</v>
      </c>
      <c r="E217" s="8">
        <v>6479</v>
      </c>
      <c r="F217" s="8">
        <v>41.583708999999999</v>
      </c>
      <c r="G217" s="8">
        <v>-72.892324099999996</v>
      </c>
    </row>
    <row r="218" spans="1:7" ht="15.75" customHeight="1" x14ac:dyDescent="0.25">
      <c r="A218" s="8" t="s">
        <v>4352</v>
      </c>
      <c r="B218" s="8" t="s">
        <v>83</v>
      </c>
      <c r="C218" s="8" t="s">
        <v>4347</v>
      </c>
      <c r="D218" s="8" t="s">
        <v>1066</v>
      </c>
      <c r="E218" s="8">
        <v>6142</v>
      </c>
      <c r="F218" s="8">
        <v>41.852598399999998</v>
      </c>
      <c r="G218" s="8">
        <v>-72.643702200000007</v>
      </c>
    </row>
    <row r="219" spans="1:7" ht="15.75" customHeight="1" x14ac:dyDescent="0.25">
      <c r="A219" s="8" t="s">
        <v>4353</v>
      </c>
      <c r="B219" s="8" t="s">
        <v>4354</v>
      </c>
      <c r="C219" s="8" t="s">
        <v>4345</v>
      </c>
      <c r="D219" s="8" t="s">
        <v>1066</v>
      </c>
      <c r="E219" s="8">
        <v>6473</v>
      </c>
      <c r="F219" s="8">
        <v>41.390930500000003</v>
      </c>
      <c r="G219" s="8">
        <v>-72.859544999999997</v>
      </c>
    </row>
    <row r="220" spans="1:7" ht="15.75" customHeight="1" x14ac:dyDescent="0.25">
      <c r="A220" s="8" t="s">
        <v>4355</v>
      </c>
      <c r="B220" s="8" t="s">
        <v>1716</v>
      </c>
      <c r="C220" s="8" t="s">
        <v>4345</v>
      </c>
      <c r="D220" s="8" t="s">
        <v>1066</v>
      </c>
      <c r="E220" s="8">
        <v>6460</v>
      </c>
      <c r="F220" s="8">
        <v>41.2222218</v>
      </c>
      <c r="G220" s="8">
        <v>-73.057060300000003</v>
      </c>
    </row>
    <row r="221" spans="1:7" ht="15.75" customHeight="1" x14ac:dyDescent="0.25">
      <c r="A221" s="8" t="s">
        <v>4356</v>
      </c>
      <c r="B221" s="8" t="s">
        <v>724</v>
      </c>
      <c r="C221" s="8" t="s">
        <v>4357</v>
      </c>
      <c r="D221" s="8" t="s">
        <v>4358</v>
      </c>
      <c r="E221" s="8">
        <v>20032</v>
      </c>
      <c r="F221" s="8">
        <v>38.894954900000002</v>
      </c>
      <c r="G221" s="8">
        <v>-77.0366456</v>
      </c>
    </row>
    <row r="222" spans="1:7" ht="15.75" customHeight="1" x14ac:dyDescent="0.25">
      <c r="A222" s="8" t="s">
        <v>4359</v>
      </c>
      <c r="B222" s="8" t="s">
        <v>2111</v>
      </c>
      <c r="C222" s="8" t="s">
        <v>4360</v>
      </c>
      <c r="D222" s="8" t="s">
        <v>2109</v>
      </c>
      <c r="E222" s="8">
        <v>19809</v>
      </c>
      <c r="F222" s="8">
        <v>39.745946799999999</v>
      </c>
      <c r="G222" s="8">
        <v>-75.546588999999997</v>
      </c>
    </row>
    <row r="223" spans="1:7" ht="15.75" customHeight="1" x14ac:dyDescent="0.25">
      <c r="A223" s="8" t="s">
        <v>6612</v>
      </c>
      <c r="B223" s="8" t="s">
        <v>4361</v>
      </c>
      <c r="C223" s="8" t="s">
        <v>4362</v>
      </c>
      <c r="D223" s="8" t="s">
        <v>1074</v>
      </c>
      <c r="E223" s="8">
        <v>33605</v>
      </c>
      <c r="F223" s="8">
        <v>27.956726</v>
      </c>
      <c r="G223" s="8">
        <v>-82.405085</v>
      </c>
    </row>
    <row r="224" spans="1:7" ht="15.75" customHeight="1" x14ac:dyDescent="0.25">
      <c r="A224" s="8" t="s">
        <v>4363</v>
      </c>
      <c r="B224" s="8" t="s">
        <v>4364</v>
      </c>
      <c r="C224" s="8" t="s">
        <v>4365</v>
      </c>
      <c r="D224" s="8" t="s">
        <v>1074</v>
      </c>
      <c r="E224" s="8">
        <v>33069</v>
      </c>
      <c r="F224" s="8">
        <v>26.233209451099999</v>
      </c>
      <c r="G224" s="8">
        <v>-80.156439072400005</v>
      </c>
    </row>
    <row r="225" spans="1:7" ht="15.75" customHeight="1" x14ac:dyDescent="0.25">
      <c r="A225" s="8" t="s">
        <v>4366</v>
      </c>
      <c r="B225" s="8" t="s">
        <v>3940</v>
      </c>
      <c r="C225" s="8" t="s">
        <v>4367</v>
      </c>
      <c r="D225" s="8" t="s">
        <v>1074</v>
      </c>
      <c r="E225" s="8">
        <v>32206</v>
      </c>
      <c r="F225" s="8">
        <v>30.341930000000001</v>
      </c>
      <c r="G225" s="8">
        <v>-81.637074999999996</v>
      </c>
    </row>
    <row r="226" spans="1:7" ht="15.75" customHeight="1" x14ac:dyDescent="0.25">
      <c r="A226" s="8" t="s">
        <v>4368</v>
      </c>
      <c r="B226" s="8" t="s">
        <v>4369</v>
      </c>
      <c r="C226" s="8" t="s">
        <v>4370</v>
      </c>
      <c r="D226" s="8" t="s">
        <v>1074</v>
      </c>
      <c r="E226" s="8">
        <v>33432</v>
      </c>
      <c r="F226" s="8">
        <v>26.337485300000001</v>
      </c>
      <c r="G226" s="8">
        <v>-80.073531900000006</v>
      </c>
    </row>
    <row r="227" spans="1:7" ht="15.75" customHeight="1" x14ac:dyDescent="0.25">
      <c r="A227" s="8" t="s">
        <v>4371</v>
      </c>
      <c r="B227" s="8" t="s">
        <v>4372</v>
      </c>
      <c r="C227" s="8" t="s">
        <v>4373</v>
      </c>
      <c r="D227" s="8" t="s">
        <v>1074</v>
      </c>
      <c r="E227" s="8">
        <v>33803</v>
      </c>
      <c r="F227" s="8">
        <v>28.029990000000002</v>
      </c>
      <c r="G227" s="8">
        <v>-81.964000999999996</v>
      </c>
    </row>
    <row r="228" spans="1:7" ht="15.75" customHeight="1" x14ac:dyDescent="0.25">
      <c r="A228" s="8" t="s">
        <v>4374</v>
      </c>
      <c r="B228" s="8" t="s">
        <v>3940</v>
      </c>
      <c r="C228" s="8" t="s">
        <v>4367</v>
      </c>
      <c r="D228" s="8" t="s">
        <v>1074</v>
      </c>
      <c r="E228" s="8">
        <v>32218</v>
      </c>
      <c r="F228" s="8">
        <v>30.404967899999999</v>
      </c>
      <c r="G228" s="8">
        <v>-81.649660299999994</v>
      </c>
    </row>
    <row r="229" spans="1:7" ht="15.75" customHeight="1" x14ac:dyDescent="0.25">
      <c r="A229" s="8" t="s">
        <v>4375</v>
      </c>
      <c r="B229" s="8" t="s">
        <v>4376</v>
      </c>
      <c r="C229" s="8" t="s">
        <v>4377</v>
      </c>
      <c r="D229" s="8" t="s">
        <v>1074</v>
      </c>
      <c r="E229" s="8">
        <v>33755</v>
      </c>
      <c r="F229" s="8">
        <v>27.963261599999999</v>
      </c>
      <c r="G229" s="8">
        <v>-82.797112600000006</v>
      </c>
    </row>
    <row r="230" spans="1:7" ht="15.75" customHeight="1" x14ac:dyDescent="0.25">
      <c r="A230" s="8" t="s">
        <v>4378</v>
      </c>
      <c r="B230" s="8" t="s">
        <v>4379</v>
      </c>
      <c r="C230" s="8" t="s">
        <v>4380</v>
      </c>
      <c r="D230" s="8" t="s">
        <v>1074</v>
      </c>
      <c r="E230" s="8">
        <v>327246985</v>
      </c>
      <c r="F230" s="8">
        <v>29.028321300000002</v>
      </c>
      <c r="G230" s="8">
        <v>-81.303109800000001</v>
      </c>
    </row>
    <row r="231" spans="1:7" ht="15.75" customHeight="1" x14ac:dyDescent="0.25">
      <c r="A231" s="8" t="s">
        <v>6613</v>
      </c>
      <c r="B231" s="8" t="s">
        <v>3940</v>
      </c>
      <c r="C231" s="8" t="s">
        <v>4367</v>
      </c>
      <c r="D231" s="8" t="s">
        <v>1074</v>
      </c>
      <c r="E231" s="8">
        <v>32257</v>
      </c>
      <c r="F231" s="8">
        <v>30.11</v>
      </c>
      <c r="G231" s="8">
        <v>-81.63</v>
      </c>
    </row>
    <row r="232" spans="1:7" ht="15.75" customHeight="1" x14ac:dyDescent="0.25">
      <c r="A232" s="8" t="s">
        <v>4381</v>
      </c>
      <c r="B232" s="8" t="s">
        <v>3940</v>
      </c>
      <c r="C232" s="8" t="s">
        <v>4367</v>
      </c>
      <c r="D232" s="8" t="s">
        <v>1074</v>
      </c>
      <c r="E232" s="8">
        <v>32211</v>
      </c>
      <c r="F232" s="8">
        <v>30.334453799999999</v>
      </c>
      <c r="G232" s="8">
        <v>-81.584209900000005</v>
      </c>
    </row>
    <row r="233" spans="1:7" ht="15.75" customHeight="1" x14ac:dyDescent="0.25">
      <c r="A233" s="8" t="s">
        <v>6614</v>
      </c>
      <c r="B233" s="8" t="s">
        <v>6615</v>
      </c>
      <c r="C233" s="8"/>
      <c r="D233" s="8" t="s">
        <v>1074</v>
      </c>
      <c r="E233" s="8">
        <v>32217</v>
      </c>
      <c r="F233" s="8">
        <v>30.62</v>
      </c>
      <c r="G233" s="8">
        <v>-81.55</v>
      </c>
    </row>
    <row r="234" spans="1:7" ht="15.75" customHeight="1" x14ac:dyDescent="0.25">
      <c r="A234" s="8" t="s">
        <v>4382</v>
      </c>
      <c r="B234" s="8" t="s">
        <v>3940</v>
      </c>
      <c r="C234" s="8" t="s">
        <v>4367</v>
      </c>
      <c r="D234" s="8" t="s">
        <v>1074</v>
      </c>
      <c r="E234" s="8">
        <v>32244</v>
      </c>
      <c r="F234" s="8">
        <v>30.332183799999999</v>
      </c>
      <c r="G234" s="8">
        <v>-81.655651000000006</v>
      </c>
    </row>
    <row r="235" spans="1:7" ht="15.75" customHeight="1" x14ac:dyDescent="0.25">
      <c r="A235" s="8" t="s">
        <v>4383</v>
      </c>
      <c r="B235" s="8" t="s">
        <v>4384</v>
      </c>
      <c r="C235" s="8" t="s">
        <v>4385</v>
      </c>
      <c r="D235" s="8" t="s">
        <v>1074</v>
      </c>
      <c r="E235" s="8">
        <v>33149</v>
      </c>
      <c r="F235" s="8">
        <v>25.696835100000001</v>
      </c>
      <c r="G235" s="8">
        <v>-80.163526099999999</v>
      </c>
    </row>
    <row r="236" spans="1:7" ht="15.75" customHeight="1" x14ac:dyDescent="0.25">
      <c r="A236" s="8" t="s">
        <v>4386</v>
      </c>
      <c r="B236" s="8" t="s">
        <v>3940</v>
      </c>
      <c r="C236" s="8" t="s">
        <v>4367</v>
      </c>
      <c r="D236" s="8" t="s">
        <v>1074</v>
      </c>
      <c r="E236" s="8">
        <v>32225</v>
      </c>
      <c r="F236" s="8">
        <v>30.332183799999999</v>
      </c>
      <c r="G236" s="8">
        <v>-81.655651000000006</v>
      </c>
    </row>
    <row r="237" spans="1:7" ht="15.75" customHeight="1" x14ac:dyDescent="0.25">
      <c r="A237" s="8" t="s">
        <v>4387</v>
      </c>
      <c r="B237" s="8" t="s">
        <v>3940</v>
      </c>
      <c r="C237" s="8" t="s">
        <v>4367</v>
      </c>
      <c r="D237" s="8" t="s">
        <v>1074</v>
      </c>
      <c r="E237" s="8">
        <v>32256</v>
      </c>
      <c r="F237" s="8">
        <v>30.1787499</v>
      </c>
      <c r="G237" s="8">
        <v>-81.551939300000001</v>
      </c>
    </row>
    <row r="238" spans="1:7" ht="15.75" customHeight="1" x14ac:dyDescent="0.25">
      <c r="A238" s="8" t="s">
        <v>4388</v>
      </c>
      <c r="B238" s="8" t="s">
        <v>4389</v>
      </c>
      <c r="C238" s="8" t="s">
        <v>4390</v>
      </c>
      <c r="D238" s="8" t="s">
        <v>1074</v>
      </c>
      <c r="E238" s="8">
        <v>32177</v>
      </c>
      <c r="F238" s="8">
        <v>29.648788199999998</v>
      </c>
      <c r="G238" s="8">
        <v>-81.637211100000002</v>
      </c>
    </row>
    <row r="239" spans="1:7" ht="15.75" customHeight="1" x14ac:dyDescent="0.25">
      <c r="A239" s="8" t="s">
        <v>4391</v>
      </c>
      <c r="B239" s="8" t="s">
        <v>4392</v>
      </c>
      <c r="C239" s="8" t="s">
        <v>4377</v>
      </c>
      <c r="D239" s="8" t="s">
        <v>1074</v>
      </c>
      <c r="E239" s="8">
        <v>33709</v>
      </c>
      <c r="F239" s="8">
        <v>27.8082998</v>
      </c>
      <c r="G239" s="8">
        <v>-82.691873700000002</v>
      </c>
    </row>
    <row r="240" spans="1:7" ht="15.75" customHeight="1" x14ac:dyDescent="0.25">
      <c r="A240" s="8" t="s">
        <v>4393</v>
      </c>
      <c r="B240" s="8" t="s">
        <v>4376</v>
      </c>
      <c r="C240" s="8" t="s">
        <v>4377</v>
      </c>
      <c r="D240" s="8" t="s">
        <v>1074</v>
      </c>
      <c r="E240" s="8">
        <v>33755</v>
      </c>
      <c r="F240" s="8">
        <v>27.963261599999999</v>
      </c>
      <c r="G240" s="8">
        <v>-82.797112600000006</v>
      </c>
    </row>
    <row r="241" spans="1:7" ht="15.75" customHeight="1" x14ac:dyDescent="0.25">
      <c r="A241" s="8" t="s">
        <v>4394</v>
      </c>
      <c r="B241" s="8" t="s">
        <v>4376</v>
      </c>
      <c r="C241" s="8" t="s">
        <v>4377</v>
      </c>
      <c r="D241" s="8" t="s">
        <v>1074</v>
      </c>
      <c r="E241" s="8">
        <v>33765</v>
      </c>
      <c r="F241" s="8">
        <v>27.963261599999999</v>
      </c>
      <c r="G241" s="8">
        <v>-82.797112600000006</v>
      </c>
    </row>
    <row r="242" spans="1:7" ht="15.75" customHeight="1" x14ac:dyDescent="0.25">
      <c r="A242" s="8" t="s">
        <v>4395</v>
      </c>
      <c r="B242" s="8" t="s">
        <v>4396</v>
      </c>
      <c r="C242" s="8" t="s">
        <v>4370</v>
      </c>
      <c r="D242" s="8" t="s">
        <v>1074</v>
      </c>
      <c r="E242" s="8">
        <v>33437</v>
      </c>
      <c r="F242" s="8">
        <v>26.5253491</v>
      </c>
      <c r="G242" s="8">
        <v>-80.0664309</v>
      </c>
    </row>
    <row r="243" spans="1:7" ht="15.75" customHeight="1" x14ac:dyDescent="0.25">
      <c r="A243" s="8" t="s">
        <v>4397</v>
      </c>
      <c r="B243" s="8" t="s">
        <v>3940</v>
      </c>
      <c r="C243" s="8" t="s">
        <v>4367</v>
      </c>
      <c r="D243" s="8" t="s">
        <v>1074</v>
      </c>
      <c r="E243" s="8">
        <v>32244</v>
      </c>
      <c r="F243" s="8">
        <v>30.332183799999999</v>
      </c>
      <c r="G243" s="8">
        <v>-81.655651000000006</v>
      </c>
    </row>
    <row r="244" spans="1:7" ht="15.75" customHeight="1" x14ac:dyDescent="0.25">
      <c r="A244" s="8" t="s">
        <v>4398</v>
      </c>
      <c r="B244" s="8" t="s">
        <v>3149</v>
      </c>
      <c r="C244" s="8" t="s">
        <v>4399</v>
      </c>
      <c r="D244" s="8" t="s">
        <v>1074</v>
      </c>
      <c r="E244" s="8">
        <v>32244</v>
      </c>
      <c r="F244" s="8">
        <v>30.332183799999999</v>
      </c>
      <c r="G244" s="8">
        <v>-81.655651000000006</v>
      </c>
    </row>
    <row r="245" spans="1:7" ht="15.75" customHeight="1" x14ac:dyDescent="0.25">
      <c r="A245" s="8" t="s">
        <v>4400</v>
      </c>
      <c r="B245" s="8" t="s">
        <v>4401</v>
      </c>
      <c r="C245" s="8"/>
      <c r="D245" s="8" t="s">
        <v>1074</v>
      </c>
      <c r="E245" s="8">
        <v>32830</v>
      </c>
      <c r="F245" s="8">
        <v>28.377246899999999</v>
      </c>
      <c r="G245" s="8">
        <v>-81.511597301899997</v>
      </c>
    </row>
    <row r="246" spans="1:7" ht="15.75" customHeight="1" x14ac:dyDescent="0.25">
      <c r="A246" s="8" t="s">
        <v>4402</v>
      </c>
      <c r="B246" s="8" t="s">
        <v>2159</v>
      </c>
      <c r="C246" s="8" t="s">
        <v>4403</v>
      </c>
      <c r="D246" s="8" t="s">
        <v>1074</v>
      </c>
      <c r="E246" s="8">
        <v>34210</v>
      </c>
      <c r="F246" s="8">
        <v>27.498927800000001</v>
      </c>
      <c r="G246" s="8">
        <v>-82.574819399999996</v>
      </c>
    </row>
    <row r="247" spans="1:7" ht="15.75" customHeight="1" x14ac:dyDescent="0.25">
      <c r="A247" s="8" t="s">
        <v>4404</v>
      </c>
      <c r="B247" s="8" t="s">
        <v>4405</v>
      </c>
      <c r="C247" s="8" t="s">
        <v>4365</v>
      </c>
      <c r="D247" s="8" t="s">
        <v>1074</v>
      </c>
      <c r="E247" s="8">
        <v>33317</v>
      </c>
      <c r="F247" s="8">
        <v>26.1275862</v>
      </c>
      <c r="G247" s="8">
        <v>-80.233103600000007</v>
      </c>
    </row>
    <row r="248" spans="1:7" ht="15.75" customHeight="1" x14ac:dyDescent="0.25">
      <c r="A248" s="8" t="s">
        <v>4406</v>
      </c>
      <c r="B248" s="8" t="s">
        <v>4407</v>
      </c>
      <c r="C248" s="8" t="s">
        <v>4377</v>
      </c>
      <c r="D248" s="8" t="s">
        <v>1074</v>
      </c>
      <c r="E248" s="8">
        <v>33709</v>
      </c>
      <c r="F248" s="8">
        <v>27.8082998</v>
      </c>
      <c r="G248" s="8">
        <v>-82.691873700000002</v>
      </c>
    </row>
    <row r="249" spans="1:7" ht="15.75" customHeight="1" x14ac:dyDescent="0.25">
      <c r="A249" s="8" t="s">
        <v>4408</v>
      </c>
      <c r="B249" s="8" t="s">
        <v>4409</v>
      </c>
      <c r="C249" s="8" t="s">
        <v>4410</v>
      </c>
      <c r="D249" s="8" t="s">
        <v>1074</v>
      </c>
      <c r="E249" s="8">
        <v>33189</v>
      </c>
      <c r="F249" s="8">
        <v>25.774265799999998</v>
      </c>
      <c r="G249" s="8">
        <v>-80.193658900000003</v>
      </c>
    </row>
    <row r="250" spans="1:7" ht="15.75" customHeight="1" x14ac:dyDescent="0.25">
      <c r="A250" s="8" t="s">
        <v>4411</v>
      </c>
      <c r="B250" s="8" t="s">
        <v>2171</v>
      </c>
      <c r="C250" s="8" t="s">
        <v>4048</v>
      </c>
      <c r="D250" s="8" t="s">
        <v>1074</v>
      </c>
      <c r="E250" s="8">
        <v>32811</v>
      </c>
      <c r="F250" s="8">
        <v>28.486813399999999</v>
      </c>
      <c r="G250" s="8">
        <v>-81.449053399999997</v>
      </c>
    </row>
    <row r="251" spans="1:7" ht="15.75" customHeight="1" x14ac:dyDescent="0.25">
      <c r="A251" s="8" t="s">
        <v>4412</v>
      </c>
      <c r="B251" s="8" t="s">
        <v>4384</v>
      </c>
      <c r="C251" s="8" t="s">
        <v>4413</v>
      </c>
      <c r="D251" s="8" t="s">
        <v>1074</v>
      </c>
      <c r="E251" s="8">
        <v>33149</v>
      </c>
      <c r="F251" s="8">
        <v>25.696835100000001</v>
      </c>
      <c r="G251" s="8">
        <v>-80.163526099999999</v>
      </c>
    </row>
    <row r="252" spans="1:7" ht="15.75" customHeight="1" x14ac:dyDescent="0.25">
      <c r="A252" s="8" t="s">
        <v>4414</v>
      </c>
      <c r="B252" s="8" t="s">
        <v>4415</v>
      </c>
      <c r="C252" s="8" t="s">
        <v>4413</v>
      </c>
      <c r="D252" s="8" t="s">
        <v>1074</v>
      </c>
      <c r="E252" s="8">
        <v>33190</v>
      </c>
      <c r="F252" s="8">
        <v>25.562884499999999</v>
      </c>
      <c r="G252" s="8">
        <v>-80.382191599999999</v>
      </c>
    </row>
    <row r="253" spans="1:7" ht="15.75" customHeight="1" x14ac:dyDescent="0.25">
      <c r="A253" s="8" t="s">
        <v>4406</v>
      </c>
      <c r="B253" s="8" t="s">
        <v>4416</v>
      </c>
      <c r="C253" s="8" t="s">
        <v>1086</v>
      </c>
      <c r="D253" s="8" t="s">
        <v>1074</v>
      </c>
      <c r="E253" s="8">
        <v>33711</v>
      </c>
      <c r="F253" s="8">
        <v>27.7162662</v>
      </c>
      <c r="G253" s="8">
        <v>-82.679652300000001</v>
      </c>
    </row>
    <row r="254" spans="1:7" ht="15.75" customHeight="1" x14ac:dyDescent="0.25">
      <c r="A254" s="8" t="s">
        <v>4417</v>
      </c>
      <c r="B254" s="8" t="s">
        <v>4418</v>
      </c>
      <c r="C254" s="8"/>
      <c r="D254" s="8" t="s">
        <v>1074</v>
      </c>
      <c r="E254" s="8">
        <v>32082</v>
      </c>
      <c r="F254" s="8">
        <v>30.239686500000001</v>
      </c>
      <c r="G254" s="8">
        <v>-81.385638400000005</v>
      </c>
    </row>
    <row r="255" spans="1:7" ht="15.75" customHeight="1" x14ac:dyDescent="0.25">
      <c r="A255" s="8" t="s">
        <v>4419</v>
      </c>
      <c r="B255" s="8" t="s">
        <v>4418</v>
      </c>
      <c r="C255" s="8"/>
      <c r="D255" s="8" t="s">
        <v>1074</v>
      </c>
      <c r="E255" s="8">
        <v>32082</v>
      </c>
      <c r="F255" s="8">
        <v>30.239686500000001</v>
      </c>
      <c r="G255" s="8">
        <v>-81.385638400000005</v>
      </c>
    </row>
    <row r="256" spans="1:7" ht="15.75" customHeight="1" x14ac:dyDescent="0.25">
      <c r="A256" s="8" t="s">
        <v>4420</v>
      </c>
      <c r="B256" s="8" t="s">
        <v>4421</v>
      </c>
      <c r="C256" s="8"/>
      <c r="D256" s="8" t="s">
        <v>1074</v>
      </c>
      <c r="E256" s="8">
        <v>32034</v>
      </c>
      <c r="F256" s="8">
        <v>30.669681799999999</v>
      </c>
      <c r="G256" s="8">
        <v>-81.462591900000007</v>
      </c>
    </row>
    <row r="257" spans="1:7" ht="15.75" customHeight="1" x14ac:dyDescent="0.25">
      <c r="A257" s="8" t="s">
        <v>6616</v>
      </c>
      <c r="B257" s="8" t="s">
        <v>3149</v>
      </c>
      <c r="C257" s="8"/>
      <c r="D257" s="8" t="s">
        <v>232</v>
      </c>
      <c r="E257" s="8"/>
      <c r="F257" s="8">
        <v>39.69</v>
      </c>
      <c r="G257" s="8">
        <v>-90.21</v>
      </c>
    </row>
    <row r="258" spans="1:7" ht="15.75" customHeight="1" x14ac:dyDescent="0.25">
      <c r="A258" s="8" t="s">
        <v>4422</v>
      </c>
      <c r="B258" s="8" t="s">
        <v>3149</v>
      </c>
      <c r="C258" s="8" t="s">
        <v>4423</v>
      </c>
      <c r="D258" s="8" t="s">
        <v>1074</v>
      </c>
      <c r="E258" s="8">
        <v>32259</v>
      </c>
      <c r="F258" s="8">
        <v>30.332183799999999</v>
      </c>
      <c r="G258" s="8">
        <v>-81.655651000000006</v>
      </c>
    </row>
    <row r="259" spans="1:7" ht="15.75" customHeight="1" x14ac:dyDescent="0.25">
      <c r="A259" s="8" t="s">
        <v>4424</v>
      </c>
      <c r="B259" s="8" t="s">
        <v>2171</v>
      </c>
      <c r="C259" s="8" t="s">
        <v>1966</v>
      </c>
      <c r="D259" s="8" t="s">
        <v>1074</v>
      </c>
      <c r="E259" s="8">
        <v>32819</v>
      </c>
      <c r="F259" s="8">
        <v>28.520075049999999</v>
      </c>
      <c r="G259" s="8">
        <v>-81.421003058599993</v>
      </c>
    </row>
    <row r="260" spans="1:7" ht="15.75" customHeight="1" x14ac:dyDescent="0.25">
      <c r="A260" s="8" t="s">
        <v>4425</v>
      </c>
      <c r="B260" s="8" t="s">
        <v>4426</v>
      </c>
      <c r="C260" s="8" t="s">
        <v>4427</v>
      </c>
      <c r="D260" s="8" t="s">
        <v>1074</v>
      </c>
      <c r="E260" s="8">
        <v>32305</v>
      </c>
      <c r="F260" s="8">
        <v>30.438083200000001</v>
      </c>
      <c r="G260" s="8">
        <v>-84.280933200000007</v>
      </c>
    </row>
    <row r="261" spans="1:7" ht="15.75" customHeight="1" x14ac:dyDescent="0.25">
      <c r="A261" s="8" t="s">
        <v>4428</v>
      </c>
      <c r="B261" s="8" t="s">
        <v>4429</v>
      </c>
      <c r="C261" s="8" t="s">
        <v>1088</v>
      </c>
      <c r="D261" s="8" t="s">
        <v>1074</v>
      </c>
      <c r="E261" s="8">
        <v>33027</v>
      </c>
      <c r="F261" s="8">
        <v>25.965382399999999</v>
      </c>
      <c r="G261" s="8">
        <v>-80.312220800000006</v>
      </c>
    </row>
    <row r="262" spans="1:7" ht="15.75" customHeight="1" x14ac:dyDescent="0.25">
      <c r="A262" s="8" t="s">
        <v>4430</v>
      </c>
      <c r="B262" s="8" t="s">
        <v>4431</v>
      </c>
      <c r="C262" s="8" t="s">
        <v>4432</v>
      </c>
      <c r="D262" s="8" t="s">
        <v>96</v>
      </c>
      <c r="E262" s="8">
        <v>30318</v>
      </c>
      <c r="F262" s="8">
        <v>33.749098699999998</v>
      </c>
      <c r="G262" s="8">
        <v>-84.390184899999994</v>
      </c>
    </row>
    <row r="263" spans="1:7" ht="15.75" customHeight="1" x14ac:dyDescent="0.25">
      <c r="A263" s="8" t="s">
        <v>4433</v>
      </c>
      <c r="B263" s="8" t="s">
        <v>4434</v>
      </c>
      <c r="C263" s="8" t="s">
        <v>4435</v>
      </c>
      <c r="D263" s="8" t="s">
        <v>96</v>
      </c>
      <c r="E263" s="8">
        <v>30906</v>
      </c>
      <c r="F263" s="8">
        <v>33.470971400000003</v>
      </c>
      <c r="G263" s="8">
        <v>-81.974842899999999</v>
      </c>
    </row>
    <row r="264" spans="1:7" ht="15.75" customHeight="1" x14ac:dyDescent="0.25">
      <c r="A264" s="8" t="s">
        <v>4436</v>
      </c>
      <c r="B264" s="8" t="s">
        <v>4437</v>
      </c>
      <c r="C264" s="8" t="s">
        <v>4438</v>
      </c>
      <c r="D264" s="8" t="s">
        <v>96</v>
      </c>
      <c r="E264" s="8">
        <v>31903</v>
      </c>
      <c r="F264" s="8">
        <v>32.4609764</v>
      </c>
      <c r="G264" s="8">
        <v>-84.9877094</v>
      </c>
    </row>
    <row r="265" spans="1:7" ht="15.75" customHeight="1" x14ac:dyDescent="0.25">
      <c r="A265" s="8" t="s">
        <v>4439</v>
      </c>
      <c r="B265" s="8" t="s">
        <v>4431</v>
      </c>
      <c r="C265" s="8" t="s">
        <v>4432</v>
      </c>
      <c r="D265" s="8" t="s">
        <v>96</v>
      </c>
      <c r="E265" s="8">
        <v>30315</v>
      </c>
      <c r="F265" s="8">
        <v>33.749098699999998</v>
      </c>
      <c r="G265" s="8">
        <v>-84.390184899999994</v>
      </c>
    </row>
    <row r="266" spans="1:7" ht="15.75" customHeight="1" x14ac:dyDescent="0.25">
      <c r="A266" s="8" t="s">
        <v>4440</v>
      </c>
      <c r="B266" s="8" t="s">
        <v>4441</v>
      </c>
      <c r="C266" s="8" t="s">
        <v>4442</v>
      </c>
      <c r="D266" s="8" t="s">
        <v>96</v>
      </c>
      <c r="E266" s="8">
        <v>31298</v>
      </c>
      <c r="F266" s="8">
        <v>32.840694599999999</v>
      </c>
      <c r="G266" s="8">
        <v>-83.632402200000001</v>
      </c>
    </row>
    <row r="267" spans="1:7" ht="15.75" customHeight="1" x14ac:dyDescent="0.25">
      <c r="A267" s="8" t="s">
        <v>4443</v>
      </c>
      <c r="B267" s="8" t="s">
        <v>4444</v>
      </c>
      <c r="C267" s="8" t="s">
        <v>4445</v>
      </c>
      <c r="D267" s="8" t="s">
        <v>96</v>
      </c>
      <c r="E267" s="8">
        <v>30161</v>
      </c>
      <c r="F267" s="8">
        <v>34.257038000000001</v>
      </c>
      <c r="G267" s="8">
        <v>-85.164672600000003</v>
      </c>
    </row>
    <row r="268" spans="1:7" ht="15.75" customHeight="1" x14ac:dyDescent="0.25">
      <c r="A268" s="8" t="s">
        <v>4446</v>
      </c>
      <c r="B268" s="8" t="s">
        <v>4447</v>
      </c>
      <c r="C268" s="8" t="s">
        <v>4448</v>
      </c>
      <c r="D268" s="8" t="s">
        <v>96</v>
      </c>
      <c r="E268" s="8">
        <v>31314</v>
      </c>
      <c r="F268" s="8">
        <v>31.869434900000002</v>
      </c>
      <c r="G268" s="8">
        <v>-81.607765700000002</v>
      </c>
    </row>
    <row r="269" spans="1:7" ht="15.75" customHeight="1" x14ac:dyDescent="0.25">
      <c r="A269" s="8" t="s">
        <v>4471</v>
      </c>
      <c r="B269" s="8" t="s">
        <v>4472</v>
      </c>
      <c r="C269" s="8"/>
      <c r="D269" s="8" t="s">
        <v>96</v>
      </c>
      <c r="E269" s="8"/>
      <c r="F269" s="8"/>
      <c r="G269" s="8"/>
    </row>
    <row r="270" spans="1:7" ht="15.75" customHeight="1" x14ac:dyDescent="0.25">
      <c r="A270" s="8" t="s">
        <v>4449</v>
      </c>
      <c r="B270" s="8" t="s">
        <v>4450</v>
      </c>
      <c r="C270" s="8" t="s">
        <v>4451</v>
      </c>
      <c r="D270" s="8" t="s">
        <v>96</v>
      </c>
      <c r="E270" s="8">
        <v>31061</v>
      </c>
      <c r="F270" s="8">
        <v>33.080142899999998</v>
      </c>
      <c r="G270" s="8">
        <v>-83.232099099999999</v>
      </c>
    </row>
    <row r="271" spans="1:7" ht="15.75" customHeight="1" x14ac:dyDescent="0.25">
      <c r="A271" s="8" t="s">
        <v>4452</v>
      </c>
      <c r="B271" s="8" t="s">
        <v>4453</v>
      </c>
      <c r="C271" s="8" t="s">
        <v>4454</v>
      </c>
      <c r="D271" s="8" t="s">
        <v>96</v>
      </c>
      <c r="E271" s="8">
        <v>31799</v>
      </c>
      <c r="F271" s="8">
        <v>30.836581500000001</v>
      </c>
      <c r="G271" s="8">
        <v>-83.978780799999996</v>
      </c>
    </row>
    <row r="272" spans="1:7" ht="15.75" customHeight="1" x14ac:dyDescent="0.25">
      <c r="A272" s="8" t="s">
        <v>4455</v>
      </c>
      <c r="B272" s="8" t="s">
        <v>4456</v>
      </c>
      <c r="C272" s="8" t="s">
        <v>4457</v>
      </c>
      <c r="D272" s="8" t="s">
        <v>96</v>
      </c>
      <c r="E272" s="8">
        <v>30224</v>
      </c>
      <c r="F272" s="8">
        <v>33.246780700000002</v>
      </c>
      <c r="G272" s="8">
        <v>-84.264090400000001</v>
      </c>
    </row>
    <row r="273" spans="1:7" ht="15.75" customHeight="1" x14ac:dyDescent="0.25">
      <c r="A273" s="8" t="s">
        <v>4458</v>
      </c>
      <c r="B273" s="8" t="s">
        <v>4459</v>
      </c>
      <c r="C273" s="8" t="s">
        <v>4460</v>
      </c>
      <c r="D273" s="8" t="s">
        <v>96</v>
      </c>
      <c r="E273" s="8">
        <v>30518</v>
      </c>
      <c r="F273" s="8">
        <v>34.120656400000001</v>
      </c>
      <c r="G273" s="8">
        <v>-84.004351299999996</v>
      </c>
    </row>
    <row r="274" spans="1:7" ht="15.75" customHeight="1" x14ac:dyDescent="0.25">
      <c r="A274" s="8" t="s">
        <v>4461</v>
      </c>
      <c r="B274" s="8" t="s">
        <v>4462</v>
      </c>
      <c r="C274" s="8" t="s">
        <v>4463</v>
      </c>
      <c r="D274" s="8" t="s">
        <v>96</v>
      </c>
      <c r="E274" s="8">
        <v>31776</v>
      </c>
      <c r="F274" s="8">
        <v>31.182168399999998</v>
      </c>
      <c r="G274" s="8">
        <v>-83.788898599999996</v>
      </c>
    </row>
    <row r="275" spans="1:7" ht="15.75" customHeight="1" x14ac:dyDescent="0.25">
      <c r="A275" s="8" t="s">
        <v>4464</v>
      </c>
      <c r="B275" s="8" t="s">
        <v>4465</v>
      </c>
      <c r="C275" s="8" t="s">
        <v>4466</v>
      </c>
      <c r="D275" s="8" t="s">
        <v>96</v>
      </c>
      <c r="E275" s="8">
        <v>30533</v>
      </c>
      <c r="F275" s="8">
        <v>34.532848399999999</v>
      </c>
      <c r="G275" s="8">
        <v>-83.984572299999996</v>
      </c>
    </row>
    <row r="276" spans="1:7" ht="15.75" customHeight="1" x14ac:dyDescent="0.25">
      <c r="A276" s="8" t="s">
        <v>4467</v>
      </c>
      <c r="B276" s="8" t="s">
        <v>4456</v>
      </c>
      <c r="C276" s="8" t="s">
        <v>4457</v>
      </c>
      <c r="D276" s="8" t="s">
        <v>96</v>
      </c>
      <c r="E276" s="8">
        <v>30224</v>
      </c>
      <c r="F276" s="8">
        <v>33.246780700000002</v>
      </c>
      <c r="G276" s="8">
        <v>-84.264090400000001</v>
      </c>
    </row>
    <row r="277" spans="1:7" ht="15.75" customHeight="1" x14ac:dyDescent="0.25">
      <c r="A277" s="8" t="s">
        <v>4468</v>
      </c>
      <c r="B277" s="8" t="s">
        <v>4469</v>
      </c>
      <c r="C277" s="8" t="s">
        <v>4470</v>
      </c>
      <c r="D277" s="8" t="s">
        <v>96</v>
      </c>
      <c r="E277" s="8">
        <v>31705</v>
      </c>
      <c r="F277" s="8">
        <v>31.5782062</v>
      </c>
      <c r="G277" s="8">
        <v>-84.155680899999993</v>
      </c>
    </row>
    <row r="278" spans="1:7" ht="15.75" customHeight="1" x14ac:dyDescent="0.25">
      <c r="A278" s="8" t="s">
        <v>4471</v>
      </c>
      <c r="B278" s="8" t="s">
        <v>4472</v>
      </c>
      <c r="C278" s="8" t="s">
        <v>4473</v>
      </c>
      <c r="D278" s="8" t="s">
        <v>96</v>
      </c>
      <c r="E278" s="8">
        <v>30655</v>
      </c>
      <c r="F278" s="8">
        <v>33.794836400000001</v>
      </c>
      <c r="G278" s="8">
        <v>-83.713228999999998</v>
      </c>
    </row>
    <row r="279" spans="1:7" ht="15.75" customHeight="1" x14ac:dyDescent="0.25">
      <c r="A279" s="8" t="s">
        <v>6617</v>
      </c>
      <c r="B279" s="8" t="s">
        <v>6618</v>
      </c>
      <c r="C279" s="8"/>
      <c r="D279" s="8" t="s">
        <v>96</v>
      </c>
      <c r="E279" s="8"/>
      <c r="F279" s="8">
        <v>30.81</v>
      </c>
      <c r="G279" s="8">
        <v>-83.23</v>
      </c>
    </row>
    <row r="280" spans="1:7" ht="15.75" customHeight="1" x14ac:dyDescent="0.25">
      <c r="A280" s="8" t="s">
        <v>4474</v>
      </c>
      <c r="B280" s="8" t="s">
        <v>4475</v>
      </c>
      <c r="C280" s="8" t="s">
        <v>4476</v>
      </c>
      <c r="D280" s="8" t="s">
        <v>96</v>
      </c>
      <c r="E280" s="8">
        <v>31527</v>
      </c>
      <c r="F280" s="8">
        <v>31.088350299999998</v>
      </c>
      <c r="G280" s="8">
        <v>-81.410854</v>
      </c>
    </row>
    <row r="281" spans="1:7" ht="15.75" customHeight="1" x14ac:dyDescent="0.25">
      <c r="A281" s="8" t="s">
        <v>4477</v>
      </c>
      <c r="B281" s="8" t="s">
        <v>1483</v>
      </c>
      <c r="C281" s="8" t="s">
        <v>2229</v>
      </c>
      <c r="D281" s="8" t="s">
        <v>96</v>
      </c>
      <c r="E281" s="8">
        <v>31701</v>
      </c>
      <c r="F281" s="8">
        <v>31.5782062</v>
      </c>
      <c r="G281" s="8">
        <v>-84.155680899999993</v>
      </c>
    </row>
    <row r="282" spans="1:7" ht="15.75" customHeight="1" x14ac:dyDescent="0.25">
      <c r="A282" s="8" t="s">
        <v>4478</v>
      </c>
      <c r="B282" s="8" t="s">
        <v>4479</v>
      </c>
      <c r="C282" s="8" t="s">
        <v>4480</v>
      </c>
      <c r="D282" s="8" t="s">
        <v>96</v>
      </c>
      <c r="E282" s="8">
        <v>30504</v>
      </c>
      <c r="F282" s="8">
        <v>34.814098000000001</v>
      </c>
      <c r="G282" s="8">
        <v>-83.899803000000006</v>
      </c>
    </row>
    <row r="283" spans="1:7" ht="15.75" customHeight="1" x14ac:dyDescent="0.25">
      <c r="A283" s="8" t="s">
        <v>4481</v>
      </c>
      <c r="B283" s="8" t="s">
        <v>4482</v>
      </c>
      <c r="C283" s="8" t="s">
        <v>4483</v>
      </c>
      <c r="D283" s="8" t="s">
        <v>96</v>
      </c>
      <c r="E283" s="8">
        <v>30120</v>
      </c>
      <c r="F283" s="8">
        <v>34.165097199999998</v>
      </c>
      <c r="G283" s="8">
        <v>-84.799938299999994</v>
      </c>
    </row>
    <row r="284" spans="1:7" ht="15.75" customHeight="1" x14ac:dyDescent="0.25">
      <c r="A284" s="8" t="s">
        <v>4484</v>
      </c>
      <c r="B284" s="8" t="s">
        <v>1094</v>
      </c>
      <c r="C284" s="8" t="s">
        <v>1094</v>
      </c>
      <c r="D284" s="8" t="s">
        <v>1093</v>
      </c>
      <c r="E284" s="8">
        <v>96819</v>
      </c>
      <c r="F284" s="8">
        <v>21.306493799999998</v>
      </c>
      <c r="G284" s="8">
        <v>-157.865126</v>
      </c>
    </row>
    <row r="285" spans="1:7" ht="15.75" customHeight="1" x14ac:dyDescent="0.25">
      <c r="A285" s="8" t="s">
        <v>4485</v>
      </c>
      <c r="B285" s="8" t="s">
        <v>4486</v>
      </c>
      <c r="C285" s="8" t="s">
        <v>1094</v>
      </c>
      <c r="D285" s="8" t="s">
        <v>1093</v>
      </c>
      <c r="E285" s="8">
        <v>96706</v>
      </c>
      <c r="F285" s="8">
        <v>21.315602999999999</v>
      </c>
      <c r="G285" s="8">
        <v>-158.008804</v>
      </c>
    </row>
    <row r="286" spans="1:7" ht="15.75" customHeight="1" x14ac:dyDescent="0.25">
      <c r="A286" s="8" t="s">
        <v>4487</v>
      </c>
      <c r="B286" s="8" t="s">
        <v>4488</v>
      </c>
      <c r="C286" s="8" t="s">
        <v>1094</v>
      </c>
      <c r="D286" s="8" t="s">
        <v>1093</v>
      </c>
      <c r="E286" s="8">
        <v>96734</v>
      </c>
      <c r="F286" s="8">
        <v>21.393623000000002</v>
      </c>
      <c r="G286" s="8">
        <v>-157.74375900000001</v>
      </c>
    </row>
    <row r="287" spans="1:7" ht="15.75" customHeight="1" x14ac:dyDescent="0.25">
      <c r="A287" s="8" t="s">
        <v>4489</v>
      </c>
      <c r="B287" s="8" t="s">
        <v>4490</v>
      </c>
      <c r="C287" s="8"/>
      <c r="D287" s="8" t="s">
        <v>1093</v>
      </c>
      <c r="E287" s="8">
        <v>96792</v>
      </c>
      <c r="F287" s="8">
        <v>21.425186</v>
      </c>
      <c r="G287" s="8">
        <v>-158.15363602599999</v>
      </c>
    </row>
    <row r="288" spans="1:7" ht="15.75" customHeight="1" x14ac:dyDescent="0.25">
      <c r="A288" s="8" t="s">
        <v>4491</v>
      </c>
      <c r="B288" s="8" t="s">
        <v>4492</v>
      </c>
      <c r="C288" s="8" t="s">
        <v>688</v>
      </c>
      <c r="D288" s="8" t="s">
        <v>1093</v>
      </c>
      <c r="E288" s="8">
        <v>96720</v>
      </c>
      <c r="F288" s="8">
        <v>19.707242999999998</v>
      </c>
      <c r="G288" s="8">
        <v>-155.08163500000001</v>
      </c>
    </row>
    <row r="289" spans="1:7" ht="15.75" customHeight="1" x14ac:dyDescent="0.25">
      <c r="A289" s="8" t="s">
        <v>4493</v>
      </c>
      <c r="B289" s="8" t="s">
        <v>4494</v>
      </c>
      <c r="C289" s="8" t="s">
        <v>4495</v>
      </c>
      <c r="D289" s="8" t="s">
        <v>1093</v>
      </c>
      <c r="E289" s="8">
        <v>96786</v>
      </c>
      <c r="F289" s="8">
        <v>21.5006241</v>
      </c>
      <c r="G289" s="8">
        <v>-158.01667201800001</v>
      </c>
    </row>
    <row r="290" spans="1:7" ht="15.75" customHeight="1" x14ac:dyDescent="0.25">
      <c r="A290" s="8" t="s">
        <v>4496</v>
      </c>
      <c r="B290" s="8" t="s">
        <v>4494</v>
      </c>
      <c r="C290" s="8" t="s">
        <v>1094</v>
      </c>
      <c r="D290" s="8" t="s">
        <v>1093</v>
      </c>
      <c r="E290" s="8">
        <v>96876</v>
      </c>
      <c r="F290" s="8">
        <v>21.501060899999999</v>
      </c>
      <c r="G290" s="8">
        <v>-158.0211735</v>
      </c>
    </row>
    <row r="291" spans="1:7" ht="15.75" customHeight="1" x14ac:dyDescent="0.25">
      <c r="A291" s="8" t="s">
        <v>4497</v>
      </c>
      <c r="B291" s="8" t="s">
        <v>4498</v>
      </c>
      <c r="C291" s="8" t="s">
        <v>1094</v>
      </c>
      <c r="D291" s="8" t="s">
        <v>1093</v>
      </c>
      <c r="E291" s="8">
        <v>96795</v>
      </c>
      <c r="F291" s="8">
        <v>21.345302499999999</v>
      </c>
      <c r="G291" s="8">
        <v>-157.72142176400001</v>
      </c>
    </row>
    <row r="292" spans="1:7" ht="15.75" customHeight="1" x14ac:dyDescent="0.25">
      <c r="A292" s="8" t="s">
        <v>4499</v>
      </c>
      <c r="B292" s="8" t="s">
        <v>1094</v>
      </c>
      <c r="C292" s="8" t="s">
        <v>1094</v>
      </c>
      <c r="D292" s="8" t="s">
        <v>1093</v>
      </c>
      <c r="E292" s="8">
        <v>96825</v>
      </c>
      <c r="F292" s="8">
        <v>21.3250785</v>
      </c>
      <c r="G292" s="8">
        <v>-157.84664417900001</v>
      </c>
    </row>
    <row r="293" spans="1:7" ht="15.75" customHeight="1" x14ac:dyDescent="0.25">
      <c r="A293" s="8" t="s">
        <v>4500</v>
      </c>
      <c r="B293" s="8" t="s">
        <v>2464</v>
      </c>
      <c r="C293" s="8" t="s">
        <v>4373</v>
      </c>
      <c r="D293" s="8" t="s">
        <v>102</v>
      </c>
      <c r="E293" s="8">
        <v>50317</v>
      </c>
      <c r="F293" s="8">
        <v>41.576709999999999</v>
      </c>
      <c r="G293" s="8">
        <v>-93.584795999999997</v>
      </c>
    </row>
    <row r="294" spans="1:7" ht="15.75" customHeight="1" x14ac:dyDescent="0.25">
      <c r="A294" s="8" t="s">
        <v>4501</v>
      </c>
      <c r="B294" s="8" t="s">
        <v>105</v>
      </c>
      <c r="C294" s="8" t="s">
        <v>4502</v>
      </c>
      <c r="D294" s="8" t="s">
        <v>102</v>
      </c>
      <c r="E294" s="8">
        <v>52403</v>
      </c>
      <c r="F294" s="8">
        <v>41.981078714699997</v>
      </c>
      <c r="G294" s="8">
        <v>-91.615563174800002</v>
      </c>
    </row>
    <row r="295" spans="1:7" ht="15.75" customHeight="1" x14ac:dyDescent="0.25">
      <c r="A295" s="8" t="s">
        <v>4503</v>
      </c>
      <c r="B295" s="8" t="s">
        <v>4504</v>
      </c>
      <c r="C295" s="8" t="s">
        <v>4505</v>
      </c>
      <c r="D295" s="8" t="s">
        <v>102</v>
      </c>
      <c r="E295" s="8">
        <v>51106</v>
      </c>
      <c r="F295" s="8">
        <v>42.471471999999999</v>
      </c>
      <c r="G295" s="8">
        <v>-96.345017999999996</v>
      </c>
    </row>
    <row r="296" spans="1:7" ht="15.75" customHeight="1" x14ac:dyDescent="0.25">
      <c r="A296" s="8" t="s">
        <v>4506</v>
      </c>
      <c r="B296" s="8" t="s">
        <v>4507</v>
      </c>
      <c r="C296" s="8" t="s">
        <v>4508</v>
      </c>
      <c r="D296" s="8" t="s">
        <v>102</v>
      </c>
      <c r="E296" s="8">
        <v>52802</v>
      </c>
      <c r="F296" s="8">
        <v>41.5236436</v>
      </c>
      <c r="G296" s="8">
        <v>-90.577636799999993</v>
      </c>
    </row>
    <row r="297" spans="1:7" ht="15.75" customHeight="1" x14ac:dyDescent="0.25">
      <c r="A297" s="8" t="s">
        <v>4509</v>
      </c>
      <c r="B297" s="8" t="s">
        <v>4510</v>
      </c>
      <c r="C297" s="8" t="s">
        <v>4511</v>
      </c>
      <c r="D297" s="8" t="s">
        <v>102</v>
      </c>
      <c r="E297" s="8">
        <v>50702</v>
      </c>
      <c r="F297" s="8">
        <v>42.499648299999997</v>
      </c>
      <c r="G297" s="8">
        <v>-92.338500600000003</v>
      </c>
    </row>
    <row r="298" spans="1:7" ht="15.75" customHeight="1" x14ac:dyDescent="0.25">
      <c r="A298" s="8" t="s">
        <v>4512</v>
      </c>
      <c r="B298" s="8" t="s">
        <v>2468</v>
      </c>
      <c r="C298" s="8" t="s">
        <v>4513</v>
      </c>
      <c r="D298" s="8" t="s">
        <v>102</v>
      </c>
      <c r="E298" s="8" t="s">
        <v>4514</v>
      </c>
      <c r="F298" s="8">
        <v>42.500621700000004</v>
      </c>
      <c r="G298" s="8">
        <v>-90.664796699999997</v>
      </c>
    </row>
    <row r="299" spans="1:7" ht="15.75" customHeight="1" x14ac:dyDescent="0.25">
      <c r="A299" s="8" t="s">
        <v>4515</v>
      </c>
      <c r="B299" s="8" t="s">
        <v>4516</v>
      </c>
      <c r="C299" s="8" t="s">
        <v>3916</v>
      </c>
      <c r="D299" s="8" t="s">
        <v>102</v>
      </c>
      <c r="E299" s="8">
        <v>50158</v>
      </c>
      <c r="F299" s="8">
        <v>42.044254500000001</v>
      </c>
      <c r="G299" s="8">
        <v>-92.912338800000001</v>
      </c>
    </row>
    <row r="300" spans="1:7" ht="15.75" customHeight="1" x14ac:dyDescent="0.25">
      <c r="A300" s="8" t="s">
        <v>4517</v>
      </c>
      <c r="B300" s="8" t="s">
        <v>4518</v>
      </c>
      <c r="C300" s="8" t="s">
        <v>4519</v>
      </c>
      <c r="D300" s="8" t="s">
        <v>102</v>
      </c>
      <c r="E300" s="8">
        <v>51503</v>
      </c>
      <c r="F300" s="8">
        <v>41.263127400000002</v>
      </c>
      <c r="G300" s="8">
        <v>-95.848252900000006</v>
      </c>
    </row>
    <row r="301" spans="1:7" ht="15.75" customHeight="1" x14ac:dyDescent="0.25">
      <c r="A301" s="8" t="s">
        <v>4520</v>
      </c>
      <c r="B301" s="8" t="s">
        <v>4521</v>
      </c>
      <c r="C301" s="8" t="s">
        <v>4522</v>
      </c>
      <c r="D301" s="8" t="s">
        <v>102</v>
      </c>
      <c r="E301" s="8">
        <v>50010</v>
      </c>
      <c r="F301" s="8">
        <v>42.026770300000003</v>
      </c>
      <c r="G301" s="8">
        <v>-93.617055399999998</v>
      </c>
    </row>
    <row r="302" spans="1:7" ht="15.75" customHeight="1" x14ac:dyDescent="0.25">
      <c r="A302" s="8" t="s">
        <v>4523</v>
      </c>
      <c r="B302" s="8" t="s">
        <v>109</v>
      </c>
      <c r="C302" s="8" t="s">
        <v>4524</v>
      </c>
      <c r="D302" s="8" t="s">
        <v>102</v>
      </c>
      <c r="E302" s="8">
        <v>52732</v>
      </c>
      <c r="F302" s="8">
        <v>41.844473499999999</v>
      </c>
      <c r="G302" s="8">
        <v>-90.188737900000007</v>
      </c>
    </row>
    <row r="303" spans="1:7" ht="15.75" customHeight="1" x14ac:dyDescent="0.25">
      <c r="A303" s="8" t="s">
        <v>4525</v>
      </c>
      <c r="B303" s="8" t="s">
        <v>4526</v>
      </c>
      <c r="C303" s="8" t="s">
        <v>4527</v>
      </c>
      <c r="D303" s="8" t="s">
        <v>102</v>
      </c>
      <c r="E303" s="8">
        <v>52601</v>
      </c>
      <c r="F303" s="8">
        <v>40.8075391</v>
      </c>
      <c r="G303" s="8">
        <v>-91.1129234</v>
      </c>
    </row>
    <row r="304" spans="1:7" ht="15.75" customHeight="1" x14ac:dyDescent="0.25">
      <c r="A304" s="8" t="s">
        <v>4528</v>
      </c>
      <c r="B304" s="8" t="s">
        <v>4529</v>
      </c>
      <c r="C304" s="8" t="s">
        <v>4511</v>
      </c>
      <c r="D304" s="8" t="s">
        <v>102</v>
      </c>
      <c r="E304" s="8">
        <v>50613</v>
      </c>
      <c r="F304" s="8">
        <v>42.527412300000002</v>
      </c>
      <c r="G304" s="8">
        <v>-92.445317900000006</v>
      </c>
    </row>
    <row r="305" spans="1:7" ht="15.75" customHeight="1" x14ac:dyDescent="0.25">
      <c r="A305" s="8" t="s">
        <v>4530</v>
      </c>
      <c r="B305" s="8" t="s">
        <v>134</v>
      </c>
      <c r="C305" s="8" t="s">
        <v>4531</v>
      </c>
      <c r="D305" s="8" t="s">
        <v>102</v>
      </c>
      <c r="E305" s="8">
        <v>52761</v>
      </c>
      <c r="F305" s="8">
        <v>41.424472999999999</v>
      </c>
      <c r="G305" s="8">
        <v>-91.043205099999994</v>
      </c>
    </row>
    <row r="306" spans="1:7" ht="15.75" customHeight="1" x14ac:dyDescent="0.25">
      <c r="A306" s="8" t="s">
        <v>4532</v>
      </c>
      <c r="B306" s="8" t="s">
        <v>4533</v>
      </c>
      <c r="C306" s="8" t="s">
        <v>4534</v>
      </c>
      <c r="D306" s="8" t="s">
        <v>102</v>
      </c>
      <c r="E306" s="8">
        <v>50401</v>
      </c>
      <c r="F306" s="8">
        <v>43.156817699999998</v>
      </c>
      <c r="G306" s="8">
        <v>-93.190888900000004</v>
      </c>
    </row>
    <row r="307" spans="1:7" ht="15.75" customHeight="1" x14ac:dyDescent="0.25">
      <c r="A307" s="8" t="s">
        <v>4535</v>
      </c>
      <c r="B307" s="8" t="s">
        <v>4536</v>
      </c>
      <c r="C307" s="8" t="s">
        <v>4537</v>
      </c>
      <c r="D307" s="8" t="s">
        <v>102</v>
      </c>
      <c r="E307" s="8">
        <v>52501</v>
      </c>
      <c r="F307" s="8">
        <v>41.018557299999998</v>
      </c>
      <c r="G307" s="8">
        <v>-92.414785899999998</v>
      </c>
    </row>
    <row r="308" spans="1:7" ht="15.75" customHeight="1" x14ac:dyDescent="0.25">
      <c r="A308" s="8" t="s">
        <v>4538</v>
      </c>
      <c r="B308" s="8" t="s">
        <v>4539</v>
      </c>
      <c r="C308" s="8" t="s">
        <v>4540</v>
      </c>
      <c r="D308" s="8" t="s">
        <v>102</v>
      </c>
      <c r="E308" s="8">
        <v>51334</v>
      </c>
      <c r="F308" s="8">
        <v>43.401625500000002</v>
      </c>
      <c r="G308" s="8">
        <v>-94.832763999999997</v>
      </c>
    </row>
    <row r="309" spans="1:7" ht="15.75" customHeight="1" x14ac:dyDescent="0.25">
      <c r="A309" s="8" t="s">
        <v>4541</v>
      </c>
      <c r="B309" s="8" t="s">
        <v>4542</v>
      </c>
      <c r="C309" s="8" t="s">
        <v>4543</v>
      </c>
      <c r="D309" s="8" t="s">
        <v>102</v>
      </c>
      <c r="E309" s="8">
        <v>50501</v>
      </c>
      <c r="F309" s="8">
        <v>42.494512999999998</v>
      </c>
      <c r="G309" s="8">
        <v>-94.205416</v>
      </c>
    </row>
    <row r="310" spans="1:7" ht="15.75" customHeight="1" x14ac:dyDescent="0.25">
      <c r="A310" s="8" t="s">
        <v>4544</v>
      </c>
      <c r="B310" s="8" t="s">
        <v>4545</v>
      </c>
      <c r="C310" s="8" t="s">
        <v>4546</v>
      </c>
      <c r="D310" s="8" t="s">
        <v>102</v>
      </c>
      <c r="E310" s="8">
        <v>52632</v>
      </c>
      <c r="F310" s="8">
        <v>40.397342299999998</v>
      </c>
      <c r="G310" s="8">
        <v>-91.385202000000007</v>
      </c>
    </row>
    <row r="311" spans="1:7" ht="15.75" customHeight="1" x14ac:dyDescent="0.25">
      <c r="A311" s="8" t="s">
        <v>4547</v>
      </c>
      <c r="B311" s="8" t="s">
        <v>1417</v>
      </c>
      <c r="C311" s="8" t="s">
        <v>4548</v>
      </c>
      <c r="D311" s="8" t="s">
        <v>102</v>
      </c>
      <c r="E311" s="8">
        <v>51301</v>
      </c>
      <c r="F311" s="8">
        <v>43.141357800000002</v>
      </c>
      <c r="G311" s="8">
        <v>-95.144439300000002</v>
      </c>
    </row>
    <row r="312" spans="1:7" ht="15.75" customHeight="1" x14ac:dyDescent="0.25">
      <c r="A312" s="8" t="s">
        <v>4549</v>
      </c>
      <c r="B312" s="8" t="s">
        <v>4550</v>
      </c>
      <c r="C312" s="8" t="s">
        <v>4551</v>
      </c>
      <c r="D312" s="8" t="s">
        <v>102</v>
      </c>
      <c r="E312" s="8">
        <v>50801</v>
      </c>
      <c r="F312" s="8">
        <v>41.058600200000001</v>
      </c>
      <c r="G312" s="8">
        <v>-94.361347499999994</v>
      </c>
    </row>
    <row r="313" spans="1:7" ht="15.75" customHeight="1" x14ac:dyDescent="0.25">
      <c r="A313" s="8" t="s">
        <v>4552</v>
      </c>
      <c r="B313" s="8" t="s">
        <v>4553</v>
      </c>
      <c r="C313" s="8" t="s">
        <v>4524</v>
      </c>
      <c r="D313" s="8" t="s">
        <v>102</v>
      </c>
      <c r="E313" s="8">
        <v>52742</v>
      </c>
      <c r="F313" s="8">
        <v>41.824101499999998</v>
      </c>
      <c r="G313" s="8">
        <v>-90.547578845499999</v>
      </c>
    </row>
    <row r="314" spans="1:7" ht="15.75" customHeight="1" x14ac:dyDescent="0.25">
      <c r="A314" s="8" t="s">
        <v>4554</v>
      </c>
      <c r="B314" s="8" t="s">
        <v>4555</v>
      </c>
      <c r="C314" s="8" t="s">
        <v>4556</v>
      </c>
      <c r="D314" s="8" t="s">
        <v>102</v>
      </c>
      <c r="E314" s="8">
        <v>52240</v>
      </c>
      <c r="F314" s="8">
        <v>41.654232399999998</v>
      </c>
      <c r="G314" s="8">
        <v>-91.537763799999993</v>
      </c>
    </row>
    <row r="315" spans="1:7" ht="15.75" customHeight="1" x14ac:dyDescent="0.25">
      <c r="A315" s="8" t="s">
        <v>4557</v>
      </c>
      <c r="B315" s="8" t="s">
        <v>4558</v>
      </c>
      <c r="C315" s="8" t="s">
        <v>4558</v>
      </c>
      <c r="D315" s="8" t="s">
        <v>102</v>
      </c>
      <c r="E315" s="8">
        <v>51401</v>
      </c>
      <c r="F315" s="8">
        <v>42.065158699999998</v>
      </c>
      <c r="G315" s="8">
        <v>-94.866616199999996</v>
      </c>
    </row>
    <row r="316" spans="1:7" ht="15.75" customHeight="1" x14ac:dyDescent="0.25">
      <c r="A316" s="8" t="s">
        <v>4559</v>
      </c>
      <c r="B316" s="8" t="s">
        <v>4560</v>
      </c>
      <c r="C316" s="8" t="s">
        <v>4561</v>
      </c>
      <c r="D316" s="8" t="s">
        <v>102</v>
      </c>
      <c r="E316" s="8">
        <v>50533</v>
      </c>
      <c r="F316" s="8">
        <v>42.664138000000001</v>
      </c>
      <c r="G316" s="8">
        <v>-93.904390500000005</v>
      </c>
    </row>
    <row r="317" spans="1:7" ht="15.75" customHeight="1" x14ac:dyDescent="0.25">
      <c r="A317" s="8" t="s">
        <v>4562</v>
      </c>
      <c r="B317" s="8" t="s">
        <v>4563</v>
      </c>
      <c r="C317" s="8" t="s">
        <v>4564</v>
      </c>
      <c r="D317" s="8" t="s">
        <v>102</v>
      </c>
      <c r="E317" s="8">
        <v>51534</v>
      </c>
      <c r="F317" s="8">
        <v>41.0469437</v>
      </c>
      <c r="G317" s="8">
        <v>-95.742505499999993</v>
      </c>
    </row>
    <row r="318" spans="1:7" ht="15.75" customHeight="1" x14ac:dyDescent="0.25">
      <c r="A318" s="8" t="s">
        <v>4565</v>
      </c>
      <c r="B318" s="8" t="s">
        <v>4566</v>
      </c>
      <c r="C318" s="8" t="s">
        <v>3936</v>
      </c>
      <c r="D318" s="8" t="s">
        <v>102</v>
      </c>
      <c r="E318" s="8">
        <v>51537</v>
      </c>
      <c r="F318" s="8">
        <v>41.653299400000002</v>
      </c>
      <c r="G318" s="8">
        <v>-95.325060300000004</v>
      </c>
    </row>
    <row r="319" spans="1:7" ht="15.75" customHeight="1" x14ac:dyDescent="0.25">
      <c r="A319" s="8" t="s">
        <v>4567</v>
      </c>
      <c r="B319" s="8" t="s">
        <v>1716</v>
      </c>
      <c r="C319" s="8" t="s">
        <v>4568</v>
      </c>
      <c r="D319" s="8" t="s">
        <v>102</v>
      </c>
      <c r="E319" s="8">
        <v>51351</v>
      </c>
      <c r="F319" s="8">
        <v>43.324686300000003</v>
      </c>
      <c r="G319" s="8">
        <v>-95.149996000000002</v>
      </c>
    </row>
    <row r="320" spans="1:7" ht="15.75" customHeight="1" x14ac:dyDescent="0.25">
      <c r="A320" s="8" t="s">
        <v>4569</v>
      </c>
      <c r="B320" s="8" t="s">
        <v>4570</v>
      </c>
      <c r="C320" s="8" t="s">
        <v>1156</v>
      </c>
      <c r="D320" s="8" t="s">
        <v>102</v>
      </c>
      <c r="E320" s="8">
        <v>50138</v>
      </c>
      <c r="F320" s="8">
        <v>41.320829699999997</v>
      </c>
      <c r="G320" s="8">
        <v>-93.109370799999994</v>
      </c>
    </row>
    <row r="321" spans="1:7" ht="15.75" customHeight="1" x14ac:dyDescent="0.25">
      <c r="A321" s="8" t="s">
        <v>4571</v>
      </c>
      <c r="B321" s="8" t="s">
        <v>4572</v>
      </c>
      <c r="C321" s="8" t="s">
        <v>4573</v>
      </c>
      <c r="D321" s="8" t="s">
        <v>102</v>
      </c>
      <c r="E321" s="8">
        <v>51031</v>
      </c>
      <c r="F321" s="8">
        <v>42.794160599999998</v>
      </c>
      <c r="G321" s="8">
        <v>-96.165545600000002</v>
      </c>
    </row>
    <row r="322" spans="1:7" ht="15.75" customHeight="1" x14ac:dyDescent="0.25">
      <c r="A322" s="8" t="s">
        <v>4574</v>
      </c>
      <c r="B322" s="8" t="s">
        <v>4575</v>
      </c>
      <c r="C322" s="8" t="s">
        <v>1439</v>
      </c>
      <c r="D322" s="8" t="s">
        <v>102</v>
      </c>
      <c r="E322" s="8">
        <v>50595</v>
      </c>
      <c r="F322" s="8">
        <v>42.466306899999999</v>
      </c>
      <c r="G322" s="8">
        <v>-93.825247099999999</v>
      </c>
    </row>
    <row r="323" spans="1:7" ht="15.75" customHeight="1" x14ac:dyDescent="0.25">
      <c r="A323" s="8" t="s">
        <v>4576</v>
      </c>
      <c r="B323" s="8" t="s">
        <v>4577</v>
      </c>
      <c r="C323" s="8" t="s">
        <v>4578</v>
      </c>
      <c r="D323" s="8" t="s">
        <v>102</v>
      </c>
      <c r="E323" s="8">
        <v>52205</v>
      </c>
      <c r="F323" s="8">
        <v>42.1083371</v>
      </c>
      <c r="G323" s="8">
        <v>-91.285159399999998</v>
      </c>
    </row>
    <row r="324" spans="1:7" ht="15.75" customHeight="1" x14ac:dyDescent="0.25">
      <c r="A324" s="8" t="s">
        <v>4579</v>
      </c>
      <c r="B324" s="8" t="s">
        <v>4580</v>
      </c>
      <c r="C324" s="8" t="s">
        <v>4581</v>
      </c>
      <c r="D324" s="8" t="s">
        <v>102</v>
      </c>
      <c r="E324" s="8">
        <v>50511</v>
      </c>
      <c r="F324" s="8">
        <v>43.069966299999997</v>
      </c>
      <c r="G324" s="8">
        <v>-94.233018999999999</v>
      </c>
    </row>
    <row r="325" spans="1:7" ht="15.75" customHeight="1" x14ac:dyDescent="0.25">
      <c r="A325" s="8" t="s">
        <v>4582</v>
      </c>
      <c r="B325" s="8" t="s">
        <v>4583</v>
      </c>
      <c r="C325" s="8" t="s">
        <v>1456</v>
      </c>
      <c r="D325" s="8" t="s">
        <v>102</v>
      </c>
      <c r="E325" s="8">
        <v>50423</v>
      </c>
      <c r="F325" s="8">
        <v>43.097556400000002</v>
      </c>
      <c r="G325" s="8">
        <v>-93.801558799999995</v>
      </c>
    </row>
    <row r="326" spans="1:7" ht="15.75" customHeight="1" x14ac:dyDescent="0.25">
      <c r="A326" s="8" t="s">
        <v>4584</v>
      </c>
      <c r="B326" s="8" t="s">
        <v>4585</v>
      </c>
      <c r="C326" s="8" t="s">
        <v>4586</v>
      </c>
      <c r="D326" s="8" t="s">
        <v>102</v>
      </c>
      <c r="E326" s="8">
        <v>52544</v>
      </c>
      <c r="F326" s="8">
        <v>40.7341804</v>
      </c>
      <c r="G326" s="8">
        <v>-92.874087599999996</v>
      </c>
    </row>
    <row r="327" spans="1:7" ht="15.75" customHeight="1" x14ac:dyDescent="0.25">
      <c r="A327" s="8" t="s">
        <v>4587</v>
      </c>
      <c r="B327" s="8" t="s">
        <v>705</v>
      </c>
      <c r="C327" s="8" t="s">
        <v>4588</v>
      </c>
      <c r="D327" s="8" t="s">
        <v>102</v>
      </c>
      <c r="E327" s="8">
        <v>50201</v>
      </c>
      <c r="F327" s="8">
        <v>42.022765300000003</v>
      </c>
      <c r="G327" s="8">
        <v>-93.452434199999999</v>
      </c>
    </row>
    <row r="328" spans="1:7" ht="15.75" customHeight="1" x14ac:dyDescent="0.25">
      <c r="A328" s="8" t="s">
        <v>4589</v>
      </c>
      <c r="B328" s="8" t="s">
        <v>4590</v>
      </c>
      <c r="C328" s="8" t="s">
        <v>2211</v>
      </c>
      <c r="D328" s="8" t="s">
        <v>102</v>
      </c>
      <c r="E328" s="8">
        <v>50213</v>
      </c>
      <c r="F328" s="8">
        <v>41.034021199999998</v>
      </c>
      <c r="G328" s="8">
        <v>-93.765975499999996</v>
      </c>
    </row>
    <row r="329" spans="1:7" ht="15.75" customHeight="1" x14ac:dyDescent="0.25">
      <c r="A329" s="8" t="s">
        <v>4591</v>
      </c>
      <c r="B329" s="8" t="s">
        <v>4592</v>
      </c>
      <c r="C329" s="8" t="s">
        <v>1354</v>
      </c>
      <c r="D329" s="8" t="s">
        <v>102</v>
      </c>
      <c r="E329" s="8">
        <v>51250</v>
      </c>
      <c r="F329" s="8">
        <v>43.079692000000001</v>
      </c>
      <c r="G329" s="8">
        <v>-96.175672000000006</v>
      </c>
    </row>
    <row r="330" spans="1:7" ht="15.75" customHeight="1" x14ac:dyDescent="0.25">
      <c r="A330" s="8" t="s">
        <v>4593</v>
      </c>
      <c r="B330" s="8" t="s">
        <v>4594</v>
      </c>
      <c r="C330" s="8" t="s">
        <v>4595</v>
      </c>
      <c r="D330" s="8" t="s">
        <v>102</v>
      </c>
      <c r="E330" s="8">
        <v>50677</v>
      </c>
      <c r="F330" s="8">
        <v>42.725814200000002</v>
      </c>
      <c r="G330" s="8">
        <v>-92.4754626</v>
      </c>
    </row>
    <row r="331" spans="1:7" ht="15.75" customHeight="1" x14ac:dyDescent="0.25">
      <c r="A331" s="8" t="s">
        <v>4596</v>
      </c>
      <c r="B331" s="8" t="s">
        <v>4597</v>
      </c>
      <c r="C331" s="8" t="s">
        <v>4598</v>
      </c>
      <c r="D331" s="8" t="s">
        <v>102</v>
      </c>
      <c r="E331" s="8">
        <v>51632</v>
      </c>
      <c r="F331" s="8">
        <v>40.739016200000002</v>
      </c>
      <c r="G331" s="8">
        <v>-95.036957999999998</v>
      </c>
    </row>
    <row r="332" spans="1:7" ht="15.75" customHeight="1" x14ac:dyDescent="0.25">
      <c r="A332" s="8" t="s">
        <v>4599</v>
      </c>
      <c r="B332" s="8" t="s">
        <v>4600</v>
      </c>
      <c r="C332" s="8" t="s">
        <v>4601</v>
      </c>
      <c r="D332" s="8" t="s">
        <v>102</v>
      </c>
      <c r="E332" s="8">
        <v>52101</v>
      </c>
      <c r="F332" s="8">
        <v>43.303305600000002</v>
      </c>
      <c r="G332" s="8">
        <v>-91.785709199999999</v>
      </c>
    </row>
    <row r="333" spans="1:7" ht="15.75" customHeight="1" x14ac:dyDescent="0.25">
      <c r="A333" s="8" t="s">
        <v>4602</v>
      </c>
      <c r="B333" s="8" t="s">
        <v>204</v>
      </c>
      <c r="C333" s="8" t="s">
        <v>1632</v>
      </c>
      <c r="D333" s="8" t="s">
        <v>102</v>
      </c>
      <c r="E333" s="8">
        <v>51442</v>
      </c>
      <c r="F333" s="8">
        <v>42.017765799999999</v>
      </c>
      <c r="G333" s="8">
        <v>-95.355275700000007</v>
      </c>
    </row>
    <row r="334" spans="1:7" ht="15.75" customHeight="1" x14ac:dyDescent="0.25">
      <c r="A334" s="8" t="s">
        <v>4603</v>
      </c>
      <c r="B334" s="8" t="s">
        <v>4339</v>
      </c>
      <c r="C334" s="8" t="s">
        <v>1375</v>
      </c>
      <c r="D334" s="8" t="s">
        <v>102</v>
      </c>
      <c r="E334" s="8">
        <v>52556</v>
      </c>
      <c r="F334" s="8">
        <v>41.008736399999997</v>
      </c>
      <c r="G334" s="8">
        <v>-91.962648599999994</v>
      </c>
    </row>
    <row r="335" spans="1:7" ht="15.75" customHeight="1" x14ac:dyDescent="0.25">
      <c r="A335" s="8" t="s">
        <v>4604</v>
      </c>
      <c r="B335" s="8" t="s">
        <v>4605</v>
      </c>
      <c r="C335" s="8" t="s">
        <v>4606</v>
      </c>
      <c r="D335" s="8" t="s">
        <v>102</v>
      </c>
      <c r="E335" s="8">
        <v>50849</v>
      </c>
      <c r="F335" s="8">
        <v>41.3052657</v>
      </c>
      <c r="G335" s="8">
        <v>-94.461354299999996</v>
      </c>
    </row>
    <row r="336" spans="1:7" ht="15.75" customHeight="1" x14ac:dyDescent="0.25">
      <c r="A336" s="8" t="s">
        <v>4607</v>
      </c>
      <c r="B336" s="8" t="s">
        <v>4608</v>
      </c>
      <c r="C336" s="8" t="s">
        <v>4609</v>
      </c>
      <c r="D336" s="8" t="s">
        <v>102</v>
      </c>
      <c r="E336" s="8">
        <v>50125</v>
      </c>
      <c r="F336" s="8">
        <v>41.360527099999999</v>
      </c>
      <c r="G336" s="8">
        <v>-93.559963199999999</v>
      </c>
    </row>
    <row r="337" spans="1:7" ht="15.75" customHeight="1" x14ac:dyDescent="0.25">
      <c r="A337" s="8" t="s">
        <v>4610</v>
      </c>
      <c r="B337" s="8" t="s">
        <v>4611</v>
      </c>
      <c r="C337" s="8" t="s">
        <v>2527</v>
      </c>
      <c r="D337" s="8" t="s">
        <v>102</v>
      </c>
      <c r="E337" s="8">
        <v>50126</v>
      </c>
      <c r="F337" s="8">
        <v>42.521001900000002</v>
      </c>
      <c r="G337" s="8">
        <v>-93.263670500000003</v>
      </c>
    </row>
    <row r="338" spans="1:7" ht="15.75" customHeight="1" x14ac:dyDescent="0.25">
      <c r="A338" s="8" t="s">
        <v>4612</v>
      </c>
      <c r="B338" s="8" t="s">
        <v>4613</v>
      </c>
      <c r="C338" s="8" t="s">
        <v>1497</v>
      </c>
      <c r="D338" s="8" t="s">
        <v>102</v>
      </c>
      <c r="E338" s="8">
        <v>52310</v>
      </c>
      <c r="F338" s="8">
        <v>42.238275199999997</v>
      </c>
      <c r="G338" s="8">
        <v>-91.186942799999997</v>
      </c>
    </row>
    <row r="339" spans="1:7" ht="15.75" customHeight="1" x14ac:dyDescent="0.25">
      <c r="A339" s="8" t="s">
        <v>4614</v>
      </c>
      <c r="B339" s="8" t="s">
        <v>4615</v>
      </c>
      <c r="C339" s="8" t="s">
        <v>2841</v>
      </c>
      <c r="D339" s="8" t="s">
        <v>102</v>
      </c>
      <c r="E339" s="8">
        <v>50659</v>
      </c>
      <c r="F339" s="8">
        <v>43.059141199999999</v>
      </c>
      <c r="G339" s="8">
        <v>-92.317676800000001</v>
      </c>
    </row>
    <row r="340" spans="1:7" ht="15.75" customHeight="1" x14ac:dyDescent="0.25">
      <c r="A340" s="8" t="s">
        <v>4616</v>
      </c>
      <c r="B340" s="8" t="s">
        <v>4617</v>
      </c>
      <c r="C340" s="8" t="s">
        <v>4618</v>
      </c>
      <c r="D340" s="8" t="s">
        <v>102</v>
      </c>
      <c r="E340" s="8">
        <v>52577</v>
      </c>
      <c r="F340" s="8">
        <v>41.296336500000002</v>
      </c>
      <c r="G340" s="8">
        <v>-92.644961199999997</v>
      </c>
    </row>
    <row r="341" spans="1:7" ht="15.75" customHeight="1" x14ac:dyDescent="0.25">
      <c r="A341" s="8" t="s">
        <v>4619</v>
      </c>
      <c r="B341" s="8" t="s">
        <v>4620</v>
      </c>
      <c r="C341" s="8" t="s">
        <v>272</v>
      </c>
      <c r="D341" s="8" t="s">
        <v>102</v>
      </c>
      <c r="E341" s="8">
        <v>50219</v>
      </c>
      <c r="F341" s="8">
        <v>41.4080534</v>
      </c>
      <c r="G341" s="8">
        <v>-92.916309100000007</v>
      </c>
    </row>
    <row r="342" spans="1:7" ht="15.75" customHeight="1" x14ac:dyDescent="0.25">
      <c r="A342" s="8" t="s">
        <v>4621</v>
      </c>
      <c r="B342" s="8" t="s">
        <v>4622</v>
      </c>
      <c r="C342" s="8" t="s">
        <v>1108</v>
      </c>
      <c r="D342" s="8" t="s">
        <v>102</v>
      </c>
      <c r="E342" s="8">
        <v>51566</v>
      </c>
      <c r="F342" s="8">
        <v>41.009518900000003</v>
      </c>
      <c r="G342" s="8">
        <v>-95.228246999999996</v>
      </c>
    </row>
    <row r="343" spans="1:7" ht="15.75" customHeight="1" x14ac:dyDescent="0.25">
      <c r="A343" s="8" t="s">
        <v>4623</v>
      </c>
      <c r="B343" s="8" t="s">
        <v>4624</v>
      </c>
      <c r="C343" s="8" t="s">
        <v>4625</v>
      </c>
      <c r="D343" s="8" t="s">
        <v>102</v>
      </c>
      <c r="E343" s="8">
        <v>51601</v>
      </c>
      <c r="F343" s="8">
        <v>40.765552800000002</v>
      </c>
      <c r="G343" s="8">
        <v>-95.372210300000006</v>
      </c>
    </row>
    <row r="344" spans="1:7" ht="15.75" customHeight="1" x14ac:dyDescent="0.25">
      <c r="A344" s="8" t="s">
        <v>4626</v>
      </c>
      <c r="B344" s="8" t="s">
        <v>4627</v>
      </c>
      <c r="C344" s="8" t="s">
        <v>4628</v>
      </c>
      <c r="D344" s="8" t="s">
        <v>102</v>
      </c>
      <c r="E344" s="8">
        <v>52172</v>
      </c>
      <c r="F344" s="8">
        <v>43.269420799999999</v>
      </c>
      <c r="G344" s="8">
        <v>-91.475695000000002</v>
      </c>
    </row>
    <row r="345" spans="1:7" ht="15.75" customHeight="1" x14ac:dyDescent="0.25">
      <c r="A345" s="8" t="s">
        <v>4629</v>
      </c>
      <c r="B345" s="8" t="s">
        <v>4630</v>
      </c>
      <c r="C345" s="8" t="s">
        <v>4586</v>
      </c>
      <c r="D345" s="8" t="s">
        <v>102</v>
      </c>
      <c r="E345" s="8">
        <v>52544</v>
      </c>
      <c r="F345" s="8">
        <v>40.729056499999999</v>
      </c>
      <c r="G345" s="8">
        <v>-92.873819600000004</v>
      </c>
    </row>
    <row r="346" spans="1:7" ht="15.75" customHeight="1" x14ac:dyDescent="0.25">
      <c r="A346" s="8" t="s">
        <v>4631</v>
      </c>
      <c r="B346" s="8" t="s">
        <v>2290</v>
      </c>
      <c r="C346" s="8" t="s">
        <v>6619</v>
      </c>
      <c r="D346" s="8" t="s">
        <v>1364</v>
      </c>
      <c r="E346" s="8">
        <v>83714</v>
      </c>
      <c r="F346" s="8">
        <v>43.61656</v>
      </c>
      <c r="G346" s="8">
        <v>-116.200835</v>
      </c>
    </row>
    <row r="347" spans="1:7" ht="15.75" customHeight="1" x14ac:dyDescent="0.25">
      <c r="A347" s="8" t="s">
        <v>4632</v>
      </c>
      <c r="B347" s="8" t="s">
        <v>4633</v>
      </c>
      <c r="C347" s="8" t="s">
        <v>4634</v>
      </c>
      <c r="D347" s="8" t="s">
        <v>1364</v>
      </c>
      <c r="E347" s="8">
        <v>83402</v>
      </c>
      <c r="F347" s="8">
        <v>43.493524499999999</v>
      </c>
      <c r="G347" s="8">
        <v>-112.04009189999999</v>
      </c>
    </row>
    <row r="348" spans="1:7" ht="15.75" customHeight="1" x14ac:dyDescent="0.25">
      <c r="A348" s="8" t="s">
        <v>4635</v>
      </c>
      <c r="B348" s="8" t="s">
        <v>2290</v>
      </c>
      <c r="C348" s="8" t="s">
        <v>2291</v>
      </c>
      <c r="D348" s="8" t="s">
        <v>1364</v>
      </c>
      <c r="E348" s="8">
        <v>83703</v>
      </c>
      <c r="F348" s="8">
        <v>43.61656</v>
      </c>
      <c r="G348" s="8">
        <v>-116.200835</v>
      </c>
    </row>
    <row r="349" spans="1:7" ht="15.75" customHeight="1" x14ac:dyDescent="0.25">
      <c r="A349" s="8" t="s">
        <v>4636</v>
      </c>
      <c r="B349" s="8" t="s">
        <v>4637</v>
      </c>
      <c r="C349" s="8" t="s">
        <v>4637</v>
      </c>
      <c r="D349" s="8" t="s">
        <v>1364</v>
      </c>
      <c r="E349" s="8">
        <v>83303</v>
      </c>
      <c r="F349" s="8">
        <v>42.570421899999999</v>
      </c>
      <c r="G349" s="8">
        <v>-114.4603171</v>
      </c>
    </row>
    <row r="350" spans="1:7" ht="15.75" customHeight="1" x14ac:dyDescent="0.25">
      <c r="A350" s="8" t="s">
        <v>4638</v>
      </c>
      <c r="B350" s="8" t="s">
        <v>4639</v>
      </c>
      <c r="C350" s="8" t="s">
        <v>4640</v>
      </c>
      <c r="D350" s="8" t="s">
        <v>1364</v>
      </c>
      <c r="E350" s="8">
        <v>83687</v>
      </c>
      <c r="F350" s="8">
        <v>43.573736099999998</v>
      </c>
      <c r="G350" s="8">
        <v>-116.55963130000001</v>
      </c>
    </row>
    <row r="351" spans="1:7" ht="15.75" customHeight="1" x14ac:dyDescent="0.25">
      <c r="A351" s="8" t="s">
        <v>4641</v>
      </c>
      <c r="B351" s="8" t="s">
        <v>2300</v>
      </c>
      <c r="C351" s="8" t="s">
        <v>2301</v>
      </c>
      <c r="D351" s="8" t="s">
        <v>1364</v>
      </c>
      <c r="E351" s="8">
        <v>83201</v>
      </c>
      <c r="F351" s="8">
        <v>42.868861299999999</v>
      </c>
      <c r="G351" s="8">
        <v>-112.4401098</v>
      </c>
    </row>
    <row r="352" spans="1:7" ht="15.75" customHeight="1" x14ac:dyDescent="0.25">
      <c r="A352" s="8" t="s">
        <v>4642</v>
      </c>
      <c r="B352" s="8" t="s">
        <v>4643</v>
      </c>
      <c r="C352" s="8" t="s">
        <v>4644</v>
      </c>
      <c r="D352" s="8" t="s">
        <v>1364</v>
      </c>
      <c r="E352" s="8">
        <v>83642</v>
      </c>
      <c r="F352" s="8">
        <v>43.608629499999999</v>
      </c>
      <c r="G352" s="8">
        <v>-116.392326</v>
      </c>
    </row>
    <row r="353" spans="1:7" ht="15.75" customHeight="1" x14ac:dyDescent="0.25">
      <c r="A353" s="8" t="s">
        <v>4645</v>
      </c>
      <c r="B353" s="8" t="s">
        <v>4646</v>
      </c>
      <c r="C353" s="8" t="s">
        <v>4640</v>
      </c>
      <c r="D353" s="8" t="s">
        <v>1364</v>
      </c>
      <c r="E353" s="8">
        <v>83605</v>
      </c>
      <c r="F353" s="8">
        <v>43.6678736</v>
      </c>
      <c r="G353" s="8">
        <v>-116.6894156</v>
      </c>
    </row>
    <row r="354" spans="1:7" ht="15.75" customHeight="1" x14ac:dyDescent="0.25">
      <c r="A354" s="8" t="s">
        <v>4647</v>
      </c>
      <c r="B354" s="8" t="s">
        <v>4648</v>
      </c>
      <c r="C354" s="8" t="s">
        <v>4649</v>
      </c>
      <c r="D354" s="8" t="s">
        <v>1364</v>
      </c>
      <c r="E354" s="8">
        <v>83814</v>
      </c>
      <c r="F354" s="8">
        <v>47.706614399999999</v>
      </c>
      <c r="G354" s="8">
        <v>-116.85509999999999</v>
      </c>
    </row>
    <row r="355" spans="1:7" ht="15.75" customHeight="1" x14ac:dyDescent="0.25">
      <c r="A355" s="8" t="s">
        <v>4650</v>
      </c>
      <c r="B355" s="8" t="s">
        <v>4651</v>
      </c>
      <c r="C355" s="8" t="s">
        <v>4652</v>
      </c>
      <c r="D355" s="8" t="s">
        <v>1364</v>
      </c>
      <c r="E355" s="8">
        <v>83501</v>
      </c>
      <c r="F355" s="8">
        <v>46.416550600000001</v>
      </c>
      <c r="G355" s="8">
        <v>-117.01765690000001</v>
      </c>
    </row>
    <row r="356" spans="1:7" ht="15.75" customHeight="1" x14ac:dyDescent="0.25">
      <c r="A356" s="8" t="s">
        <v>4653</v>
      </c>
      <c r="B356" s="8" t="s">
        <v>4654</v>
      </c>
      <c r="C356" s="8" t="s">
        <v>4655</v>
      </c>
      <c r="D356" s="8" t="s">
        <v>1364</v>
      </c>
      <c r="E356" s="8">
        <v>83221</v>
      </c>
      <c r="F356" s="8">
        <v>43.190038999999999</v>
      </c>
      <c r="G356" s="8">
        <v>-112.34835699999999</v>
      </c>
    </row>
    <row r="357" spans="1:7" ht="15.75" customHeight="1" x14ac:dyDescent="0.25">
      <c r="A357" s="8" t="s">
        <v>4656</v>
      </c>
      <c r="B357" s="8" t="s">
        <v>4657</v>
      </c>
      <c r="C357" s="8" t="s">
        <v>4658</v>
      </c>
      <c r="D357" s="8" t="s">
        <v>1364</v>
      </c>
      <c r="E357" s="8">
        <v>83276</v>
      </c>
      <c r="F357" s="8">
        <v>42.654365200000001</v>
      </c>
      <c r="G357" s="8">
        <v>-111.6046687</v>
      </c>
    </row>
    <row r="358" spans="1:7" ht="15.75" customHeight="1" x14ac:dyDescent="0.25">
      <c r="A358" s="8" t="s">
        <v>4659</v>
      </c>
      <c r="B358" s="8" t="s">
        <v>4660</v>
      </c>
      <c r="C358" s="8" t="s">
        <v>4661</v>
      </c>
      <c r="D358" s="8" t="s">
        <v>1364</v>
      </c>
      <c r="E358" s="8">
        <v>83864</v>
      </c>
      <c r="F358" s="8">
        <v>48.276440100000002</v>
      </c>
      <c r="G358" s="8">
        <v>-116.545633116</v>
      </c>
    </row>
    <row r="359" spans="1:7" ht="15.75" customHeight="1" x14ac:dyDescent="0.25">
      <c r="A359" s="8" t="s">
        <v>4662</v>
      </c>
      <c r="B359" s="8" t="s">
        <v>4663</v>
      </c>
      <c r="C359" s="8" t="s">
        <v>4664</v>
      </c>
      <c r="D359" s="8" t="s">
        <v>232</v>
      </c>
      <c r="E359" s="8">
        <v>60804</v>
      </c>
      <c r="F359" s="8">
        <v>41.845587799999997</v>
      </c>
      <c r="G359" s="8">
        <v>-87.753944799999999</v>
      </c>
    </row>
    <row r="360" spans="1:7" ht="15.75" customHeight="1" x14ac:dyDescent="0.25">
      <c r="A360" s="8" t="s">
        <v>6620</v>
      </c>
      <c r="B360" s="8" t="s">
        <v>6621</v>
      </c>
      <c r="C360" s="8"/>
      <c r="D360" s="8" t="s">
        <v>232</v>
      </c>
      <c r="E360" s="8"/>
      <c r="F360" s="8">
        <v>41.55</v>
      </c>
      <c r="G360" s="8">
        <v>-88.14</v>
      </c>
    </row>
    <row r="361" spans="1:7" ht="15.75" customHeight="1" x14ac:dyDescent="0.25">
      <c r="A361" s="8" t="s">
        <v>4665</v>
      </c>
      <c r="B361" s="8" t="s">
        <v>4666</v>
      </c>
      <c r="C361" s="8" t="s">
        <v>4664</v>
      </c>
      <c r="D361" s="8" t="s">
        <v>232</v>
      </c>
      <c r="E361" s="8">
        <v>60628</v>
      </c>
      <c r="F361" s="8">
        <v>41.701345184300003</v>
      </c>
      <c r="G361" s="8">
        <v>-87.625331747399997</v>
      </c>
    </row>
    <row r="362" spans="1:7" ht="15.75" customHeight="1" x14ac:dyDescent="0.25">
      <c r="A362" s="8" t="s">
        <v>4667</v>
      </c>
      <c r="B362" s="8" t="s">
        <v>4668</v>
      </c>
      <c r="C362" s="8" t="s">
        <v>4664</v>
      </c>
      <c r="D362" s="8" t="s">
        <v>232</v>
      </c>
      <c r="E362" s="8">
        <v>60076</v>
      </c>
      <c r="F362" s="8">
        <v>42.033369399999998</v>
      </c>
      <c r="G362" s="8">
        <v>-87.733397199999999</v>
      </c>
    </row>
    <row r="363" spans="1:7" ht="15.75" customHeight="1" x14ac:dyDescent="0.25">
      <c r="A363" s="8" t="s">
        <v>4669</v>
      </c>
      <c r="B363" s="8" t="s">
        <v>4670</v>
      </c>
      <c r="C363" s="8" t="s">
        <v>4671</v>
      </c>
      <c r="D363" s="8" t="s">
        <v>232</v>
      </c>
      <c r="E363" s="8">
        <v>61109</v>
      </c>
      <c r="F363" s="8">
        <v>42.2713945</v>
      </c>
      <c r="G363" s="8">
        <v>-89.093965999999995</v>
      </c>
    </row>
    <row r="364" spans="1:7" ht="15.75" customHeight="1" x14ac:dyDescent="0.25">
      <c r="A364" s="8" t="s">
        <v>4672</v>
      </c>
      <c r="B364" s="8" t="s">
        <v>4673</v>
      </c>
      <c r="C364" s="8" t="s">
        <v>4674</v>
      </c>
      <c r="D364" s="8" t="s">
        <v>232</v>
      </c>
      <c r="E364" s="8">
        <v>60543</v>
      </c>
      <c r="F364" s="8">
        <v>41.678993200000001</v>
      </c>
      <c r="G364" s="8">
        <v>-88.355021600000001</v>
      </c>
    </row>
    <row r="365" spans="1:7" ht="15.75" customHeight="1" x14ac:dyDescent="0.25">
      <c r="A365" s="8" t="s">
        <v>4675</v>
      </c>
      <c r="B365" s="8" t="s">
        <v>3902</v>
      </c>
      <c r="C365" s="8" t="s">
        <v>4441</v>
      </c>
      <c r="D365" s="8" t="s">
        <v>232</v>
      </c>
      <c r="E365" s="8">
        <v>62522</v>
      </c>
      <c r="F365" s="8">
        <v>39.845416299999997</v>
      </c>
      <c r="G365" s="8">
        <v>-88.952415099999996</v>
      </c>
    </row>
    <row r="366" spans="1:7" ht="15.75" customHeight="1" x14ac:dyDescent="0.25">
      <c r="A366" s="8" t="s">
        <v>4676</v>
      </c>
      <c r="B366" s="8" t="s">
        <v>4677</v>
      </c>
      <c r="C366" s="8" t="s">
        <v>4677</v>
      </c>
      <c r="D366" s="8" t="s">
        <v>232</v>
      </c>
      <c r="E366" s="8">
        <v>61607</v>
      </c>
      <c r="F366" s="8">
        <v>40.693860899999997</v>
      </c>
      <c r="G366" s="8">
        <v>-89.589100799999997</v>
      </c>
    </row>
    <row r="367" spans="1:7" ht="15.75" customHeight="1" x14ac:dyDescent="0.25">
      <c r="A367" s="8" t="s">
        <v>4678</v>
      </c>
      <c r="B367" s="8" t="s">
        <v>4679</v>
      </c>
      <c r="C367" s="8" t="s">
        <v>2322</v>
      </c>
      <c r="D367" s="8" t="s">
        <v>232</v>
      </c>
      <c r="E367" s="8">
        <v>60193</v>
      </c>
      <c r="F367" s="8">
        <v>42.014507272199999</v>
      </c>
      <c r="G367" s="8">
        <v>-88.093623568200002</v>
      </c>
    </row>
    <row r="368" spans="1:7" ht="15.75" customHeight="1" x14ac:dyDescent="0.25">
      <c r="A368" s="8" t="s">
        <v>4680</v>
      </c>
      <c r="B368" s="8" t="s">
        <v>4681</v>
      </c>
      <c r="C368" s="8" t="s">
        <v>4682</v>
      </c>
      <c r="D368" s="8" t="s">
        <v>232</v>
      </c>
      <c r="E368" s="8">
        <v>60120</v>
      </c>
      <c r="F368" s="8">
        <v>42.036200899999997</v>
      </c>
      <c r="G368" s="8">
        <v>-88.286152429099999</v>
      </c>
    </row>
    <row r="369" spans="1:7" ht="15.75" customHeight="1" x14ac:dyDescent="0.25">
      <c r="A369" s="8" t="s">
        <v>4683</v>
      </c>
      <c r="B369" s="8" t="s">
        <v>4684</v>
      </c>
      <c r="C369" s="8" t="s">
        <v>4684</v>
      </c>
      <c r="D369" s="8" t="s">
        <v>232</v>
      </c>
      <c r="E369" s="8">
        <v>60901</v>
      </c>
      <c r="F369" s="8">
        <v>41.120032500000001</v>
      </c>
      <c r="G369" s="8">
        <v>-87.861153099999996</v>
      </c>
    </row>
    <row r="370" spans="1:7" ht="15.75" customHeight="1" x14ac:dyDescent="0.25">
      <c r="A370" s="8" t="s">
        <v>4685</v>
      </c>
      <c r="B370" s="8" t="s">
        <v>4074</v>
      </c>
      <c r="C370" s="8" t="s">
        <v>4686</v>
      </c>
      <c r="D370" s="8" t="s">
        <v>232</v>
      </c>
      <c r="E370" s="8">
        <v>61702</v>
      </c>
      <c r="F370" s="8">
        <v>40.473107300000002</v>
      </c>
      <c r="G370" s="8">
        <v>-88.994140299999998</v>
      </c>
    </row>
    <row r="371" spans="1:7" ht="15.75" customHeight="1" x14ac:dyDescent="0.25">
      <c r="A371" s="8" t="s">
        <v>4687</v>
      </c>
      <c r="B371" s="8" t="s">
        <v>4688</v>
      </c>
      <c r="C371" s="8" t="s">
        <v>4689</v>
      </c>
      <c r="D371" s="8" t="s">
        <v>232</v>
      </c>
      <c r="E371" s="8">
        <v>62707</v>
      </c>
      <c r="F371" s="8">
        <v>39.7989763</v>
      </c>
      <c r="G371" s="8">
        <v>-89.644368799999995</v>
      </c>
    </row>
    <row r="372" spans="1:7" ht="15.75" customHeight="1" x14ac:dyDescent="0.25">
      <c r="A372" s="8" t="s">
        <v>4690</v>
      </c>
      <c r="B372" s="8" t="s">
        <v>4691</v>
      </c>
      <c r="C372" s="8" t="s">
        <v>4692</v>
      </c>
      <c r="D372" s="8" t="s">
        <v>232</v>
      </c>
      <c r="E372" s="8">
        <v>60436</v>
      </c>
      <c r="F372" s="8">
        <v>41.5263603</v>
      </c>
      <c r="G372" s="8">
        <v>-88.084021199999995</v>
      </c>
    </row>
    <row r="373" spans="1:7" ht="15.75" customHeight="1" x14ac:dyDescent="0.25">
      <c r="A373" s="8" t="s">
        <v>4693</v>
      </c>
      <c r="B373" s="8" t="s">
        <v>4694</v>
      </c>
      <c r="C373" s="8" t="s">
        <v>4695</v>
      </c>
      <c r="D373" s="8" t="s">
        <v>232</v>
      </c>
      <c r="E373" s="8">
        <v>60035</v>
      </c>
      <c r="F373" s="8">
        <v>42.181691899999997</v>
      </c>
      <c r="G373" s="8">
        <v>-87.800343799999993</v>
      </c>
    </row>
    <row r="374" spans="1:7" ht="15.75" customHeight="1" x14ac:dyDescent="0.25">
      <c r="A374" s="8" t="s">
        <v>4696</v>
      </c>
      <c r="B374" s="8" t="s">
        <v>4697</v>
      </c>
      <c r="C374" s="8" t="s">
        <v>4698</v>
      </c>
      <c r="D374" s="8" t="s">
        <v>232</v>
      </c>
      <c r="E374" s="8">
        <v>61803</v>
      </c>
      <c r="F374" s="8">
        <v>40.11</v>
      </c>
      <c r="G374" s="8">
        <v>-88.2099999</v>
      </c>
    </row>
    <row r="375" spans="1:7" ht="15.75" customHeight="1" x14ac:dyDescent="0.25">
      <c r="A375" s="8" t="s">
        <v>4699</v>
      </c>
      <c r="B375" s="8" t="s">
        <v>4700</v>
      </c>
      <c r="C375" s="8" t="s">
        <v>4701</v>
      </c>
      <c r="D375" s="8" t="s">
        <v>232</v>
      </c>
      <c r="E375" s="8">
        <v>60137</v>
      </c>
      <c r="F375" s="8">
        <v>41.877529299999999</v>
      </c>
      <c r="G375" s="8">
        <v>-88.067011800000003</v>
      </c>
    </row>
    <row r="376" spans="1:7" ht="15.75" customHeight="1" x14ac:dyDescent="0.25">
      <c r="A376" s="8" t="s">
        <v>4702</v>
      </c>
      <c r="B376" s="8" t="s">
        <v>4703</v>
      </c>
      <c r="C376" s="8" t="s">
        <v>4704</v>
      </c>
      <c r="D376" s="8" t="s">
        <v>232</v>
      </c>
      <c r="E376" s="8">
        <v>61834</v>
      </c>
      <c r="F376" s="8">
        <v>40.125222000000001</v>
      </c>
      <c r="G376" s="8">
        <v>-87.630461400000002</v>
      </c>
    </row>
    <row r="377" spans="1:7" ht="15.75" customHeight="1" x14ac:dyDescent="0.25">
      <c r="A377" s="8" t="s">
        <v>4705</v>
      </c>
      <c r="B377" s="8" t="s">
        <v>4706</v>
      </c>
      <c r="C377" s="8" t="s">
        <v>4664</v>
      </c>
      <c r="D377" s="8" t="s">
        <v>232</v>
      </c>
      <c r="E377" s="8">
        <v>60411</v>
      </c>
      <c r="F377" s="8">
        <v>41.506283400000001</v>
      </c>
      <c r="G377" s="8">
        <v>-87.6357079</v>
      </c>
    </row>
    <row r="378" spans="1:7" ht="15.75" customHeight="1" x14ac:dyDescent="0.25">
      <c r="A378" s="8" t="s">
        <v>4707</v>
      </c>
      <c r="B378" s="8" t="s">
        <v>4691</v>
      </c>
      <c r="C378" s="8" t="s">
        <v>4692</v>
      </c>
      <c r="D378" s="8" t="s">
        <v>232</v>
      </c>
      <c r="E378" s="8">
        <v>60436</v>
      </c>
      <c r="F378" s="8">
        <v>41.5263603</v>
      </c>
      <c r="G378" s="8">
        <v>-88.084021199999995</v>
      </c>
    </row>
    <row r="379" spans="1:7" ht="15.75" customHeight="1" x14ac:dyDescent="0.25">
      <c r="A379" s="8" t="s">
        <v>4708</v>
      </c>
      <c r="B379" s="8" t="s">
        <v>4709</v>
      </c>
      <c r="C379" s="8" t="s">
        <v>4664</v>
      </c>
      <c r="D379" s="8" t="s">
        <v>232</v>
      </c>
      <c r="E379" s="8">
        <v>60527</v>
      </c>
      <c r="F379" s="8">
        <v>41.749411841499999</v>
      </c>
      <c r="G379" s="8">
        <v>-87.932160475299995</v>
      </c>
    </row>
    <row r="380" spans="1:7" ht="15.75" customHeight="1" x14ac:dyDescent="0.25">
      <c r="A380" s="8" t="s">
        <v>4710</v>
      </c>
      <c r="B380" s="8" t="s">
        <v>4711</v>
      </c>
      <c r="C380" s="8" t="s">
        <v>4664</v>
      </c>
      <c r="D380" s="8" t="s">
        <v>232</v>
      </c>
      <c r="E380" s="8">
        <v>60133</v>
      </c>
      <c r="F380" s="8">
        <v>41.9994722</v>
      </c>
      <c r="G380" s="8">
        <v>-88.145073499999995</v>
      </c>
    </row>
    <row r="381" spans="1:7" ht="15.75" customHeight="1" x14ac:dyDescent="0.25">
      <c r="A381" s="8" t="s">
        <v>4712</v>
      </c>
      <c r="B381" s="8" t="s">
        <v>4713</v>
      </c>
      <c r="C381" s="8" t="s">
        <v>4701</v>
      </c>
      <c r="D381" s="8" t="s">
        <v>232</v>
      </c>
      <c r="E381" s="8">
        <v>60517</v>
      </c>
      <c r="F381" s="8">
        <v>41.7563344</v>
      </c>
      <c r="G381" s="8">
        <v>-88.045558999999997</v>
      </c>
    </row>
    <row r="382" spans="1:7" ht="15.75" customHeight="1" x14ac:dyDescent="0.25">
      <c r="A382" s="8" t="s">
        <v>4714</v>
      </c>
      <c r="B382" s="8" t="s">
        <v>4715</v>
      </c>
      <c r="C382" s="8" t="s">
        <v>4716</v>
      </c>
      <c r="D382" s="8" t="s">
        <v>232</v>
      </c>
      <c r="E382" s="8">
        <v>61244</v>
      </c>
      <c r="F382" s="8">
        <v>41.515517600000003</v>
      </c>
      <c r="G382" s="8">
        <v>-90.441168300000001</v>
      </c>
    </row>
    <row r="383" spans="1:7" ht="15.75" customHeight="1" x14ac:dyDescent="0.25">
      <c r="A383" s="8" t="s">
        <v>4717</v>
      </c>
      <c r="B383" s="8" t="s">
        <v>4718</v>
      </c>
      <c r="C383" s="8" t="s">
        <v>4701</v>
      </c>
      <c r="D383" s="8" t="s">
        <v>232</v>
      </c>
      <c r="E383" s="8">
        <v>60515</v>
      </c>
      <c r="F383" s="8">
        <v>41.819270199999998</v>
      </c>
      <c r="G383" s="8">
        <v>-88.029390699999993</v>
      </c>
    </row>
    <row r="384" spans="1:7" ht="15.75" customHeight="1" x14ac:dyDescent="0.25">
      <c r="A384" s="8" t="s">
        <v>4719</v>
      </c>
      <c r="B384" s="8" t="s">
        <v>4720</v>
      </c>
      <c r="C384" s="8" t="s">
        <v>4721</v>
      </c>
      <c r="D384" s="8" t="s">
        <v>232</v>
      </c>
      <c r="E384" s="8">
        <v>61401</v>
      </c>
      <c r="F384" s="8">
        <v>40.943176399999999</v>
      </c>
      <c r="G384" s="8">
        <v>-90.431267199999994</v>
      </c>
    </row>
    <row r="385" spans="1:7" ht="15.75" customHeight="1" x14ac:dyDescent="0.25">
      <c r="A385" s="8" t="s">
        <v>4722</v>
      </c>
      <c r="B385" s="8" t="s">
        <v>4723</v>
      </c>
      <c r="C385" s="8" t="s">
        <v>3900</v>
      </c>
      <c r="D385" s="8" t="s">
        <v>232</v>
      </c>
      <c r="E385" s="8">
        <v>62002</v>
      </c>
      <c r="F385" s="8">
        <v>38.890603800000001</v>
      </c>
      <c r="G385" s="8">
        <v>-90.184276400000002</v>
      </c>
    </row>
    <row r="386" spans="1:7" ht="15.75" customHeight="1" x14ac:dyDescent="0.25">
      <c r="A386" s="8" t="s">
        <v>4724</v>
      </c>
      <c r="B386" s="8" t="s">
        <v>4725</v>
      </c>
      <c r="C386" s="8" t="s">
        <v>4695</v>
      </c>
      <c r="D386" s="8" t="s">
        <v>232</v>
      </c>
      <c r="E386" s="8">
        <v>60020</v>
      </c>
      <c r="F386" s="8">
        <v>42.396687399999998</v>
      </c>
      <c r="G386" s="8">
        <v>-88.183696499999996</v>
      </c>
    </row>
    <row r="387" spans="1:7" ht="15.75" customHeight="1" x14ac:dyDescent="0.25">
      <c r="A387" s="8" t="s">
        <v>4726</v>
      </c>
      <c r="B387" s="8" t="s">
        <v>4727</v>
      </c>
      <c r="C387" s="8" t="s">
        <v>4716</v>
      </c>
      <c r="D387" s="8" t="s">
        <v>232</v>
      </c>
      <c r="E387" s="8">
        <v>61265</v>
      </c>
      <c r="F387" s="8">
        <v>41.506700299999999</v>
      </c>
      <c r="G387" s="8">
        <v>-90.515134200000006</v>
      </c>
    </row>
    <row r="388" spans="1:7" ht="15.75" customHeight="1" x14ac:dyDescent="0.25">
      <c r="A388" s="8" t="s">
        <v>4728</v>
      </c>
      <c r="B388" s="8" t="s">
        <v>4729</v>
      </c>
      <c r="C388" s="8" t="s">
        <v>4701</v>
      </c>
      <c r="D388" s="8" t="s">
        <v>232</v>
      </c>
      <c r="E388" s="8">
        <v>60189</v>
      </c>
      <c r="F388" s="8">
        <v>41.864695900000001</v>
      </c>
      <c r="G388" s="8">
        <v>-88.1101709</v>
      </c>
    </row>
    <row r="389" spans="1:7" ht="15.75" customHeight="1" x14ac:dyDescent="0.25">
      <c r="A389" s="8" t="s">
        <v>4730</v>
      </c>
      <c r="B389" s="8" t="s">
        <v>4731</v>
      </c>
      <c r="C389" s="8" t="s">
        <v>4731</v>
      </c>
      <c r="D389" s="8" t="s">
        <v>232</v>
      </c>
      <c r="E389" s="8">
        <v>60115</v>
      </c>
      <c r="F389" s="8">
        <v>41.929473600000001</v>
      </c>
      <c r="G389" s="8">
        <v>-88.750364700000006</v>
      </c>
    </row>
    <row r="390" spans="1:7" ht="15.75" customHeight="1" x14ac:dyDescent="0.25">
      <c r="A390" s="8" t="s">
        <v>4732</v>
      </c>
      <c r="B390" s="8" t="s">
        <v>4733</v>
      </c>
      <c r="C390" s="8" t="s">
        <v>4734</v>
      </c>
      <c r="D390" s="8" t="s">
        <v>232</v>
      </c>
      <c r="E390" s="8">
        <v>62220</v>
      </c>
      <c r="F390" s="8">
        <v>38.520050400000002</v>
      </c>
      <c r="G390" s="8">
        <v>-89.983993499999997</v>
      </c>
    </row>
    <row r="391" spans="1:7" ht="15.75" customHeight="1" x14ac:dyDescent="0.25">
      <c r="A391" s="8" t="s">
        <v>4735</v>
      </c>
      <c r="B391" s="8" t="s">
        <v>4736</v>
      </c>
      <c r="C391" s="8" t="s">
        <v>4701</v>
      </c>
      <c r="D391" s="8" t="s">
        <v>232</v>
      </c>
      <c r="E391" s="8">
        <v>60126</v>
      </c>
      <c r="F391" s="8">
        <v>41.899474499999997</v>
      </c>
      <c r="G391" s="8">
        <v>-87.940341799999999</v>
      </c>
    </row>
    <row r="392" spans="1:7" ht="15.75" customHeight="1" x14ac:dyDescent="0.25">
      <c r="A392" s="8" t="s">
        <v>4737</v>
      </c>
      <c r="B392" s="8" t="s">
        <v>4716</v>
      </c>
      <c r="C392" s="8" t="s">
        <v>4716</v>
      </c>
      <c r="D392" s="8" t="s">
        <v>232</v>
      </c>
      <c r="E392" s="8">
        <v>61201</v>
      </c>
      <c r="F392" s="8">
        <v>41.509477099999998</v>
      </c>
      <c r="G392" s="8">
        <v>-90.578747699999994</v>
      </c>
    </row>
    <row r="393" spans="1:7" ht="15.75" customHeight="1" x14ac:dyDescent="0.25">
      <c r="A393" s="8" t="s">
        <v>4738</v>
      </c>
      <c r="B393" s="8" t="s">
        <v>4681</v>
      </c>
      <c r="C393" s="8" t="s">
        <v>4682</v>
      </c>
      <c r="D393" s="8" t="s">
        <v>232</v>
      </c>
      <c r="E393" s="8">
        <v>60123</v>
      </c>
      <c r="F393" s="8">
        <v>42.036200899999997</v>
      </c>
      <c r="G393" s="8">
        <v>-88.286152429099999</v>
      </c>
    </row>
    <row r="394" spans="1:7" ht="15.75" customHeight="1" x14ac:dyDescent="0.25">
      <c r="A394" s="8" t="s">
        <v>4739</v>
      </c>
      <c r="B394" s="8" t="s">
        <v>3940</v>
      </c>
      <c r="C394" s="8" t="s">
        <v>3903</v>
      </c>
      <c r="D394" s="8" t="s">
        <v>232</v>
      </c>
      <c r="E394" s="8">
        <v>62650</v>
      </c>
      <c r="F394" s="8">
        <v>39.734303699999998</v>
      </c>
      <c r="G394" s="8">
        <v>-90.228835599999996</v>
      </c>
    </row>
    <row r="395" spans="1:7" ht="15.75" customHeight="1" x14ac:dyDescent="0.25">
      <c r="A395" s="8" t="s">
        <v>4740</v>
      </c>
      <c r="B395" s="8" t="s">
        <v>4741</v>
      </c>
      <c r="C395" s="8" t="s">
        <v>4742</v>
      </c>
      <c r="D395" s="8" t="s">
        <v>232</v>
      </c>
      <c r="E395" s="8">
        <v>61032</v>
      </c>
      <c r="F395" s="8">
        <v>42.296686100000002</v>
      </c>
      <c r="G395" s="8">
        <v>-89.621227099999999</v>
      </c>
    </row>
    <row r="396" spans="1:7" ht="15.75" customHeight="1" x14ac:dyDescent="0.25">
      <c r="A396" s="8" t="s">
        <v>4743</v>
      </c>
      <c r="B396" s="8" t="s">
        <v>4744</v>
      </c>
      <c r="C396" s="8" t="s">
        <v>4745</v>
      </c>
      <c r="D396" s="8" t="s">
        <v>232</v>
      </c>
      <c r="E396" s="8">
        <v>61008</v>
      </c>
      <c r="F396" s="8">
        <v>42.257999099999999</v>
      </c>
      <c r="G396" s="8">
        <v>-88.841734000000002</v>
      </c>
    </row>
    <row r="397" spans="1:7" ht="15.75" customHeight="1" x14ac:dyDescent="0.25">
      <c r="A397" s="8" t="s">
        <v>4746</v>
      </c>
      <c r="B397" s="8" t="s">
        <v>4747</v>
      </c>
      <c r="C397" s="8" t="s">
        <v>4748</v>
      </c>
      <c r="D397" s="8" t="s">
        <v>232</v>
      </c>
      <c r="E397" s="8">
        <v>60039</v>
      </c>
      <c r="F397" s="8">
        <v>39.273252999999997</v>
      </c>
      <c r="G397" s="8">
        <v>-106.293238</v>
      </c>
    </row>
    <row r="398" spans="1:7" ht="15.75" customHeight="1" x14ac:dyDescent="0.25">
      <c r="A398" s="8" t="s">
        <v>4749</v>
      </c>
      <c r="B398" s="8" t="s">
        <v>4750</v>
      </c>
      <c r="C398" s="8" t="s">
        <v>4701</v>
      </c>
      <c r="D398" s="8" t="s">
        <v>232</v>
      </c>
      <c r="E398" s="8">
        <v>60101</v>
      </c>
      <c r="F398" s="8">
        <v>41.931696000000002</v>
      </c>
      <c r="G398" s="8">
        <v>-87.988955599999997</v>
      </c>
    </row>
    <row r="399" spans="1:7" ht="15.75" customHeight="1" x14ac:dyDescent="0.25">
      <c r="A399" s="8" t="s">
        <v>4751</v>
      </c>
      <c r="B399" s="8" t="s">
        <v>4752</v>
      </c>
      <c r="C399" s="8" t="s">
        <v>4753</v>
      </c>
      <c r="D399" s="8" t="s">
        <v>232</v>
      </c>
      <c r="E399" s="8">
        <v>61938</v>
      </c>
      <c r="F399" s="8">
        <v>39.484282100000001</v>
      </c>
      <c r="G399" s="8">
        <v>-88.377327899999997</v>
      </c>
    </row>
    <row r="400" spans="1:7" ht="15.75" customHeight="1" x14ac:dyDescent="0.25">
      <c r="A400" s="8" t="s">
        <v>4754</v>
      </c>
      <c r="B400" s="8" t="s">
        <v>4755</v>
      </c>
      <c r="C400" s="8" t="s">
        <v>4701</v>
      </c>
      <c r="D400" s="8" t="s">
        <v>232</v>
      </c>
      <c r="E400" s="8">
        <v>60181</v>
      </c>
      <c r="F400" s="8">
        <v>41.889131900000002</v>
      </c>
      <c r="G400" s="8">
        <v>-87.977485400000006</v>
      </c>
    </row>
    <row r="401" spans="1:7" ht="15.75" customHeight="1" x14ac:dyDescent="0.25">
      <c r="A401" s="8" t="s">
        <v>4756</v>
      </c>
      <c r="B401" s="8" t="s">
        <v>4757</v>
      </c>
      <c r="C401" s="8" t="s">
        <v>4682</v>
      </c>
      <c r="D401" s="8" t="s">
        <v>232</v>
      </c>
      <c r="E401" s="8">
        <v>60134</v>
      </c>
      <c r="F401" s="8">
        <v>41.887528099999997</v>
      </c>
      <c r="G401" s="8">
        <v>-88.305352499999998</v>
      </c>
    </row>
    <row r="402" spans="1:7" ht="15.75" customHeight="1" x14ac:dyDescent="0.25">
      <c r="A402" s="8" t="s">
        <v>4758</v>
      </c>
      <c r="B402" s="8" t="s">
        <v>4759</v>
      </c>
      <c r="C402" s="8" t="s">
        <v>4748</v>
      </c>
      <c r="D402" s="8" t="s">
        <v>232</v>
      </c>
      <c r="E402" s="8">
        <v>60033</v>
      </c>
      <c r="F402" s="8">
        <v>42.422241</v>
      </c>
      <c r="G402" s="8">
        <v>-88.613710100000006</v>
      </c>
    </row>
    <row r="403" spans="1:7" ht="15.75" customHeight="1" x14ac:dyDescent="0.25">
      <c r="A403" s="8" t="s">
        <v>6622</v>
      </c>
      <c r="B403" s="8" t="s">
        <v>6623</v>
      </c>
      <c r="C403" s="8"/>
      <c r="D403" s="8" t="s">
        <v>232</v>
      </c>
      <c r="E403" s="8">
        <v>60013</v>
      </c>
      <c r="F403" s="8">
        <v>37.020000000000003</v>
      </c>
      <c r="G403" s="8">
        <v>-89.18</v>
      </c>
    </row>
    <row r="404" spans="1:7" ht="15.75" customHeight="1" x14ac:dyDescent="0.25">
      <c r="A404" s="8" t="s">
        <v>4760</v>
      </c>
      <c r="B404" s="8" t="s">
        <v>4761</v>
      </c>
      <c r="C404" s="8" t="s">
        <v>4753</v>
      </c>
      <c r="D404" s="8" t="s">
        <v>232</v>
      </c>
      <c r="E404" s="8">
        <v>61920</v>
      </c>
      <c r="F404" s="8">
        <v>39.496145800000001</v>
      </c>
      <c r="G404" s="8">
        <v>-88.176152099999996</v>
      </c>
    </row>
    <row r="405" spans="1:7" ht="15.75" customHeight="1" x14ac:dyDescent="0.25">
      <c r="A405" s="8" t="s">
        <v>4762</v>
      </c>
      <c r="B405" s="8" t="s">
        <v>4763</v>
      </c>
      <c r="C405" s="8" t="s">
        <v>4764</v>
      </c>
      <c r="D405" s="8" t="s">
        <v>232</v>
      </c>
      <c r="E405" s="8">
        <v>61254</v>
      </c>
      <c r="F405" s="8">
        <v>41.452521400000002</v>
      </c>
      <c r="G405" s="8">
        <v>-90.154842599999995</v>
      </c>
    </row>
    <row r="406" spans="1:7" ht="15.75" customHeight="1" x14ac:dyDescent="0.25">
      <c r="A406" s="8" t="s">
        <v>4765</v>
      </c>
      <c r="B406" s="8" t="s">
        <v>4766</v>
      </c>
      <c r="C406" s="8" t="s">
        <v>4767</v>
      </c>
      <c r="D406" s="8" t="s">
        <v>232</v>
      </c>
      <c r="E406" s="8">
        <v>60105</v>
      </c>
      <c r="F406" s="8">
        <v>41.95</v>
      </c>
      <c r="G406" s="8">
        <v>-87.94</v>
      </c>
    </row>
    <row r="407" spans="1:7" ht="15.75" customHeight="1" x14ac:dyDescent="0.25">
      <c r="A407" s="8" t="s">
        <v>4768</v>
      </c>
      <c r="B407" s="8" t="s">
        <v>4769</v>
      </c>
      <c r="C407" s="8" t="s">
        <v>4698</v>
      </c>
      <c r="D407" s="8" t="s">
        <v>232</v>
      </c>
      <c r="E407" s="8">
        <v>61866</v>
      </c>
      <c r="F407" s="8">
        <v>40.308367199999999</v>
      </c>
      <c r="G407" s="8">
        <v>-88.1558785</v>
      </c>
    </row>
    <row r="408" spans="1:7" ht="15.75" customHeight="1" x14ac:dyDescent="0.25">
      <c r="A408" s="8" t="s">
        <v>4770</v>
      </c>
      <c r="B408" s="8" t="s">
        <v>4771</v>
      </c>
      <c r="C408" s="8" t="s">
        <v>4772</v>
      </c>
      <c r="D408" s="8" t="s">
        <v>232</v>
      </c>
      <c r="E408" s="8">
        <v>60970</v>
      </c>
      <c r="F408" s="8">
        <v>40.776146500000003</v>
      </c>
      <c r="G408" s="8">
        <v>-87.736421800000002</v>
      </c>
    </row>
    <row r="409" spans="1:7" ht="15.75" customHeight="1" x14ac:dyDescent="0.25">
      <c r="A409" s="8" t="s">
        <v>4773</v>
      </c>
      <c r="B409" s="8" t="s">
        <v>3955</v>
      </c>
      <c r="C409" s="8" t="s">
        <v>4774</v>
      </c>
      <c r="D409" s="8" t="s">
        <v>232</v>
      </c>
      <c r="E409" s="8">
        <v>62812</v>
      </c>
      <c r="F409" s="8">
        <v>37.996716300000003</v>
      </c>
      <c r="G409" s="8">
        <v>-88.920068499999999</v>
      </c>
    </row>
    <row r="410" spans="1:7" ht="15.75" customHeight="1" x14ac:dyDescent="0.25">
      <c r="A410" s="8" t="s">
        <v>4775</v>
      </c>
      <c r="B410" s="8" t="s">
        <v>4776</v>
      </c>
      <c r="C410" s="8" t="s">
        <v>4682</v>
      </c>
      <c r="D410" s="8" t="s">
        <v>232</v>
      </c>
      <c r="E410" s="8">
        <v>60510</v>
      </c>
      <c r="F410" s="8">
        <v>41.850028399999999</v>
      </c>
      <c r="G410" s="8">
        <v>-88.312573799999996</v>
      </c>
    </row>
    <row r="411" spans="1:7" ht="15.75" customHeight="1" x14ac:dyDescent="0.25">
      <c r="A411" s="8" t="s">
        <v>4777</v>
      </c>
      <c r="B411" s="8" t="s">
        <v>4778</v>
      </c>
      <c r="C411" s="8" t="s">
        <v>4779</v>
      </c>
      <c r="D411" s="8" t="s">
        <v>232</v>
      </c>
      <c r="E411" s="8">
        <v>62626</v>
      </c>
      <c r="F411" s="8">
        <v>39.279769899999998</v>
      </c>
      <c r="G411" s="8">
        <v>-89.881766200000001</v>
      </c>
    </row>
    <row r="412" spans="1:7" ht="15.75" customHeight="1" x14ac:dyDescent="0.25">
      <c r="A412" s="8" t="s">
        <v>4780</v>
      </c>
      <c r="B412" s="8" t="s">
        <v>4781</v>
      </c>
      <c r="C412" s="8" t="s">
        <v>4682</v>
      </c>
      <c r="D412" s="8" t="s">
        <v>232</v>
      </c>
      <c r="E412" s="8">
        <v>60174</v>
      </c>
      <c r="F412" s="8">
        <v>41.913955600000001</v>
      </c>
      <c r="G412" s="8">
        <v>-88.312489999999997</v>
      </c>
    </row>
    <row r="413" spans="1:7" ht="15.75" customHeight="1" x14ac:dyDescent="0.25">
      <c r="A413" s="8" t="s">
        <v>4782</v>
      </c>
      <c r="B413" s="8" t="s">
        <v>4783</v>
      </c>
      <c r="C413" s="8" t="s">
        <v>4748</v>
      </c>
      <c r="D413" s="8" t="s">
        <v>232</v>
      </c>
      <c r="E413" s="8">
        <v>60102</v>
      </c>
      <c r="F413" s="8">
        <v>42.1655801</v>
      </c>
      <c r="G413" s="8">
        <v>-88.294249300000004</v>
      </c>
    </row>
    <row r="414" spans="1:7" ht="15.75" customHeight="1" x14ac:dyDescent="0.25">
      <c r="A414" s="8" t="s">
        <v>4784</v>
      </c>
      <c r="B414" s="8" t="s">
        <v>4785</v>
      </c>
      <c r="C414" s="8" t="s">
        <v>4767</v>
      </c>
      <c r="D414" s="8" t="s">
        <v>232</v>
      </c>
      <c r="E414" s="8">
        <v>60185</v>
      </c>
      <c r="F414" s="8">
        <v>41.8994103</v>
      </c>
      <c r="G414" s="8">
        <v>-88.244059699999994</v>
      </c>
    </row>
    <row r="415" spans="1:7" ht="15.75" customHeight="1" x14ac:dyDescent="0.25">
      <c r="A415" s="8" t="s">
        <v>4786</v>
      </c>
      <c r="B415" s="8" t="s">
        <v>4750</v>
      </c>
      <c r="C415" s="8" t="s">
        <v>4701</v>
      </c>
      <c r="D415" s="8" t="s">
        <v>232</v>
      </c>
      <c r="E415" s="8">
        <v>60101</v>
      </c>
      <c r="F415" s="8">
        <v>41.931696000000002</v>
      </c>
      <c r="G415" s="8">
        <v>-87.988955599999997</v>
      </c>
    </row>
    <row r="416" spans="1:7" ht="15.75" customHeight="1" x14ac:dyDescent="0.25">
      <c r="A416" s="8" t="s">
        <v>4787</v>
      </c>
      <c r="B416" s="8" t="s">
        <v>4788</v>
      </c>
      <c r="C416" s="8" t="s">
        <v>4789</v>
      </c>
      <c r="D416" s="8" t="s">
        <v>232</v>
      </c>
      <c r="E416" s="8">
        <v>62902</v>
      </c>
      <c r="F416" s="8">
        <v>37.727469200000002</v>
      </c>
      <c r="G416" s="8">
        <v>-89.216655000000003</v>
      </c>
    </row>
    <row r="417" spans="1:7" ht="15.75" customHeight="1" x14ac:dyDescent="0.25">
      <c r="A417" s="8" t="s">
        <v>4790</v>
      </c>
      <c r="B417" s="8" t="s">
        <v>4791</v>
      </c>
      <c r="C417" s="8" t="s">
        <v>4792</v>
      </c>
      <c r="D417" s="8" t="s">
        <v>232</v>
      </c>
      <c r="E417" s="8">
        <v>61614</v>
      </c>
      <c r="F417" s="8">
        <v>40.666148999999997</v>
      </c>
      <c r="G417" s="8">
        <v>-89.580097800000004</v>
      </c>
    </row>
    <row r="418" spans="1:7" ht="15.75" customHeight="1" x14ac:dyDescent="0.25">
      <c r="A418" s="8" t="s">
        <v>4793</v>
      </c>
      <c r="B418" s="8" t="s">
        <v>4794</v>
      </c>
      <c r="C418" s="8" t="s">
        <v>4794</v>
      </c>
      <c r="D418" s="8" t="s">
        <v>232</v>
      </c>
      <c r="E418" s="8">
        <v>62401</v>
      </c>
      <c r="F418" s="8">
        <v>39.120143300000002</v>
      </c>
      <c r="G418" s="8">
        <v>-88.543480000000002</v>
      </c>
    </row>
    <row r="419" spans="1:7" ht="15.75" customHeight="1" x14ac:dyDescent="0.25">
      <c r="A419" s="8" t="s">
        <v>4795</v>
      </c>
      <c r="B419" s="8" t="s">
        <v>4796</v>
      </c>
      <c r="C419" s="8" t="s">
        <v>4797</v>
      </c>
      <c r="D419" s="8" t="s">
        <v>232</v>
      </c>
      <c r="E419" s="8">
        <v>61301</v>
      </c>
      <c r="F419" s="8">
        <v>41.355541500000001</v>
      </c>
      <c r="G419" s="8">
        <v>-89.040102747600002</v>
      </c>
    </row>
    <row r="420" spans="1:7" ht="15.75" customHeight="1" x14ac:dyDescent="0.25">
      <c r="A420" s="8" t="s">
        <v>4798</v>
      </c>
      <c r="B420" s="8" t="s">
        <v>4799</v>
      </c>
      <c r="C420" s="8" t="s">
        <v>4695</v>
      </c>
      <c r="D420" s="8" t="s">
        <v>232</v>
      </c>
      <c r="E420" s="8">
        <v>60048</v>
      </c>
      <c r="F420" s="8">
        <v>42.283078600000003</v>
      </c>
      <c r="G420" s="8">
        <v>-87.953130299999998</v>
      </c>
    </row>
    <row r="421" spans="1:7" ht="15.75" customHeight="1" x14ac:dyDescent="0.25">
      <c r="A421" s="8" t="s">
        <v>4800</v>
      </c>
      <c r="B421" s="8" t="s">
        <v>4801</v>
      </c>
      <c r="C421" s="8" t="s">
        <v>4692</v>
      </c>
      <c r="D421" s="8" t="s">
        <v>232</v>
      </c>
      <c r="E421" s="8">
        <v>60441</v>
      </c>
      <c r="F421" s="8">
        <v>41.585115100000003</v>
      </c>
      <c r="G421" s="8">
        <v>-88.060291100000001</v>
      </c>
    </row>
    <row r="422" spans="1:7" ht="15.75" customHeight="1" x14ac:dyDescent="0.25">
      <c r="A422" s="8" t="s">
        <v>4802</v>
      </c>
      <c r="B422" s="8" t="s">
        <v>4803</v>
      </c>
      <c r="C422" s="8" t="s">
        <v>4804</v>
      </c>
      <c r="D422" s="8" t="s">
        <v>232</v>
      </c>
      <c r="E422" s="8">
        <v>61764</v>
      </c>
      <c r="F422" s="8">
        <v>40.880866599999997</v>
      </c>
      <c r="G422" s="8">
        <v>-88.629783900000007</v>
      </c>
    </row>
    <row r="423" spans="1:7" ht="15.75" customHeight="1" x14ac:dyDescent="0.25">
      <c r="A423" s="8" t="s">
        <v>4805</v>
      </c>
      <c r="B423" s="8" t="s">
        <v>4698</v>
      </c>
      <c r="C423" s="8" t="s">
        <v>4698</v>
      </c>
      <c r="D423" s="8" t="s">
        <v>232</v>
      </c>
      <c r="E423" s="8">
        <v>61820</v>
      </c>
      <c r="F423" s="8">
        <v>40.116420499999997</v>
      </c>
      <c r="G423" s="8">
        <v>-88.2433829</v>
      </c>
    </row>
    <row r="424" spans="1:7" ht="15.75" customHeight="1" x14ac:dyDescent="0.25">
      <c r="A424" s="8" t="s">
        <v>4806</v>
      </c>
      <c r="B424" s="8" t="s">
        <v>4807</v>
      </c>
      <c r="C424" s="8" t="s">
        <v>4792</v>
      </c>
      <c r="D424" s="8" t="s">
        <v>232</v>
      </c>
      <c r="E424" s="8">
        <v>61554</v>
      </c>
      <c r="F424" s="8">
        <v>40.572180000000003</v>
      </c>
      <c r="G424" s="8">
        <v>-89.6230234481</v>
      </c>
    </row>
    <row r="425" spans="1:7" ht="15.75" customHeight="1" x14ac:dyDescent="0.25">
      <c r="A425" s="8" t="s">
        <v>4808</v>
      </c>
      <c r="B425" s="8" t="s">
        <v>4681</v>
      </c>
      <c r="C425" s="8" t="s">
        <v>4682</v>
      </c>
      <c r="D425" s="8" t="s">
        <v>232</v>
      </c>
      <c r="E425" s="8">
        <v>60121</v>
      </c>
      <c r="F425" s="8">
        <v>42.038413400000003</v>
      </c>
      <c r="G425" s="8">
        <v>-88.285451300000005</v>
      </c>
    </row>
    <row r="426" spans="1:7" ht="15.75" customHeight="1" x14ac:dyDescent="0.25">
      <c r="A426" s="8" t="s">
        <v>4809</v>
      </c>
      <c r="B426" s="8" t="s">
        <v>4810</v>
      </c>
      <c r="C426" s="8" t="s">
        <v>4811</v>
      </c>
      <c r="D426" s="8" t="s">
        <v>232</v>
      </c>
      <c r="E426" s="8">
        <v>62450</v>
      </c>
      <c r="F426" s="8">
        <v>38.729653800000001</v>
      </c>
      <c r="G426" s="8">
        <v>-88.084689100000006</v>
      </c>
    </row>
    <row r="427" spans="1:7" ht="15.75" customHeight="1" x14ac:dyDescent="0.25">
      <c r="A427" s="8" t="s">
        <v>4812</v>
      </c>
      <c r="B427" s="8" t="s">
        <v>4074</v>
      </c>
      <c r="C427" s="8" t="s">
        <v>4686</v>
      </c>
      <c r="D427" s="8" t="s">
        <v>232</v>
      </c>
      <c r="E427" s="8">
        <v>61701</v>
      </c>
      <c r="F427" s="8">
        <v>40.473107300000002</v>
      </c>
      <c r="G427" s="8">
        <v>-88.994140299999998</v>
      </c>
    </row>
    <row r="428" spans="1:7" ht="15.75" customHeight="1" x14ac:dyDescent="0.25">
      <c r="A428" s="8" t="s">
        <v>4813</v>
      </c>
      <c r="B428" s="8" t="s">
        <v>1655</v>
      </c>
      <c r="C428" s="8" t="s">
        <v>4814</v>
      </c>
      <c r="D428" s="8" t="s">
        <v>232</v>
      </c>
      <c r="E428" s="8">
        <v>62225</v>
      </c>
      <c r="F428" s="8">
        <v>38.518051649999997</v>
      </c>
      <c r="G428" s="8">
        <v>-89.840928832700001</v>
      </c>
    </row>
    <row r="429" spans="1:7" ht="15.75" customHeight="1" x14ac:dyDescent="0.25">
      <c r="A429" s="8" t="s">
        <v>4815</v>
      </c>
      <c r="B429" s="8" t="s">
        <v>4816</v>
      </c>
      <c r="C429" s="8" t="s">
        <v>2322</v>
      </c>
      <c r="D429" s="8" t="s">
        <v>232</v>
      </c>
      <c r="E429" s="8">
        <v>60804</v>
      </c>
      <c r="F429" s="8">
        <v>41.845587799999997</v>
      </c>
      <c r="G429" s="8">
        <v>-87.753944799999999</v>
      </c>
    </row>
    <row r="430" spans="1:7" ht="15.75" customHeight="1" x14ac:dyDescent="0.25">
      <c r="A430" s="8" t="s">
        <v>4817</v>
      </c>
      <c r="B430" s="8" t="s">
        <v>1565</v>
      </c>
      <c r="C430" s="8"/>
      <c r="D430" s="8" t="s">
        <v>232</v>
      </c>
      <c r="E430" s="8">
        <v>60135</v>
      </c>
      <c r="F430" s="8">
        <v>42.097248</v>
      </c>
      <c r="G430" s="8">
        <v>-88.692868799999999</v>
      </c>
    </row>
    <row r="431" spans="1:7" ht="15.75" customHeight="1" x14ac:dyDescent="0.25">
      <c r="A431" s="8" t="s">
        <v>4818</v>
      </c>
      <c r="B431" s="8" t="s">
        <v>913</v>
      </c>
      <c r="C431" s="8"/>
      <c r="D431" s="8" t="s">
        <v>232</v>
      </c>
      <c r="E431" s="8">
        <v>61883</v>
      </c>
      <c r="F431" s="8">
        <v>40.062091500000001</v>
      </c>
      <c r="G431" s="8">
        <v>-87.639235299999996</v>
      </c>
    </row>
    <row r="432" spans="1:7" ht="15.75" customHeight="1" x14ac:dyDescent="0.25">
      <c r="A432" s="8" t="s">
        <v>4819</v>
      </c>
      <c r="B432" s="8" t="s">
        <v>4820</v>
      </c>
      <c r="C432" s="8"/>
      <c r="D432" s="8" t="s">
        <v>232</v>
      </c>
      <c r="E432" s="8">
        <v>61064</v>
      </c>
      <c r="F432" s="8">
        <v>41.986141000000003</v>
      </c>
      <c r="G432" s="8">
        <v>-89.579278200000005</v>
      </c>
    </row>
    <row r="433" spans="1:7" ht="15.75" customHeight="1" x14ac:dyDescent="0.25">
      <c r="A433" s="8" t="s">
        <v>4821</v>
      </c>
      <c r="B433" s="8" t="s">
        <v>4822</v>
      </c>
      <c r="C433" s="8"/>
      <c r="D433" s="8" t="s">
        <v>232</v>
      </c>
      <c r="E433" s="8">
        <v>61924</v>
      </c>
      <c r="F433" s="8">
        <v>39.803646700000002</v>
      </c>
      <c r="G433" s="8">
        <v>-87.673635000000004</v>
      </c>
    </row>
    <row r="434" spans="1:7" ht="15.75" customHeight="1" x14ac:dyDescent="0.25">
      <c r="A434" s="8" t="s">
        <v>4823</v>
      </c>
      <c r="B434" s="8" t="s">
        <v>4824</v>
      </c>
      <c r="C434" s="8"/>
      <c r="D434" s="8" t="s">
        <v>232</v>
      </c>
      <c r="E434" s="8">
        <v>61270</v>
      </c>
      <c r="F434" s="8">
        <v>41.809750999999999</v>
      </c>
      <c r="G434" s="8">
        <v>-89.965118599999997</v>
      </c>
    </row>
    <row r="435" spans="1:7" ht="15.75" customHeight="1" x14ac:dyDescent="0.25">
      <c r="A435" s="8" t="s">
        <v>4825</v>
      </c>
      <c r="B435" s="8" t="s">
        <v>2111</v>
      </c>
      <c r="C435" s="8"/>
      <c r="D435" s="8" t="s">
        <v>232</v>
      </c>
      <c r="E435" s="8">
        <v>60481</v>
      </c>
      <c r="F435" s="8">
        <v>41.307865900000003</v>
      </c>
      <c r="G435" s="8">
        <v>-88.146887300000003</v>
      </c>
    </row>
    <row r="436" spans="1:7" ht="15.75" customHeight="1" x14ac:dyDescent="0.25">
      <c r="A436" s="8" t="s">
        <v>4826</v>
      </c>
      <c r="B436" s="8" t="s">
        <v>4827</v>
      </c>
      <c r="C436" s="8"/>
      <c r="D436" s="8" t="s">
        <v>232</v>
      </c>
      <c r="E436" s="8">
        <v>62560</v>
      </c>
      <c r="F436" s="8">
        <v>39.3194941</v>
      </c>
      <c r="G436" s="8">
        <v>-89.572036699999998</v>
      </c>
    </row>
    <row r="437" spans="1:7" ht="15.75" customHeight="1" x14ac:dyDescent="0.25">
      <c r="A437" s="8" t="s">
        <v>4828</v>
      </c>
      <c r="B437" s="8" t="s">
        <v>4829</v>
      </c>
      <c r="C437" s="8"/>
      <c r="D437" s="8" t="s">
        <v>232</v>
      </c>
      <c r="E437" s="8">
        <v>61348</v>
      </c>
      <c r="F437" s="8">
        <v>41.295312699999997</v>
      </c>
      <c r="G437" s="8">
        <v>-89.059526599999998</v>
      </c>
    </row>
    <row r="438" spans="1:7" ht="15.75" customHeight="1" x14ac:dyDescent="0.25">
      <c r="A438" s="8" t="s">
        <v>4830</v>
      </c>
      <c r="B438" s="8" t="s">
        <v>1439</v>
      </c>
      <c r="C438" s="8"/>
      <c r="D438" s="8" t="s">
        <v>232</v>
      </c>
      <c r="E438" s="8">
        <v>62341</v>
      </c>
      <c r="F438" s="8">
        <v>40.396433299999998</v>
      </c>
      <c r="G438" s="8">
        <v>-91.339038900000006</v>
      </c>
    </row>
    <row r="439" spans="1:7" ht="15.75" customHeight="1" x14ac:dyDescent="0.25">
      <c r="A439" s="8" t="s">
        <v>4831</v>
      </c>
      <c r="B439" s="8" t="s">
        <v>4832</v>
      </c>
      <c r="C439" s="8"/>
      <c r="D439" s="8" t="s">
        <v>232</v>
      </c>
      <c r="E439" s="8">
        <v>61021</v>
      </c>
      <c r="F439" s="8">
        <v>41.842224000000002</v>
      </c>
      <c r="G439" s="8">
        <v>-89.481548500000002</v>
      </c>
    </row>
    <row r="440" spans="1:7" ht="15.75" customHeight="1" x14ac:dyDescent="0.25">
      <c r="A440" s="8" t="s">
        <v>4833</v>
      </c>
      <c r="B440" s="8" t="s">
        <v>4834</v>
      </c>
      <c r="C440" s="8"/>
      <c r="D440" s="8" t="s">
        <v>232</v>
      </c>
      <c r="E440" s="8">
        <v>62621</v>
      </c>
      <c r="F440" s="8">
        <v>39.751990200000002</v>
      </c>
      <c r="G440" s="8">
        <v>-90.535125800000003</v>
      </c>
    </row>
    <row r="441" spans="1:7" ht="15.75" customHeight="1" x14ac:dyDescent="0.25">
      <c r="A441" s="8" t="s">
        <v>4835</v>
      </c>
      <c r="B441" s="8" t="s">
        <v>2116</v>
      </c>
      <c r="C441" s="8"/>
      <c r="D441" s="8" t="s">
        <v>232</v>
      </c>
      <c r="E441" s="8">
        <v>61846</v>
      </c>
      <c r="F441" s="8">
        <v>39.975314400000002</v>
      </c>
      <c r="G441" s="8">
        <v>-87.635854600000002</v>
      </c>
    </row>
    <row r="442" spans="1:7" ht="15.75" customHeight="1" x14ac:dyDescent="0.25">
      <c r="A442" s="8" t="s">
        <v>4836</v>
      </c>
      <c r="B442" s="8" t="s">
        <v>4837</v>
      </c>
      <c r="C442" s="8"/>
      <c r="D442" s="8" t="s">
        <v>232</v>
      </c>
      <c r="E442" s="8">
        <v>60152</v>
      </c>
      <c r="F442" s="8">
        <v>42.2525476</v>
      </c>
      <c r="G442" s="8">
        <v>-88.607892100000001</v>
      </c>
    </row>
    <row r="443" spans="1:7" ht="15.75" customHeight="1" x14ac:dyDescent="0.25">
      <c r="A443" s="8" t="s">
        <v>4838</v>
      </c>
      <c r="B443" s="8" t="s">
        <v>4839</v>
      </c>
      <c r="C443" s="8" t="s">
        <v>4840</v>
      </c>
      <c r="D443" s="8" t="s">
        <v>232</v>
      </c>
      <c r="E443" s="8">
        <v>61833</v>
      </c>
      <c r="F443" s="8">
        <v>40.095314399999999</v>
      </c>
      <c r="G443" s="8">
        <v>-87.647521299999994</v>
      </c>
    </row>
    <row r="444" spans="1:7" ht="15.75" customHeight="1" x14ac:dyDescent="0.25">
      <c r="A444" s="8" t="s">
        <v>6624</v>
      </c>
      <c r="B444" s="8" t="s">
        <v>6625</v>
      </c>
      <c r="C444" s="8"/>
      <c r="D444" s="8" t="s">
        <v>232</v>
      </c>
      <c r="E444" s="8"/>
      <c r="F444" s="8">
        <v>38.659999999999997</v>
      </c>
      <c r="G444" s="8">
        <v>-88.48</v>
      </c>
    </row>
    <row r="445" spans="1:7" ht="15.75" customHeight="1" x14ac:dyDescent="0.25">
      <c r="A445" s="8" t="s">
        <v>4841</v>
      </c>
      <c r="B445" s="8" t="s">
        <v>231</v>
      </c>
      <c r="C445" s="8" t="s">
        <v>4842</v>
      </c>
      <c r="D445" s="8" t="s">
        <v>232</v>
      </c>
      <c r="E445" s="8">
        <v>61048</v>
      </c>
      <c r="F445" s="8">
        <v>42.380497499999997</v>
      </c>
      <c r="G445" s="8">
        <v>-89.822078399999995</v>
      </c>
    </row>
    <row r="446" spans="1:7" ht="15.75" customHeight="1" x14ac:dyDescent="0.25">
      <c r="A446" s="8" t="s">
        <v>4843</v>
      </c>
      <c r="B446" s="8" t="s">
        <v>1137</v>
      </c>
      <c r="C446" s="8" t="s">
        <v>2376</v>
      </c>
      <c r="D446" s="8" t="s">
        <v>232</v>
      </c>
      <c r="E446" s="8">
        <v>61571</v>
      </c>
      <c r="F446" s="8">
        <v>40.703404399999997</v>
      </c>
      <c r="G446" s="8">
        <v>-89.406564399999993</v>
      </c>
    </row>
    <row r="447" spans="1:7" ht="15.75" customHeight="1" x14ac:dyDescent="0.25">
      <c r="A447" s="8" t="s">
        <v>4844</v>
      </c>
      <c r="B447" s="8" t="s">
        <v>4845</v>
      </c>
      <c r="C447" s="8" t="s">
        <v>245</v>
      </c>
      <c r="D447" s="8" t="s">
        <v>232</v>
      </c>
      <c r="E447" s="8">
        <v>61523</v>
      </c>
      <c r="F447" s="8">
        <v>40.916163699999998</v>
      </c>
      <c r="G447" s="8">
        <v>-89.488438400000007</v>
      </c>
    </row>
    <row r="448" spans="1:7" ht="15.75" customHeight="1" x14ac:dyDescent="0.25">
      <c r="A448" s="8" t="s">
        <v>4846</v>
      </c>
      <c r="B448" s="8" t="s">
        <v>4847</v>
      </c>
      <c r="C448" s="8" t="s">
        <v>4848</v>
      </c>
      <c r="D448" s="8" t="s">
        <v>269</v>
      </c>
      <c r="E448" s="8">
        <v>46803</v>
      </c>
      <c r="F448" s="8">
        <v>41.076840400000002</v>
      </c>
      <c r="G448" s="8">
        <v>-85.098254699999998</v>
      </c>
    </row>
    <row r="449" spans="1:7" ht="15.75" customHeight="1" x14ac:dyDescent="0.25">
      <c r="A449" s="8" t="s">
        <v>4849</v>
      </c>
      <c r="B449" s="8" t="s">
        <v>299</v>
      </c>
      <c r="C449" s="8" t="s">
        <v>4850</v>
      </c>
      <c r="D449" s="8" t="s">
        <v>269</v>
      </c>
      <c r="E449" s="8">
        <v>46628</v>
      </c>
      <c r="F449" s="8">
        <v>41.728414999999998</v>
      </c>
      <c r="G449" s="8">
        <v>-86.323117999999994</v>
      </c>
    </row>
    <row r="450" spans="1:7" ht="15.75" customHeight="1" x14ac:dyDescent="0.25">
      <c r="A450" s="8" t="s">
        <v>4851</v>
      </c>
      <c r="B450" s="8" t="s">
        <v>4852</v>
      </c>
      <c r="C450" s="8" t="s">
        <v>4695</v>
      </c>
      <c r="D450" s="8" t="s">
        <v>269</v>
      </c>
      <c r="E450" s="8">
        <v>46320</v>
      </c>
      <c r="F450" s="8">
        <v>41.583365800000003</v>
      </c>
      <c r="G450" s="8">
        <v>-87.500043000000005</v>
      </c>
    </row>
    <row r="451" spans="1:7" ht="15.75" customHeight="1" x14ac:dyDescent="0.25">
      <c r="A451" s="8" t="s">
        <v>4853</v>
      </c>
      <c r="B451" s="8" t="s">
        <v>4854</v>
      </c>
      <c r="C451" s="8" t="s">
        <v>4695</v>
      </c>
      <c r="D451" s="8" t="s">
        <v>269</v>
      </c>
      <c r="E451" s="8">
        <v>46406</v>
      </c>
      <c r="F451" s="8">
        <v>41.6021292</v>
      </c>
      <c r="G451" s="8">
        <v>-87.337137200000001</v>
      </c>
    </row>
    <row r="452" spans="1:7" ht="15.75" customHeight="1" x14ac:dyDescent="0.25">
      <c r="A452" s="8" t="s">
        <v>4855</v>
      </c>
      <c r="B452" s="8" t="s">
        <v>4856</v>
      </c>
      <c r="C452" s="8" t="s">
        <v>2447</v>
      </c>
      <c r="D452" s="8" t="s">
        <v>269</v>
      </c>
      <c r="E452" s="8">
        <v>47802</v>
      </c>
      <c r="F452" s="8">
        <v>39.466702499999997</v>
      </c>
      <c r="G452" s="8">
        <v>-87.413911900000002</v>
      </c>
    </row>
    <row r="453" spans="1:7" ht="15.75" customHeight="1" x14ac:dyDescent="0.25">
      <c r="A453" s="8" t="s">
        <v>4857</v>
      </c>
      <c r="B453" s="8" t="s">
        <v>4858</v>
      </c>
      <c r="C453" s="8" t="s">
        <v>4859</v>
      </c>
      <c r="D453" s="8" t="s">
        <v>269</v>
      </c>
      <c r="E453" s="8">
        <v>47712</v>
      </c>
      <c r="F453" s="8">
        <v>37.974764499999999</v>
      </c>
      <c r="G453" s="8">
        <v>-87.555848299999994</v>
      </c>
    </row>
    <row r="454" spans="1:7" ht="15.75" customHeight="1" x14ac:dyDescent="0.25">
      <c r="A454" s="8" t="s">
        <v>4860</v>
      </c>
      <c r="B454" s="8" t="s">
        <v>4858</v>
      </c>
      <c r="C454" s="8" t="s">
        <v>4859</v>
      </c>
      <c r="D454" s="8" t="s">
        <v>269</v>
      </c>
      <c r="E454" s="8">
        <v>47713</v>
      </c>
      <c r="F454" s="8">
        <v>37.974764499999999</v>
      </c>
      <c r="G454" s="8">
        <v>-87.555848299999994</v>
      </c>
    </row>
    <row r="455" spans="1:7" ht="15.75" customHeight="1" x14ac:dyDescent="0.25">
      <c r="A455" s="8" t="s">
        <v>4861</v>
      </c>
      <c r="B455" s="8" t="s">
        <v>2077</v>
      </c>
      <c r="C455" s="8" t="s">
        <v>2694</v>
      </c>
      <c r="D455" s="8" t="s">
        <v>269</v>
      </c>
      <c r="E455" s="8">
        <v>47374</v>
      </c>
      <c r="F455" s="8">
        <v>39.828689699999998</v>
      </c>
      <c r="G455" s="8">
        <v>-84.889852099999999</v>
      </c>
    </row>
    <row r="456" spans="1:7" ht="15.75" customHeight="1" x14ac:dyDescent="0.25">
      <c r="A456" s="8" t="s">
        <v>4862</v>
      </c>
      <c r="B456" s="8" t="s">
        <v>4863</v>
      </c>
      <c r="C456" s="8" t="s">
        <v>3900</v>
      </c>
      <c r="D456" s="8" t="s">
        <v>269</v>
      </c>
      <c r="E456" s="8">
        <v>46011</v>
      </c>
      <c r="F456" s="8">
        <v>40.105319600000001</v>
      </c>
      <c r="G456" s="8">
        <v>-85.680254099999999</v>
      </c>
    </row>
    <row r="457" spans="1:7" ht="15.75" customHeight="1" x14ac:dyDescent="0.25">
      <c r="A457" s="8" t="s">
        <v>4864</v>
      </c>
      <c r="B457" s="8" t="s">
        <v>4865</v>
      </c>
      <c r="C457" s="8" t="s">
        <v>4866</v>
      </c>
      <c r="D457" s="8" t="s">
        <v>269</v>
      </c>
      <c r="E457" s="8">
        <v>46280</v>
      </c>
      <c r="F457" s="8">
        <v>39.7683331</v>
      </c>
      <c r="G457" s="8">
        <v>-86.158350200000001</v>
      </c>
    </row>
    <row r="458" spans="1:7" ht="15.75" customHeight="1" x14ac:dyDescent="0.25">
      <c r="A458" s="8" t="s">
        <v>4867</v>
      </c>
      <c r="B458" s="8" t="s">
        <v>4868</v>
      </c>
      <c r="C458" s="8" t="s">
        <v>345</v>
      </c>
      <c r="D458" s="8" t="s">
        <v>269</v>
      </c>
      <c r="E458" s="8">
        <v>46544</v>
      </c>
      <c r="F458" s="8">
        <v>41.661992699999999</v>
      </c>
      <c r="G458" s="8">
        <v>-86.158615600000005</v>
      </c>
    </row>
    <row r="459" spans="1:7" ht="15.75" customHeight="1" x14ac:dyDescent="0.25">
      <c r="A459" s="8" t="s">
        <v>4869</v>
      </c>
      <c r="B459" s="8" t="s">
        <v>4870</v>
      </c>
      <c r="C459" s="8" t="s">
        <v>685</v>
      </c>
      <c r="D459" s="8" t="s">
        <v>269</v>
      </c>
      <c r="E459" s="8">
        <v>47304</v>
      </c>
      <c r="F459" s="8">
        <v>40.193668299999999</v>
      </c>
      <c r="G459" s="8">
        <v>-85.386511400000003</v>
      </c>
    </row>
    <row r="460" spans="1:7" ht="15.75" customHeight="1" x14ac:dyDescent="0.25">
      <c r="A460" s="8" t="s">
        <v>4871</v>
      </c>
      <c r="B460" s="8" t="s">
        <v>4872</v>
      </c>
      <c r="C460" s="8" t="s">
        <v>4873</v>
      </c>
      <c r="D460" s="8" t="s">
        <v>269</v>
      </c>
      <c r="E460" s="8">
        <v>47906</v>
      </c>
      <c r="F460" s="8">
        <v>40.4543674142</v>
      </c>
      <c r="G460" s="8">
        <v>-86.942461960800003</v>
      </c>
    </row>
    <row r="461" spans="1:7" ht="15.75" customHeight="1" x14ac:dyDescent="0.25">
      <c r="A461" s="8" t="s">
        <v>4874</v>
      </c>
      <c r="B461" s="8" t="s">
        <v>4875</v>
      </c>
      <c r="C461" s="8" t="s">
        <v>4875</v>
      </c>
      <c r="D461" s="8" t="s">
        <v>269</v>
      </c>
      <c r="E461" s="8">
        <v>46516</v>
      </c>
      <c r="F461" s="8">
        <v>41.681993499999997</v>
      </c>
      <c r="G461" s="8">
        <v>-85.9766671</v>
      </c>
    </row>
    <row r="462" spans="1:7" ht="15.75" customHeight="1" x14ac:dyDescent="0.25">
      <c r="A462" s="8" t="s">
        <v>4876</v>
      </c>
      <c r="B462" s="8" t="s">
        <v>4877</v>
      </c>
      <c r="C462" s="8" t="s">
        <v>4878</v>
      </c>
      <c r="D462" s="8" t="s">
        <v>269</v>
      </c>
      <c r="E462" s="8">
        <v>47905</v>
      </c>
      <c r="F462" s="8">
        <v>40.416702200000003</v>
      </c>
      <c r="G462" s="8">
        <v>-86.875286900000006</v>
      </c>
    </row>
    <row r="463" spans="1:7" ht="15.75" customHeight="1" x14ac:dyDescent="0.25">
      <c r="A463" s="8" t="s">
        <v>4879</v>
      </c>
      <c r="B463" s="8" t="s">
        <v>4880</v>
      </c>
      <c r="C463" s="8" t="s">
        <v>3936</v>
      </c>
      <c r="D463" s="8" t="s">
        <v>269</v>
      </c>
      <c r="E463" s="8">
        <v>46176</v>
      </c>
      <c r="F463" s="8">
        <v>39.521437300000002</v>
      </c>
      <c r="G463" s="8">
        <v>-85.776923800000006</v>
      </c>
    </row>
    <row r="464" spans="1:7" ht="15.75" customHeight="1" x14ac:dyDescent="0.25">
      <c r="A464" s="8" t="s">
        <v>4881</v>
      </c>
      <c r="B464" s="8" t="s">
        <v>2394</v>
      </c>
      <c r="C464" s="8" t="s">
        <v>2395</v>
      </c>
      <c r="D464" s="8" t="s">
        <v>269</v>
      </c>
      <c r="E464" s="8">
        <v>46360</v>
      </c>
      <c r="F464" s="8">
        <v>41.686367599999997</v>
      </c>
      <c r="G464" s="8">
        <v>-86.893500299999999</v>
      </c>
    </row>
    <row r="465" spans="1:7" ht="15.75" customHeight="1" x14ac:dyDescent="0.25">
      <c r="A465" s="8" t="s">
        <v>4882</v>
      </c>
      <c r="B465" s="8" t="s">
        <v>1156</v>
      </c>
      <c r="C465" s="8" t="s">
        <v>4883</v>
      </c>
      <c r="D465" s="8" t="s">
        <v>269</v>
      </c>
      <c r="E465" s="8">
        <v>46952</v>
      </c>
      <c r="F465" s="8">
        <v>40.558373899999999</v>
      </c>
      <c r="G465" s="8">
        <v>-85.6591442</v>
      </c>
    </row>
    <row r="466" spans="1:7" ht="15.75" customHeight="1" x14ac:dyDescent="0.25">
      <c r="A466" s="8" t="s">
        <v>4884</v>
      </c>
      <c r="B466" s="8" t="s">
        <v>4885</v>
      </c>
      <c r="C466" s="8" t="s">
        <v>4695</v>
      </c>
      <c r="D466" s="8" t="s">
        <v>269</v>
      </c>
      <c r="E466" s="8">
        <v>46375</v>
      </c>
      <c r="F466" s="8">
        <v>41.478924599999999</v>
      </c>
      <c r="G466" s="8">
        <v>-87.454760500000006</v>
      </c>
    </row>
    <row r="467" spans="1:7" ht="15.75" customHeight="1" x14ac:dyDescent="0.25">
      <c r="A467" s="8" t="s">
        <v>4886</v>
      </c>
      <c r="B467" s="8" t="s">
        <v>4887</v>
      </c>
      <c r="C467" s="8" t="s">
        <v>4875</v>
      </c>
      <c r="D467" s="8" t="s">
        <v>269</v>
      </c>
      <c r="E467" s="8">
        <v>46526</v>
      </c>
      <c r="F467" s="8">
        <v>41.582408600000001</v>
      </c>
      <c r="G467" s="8">
        <v>-85.834366000000003</v>
      </c>
    </row>
    <row r="468" spans="1:7" ht="15.75" customHeight="1" x14ac:dyDescent="0.25">
      <c r="A468" s="8" t="s">
        <v>4888</v>
      </c>
      <c r="B468" s="8" t="s">
        <v>4889</v>
      </c>
      <c r="C468" s="8" t="s">
        <v>4889</v>
      </c>
      <c r="D468" s="8" t="s">
        <v>269</v>
      </c>
      <c r="E468" s="8">
        <v>46350</v>
      </c>
      <c r="F468" s="8">
        <v>41.610598299999999</v>
      </c>
      <c r="G468" s="8">
        <v>-86.722522699999999</v>
      </c>
    </row>
    <row r="469" spans="1:7" ht="15.75" customHeight="1" x14ac:dyDescent="0.25">
      <c r="A469" s="8" t="s">
        <v>4890</v>
      </c>
      <c r="B469" s="8" t="s">
        <v>4891</v>
      </c>
      <c r="C469" s="8" t="s">
        <v>4745</v>
      </c>
      <c r="D469" s="8" t="s">
        <v>269</v>
      </c>
      <c r="E469" s="8">
        <v>46077</v>
      </c>
      <c r="F469" s="8">
        <v>39.950724000000001</v>
      </c>
      <c r="G469" s="8">
        <v>-86.261696799999996</v>
      </c>
    </row>
    <row r="470" spans="1:7" ht="15.75" customHeight="1" x14ac:dyDescent="0.25">
      <c r="A470" s="8" t="s">
        <v>4892</v>
      </c>
      <c r="B470" s="8" t="s">
        <v>4893</v>
      </c>
      <c r="C470" s="8" t="s">
        <v>4894</v>
      </c>
      <c r="D470" s="8" t="s">
        <v>269</v>
      </c>
      <c r="E470" s="8">
        <v>47331</v>
      </c>
      <c r="F470" s="8">
        <v>39.641158900000001</v>
      </c>
      <c r="G470" s="8">
        <v>-85.141074799999998</v>
      </c>
    </row>
    <row r="471" spans="1:7" ht="15.75" customHeight="1" x14ac:dyDescent="0.25">
      <c r="A471" s="8" t="s">
        <v>4895</v>
      </c>
      <c r="B471" s="8" t="s">
        <v>4896</v>
      </c>
      <c r="C471" s="8" t="s">
        <v>4866</v>
      </c>
      <c r="D471" s="8" t="s">
        <v>269</v>
      </c>
      <c r="E471" s="8">
        <v>46060</v>
      </c>
      <c r="F471" s="8">
        <v>40.045591799999997</v>
      </c>
      <c r="G471" s="8">
        <v>-86.008595499999998</v>
      </c>
    </row>
    <row r="472" spans="1:7" ht="15.75" customHeight="1" x14ac:dyDescent="0.25">
      <c r="A472" s="8" t="s">
        <v>4897</v>
      </c>
      <c r="B472" s="8" t="s">
        <v>4898</v>
      </c>
      <c r="C472" s="8" t="s">
        <v>4899</v>
      </c>
      <c r="D472" s="8" t="s">
        <v>269</v>
      </c>
      <c r="E472" s="8">
        <v>46962</v>
      </c>
      <c r="F472" s="8">
        <v>41.000600499999997</v>
      </c>
      <c r="G472" s="8">
        <v>-85.768597</v>
      </c>
    </row>
    <row r="473" spans="1:7" ht="15.75" customHeight="1" x14ac:dyDescent="0.25">
      <c r="A473" s="8" t="s">
        <v>4900</v>
      </c>
      <c r="B473" s="8" t="s">
        <v>4573</v>
      </c>
      <c r="C473" s="8" t="s">
        <v>3916</v>
      </c>
      <c r="D473" s="8" t="s">
        <v>269</v>
      </c>
      <c r="E473" s="8">
        <v>46563</v>
      </c>
      <c r="F473" s="8">
        <v>41.343655499999997</v>
      </c>
      <c r="G473" s="8">
        <v>-86.309727800000005</v>
      </c>
    </row>
    <row r="474" spans="1:7" ht="15.75" customHeight="1" x14ac:dyDescent="0.25">
      <c r="A474" s="8" t="s">
        <v>4901</v>
      </c>
      <c r="B474" s="8" t="s">
        <v>4902</v>
      </c>
      <c r="C474" s="8" t="s">
        <v>4903</v>
      </c>
      <c r="D474" s="8" t="s">
        <v>269</v>
      </c>
      <c r="E474" s="8">
        <v>46173</v>
      </c>
      <c r="F474" s="8">
        <v>39.608756</v>
      </c>
      <c r="G474" s="8">
        <v>-85.446975499999994</v>
      </c>
    </row>
    <row r="475" spans="1:7" ht="15.75" customHeight="1" x14ac:dyDescent="0.25">
      <c r="A475" s="8" t="s">
        <v>4904</v>
      </c>
      <c r="B475" s="8" t="s">
        <v>4905</v>
      </c>
      <c r="C475" s="8" t="s">
        <v>4905</v>
      </c>
      <c r="D475" s="8" t="s">
        <v>269</v>
      </c>
      <c r="E475" s="8">
        <v>46072</v>
      </c>
      <c r="F475" s="8">
        <v>40.282259799999999</v>
      </c>
      <c r="G475" s="8">
        <v>-86.041098000000005</v>
      </c>
    </row>
    <row r="476" spans="1:7" ht="15.75" customHeight="1" x14ac:dyDescent="0.25">
      <c r="A476" s="8" t="s">
        <v>4906</v>
      </c>
      <c r="B476" s="8" t="s">
        <v>4907</v>
      </c>
      <c r="C476" s="8" t="s">
        <v>4907</v>
      </c>
      <c r="D476" s="8" t="s">
        <v>269</v>
      </c>
      <c r="E476" s="8">
        <v>46750</v>
      </c>
      <c r="F476" s="8">
        <v>40.883101099999998</v>
      </c>
      <c r="G476" s="8">
        <v>-85.497476000000006</v>
      </c>
    </row>
    <row r="477" spans="1:7" ht="15.75" customHeight="1" x14ac:dyDescent="0.25">
      <c r="A477" s="8" t="s">
        <v>4908</v>
      </c>
      <c r="B477" s="8" t="s">
        <v>4360</v>
      </c>
      <c r="C477" s="8" t="s">
        <v>4764</v>
      </c>
      <c r="D477" s="8" t="s">
        <v>269</v>
      </c>
      <c r="E477" s="8">
        <v>47362</v>
      </c>
      <c r="F477" s="8">
        <v>39.928935099999997</v>
      </c>
      <c r="G477" s="8">
        <v>-85.370247699999993</v>
      </c>
    </row>
    <row r="478" spans="1:7" ht="15.75" customHeight="1" x14ac:dyDescent="0.25">
      <c r="A478" s="8" t="s">
        <v>4909</v>
      </c>
      <c r="B478" s="8" t="s">
        <v>4910</v>
      </c>
      <c r="C478" s="8" t="s">
        <v>4911</v>
      </c>
      <c r="D478" s="8" t="s">
        <v>269</v>
      </c>
      <c r="E478" s="8">
        <v>47025</v>
      </c>
      <c r="F478" s="8">
        <v>39.099114</v>
      </c>
      <c r="G478" s="8">
        <v>-84.845740000000006</v>
      </c>
    </row>
    <row r="479" spans="1:7" ht="15.75" customHeight="1" x14ac:dyDescent="0.25">
      <c r="A479" s="8" t="s">
        <v>4912</v>
      </c>
      <c r="B479" s="8" t="s">
        <v>1577</v>
      </c>
      <c r="C479" s="8" t="s">
        <v>4913</v>
      </c>
      <c r="D479" s="8" t="s">
        <v>269</v>
      </c>
      <c r="E479" s="8">
        <v>46580</v>
      </c>
      <c r="F479" s="8">
        <v>41.238101700000001</v>
      </c>
      <c r="G479" s="8">
        <v>-85.853054400000005</v>
      </c>
    </row>
    <row r="480" spans="1:7" ht="15.75" customHeight="1" x14ac:dyDescent="0.25">
      <c r="A480" s="8" t="s">
        <v>4914</v>
      </c>
      <c r="B480" s="8" t="s">
        <v>4915</v>
      </c>
      <c r="C480" s="8" t="s">
        <v>2481</v>
      </c>
      <c r="D480" s="8" t="s">
        <v>269</v>
      </c>
      <c r="E480" s="8">
        <v>47421</v>
      </c>
      <c r="F480" s="8">
        <v>38.861161899999999</v>
      </c>
      <c r="G480" s="8">
        <v>-86.487214899999998</v>
      </c>
    </row>
    <row r="481" spans="1:7" ht="15.75" customHeight="1" x14ac:dyDescent="0.25">
      <c r="A481" s="8" t="s">
        <v>4916</v>
      </c>
      <c r="B481" s="8" t="s">
        <v>4917</v>
      </c>
      <c r="C481" s="8" t="s">
        <v>4695</v>
      </c>
      <c r="D481" s="8" t="s">
        <v>269</v>
      </c>
      <c r="E481" s="8">
        <v>46307</v>
      </c>
      <c r="F481" s="8">
        <v>41.416980600000002</v>
      </c>
      <c r="G481" s="8">
        <v>-87.365313599999993</v>
      </c>
    </row>
    <row r="482" spans="1:7" ht="15.75" customHeight="1" x14ac:dyDescent="0.25">
      <c r="A482" s="8" t="s">
        <v>4918</v>
      </c>
      <c r="B482" s="8" t="s">
        <v>4919</v>
      </c>
      <c r="C482" s="8" t="s">
        <v>4721</v>
      </c>
      <c r="D482" s="8" t="s">
        <v>269</v>
      </c>
      <c r="E482" s="8">
        <v>47591</v>
      </c>
      <c r="F482" s="8">
        <v>38.677269099999997</v>
      </c>
      <c r="G482" s="8">
        <v>-87.528632500000001</v>
      </c>
    </row>
    <row r="483" spans="1:7" ht="15.75" customHeight="1" x14ac:dyDescent="0.25">
      <c r="A483" s="8" t="s">
        <v>4920</v>
      </c>
      <c r="B483" s="8" t="s">
        <v>4921</v>
      </c>
      <c r="C483" s="8" t="s">
        <v>1108</v>
      </c>
      <c r="D483" s="8" t="s">
        <v>269</v>
      </c>
      <c r="E483" s="8">
        <v>47933</v>
      </c>
      <c r="F483" s="8">
        <v>40.040199100000002</v>
      </c>
      <c r="G483" s="8">
        <v>-86.899024900000001</v>
      </c>
    </row>
    <row r="484" spans="1:7" ht="15.75" customHeight="1" x14ac:dyDescent="0.25">
      <c r="A484" s="8" t="s">
        <v>6626</v>
      </c>
      <c r="B484" s="8" t="s">
        <v>5502</v>
      </c>
      <c r="C484" s="8"/>
      <c r="D484" s="8" t="s">
        <v>269</v>
      </c>
      <c r="E484" s="8"/>
      <c r="F484" s="8">
        <v>41.43</v>
      </c>
      <c r="G484" s="8">
        <v>-85.76</v>
      </c>
    </row>
    <row r="485" spans="1:7" ht="15.75" customHeight="1" x14ac:dyDescent="0.25">
      <c r="A485" s="8" t="s">
        <v>4922</v>
      </c>
      <c r="B485" s="8" t="s">
        <v>4923</v>
      </c>
      <c r="C485" s="8" t="s">
        <v>1156</v>
      </c>
      <c r="D485" s="8" t="s">
        <v>269</v>
      </c>
      <c r="E485" s="8">
        <v>46224</v>
      </c>
      <c r="F485" s="8">
        <v>39.802265300000002</v>
      </c>
      <c r="G485" s="8">
        <v>-86.267212700000002</v>
      </c>
    </row>
    <row r="486" spans="1:7" ht="15.75" customHeight="1" x14ac:dyDescent="0.25">
      <c r="A486" s="8" t="s">
        <v>4924</v>
      </c>
      <c r="B486" s="8" t="s">
        <v>4925</v>
      </c>
      <c r="C486" s="8" t="s">
        <v>4926</v>
      </c>
      <c r="D486" s="8" t="s">
        <v>315</v>
      </c>
      <c r="E486" s="8">
        <v>67216</v>
      </c>
      <c r="F486" s="8">
        <v>37.692236100000002</v>
      </c>
      <c r="G486" s="8">
        <v>-97.337544800000003</v>
      </c>
    </row>
    <row r="487" spans="1:7" ht="15.75" customHeight="1" x14ac:dyDescent="0.25">
      <c r="A487" s="8" t="s">
        <v>6627</v>
      </c>
      <c r="B487" s="8" t="s">
        <v>6628</v>
      </c>
      <c r="C487" s="8"/>
      <c r="D487" s="8" t="s">
        <v>315</v>
      </c>
      <c r="E487" s="8"/>
      <c r="F487" s="8">
        <v>37.79</v>
      </c>
      <c r="G487" s="8">
        <v>-100.03</v>
      </c>
    </row>
    <row r="488" spans="1:7" ht="15.75" customHeight="1" x14ac:dyDescent="0.25">
      <c r="A488" s="8" t="s">
        <v>4927</v>
      </c>
      <c r="B488" s="8" t="s">
        <v>4928</v>
      </c>
      <c r="C488" s="8" t="s">
        <v>4929</v>
      </c>
      <c r="D488" s="8" t="s">
        <v>315</v>
      </c>
      <c r="E488" s="8">
        <v>66118</v>
      </c>
      <c r="F488" s="8">
        <v>39.105491579199999</v>
      </c>
      <c r="G488" s="8">
        <v>-94.612367180700005</v>
      </c>
    </row>
    <row r="489" spans="1:7" ht="15.75" customHeight="1" x14ac:dyDescent="0.25">
      <c r="A489" s="8" t="s">
        <v>4930</v>
      </c>
      <c r="B489" s="8" t="s">
        <v>2493</v>
      </c>
      <c r="C489" s="8" t="s">
        <v>4931</v>
      </c>
      <c r="D489" s="8" t="s">
        <v>315</v>
      </c>
      <c r="E489" s="8">
        <v>66616</v>
      </c>
      <c r="F489" s="8">
        <v>39.061192050000002</v>
      </c>
      <c r="G489" s="8">
        <v>-95.654773276</v>
      </c>
    </row>
    <row r="490" spans="1:7" ht="15.75" customHeight="1" x14ac:dyDescent="0.25">
      <c r="A490" s="8" t="s">
        <v>4932</v>
      </c>
      <c r="B490" s="8" t="s">
        <v>4933</v>
      </c>
      <c r="C490" s="8" t="s">
        <v>4934</v>
      </c>
      <c r="D490" s="8" t="s">
        <v>315</v>
      </c>
      <c r="E490" s="8">
        <v>66044</v>
      </c>
      <c r="F490" s="8">
        <v>38.984836999999999</v>
      </c>
      <c r="G490" s="8">
        <v>-95.258159000000006</v>
      </c>
    </row>
    <row r="491" spans="1:7" ht="15.75" customHeight="1" x14ac:dyDescent="0.25">
      <c r="A491" s="8" t="s">
        <v>4935</v>
      </c>
      <c r="B491" s="8" t="s">
        <v>4936</v>
      </c>
      <c r="C491" s="8" t="s">
        <v>4937</v>
      </c>
      <c r="D491" s="8" t="s">
        <v>315</v>
      </c>
      <c r="E491" s="8">
        <v>67504</v>
      </c>
      <c r="F491" s="8">
        <v>38.053497299999997</v>
      </c>
      <c r="G491" s="8">
        <v>-97.929625599999994</v>
      </c>
    </row>
    <row r="492" spans="1:7" ht="15.75" customHeight="1" x14ac:dyDescent="0.25">
      <c r="A492" s="8" t="s">
        <v>4938</v>
      </c>
      <c r="B492" s="8" t="s">
        <v>4939</v>
      </c>
      <c r="C492" s="8" t="s">
        <v>4940</v>
      </c>
      <c r="D492" s="8" t="s">
        <v>315</v>
      </c>
      <c r="E492" s="8">
        <v>67401</v>
      </c>
      <c r="F492" s="8">
        <v>38.840280499999999</v>
      </c>
      <c r="G492" s="8">
        <v>-97.611423700000003</v>
      </c>
    </row>
    <row r="493" spans="1:7" ht="15.75" customHeight="1" x14ac:dyDescent="0.25">
      <c r="A493" s="8" t="s">
        <v>4941</v>
      </c>
      <c r="B493" s="8" t="s">
        <v>4942</v>
      </c>
      <c r="C493" s="8" t="s">
        <v>4943</v>
      </c>
      <c r="D493" s="8" t="s">
        <v>315</v>
      </c>
      <c r="E493" s="8">
        <v>66762</v>
      </c>
      <c r="F493" s="8">
        <v>37.410884099999997</v>
      </c>
      <c r="G493" s="8">
        <v>-94.70496</v>
      </c>
    </row>
    <row r="494" spans="1:7" ht="15.75" customHeight="1" x14ac:dyDescent="0.25">
      <c r="A494" s="8" t="s">
        <v>4944</v>
      </c>
      <c r="B494" s="8" t="s">
        <v>4945</v>
      </c>
      <c r="C494" s="8" t="s">
        <v>4946</v>
      </c>
      <c r="D494" s="8" t="s">
        <v>315</v>
      </c>
      <c r="E494" s="8">
        <v>66801</v>
      </c>
      <c r="F494" s="8">
        <v>38.404005400000003</v>
      </c>
      <c r="G494" s="8">
        <v>-96.181623000000002</v>
      </c>
    </row>
    <row r="495" spans="1:7" ht="15.75" customHeight="1" x14ac:dyDescent="0.25">
      <c r="A495" s="8" t="s">
        <v>4947</v>
      </c>
      <c r="B495" s="8" t="s">
        <v>4948</v>
      </c>
      <c r="C495" s="8" t="s">
        <v>4949</v>
      </c>
      <c r="D495" s="8" t="s">
        <v>315</v>
      </c>
      <c r="E495" s="8">
        <v>67530</v>
      </c>
      <c r="F495" s="8">
        <v>38.365041401299997</v>
      </c>
      <c r="G495" s="8">
        <v>-98.782383385000003</v>
      </c>
    </row>
    <row r="496" spans="1:7" ht="15.75" customHeight="1" x14ac:dyDescent="0.25">
      <c r="A496" s="8" t="s">
        <v>4950</v>
      </c>
      <c r="B496" s="8" t="s">
        <v>4951</v>
      </c>
      <c r="C496" s="8" t="s">
        <v>4952</v>
      </c>
      <c r="D496" s="8" t="s">
        <v>315</v>
      </c>
      <c r="E496" s="8">
        <v>67114</v>
      </c>
      <c r="F496" s="8">
        <v>38.046916600000003</v>
      </c>
      <c r="G496" s="8">
        <v>-97.344724400000004</v>
      </c>
    </row>
    <row r="497" spans="1:7" ht="15.75" customHeight="1" x14ac:dyDescent="0.25">
      <c r="A497" s="8" t="s">
        <v>4953</v>
      </c>
      <c r="B497" s="8" t="s">
        <v>4954</v>
      </c>
      <c r="C497" s="8" t="s">
        <v>4955</v>
      </c>
      <c r="D497" s="8" t="s">
        <v>315</v>
      </c>
      <c r="E497" s="8">
        <v>67005</v>
      </c>
      <c r="F497" s="8">
        <v>37.06028585</v>
      </c>
      <c r="G497" s="8">
        <v>-97.037381549399996</v>
      </c>
    </row>
    <row r="498" spans="1:7" ht="15.75" customHeight="1" x14ac:dyDescent="0.25">
      <c r="A498" s="8" t="s">
        <v>4956</v>
      </c>
      <c r="B498" s="8" t="s">
        <v>4957</v>
      </c>
      <c r="C498" s="8" t="s">
        <v>4957</v>
      </c>
      <c r="D498" s="8" t="s">
        <v>315</v>
      </c>
      <c r="E498" s="8">
        <v>67124</v>
      </c>
      <c r="F498" s="8">
        <v>37.6280602</v>
      </c>
      <c r="G498" s="8">
        <v>-98.748530500000001</v>
      </c>
    </row>
    <row r="499" spans="1:7" ht="15.75" customHeight="1" x14ac:dyDescent="0.25">
      <c r="A499" s="8" t="s">
        <v>4958</v>
      </c>
      <c r="B499" s="8" t="s">
        <v>4959</v>
      </c>
      <c r="C499" s="8" t="s">
        <v>4960</v>
      </c>
      <c r="D499" s="8" t="s">
        <v>315</v>
      </c>
      <c r="E499" s="8">
        <v>67601</v>
      </c>
      <c r="F499" s="8">
        <v>38.8791783</v>
      </c>
      <c r="G499" s="8">
        <v>-99.326770199999999</v>
      </c>
    </row>
    <row r="500" spans="1:7" ht="15.75" customHeight="1" x14ac:dyDescent="0.25">
      <c r="A500" s="8" t="s">
        <v>4961</v>
      </c>
      <c r="B500" s="8" t="s">
        <v>4962</v>
      </c>
      <c r="C500" s="8" t="s">
        <v>4962</v>
      </c>
      <c r="D500" s="8" t="s">
        <v>315</v>
      </c>
      <c r="E500" s="8">
        <v>66002</v>
      </c>
      <c r="F500" s="8">
        <v>39.545816000000002</v>
      </c>
      <c r="G500" s="8">
        <v>-95.332605200000003</v>
      </c>
    </row>
    <row r="501" spans="1:7" ht="15.75" customHeight="1" x14ac:dyDescent="0.25">
      <c r="A501" s="8" t="s">
        <v>4963</v>
      </c>
      <c r="B501" s="8" t="s">
        <v>4964</v>
      </c>
      <c r="C501" s="8" t="s">
        <v>4556</v>
      </c>
      <c r="D501" s="8" t="s">
        <v>315</v>
      </c>
      <c r="E501" s="8">
        <v>66061</v>
      </c>
      <c r="F501" s="8">
        <v>38.8837136</v>
      </c>
      <c r="G501" s="8">
        <v>-94.793835200000004</v>
      </c>
    </row>
    <row r="502" spans="1:7" ht="15.75" customHeight="1" x14ac:dyDescent="0.25">
      <c r="A502" s="8" t="s">
        <v>4965</v>
      </c>
      <c r="B502" s="8" t="s">
        <v>4966</v>
      </c>
      <c r="C502" s="8" t="s">
        <v>4967</v>
      </c>
      <c r="D502" s="8" t="s">
        <v>315</v>
      </c>
      <c r="E502" s="8">
        <v>66720</v>
      </c>
      <c r="F502" s="8">
        <v>37.679213500000003</v>
      </c>
      <c r="G502" s="8">
        <v>-95.457203399999997</v>
      </c>
    </row>
    <row r="503" spans="1:7" ht="15.75" customHeight="1" x14ac:dyDescent="0.25">
      <c r="A503" s="8" t="s">
        <v>4968</v>
      </c>
      <c r="B503" s="8" t="s">
        <v>4925</v>
      </c>
      <c r="C503" s="8" t="s">
        <v>4926</v>
      </c>
      <c r="D503" s="8" t="s">
        <v>315</v>
      </c>
      <c r="E503" s="8">
        <v>67230</v>
      </c>
      <c r="F503" s="8">
        <v>37.692236100000002</v>
      </c>
      <c r="G503" s="8">
        <v>-97.337544800000003</v>
      </c>
    </row>
    <row r="504" spans="1:7" ht="15.75" customHeight="1" x14ac:dyDescent="0.25">
      <c r="A504" s="8" t="s">
        <v>4969</v>
      </c>
      <c r="B504" s="8" t="s">
        <v>2481</v>
      </c>
      <c r="C504" s="8" t="s">
        <v>2912</v>
      </c>
      <c r="D504" s="8" t="s">
        <v>315</v>
      </c>
      <c r="E504" s="8">
        <v>66044</v>
      </c>
      <c r="F504" s="8">
        <v>38.984836999999999</v>
      </c>
      <c r="G504" s="8">
        <v>-95.258159000000006</v>
      </c>
    </row>
    <row r="505" spans="1:7" ht="15.75" customHeight="1" x14ac:dyDescent="0.25">
      <c r="A505" s="8" t="s">
        <v>4970</v>
      </c>
      <c r="B505" s="8" t="s">
        <v>4971</v>
      </c>
      <c r="C505" s="8" t="s">
        <v>3895</v>
      </c>
      <c r="D505" s="8" t="s">
        <v>352</v>
      </c>
      <c r="E505" s="8">
        <v>40211</v>
      </c>
      <c r="F505" s="8">
        <v>38.254237600000003</v>
      </c>
      <c r="G505" s="8">
        <v>-85.759406999999996</v>
      </c>
    </row>
    <row r="506" spans="1:7" ht="15.75" customHeight="1" x14ac:dyDescent="0.25">
      <c r="A506" s="8" t="s">
        <v>4972</v>
      </c>
      <c r="B506" s="8" t="s">
        <v>4973</v>
      </c>
      <c r="C506" s="8" t="s">
        <v>4974</v>
      </c>
      <c r="D506" s="8" t="s">
        <v>352</v>
      </c>
      <c r="E506" s="8">
        <v>40511</v>
      </c>
      <c r="F506" s="8">
        <v>38.046406599999997</v>
      </c>
      <c r="G506" s="8">
        <v>-84.497039299999997</v>
      </c>
    </row>
    <row r="507" spans="1:7" ht="15.75" customHeight="1" x14ac:dyDescent="0.25">
      <c r="A507" s="8" t="s">
        <v>4975</v>
      </c>
      <c r="B507" s="8" t="s">
        <v>4976</v>
      </c>
      <c r="C507" s="8" t="s">
        <v>4977</v>
      </c>
      <c r="D507" s="8" t="s">
        <v>352</v>
      </c>
      <c r="E507" s="8">
        <v>42001</v>
      </c>
      <c r="F507" s="8">
        <v>37.0833893</v>
      </c>
      <c r="G507" s="8">
        <v>-88.600047799999999</v>
      </c>
    </row>
    <row r="508" spans="1:7" ht="15.75" customHeight="1" x14ac:dyDescent="0.25">
      <c r="A508" s="8" t="s">
        <v>4978</v>
      </c>
      <c r="B508" s="8" t="s">
        <v>4979</v>
      </c>
      <c r="C508" s="8" t="s">
        <v>4980</v>
      </c>
      <c r="D508" s="8" t="s">
        <v>352</v>
      </c>
      <c r="E508" s="8">
        <v>42141</v>
      </c>
      <c r="F508" s="8">
        <v>37.018126000000002</v>
      </c>
      <c r="G508" s="8">
        <v>-85.906989999999993</v>
      </c>
    </row>
    <row r="509" spans="1:7" ht="15.75" customHeight="1" x14ac:dyDescent="0.25">
      <c r="A509" s="8" t="s">
        <v>4981</v>
      </c>
      <c r="B509" s="8" t="s">
        <v>4982</v>
      </c>
      <c r="C509" s="8" t="s">
        <v>4983</v>
      </c>
      <c r="D509" s="8" t="s">
        <v>352</v>
      </c>
      <c r="E509" s="8">
        <v>40160</v>
      </c>
      <c r="F509" s="8">
        <v>37.840345599999999</v>
      </c>
      <c r="G509" s="8">
        <v>-85.949129799999994</v>
      </c>
    </row>
    <row r="510" spans="1:7" ht="15.75" customHeight="1" x14ac:dyDescent="0.25">
      <c r="A510" s="8" t="s">
        <v>4984</v>
      </c>
      <c r="B510" s="8" t="s">
        <v>4984</v>
      </c>
      <c r="C510" s="8" t="s">
        <v>4445</v>
      </c>
      <c r="D510" s="8" t="s">
        <v>352</v>
      </c>
      <c r="E510" s="8">
        <v>41653</v>
      </c>
      <c r="F510" s="8">
        <v>37.665897174800001</v>
      </c>
      <c r="G510" s="8">
        <v>-82.769426066199998</v>
      </c>
    </row>
    <row r="511" spans="1:7" ht="15.75" customHeight="1" x14ac:dyDescent="0.25">
      <c r="A511" s="8" t="s">
        <v>4985</v>
      </c>
      <c r="B511" s="8" t="s">
        <v>4986</v>
      </c>
      <c r="C511" s="8" t="s">
        <v>4987</v>
      </c>
      <c r="D511" s="8" t="s">
        <v>352</v>
      </c>
      <c r="E511" s="8">
        <v>40330</v>
      </c>
      <c r="F511" s="8">
        <v>37.762298000000001</v>
      </c>
      <c r="G511" s="8">
        <v>-84.843285199999997</v>
      </c>
    </row>
    <row r="512" spans="1:7" ht="15.75" customHeight="1" x14ac:dyDescent="0.25">
      <c r="A512" s="8" t="s">
        <v>4988</v>
      </c>
      <c r="B512" s="8" t="s">
        <v>4989</v>
      </c>
      <c r="C512" s="8" t="s">
        <v>4990</v>
      </c>
      <c r="D512" s="8" t="s">
        <v>733</v>
      </c>
      <c r="E512" s="8">
        <v>70301</v>
      </c>
      <c r="F512" s="8">
        <v>29.795763300000001</v>
      </c>
      <c r="G512" s="8">
        <v>-90.822871000000006</v>
      </c>
    </row>
    <row r="513" spans="1:7" ht="15.75" customHeight="1" x14ac:dyDescent="0.25">
      <c r="A513" s="8" t="s">
        <v>4991</v>
      </c>
      <c r="B513" s="8" t="s">
        <v>4992</v>
      </c>
      <c r="C513" s="8" t="s">
        <v>4993</v>
      </c>
      <c r="D513" s="8" t="s">
        <v>733</v>
      </c>
      <c r="E513" s="8">
        <v>70601</v>
      </c>
      <c r="F513" s="8">
        <v>30.223391700000001</v>
      </c>
      <c r="G513" s="8">
        <v>-93.215177699999998</v>
      </c>
    </row>
    <row r="514" spans="1:7" ht="15.75" customHeight="1" x14ac:dyDescent="0.25">
      <c r="A514" s="8" t="s">
        <v>4994</v>
      </c>
      <c r="B514" s="8" t="s">
        <v>4877</v>
      </c>
      <c r="C514" s="8" t="s">
        <v>4877</v>
      </c>
      <c r="D514" s="8" t="s">
        <v>733</v>
      </c>
      <c r="E514" s="8">
        <v>70502</v>
      </c>
      <c r="F514" s="8">
        <v>30.2240897</v>
      </c>
      <c r="G514" s="8">
        <v>-92.019842699999998</v>
      </c>
    </row>
    <row r="515" spans="1:7" ht="15.75" customHeight="1" x14ac:dyDescent="0.25">
      <c r="A515" s="8" t="s">
        <v>4995</v>
      </c>
      <c r="B515" s="8" t="s">
        <v>4877</v>
      </c>
      <c r="C515" s="8" t="s">
        <v>4877</v>
      </c>
      <c r="D515" s="8" t="s">
        <v>733</v>
      </c>
      <c r="E515" s="8">
        <v>70501</v>
      </c>
      <c r="F515" s="8">
        <v>30.2240897</v>
      </c>
      <c r="G515" s="8">
        <v>-92.019842699999998</v>
      </c>
    </row>
    <row r="516" spans="1:7" ht="15.75" customHeight="1" x14ac:dyDescent="0.25">
      <c r="A516" s="8" t="s">
        <v>4996</v>
      </c>
      <c r="B516" s="8" t="s">
        <v>4997</v>
      </c>
      <c r="C516" s="8" t="s">
        <v>4998</v>
      </c>
      <c r="D516" s="8" t="s">
        <v>733</v>
      </c>
      <c r="E516" s="8">
        <v>70820</v>
      </c>
      <c r="F516" s="8">
        <v>30.3779579391</v>
      </c>
      <c r="G516" s="8">
        <v>-91.175974357300007</v>
      </c>
    </row>
    <row r="517" spans="1:7" ht="15.75" customHeight="1" x14ac:dyDescent="0.25">
      <c r="A517" s="8" t="s">
        <v>4999</v>
      </c>
      <c r="B517" s="8" t="s">
        <v>4997</v>
      </c>
      <c r="C517" s="8" t="s">
        <v>4998</v>
      </c>
      <c r="D517" s="8" t="s">
        <v>733</v>
      </c>
      <c r="E517" s="8">
        <v>70802</v>
      </c>
      <c r="F517" s="8">
        <v>30.436214499999998</v>
      </c>
      <c r="G517" s="8">
        <v>-91.178202999999996</v>
      </c>
    </row>
    <row r="518" spans="1:7" ht="15.75" customHeight="1" x14ac:dyDescent="0.25">
      <c r="A518" s="8" t="s">
        <v>5000</v>
      </c>
      <c r="B518" s="8" t="s">
        <v>5001</v>
      </c>
      <c r="C518" s="8" t="s">
        <v>4998</v>
      </c>
      <c r="D518" s="8" t="s">
        <v>733</v>
      </c>
      <c r="E518" s="8">
        <v>70807</v>
      </c>
      <c r="F518" s="8">
        <v>30.520466800000001</v>
      </c>
      <c r="G518" s="8">
        <v>-91.178718599999996</v>
      </c>
    </row>
    <row r="519" spans="1:7" ht="15.75" customHeight="1" x14ac:dyDescent="0.25">
      <c r="A519" s="8" t="s">
        <v>5002</v>
      </c>
      <c r="B519" s="8" t="s">
        <v>5003</v>
      </c>
      <c r="C519" s="8" t="s">
        <v>5004</v>
      </c>
      <c r="D519" s="8" t="s">
        <v>733</v>
      </c>
      <c r="E519" s="8">
        <v>70041</v>
      </c>
      <c r="F519" s="8">
        <v>29.351886</v>
      </c>
      <c r="G519" s="8">
        <v>-89.524224799999999</v>
      </c>
    </row>
    <row r="520" spans="1:7" ht="15.75" customHeight="1" x14ac:dyDescent="0.25">
      <c r="A520" s="8" t="s">
        <v>5005</v>
      </c>
      <c r="B520" s="8" t="s">
        <v>5006</v>
      </c>
      <c r="C520" s="8" t="s">
        <v>5007</v>
      </c>
      <c r="D520" s="8" t="s">
        <v>734</v>
      </c>
      <c r="E520" s="8">
        <v>2152</v>
      </c>
      <c r="F520" s="8">
        <v>42.375097599999997</v>
      </c>
      <c r="G520" s="8">
        <v>-70.982827</v>
      </c>
    </row>
    <row r="521" spans="1:7" ht="15.75" customHeight="1" x14ac:dyDescent="0.25">
      <c r="A521" s="8" t="s">
        <v>5008</v>
      </c>
      <c r="B521" s="8" t="s">
        <v>5009</v>
      </c>
      <c r="C521" s="8" t="s">
        <v>5010</v>
      </c>
      <c r="D521" s="8" t="s">
        <v>734</v>
      </c>
      <c r="E521" s="8">
        <v>18451</v>
      </c>
      <c r="F521" s="8">
        <v>42.658335600000001</v>
      </c>
      <c r="G521" s="8">
        <v>-71.136795300000003</v>
      </c>
    </row>
    <row r="522" spans="1:7" ht="15.75" customHeight="1" x14ac:dyDescent="0.25">
      <c r="A522" s="8" t="s">
        <v>5011</v>
      </c>
      <c r="B522" s="8" t="s">
        <v>5012</v>
      </c>
      <c r="C522" s="8" t="s">
        <v>5013</v>
      </c>
      <c r="D522" s="8" t="s">
        <v>734</v>
      </c>
      <c r="E522" s="8">
        <v>1201</v>
      </c>
      <c r="F522" s="8">
        <v>42.450096700000003</v>
      </c>
      <c r="G522" s="8">
        <v>-73.245378500000001</v>
      </c>
    </row>
    <row r="523" spans="1:7" ht="15.75" customHeight="1" x14ac:dyDescent="0.25">
      <c r="A523" s="8" t="s">
        <v>5014</v>
      </c>
      <c r="B523" s="8" t="s">
        <v>5015</v>
      </c>
      <c r="C523" s="8" t="s">
        <v>5016</v>
      </c>
      <c r="D523" s="8" t="s">
        <v>734</v>
      </c>
      <c r="E523" s="8">
        <v>2719</v>
      </c>
      <c r="F523" s="8">
        <v>41.6376043</v>
      </c>
      <c r="G523" s="8">
        <v>-70.903648700000005</v>
      </c>
    </row>
    <row r="524" spans="1:7" ht="15.75" customHeight="1" x14ac:dyDescent="0.25">
      <c r="A524" s="8" t="s">
        <v>5017</v>
      </c>
      <c r="B524" s="8" t="s">
        <v>5018</v>
      </c>
      <c r="C524" s="8" t="s">
        <v>1102</v>
      </c>
      <c r="D524" s="8" t="s">
        <v>734</v>
      </c>
      <c r="E524" s="8">
        <v>1510</v>
      </c>
      <c r="F524" s="8">
        <v>42.419963199999998</v>
      </c>
      <c r="G524" s="8">
        <v>-71.685950700000006</v>
      </c>
    </row>
    <row r="525" spans="1:7" ht="15.75" customHeight="1" x14ac:dyDescent="0.25">
      <c r="A525" s="8" t="s">
        <v>5019</v>
      </c>
      <c r="B525" s="8" t="s">
        <v>5020</v>
      </c>
      <c r="C525" s="8" t="s">
        <v>4573</v>
      </c>
      <c r="D525" s="8" t="s">
        <v>734</v>
      </c>
      <c r="E525" s="8">
        <v>2370</v>
      </c>
      <c r="F525" s="8">
        <v>42.130656299999998</v>
      </c>
      <c r="G525" s="8">
        <v>-70.916155099999997</v>
      </c>
    </row>
    <row r="526" spans="1:7" ht="15.75" customHeight="1" x14ac:dyDescent="0.25">
      <c r="A526" s="8" t="s">
        <v>5021</v>
      </c>
      <c r="B526" s="8" t="s">
        <v>5022</v>
      </c>
      <c r="C526" s="8" t="s">
        <v>5023</v>
      </c>
      <c r="D526" s="8" t="s">
        <v>1105</v>
      </c>
      <c r="E526" s="8">
        <v>21224</v>
      </c>
      <c r="F526" s="8">
        <v>39.290881599999999</v>
      </c>
      <c r="G526" s="8">
        <v>-76.610759000000002</v>
      </c>
    </row>
    <row r="527" spans="1:7" ht="15.75" customHeight="1" x14ac:dyDescent="0.25">
      <c r="A527" s="8" t="s">
        <v>5024</v>
      </c>
      <c r="B527" s="8" t="s">
        <v>1114</v>
      </c>
      <c r="C527" s="8" t="s">
        <v>3047</v>
      </c>
      <c r="D527" s="8" t="s">
        <v>1105</v>
      </c>
      <c r="E527" s="8">
        <v>21502</v>
      </c>
      <c r="F527" s="8">
        <v>39.649571600000002</v>
      </c>
      <c r="G527" s="8">
        <v>-78.763571600000006</v>
      </c>
    </row>
    <row r="528" spans="1:7" ht="15.75" customHeight="1" x14ac:dyDescent="0.25">
      <c r="A528" s="8" t="s">
        <v>5025</v>
      </c>
      <c r="B528" s="8" t="s">
        <v>5026</v>
      </c>
      <c r="C528" s="8" t="s">
        <v>5027</v>
      </c>
      <c r="D528" s="8" t="s">
        <v>1105</v>
      </c>
      <c r="E528" s="8">
        <v>20653</v>
      </c>
      <c r="F528" s="8">
        <v>38.279647300000001</v>
      </c>
      <c r="G528" s="8">
        <v>-76.467317499999993</v>
      </c>
    </row>
    <row r="529" spans="1:7" ht="15.75" customHeight="1" x14ac:dyDescent="0.25">
      <c r="A529" s="8" t="s">
        <v>5028</v>
      </c>
      <c r="B529" s="8" t="s">
        <v>5029</v>
      </c>
      <c r="C529" s="8" t="s">
        <v>5030</v>
      </c>
      <c r="D529" s="8" t="s">
        <v>1105</v>
      </c>
      <c r="E529" s="8">
        <v>21130</v>
      </c>
      <c r="F529" s="8">
        <v>39.469554299999999</v>
      </c>
      <c r="G529" s="8">
        <v>-76.204398699999999</v>
      </c>
    </row>
    <row r="530" spans="1:7" ht="15.75" customHeight="1" x14ac:dyDescent="0.25">
      <c r="A530" s="8" t="s">
        <v>5031</v>
      </c>
      <c r="B530" s="8" t="s">
        <v>5032</v>
      </c>
      <c r="C530" s="8" t="s">
        <v>5030</v>
      </c>
      <c r="D530" s="8" t="s">
        <v>1105</v>
      </c>
      <c r="E530" s="8">
        <v>21005</v>
      </c>
      <c r="F530" s="8">
        <v>39.467971599999998</v>
      </c>
      <c r="G530" s="8">
        <v>-76.132435400000006</v>
      </c>
    </row>
    <row r="531" spans="1:7" ht="15.75" customHeight="1" x14ac:dyDescent="0.25">
      <c r="A531" s="8" t="s">
        <v>5033</v>
      </c>
      <c r="B531" s="8" t="s">
        <v>5034</v>
      </c>
      <c r="C531" s="8" t="s">
        <v>5030</v>
      </c>
      <c r="D531" s="8" t="s">
        <v>1105</v>
      </c>
      <c r="E531" s="8">
        <v>21001</v>
      </c>
      <c r="F531" s="8">
        <v>39.509555599999999</v>
      </c>
      <c r="G531" s="8">
        <v>-76.164119700000001</v>
      </c>
    </row>
    <row r="532" spans="1:7" ht="15.75" customHeight="1" x14ac:dyDescent="0.25">
      <c r="A532" s="8" t="s">
        <v>5035</v>
      </c>
      <c r="B532" s="8" t="s">
        <v>5034</v>
      </c>
      <c r="C532" s="8" t="s">
        <v>5030</v>
      </c>
      <c r="D532" s="8" t="s">
        <v>1105</v>
      </c>
      <c r="E532" s="8">
        <v>21001</v>
      </c>
      <c r="F532" s="8">
        <v>39.509555599999999</v>
      </c>
      <c r="G532" s="8">
        <v>-76.164119700000001</v>
      </c>
    </row>
    <row r="533" spans="1:7" ht="15.75" customHeight="1" x14ac:dyDescent="0.25">
      <c r="A533" s="8" t="s">
        <v>5036</v>
      </c>
      <c r="B533" s="8" t="s">
        <v>5037</v>
      </c>
      <c r="C533" s="8" t="s">
        <v>5037</v>
      </c>
      <c r="D533" s="8" t="s">
        <v>1105</v>
      </c>
      <c r="E533" s="8">
        <v>21701</v>
      </c>
      <c r="F533" s="8">
        <v>39.411890800000002</v>
      </c>
      <c r="G533" s="8">
        <v>-77.405461799999998</v>
      </c>
    </row>
    <row r="534" spans="1:7" ht="15.75" customHeight="1" x14ac:dyDescent="0.25">
      <c r="A534" s="8" t="s">
        <v>5038</v>
      </c>
      <c r="B534" s="8" t="s">
        <v>5039</v>
      </c>
      <c r="C534" s="8" t="s">
        <v>724</v>
      </c>
      <c r="D534" s="8" t="s">
        <v>1105</v>
      </c>
      <c r="E534" s="8">
        <v>21740</v>
      </c>
      <c r="F534" s="8">
        <v>39.6419219</v>
      </c>
      <c r="G534" s="8">
        <v>-77.720264099999994</v>
      </c>
    </row>
    <row r="535" spans="1:7" ht="15.75" customHeight="1" x14ac:dyDescent="0.25">
      <c r="A535" s="8" t="s">
        <v>5040</v>
      </c>
      <c r="B535" s="8" t="s">
        <v>5041</v>
      </c>
      <c r="C535" s="8" t="s">
        <v>5042</v>
      </c>
      <c r="D535" s="8" t="s">
        <v>1105</v>
      </c>
      <c r="E535" s="8">
        <v>21130</v>
      </c>
      <c r="F535" s="8">
        <v>39.469554299999999</v>
      </c>
      <c r="G535" s="8">
        <v>-76.204398699999999</v>
      </c>
    </row>
    <row r="536" spans="1:7" ht="15.75" customHeight="1" x14ac:dyDescent="0.25">
      <c r="A536" s="8" t="s">
        <v>5043</v>
      </c>
      <c r="B536" s="8" t="s">
        <v>2600</v>
      </c>
      <c r="C536" s="8" t="s">
        <v>2600</v>
      </c>
      <c r="D536" s="8" t="s">
        <v>1105</v>
      </c>
      <c r="E536" s="8">
        <v>21224</v>
      </c>
      <c r="F536" s="8">
        <v>39.290881599999999</v>
      </c>
      <c r="G536" s="8">
        <v>-76.610759000000002</v>
      </c>
    </row>
    <row r="537" spans="1:7" ht="15.75" customHeight="1" x14ac:dyDescent="0.25">
      <c r="A537" s="8" t="s">
        <v>5044</v>
      </c>
      <c r="B537" s="8" t="s">
        <v>5045</v>
      </c>
      <c r="C537" s="8" t="s">
        <v>5046</v>
      </c>
      <c r="D537" s="8" t="s">
        <v>735</v>
      </c>
      <c r="E537" s="8" t="s">
        <v>5047</v>
      </c>
      <c r="F537" s="8">
        <v>44.100351000000003</v>
      </c>
      <c r="G537" s="8">
        <v>-70.214776400000005</v>
      </c>
    </row>
    <row r="538" spans="1:7" ht="15.75" customHeight="1" x14ac:dyDescent="0.25">
      <c r="A538" s="8" t="s">
        <v>5048</v>
      </c>
      <c r="B538" s="8" t="s">
        <v>5049</v>
      </c>
      <c r="C538" s="8" t="s">
        <v>1560</v>
      </c>
      <c r="D538" s="8" t="s">
        <v>359</v>
      </c>
      <c r="E538" s="8">
        <v>48532</v>
      </c>
      <c r="F538" s="8">
        <v>43.0171773</v>
      </c>
      <c r="G538" s="8">
        <v>-83.723602400000004</v>
      </c>
    </row>
    <row r="539" spans="1:7" ht="15.75" customHeight="1" x14ac:dyDescent="0.25">
      <c r="A539" s="8" t="s">
        <v>5050</v>
      </c>
      <c r="B539" s="8" t="s">
        <v>2348</v>
      </c>
      <c r="C539" s="8" t="s">
        <v>2712</v>
      </c>
      <c r="D539" s="8" t="s">
        <v>359</v>
      </c>
      <c r="E539" s="8">
        <v>48342</v>
      </c>
      <c r="F539" s="8">
        <v>42.638921600000003</v>
      </c>
      <c r="G539" s="8">
        <v>-83.291046800000004</v>
      </c>
    </row>
    <row r="540" spans="1:7" ht="15.75" customHeight="1" x14ac:dyDescent="0.25">
      <c r="A540" s="8" t="s">
        <v>5051</v>
      </c>
      <c r="B540" s="8" t="s">
        <v>530</v>
      </c>
      <c r="C540" s="8" t="s">
        <v>530</v>
      </c>
      <c r="D540" s="8" t="s">
        <v>359</v>
      </c>
      <c r="E540" s="8">
        <v>49202</v>
      </c>
      <c r="F540" s="8">
        <v>42.246503599999997</v>
      </c>
      <c r="G540" s="8">
        <v>-84.401696299999998</v>
      </c>
    </row>
    <row r="541" spans="1:7" ht="15.75" customHeight="1" x14ac:dyDescent="0.25">
      <c r="A541" s="8" t="s">
        <v>5052</v>
      </c>
      <c r="B541" s="8" t="s">
        <v>5053</v>
      </c>
      <c r="C541" s="8" t="s">
        <v>5054</v>
      </c>
      <c r="D541" s="8" t="s">
        <v>359</v>
      </c>
      <c r="E541" s="8">
        <v>49085</v>
      </c>
      <c r="F541" s="8">
        <v>42.109200999999999</v>
      </c>
      <c r="G541" s="8">
        <v>-86.484645900000004</v>
      </c>
    </row>
    <row r="542" spans="1:7" ht="15.75" customHeight="1" x14ac:dyDescent="0.25">
      <c r="A542" s="8" t="s">
        <v>5055</v>
      </c>
      <c r="B542" s="8" t="s">
        <v>5056</v>
      </c>
      <c r="C542" s="8" t="s">
        <v>2801</v>
      </c>
      <c r="D542" s="8" t="s">
        <v>359</v>
      </c>
      <c r="E542" s="8">
        <v>48706</v>
      </c>
      <c r="F542" s="8">
        <v>43.594467700000003</v>
      </c>
      <c r="G542" s="8">
        <v>-83.888864799999993</v>
      </c>
    </row>
    <row r="543" spans="1:7" ht="15.75" customHeight="1" x14ac:dyDescent="0.25">
      <c r="A543" s="8" t="s">
        <v>5057</v>
      </c>
      <c r="B543" s="8" t="s">
        <v>5058</v>
      </c>
      <c r="C543" s="8" t="s">
        <v>5058</v>
      </c>
      <c r="D543" s="8" t="s">
        <v>359</v>
      </c>
      <c r="E543" s="8">
        <v>48642</v>
      </c>
      <c r="F543" s="8">
        <v>43.615582500000002</v>
      </c>
      <c r="G543" s="8">
        <v>-84.247211699999994</v>
      </c>
    </row>
    <row r="544" spans="1:7" ht="15.75" customHeight="1" x14ac:dyDescent="0.25">
      <c r="A544" s="8" t="s">
        <v>5059</v>
      </c>
      <c r="B544" s="8" t="s">
        <v>5060</v>
      </c>
      <c r="C544" s="8" t="s">
        <v>5061</v>
      </c>
      <c r="D544" s="8" t="s">
        <v>359</v>
      </c>
      <c r="E544" s="8">
        <v>49684</v>
      </c>
      <c r="F544" s="8">
        <v>44.752140900000001</v>
      </c>
      <c r="G544" s="8">
        <v>-85.6400127</v>
      </c>
    </row>
    <row r="545" spans="1:7" ht="15.75" customHeight="1" x14ac:dyDescent="0.25">
      <c r="A545" s="8" t="s">
        <v>5062</v>
      </c>
      <c r="B545" s="8" t="s">
        <v>5063</v>
      </c>
      <c r="C545" s="8" t="s">
        <v>5064</v>
      </c>
      <c r="D545" s="8" t="s">
        <v>359</v>
      </c>
      <c r="E545" s="8">
        <v>49783</v>
      </c>
      <c r="F545" s="8">
        <v>46.490586</v>
      </c>
      <c r="G545" s="8">
        <v>-84.359268999999998</v>
      </c>
    </row>
    <row r="546" spans="1:7" ht="15.75" customHeight="1" x14ac:dyDescent="0.25">
      <c r="A546" s="8" t="s">
        <v>5065</v>
      </c>
      <c r="B546" s="8" t="s">
        <v>5066</v>
      </c>
      <c r="C546" s="8" t="s">
        <v>5067</v>
      </c>
      <c r="D546" s="8" t="s">
        <v>359</v>
      </c>
      <c r="E546" s="8">
        <v>49221</v>
      </c>
      <c r="F546" s="8">
        <v>41.897515200000001</v>
      </c>
      <c r="G546" s="8">
        <v>-84.037305399999994</v>
      </c>
    </row>
    <row r="547" spans="1:7" ht="15.75" customHeight="1" x14ac:dyDescent="0.25">
      <c r="A547" s="8" t="s">
        <v>5068</v>
      </c>
      <c r="B547" s="8" t="s">
        <v>5069</v>
      </c>
      <c r="C547" s="8" t="s">
        <v>5069</v>
      </c>
      <c r="D547" s="8" t="s">
        <v>359</v>
      </c>
      <c r="E547" s="8">
        <v>49855</v>
      </c>
      <c r="F547" s="8">
        <v>46.543491400000001</v>
      </c>
      <c r="G547" s="8">
        <v>-87.396433000000002</v>
      </c>
    </row>
    <row r="548" spans="1:7" ht="15.75" customHeight="1" x14ac:dyDescent="0.25">
      <c r="A548" s="8" t="s">
        <v>5070</v>
      </c>
      <c r="B548" s="8" t="s">
        <v>2094</v>
      </c>
      <c r="C548" s="8" t="s">
        <v>649</v>
      </c>
      <c r="D548" s="8" t="s">
        <v>359</v>
      </c>
      <c r="E548" s="8">
        <v>48133</v>
      </c>
      <c r="F548" s="8">
        <v>41.793453800000002</v>
      </c>
      <c r="G548" s="8">
        <v>-83.497115199999996</v>
      </c>
    </row>
    <row r="549" spans="1:7" ht="15.75" customHeight="1" x14ac:dyDescent="0.25">
      <c r="A549" s="8" t="s">
        <v>5071</v>
      </c>
      <c r="B549" s="8" t="s">
        <v>5072</v>
      </c>
      <c r="C549" s="8" t="s">
        <v>5073</v>
      </c>
      <c r="D549" s="8" t="s">
        <v>359</v>
      </c>
      <c r="E549" s="8">
        <v>48917</v>
      </c>
      <c r="F549" s="8">
        <v>42.7337712</v>
      </c>
      <c r="G549" s="8">
        <v>-84.555380499999998</v>
      </c>
    </row>
    <row r="550" spans="1:7" ht="15.75" customHeight="1" x14ac:dyDescent="0.25">
      <c r="A550" s="8" t="s">
        <v>5074</v>
      </c>
      <c r="B550" s="8" t="s">
        <v>5075</v>
      </c>
      <c r="C550" s="8" t="s">
        <v>5075</v>
      </c>
      <c r="D550" s="8" t="s">
        <v>359</v>
      </c>
      <c r="E550" s="8">
        <v>49707</v>
      </c>
      <c r="F550" s="8">
        <v>45.061679400000003</v>
      </c>
      <c r="G550" s="8">
        <v>-83.432752800000003</v>
      </c>
    </row>
    <row r="551" spans="1:7" ht="15.75" customHeight="1" x14ac:dyDescent="0.25">
      <c r="A551" s="8" t="s">
        <v>5076</v>
      </c>
      <c r="B551" s="8" t="s">
        <v>5077</v>
      </c>
      <c r="C551" s="8" t="s">
        <v>5077</v>
      </c>
      <c r="D551" s="8" t="s">
        <v>359</v>
      </c>
      <c r="E551" s="8">
        <v>48603</v>
      </c>
      <c r="F551" s="8">
        <v>43.420038699999999</v>
      </c>
      <c r="G551" s="8">
        <v>-83.949036500000005</v>
      </c>
    </row>
    <row r="552" spans="1:7" ht="15.75" customHeight="1" x14ac:dyDescent="0.25">
      <c r="A552" s="8" t="s">
        <v>5078</v>
      </c>
      <c r="B552" s="8" t="s">
        <v>5079</v>
      </c>
      <c r="C552" s="8" t="s">
        <v>345</v>
      </c>
      <c r="D552" s="8" t="s">
        <v>359</v>
      </c>
      <c r="E552" s="8">
        <v>49091</v>
      </c>
      <c r="F552" s="8">
        <v>41.799216999999999</v>
      </c>
      <c r="G552" s="8">
        <v>-85.419148199999995</v>
      </c>
    </row>
    <row r="553" spans="1:7" ht="15.75" customHeight="1" x14ac:dyDescent="0.25">
      <c r="A553" s="8" t="s">
        <v>5080</v>
      </c>
      <c r="B553" s="8" t="s">
        <v>5081</v>
      </c>
      <c r="C553" s="8" t="s">
        <v>5082</v>
      </c>
      <c r="D553" s="8" t="s">
        <v>359</v>
      </c>
      <c r="E553" s="8">
        <v>48442</v>
      </c>
      <c r="F553" s="8">
        <v>42.791972700000002</v>
      </c>
      <c r="G553" s="8">
        <v>-83.627725499999997</v>
      </c>
    </row>
    <row r="554" spans="1:7" ht="15.75" customHeight="1" x14ac:dyDescent="0.25">
      <c r="A554" s="8" t="s">
        <v>5083</v>
      </c>
      <c r="B554" s="8" t="s">
        <v>5084</v>
      </c>
      <c r="C554" s="8" t="s">
        <v>359</v>
      </c>
      <c r="D554" s="8" t="s">
        <v>359</v>
      </c>
      <c r="E554" s="8">
        <v>49931</v>
      </c>
      <c r="F554" s="8">
        <v>47.121133100000002</v>
      </c>
      <c r="G554" s="8">
        <v>-88.569418200000001</v>
      </c>
    </row>
    <row r="555" spans="1:7" ht="15.75" customHeight="1" x14ac:dyDescent="0.25">
      <c r="A555" s="8" t="s">
        <v>5085</v>
      </c>
      <c r="B555" s="8" t="s">
        <v>5086</v>
      </c>
      <c r="C555" s="8" t="s">
        <v>5087</v>
      </c>
      <c r="D555" s="8" t="s">
        <v>359</v>
      </c>
      <c r="E555" s="8">
        <v>49036</v>
      </c>
      <c r="F555" s="8">
        <v>41.940326300000002</v>
      </c>
      <c r="G555" s="8">
        <v>-85.000521500000005</v>
      </c>
    </row>
    <row r="556" spans="1:7" ht="15.75" customHeight="1" x14ac:dyDescent="0.25">
      <c r="A556" s="8" t="s">
        <v>5088</v>
      </c>
      <c r="B556" s="8" t="s">
        <v>5089</v>
      </c>
      <c r="C556" s="8" t="s">
        <v>5090</v>
      </c>
      <c r="D556" s="8" t="s">
        <v>359</v>
      </c>
      <c r="E556" s="8">
        <v>49938</v>
      </c>
      <c r="F556" s="8">
        <v>46.455567299999998</v>
      </c>
      <c r="G556" s="8">
        <v>-90.168437100000006</v>
      </c>
    </row>
    <row r="557" spans="1:7" ht="15.75" customHeight="1" x14ac:dyDescent="0.25">
      <c r="A557" s="8" t="s">
        <v>5091</v>
      </c>
      <c r="B557" s="8" t="s">
        <v>5092</v>
      </c>
      <c r="C557" s="8" t="s">
        <v>5093</v>
      </c>
      <c r="D557" s="8" t="s">
        <v>359</v>
      </c>
      <c r="E557" s="8">
        <v>49601</v>
      </c>
      <c r="F557" s="8">
        <v>44.251952600000003</v>
      </c>
      <c r="G557" s="8">
        <v>-85.401161900000005</v>
      </c>
    </row>
    <row r="558" spans="1:7" ht="15.75" customHeight="1" x14ac:dyDescent="0.25">
      <c r="A558" s="8" t="s">
        <v>5094</v>
      </c>
      <c r="B558" s="8" t="s">
        <v>5095</v>
      </c>
      <c r="C558" s="8" t="s">
        <v>1560</v>
      </c>
      <c r="D558" s="8" t="s">
        <v>359</v>
      </c>
      <c r="E558" s="8">
        <v>48433</v>
      </c>
      <c r="F558" s="8">
        <v>43.063083399999996</v>
      </c>
      <c r="G558" s="8">
        <v>-83.851073200000002</v>
      </c>
    </row>
    <row r="559" spans="1:7" ht="15.75" customHeight="1" x14ac:dyDescent="0.25">
      <c r="A559" s="8" t="s">
        <v>5096</v>
      </c>
      <c r="B559" s="8" t="s">
        <v>5097</v>
      </c>
      <c r="C559" s="8" t="s">
        <v>5097</v>
      </c>
      <c r="D559" s="8" t="s">
        <v>359</v>
      </c>
      <c r="E559" s="8">
        <v>49721</v>
      </c>
      <c r="F559" s="8">
        <v>45.441748099999998</v>
      </c>
      <c r="G559" s="8">
        <v>-84.476848599999997</v>
      </c>
    </row>
    <row r="560" spans="1:7" ht="15.75" customHeight="1" x14ac:dyDescent="0.25">
      <c r="A560" s="8" t="s">
        <v>5098</v>
      </c>
      <c r="B560" s="8" t="s">
        <v>5099</v>
      </c>
      <c r="C560" s="8" t="s">
        <v>5100</v>
      </c>
      <c r="D560" s="8" t="s">
        <v>359</v>
      </c>
      <c r="E560" s="8">
        <v>49090</v>
      </c>
      <c r="F560" s="8">
        <v>42.402647199999997</v>
      </c>
      <c r="G560" s="8">
        <v>-86.272724299999993</v>
      </c>
    </row>
    <row r="561" spans="1:7" ht="15.75" customHeight="1" x14ac:dyDescent="0.25">
      <c r="A561" s="8" t="s">
        <v>5101</v>
      </c>
      <c r="B561" s="8" t="s">
        <v>5102</v>
      </c>
      <c r="C561" s="8" t="s">
        <v>3976</v>
      </c>
      <c r="D561" s="8" t="s">
        <v>359</v>
      </c>
      <c r="E561" s="8">
        <v>49660</v>
      </c>
      <c r="F561" s="8">
        <v>44.244447000000001</v>
      </c>
      <c r="G561" s="8">
        <v>-86.324252999999999</v>
      </c>
    </row>
    <row r="562" spans="1:7" ht="15.75" customHeight="1" x14ac:dyDescent="0.25">
      <c r="A562" s="8" t="s">
        <v>5103</v>
      </c>
      <c r="B562" s="8" t="s">
        <v>5104</v>
      </c>
      <c r="C562" s="8" t="s">
        <v>5105</v>
      </c>
      <c r="D562" s="8" t="s">
        <v>359</v>
      </c>
      <c r="E562" s="8">
        <v>48001</v>
      </c>
      <c r="F562" s="8">
        <v>42.611103999999997</v>
      </c>
      <c r="G562" s="8">
        <v>-82.526228000000003</v>
      </c>
    </row>
    <row r="563" spans="1:7" ht="15.75" customHeight="1" x14ac:dyDescent="0.25">
      <c r="A563" s="8" t="s">
        <v>5106</v>
      </c>
      <c r="B563" s="8" t="s">
        <v>561</v>
      </c>
      <c r="C563" s="8" t="s">
        <v>2699</v>
      </c>
      <c r="D563" s="8" t="s">
        <v>359</v>
      </c>
      <c r="E563" s="8">
        <v>48838</v>
      </c>
      <c r="F563" s="8">
        <v>43.177531399999999</v>
      </c>
      <c r="G563" s="8">
        <v>-85.2527987</v>
      </c>
    </row>
    <row r="564" spans="1:7" ht="15.75" customHeight="1" x14ac:dyDescent="0.25">
      <c r="A564" s="8" t="s">
        <v>5107</v>
      </c>
      <c r="B564" s="8" t="s">
        <v>5108</v>
      </c>
      <c r="C564" s="8" t="s">
        <v>2668</v>
      </c>
      <c r="D564" s="8" t="s">
        <v>359</v>
      </c>
      <c r="E564" s="8">
        <v>49286</v>
      </c>
      <c r="F564" s="8">
        <v>42.003933099999998</v>
      </c>
      <c r="G564" s="8">
        <v>-83.944941700000001</v>
      </c>
    </row>
    <row r="565" spans="1:7" ht="15.75" customHeight="1" x14ac:dyDescent="0.25">
      <c r="A565" s="8" t="s">
        <v>5109</v>
      </c>
      <c r="B565" s="8" t="s">
        <v>1865</v>
      </c>
      <c r="C565" s="8" t="s">
        <v>1865</v>
      </c>
      <c r="D565" s="8" t="s">
        <v>359</v>
      </c>
      <c r="E565" s="8">
        <v>48079</v>
      </c>
      <c r="F565" s="8">
        <v>42.836587766299999</v>
      </c>
      <c r="G565" s="8">
        <v>-82.514173708200005</v>
      </c>
    </row>
    <row r="566" spans="1:7" ht="15.75" customHeight="1" x14ac:dyDescent="0.25">
      <c r="A566" s="8" t="s">
        <v>5110</v>
      </c>
      <c r="B566" s="8" t="s">
        <v>362</v>
      </c>
      <c r="C566" s="8" t="s">
        <v>1865</v>
      </c>
      <c r="D566" s="8" t="s">
        <v>359</v>
      </c>
      <c r="E566" s="8">
        <v>48040</v>
      </c>
      <c r="F566" s="8">
        <v>42.912530599999997</v>
      </c>
      <c r="G566" s="8">
        <v>-82.486859999999993</v>
      </c>
    </row>
    <row r="567" spans="1:7" ht="15.75" customHeight="1" x14ac:dyDescent="0.25">
      <c r="A567" s="8" t="s">
        <v>5111</v>
      </c>
      <c r="B567" s="8" t="s">
        <v>2206</v>
      </c>
      <c r="C567" s="8" t="s">
        <v>5112</v>
      </c>
      <c r="D567" s="8" t="s">
        <v>359</v>
      </c>
      <c r="E567" s="8">
        <v>48813</v>
      </c>
      <c r="F567" s="8">
        <v>42.563736900000002</v>
      </c>
      <c r="G567" s="8">
        <v>-84.835579199999998</v>
      </c>
    </row>
    <row r="568" spans="1:7" ht="15.75" customHeight="1" x14ac:dyDescent="0.25">
      <c r="A568" s="8" t="s">
        <v>5113</v>
      </c>
      <c r="B568" s="8" t="s">
        <v>5114</v>
      </c>
      <c r="C568" s="8" t="s">
        <v>5115</v>
      </c>
      <c r="D568" s="8" t="s">
        <v>359</v>
      </c>
      <c r="E568" s="8">
        <v>49431</v>
      </c>
      <c r="F568" s="8">
        <v>43.955440000000003</v>
      </c>
      <c r="G568" s="8">
        <v>-86.452725000000001</v>
      </c>
    </row>
    <row r="569" spans="1:7" ht="15.75" customHeight="1" x14ac:dyDescent="0.25">
      <c r="A569" s="8" t="s">
        <v>5116</v>
      </c>
      <c r="B569" s="8" t="s">
        <v>5117</v>
      </c>
      <c r="C569" s="8" t="s">
        <v>5118</v>
      </c>
      <c r="D569" s="8" t="s">
        <v>359</v>
      </c>
      <c r="E569" s="8">
        <v>48880</v>
      </c>
      <c r="F569" s="8">
        <v>43.408363700000002</v>
      </c>
      <c r="G569" s="8">
        <v>-84.606670399999999</v>
      </c>
    </row>
    <row r="570" spans="1:7" ht="15.75" customHeight="1" x14ac:dyDescent="0.25">
      <c r="A570" s="8" t="s">
        <v>5119</v>
      </c>
      <c r="B570" s="8" t="s">
        <v>5120</v>
      </c>
      <c r="C570" s="8" t="s">
        <v>2760</v>
      </c>
      <c r="D570" s="8" t="s">
        <v>359</v>
      </c>
      <c r="E570" s="8">
        <v>48065</v>
      </c>
      <c r="F570" s="8">
        <v>42.802807999999999</v>
      </c>
      <c r="G570" s="8">
        <v>-83.0129874</v>
      </c>
    </row>
    <row r="571" spans="1:7" ht="15.75" customHeight="1" x14ac:dyDescent="0.25">
      <c r="A571" s="8" t="s">
        <v>5121</v>
      </c>
      <c r="B571" s="8" t="s">
        <v>479</v>
      </c>
      <c r="C571" s="8" t="s">
        <v>2755</v>
      </c>
      <c r="D571" s="8" t="s">
        <v>359</v>
      </c>
      <c r="E571" s="8">
        <v>48722</v>
      </c>
      <c r="F571" s="8">
        <v>43.359469599999997</v>
      </c>
      <c r="G571" s="8">
        <v>-83.881636400000005</v>
      </c>
    </row>
    <row r="572" spans="1:7" ht="15.75" customHeight="1" x14ac:dyDescent="0.25">
      <c r="A572" s="8" t="s">
        <v>5122</v>
      </c>
      <c r="B572" s="8" t="s">
        <v>2779</v>
      </c>
      <c r="C572" s="8" t="s">
        <v>2747</v>
      </c>
      <c r="D572" s="8" t="s">
        <v>359</v>
      </c>
      <c r="E572" s="8">
        <v>49107</v>
      </c>
      <c r="F572" s="8">
        <v>41.827268400000001</v>
      </c>
      <c r="G572" s="8">
        <v>-86.361124899999993</v>
      </c>
    </row>
    <row r="573" spans="1:7" ht="15.75" customHeight="1" x14ac:dyDescent="0.25">
      <c r="A573" s="8" t="s">
        <v>5123</v>
      </c>
      <c r="B573" s="8" t="s">
        <v>5077</v>
      </c>
      <c r="C573" s="8" t="s">
        <v>5077</v>
      </c>
      <c r="D573" s="8" t="s">
        <v>359</v>
      </c>
      <c r="E573" s="8">
        <v>48601</v>
      </c>
      <c r="F573" s="8">
        <v>43.420038699999999</v>
      </c>
      <c r="G573" s="8">
        <v>-83.949036500000005</v>
      </c>
    </row>
    <row r="574" spans="1:7" ht="15.75" customHeight="1" x14ac:dyDescent="0.25">
      <c r="A574" s="8" t="s">
        <v>5124</v>
      </c>
      <c r="B574" s="8" t="s">
        <v>5125</v>
      </c>
      <c r="C574" s="8" t="s">
        <v>1446</v>
      </c>
      <c r="D574" s="8" t="s">
        <v>359</v>
      </c>
      <c r="E574" s="8">
        <v>48842</v>
      </c>
      <c r="F574" s="8">
        <v>42.636550999999997</v>
      </c>
      <c r="G574" s="8">
        <v>-84.522527124199996</v>
      </c>
    </row>
    <row r="575" spans="1:7" ht="15.75" customHeight="1" x14ac:dyDescent="0.25">
      <c r="A575" s="8" t="s">
        <v>5126</v>
      </c>
      <c r="B575" s="8" t="s">
        <v>6629</v>
      </c>
      <c r="C575" s="8" t="s">
        <v>1560</v>
      </c>
      <c r="D575" s="8" t="s">
        <v>359</v>
      </c>
      <c r="E575" s="8">
        <v>48532</v>
      </c>
      <c r="F575" s="8">
        <v>43.0171773</v>
      </c>
      <c r="G575" s="8">
        <v>-83.723602400000004</v>
      </c>
    </row>
    <row r="576" spans="1:7" ht="15.75" customHeight="1" x14ac:dyDescent="0.25">
      <c r="A576" s="8" t="s">
        <v>5127</v>
      </c>
      <c r="B576" s="8" t="s">
        <v>5128</v>
      </c>
      <c r="C576" s="8" t="s">
        <v>5129</v>
      </c>
      <c r="D576" s="8" t="s">
        <v>359</v>
      </c>
      <c r="E576" s="8">
        <v>49428</v>
      </c>
      <c r="F576" s="8">
        <v>42.907248099999997</v>
      </c>
      <c r="G576" s="8">
        <v>-85.791978400000005</v>
      </c>
    </row>
    <row r="577" spans="1:7" ht="15.75" customHeight="1" x14ac:dyDescent="0.25">
      <c r="A577" s="8" t="s">
        <v>5130</v>
      </c>
      <c r="B577" s="8" t="s">
        <v>5131</v>
      </c>
      <c r="C577" s="8" t="s">
        <v>5132</v>
      </c>
      <c r="D577" s="8" t="s">
        <v>359</v>
      </c>
      <c r="E577" s="8">
        <v>49802</v>
      </c>
      <c r="F577" s="8">
        <v>45.794955999999999</v>
      </c>
      <c r="G577" s="8">
        <v>-88.072070999999994</v>
      </c>
    </row>
    <row r="578" spans="1:7" ht="15.75" customHeight="1" x14ac:dyDescent="0.25">
      <c r="A578" s="8" t="s">
        <v>5133</v>
      </c>
      <c r="B578" s="8" t="s">
        <v>5134</v>
      </c>
      <c r="C578" s="8" t="s">
        <v>359</v>
      </c>
      <c r="D578" s="8" t="s">
        <v>359</v>
      </c>
      <c r="E578" s="8">
        <v>49854</v>
      </c>
      <c r="F578" s="8">
        <v>45.957790000000003</v>
      </c>
      <c r="G578" s="8">
        <v>-86.246419000000003</v>
      </c>
    </row>
    <row r="579" spans="1:7" ht="15.75" customHeight="1" x14ac:dyDescent="0.25">
      <c r="A579" s="8" t="s">
        <v>5135</v>
      </c>
      <c r="B579" s="8" t="s">
        <v>5136</v>
      </c>
      <c r="C579" s="8" t="s">
        <v>5137</v>
      </c>
      <c r="D579" s="8" t="s">
        <v>359</v>
      </c>
      <c r="E579" s="8">
        <v>49770</v>
      </c>
      <c r="F579" s="8">
        <v>45.373342999999998</v>
      </c>
      <c r="G579" s="8">
        <v>-84.955330000000004</v>
      </c>
    </row>
    <row r="580" spans="1:7" ht="15.75" customHeight="1" x14ac:dyDescent="0.25">
      <c r="A580" s="8" t="s">
        <v>5138</v>
      </c>
      <c r="B580" s="8" t="s">
        <v>5139</v>
      </c>
      <c r="C580" s="8" t="s">
        <v>359</v>
      </c>
      <c r="D580" s="8" t="s">
        <v>359</v>
      </c>
      <c r="E580" s="8">
        <v>49829</v>
      </c>
      <c r="F580" s="8">
        <v>45.745570700000002</v>
      </c>
      <c r="G580" s="8">
        <v>-87.064743399999998</v>
      </c>
    </row>
    <row r="581" spans="1:7" ht="15.75" customHeight="1" x14ac:dyDescent="0.25">
      <c r="A581" s="8" t="s">
        <v>5140</v>
      </c>
      <c r="B581" s="8" t="s">
        <v>5141</v>
      </c>
      <c r="C581" s="8" t="s">
        <v>5141</v>
      </c>
      <c r="D581" s="8" t="s">
        <v>359</v>
      </c>
      <c r="E581" s="8">
        <v>49858</v>
      </c>
      <c r="F581" s="8">
        <v>45.578574099999997</v>
      </c>
      <c r="G581" s="8">
        <v>-87.562158999999994</v>
      </c>
    </row>
    <row r="582" spans="1:7" ht="15.75" customHeight="1" x14ac:dyDescent="0.25">
      <c r="A582" s="8" t="s">
        <v>5142</v>
      </c>
      <c r="B582" s="8" t="s">
        <v>4423</v>
      </c>
      <c r="C582" s="8" t="s">
        <v>109</v>
      </c>
      <c r="D582" s="8" t="s">
        <v>359</v>
      </c>
      <c r="E582" s="8">
        <v>48879</v>
      </c>
      <c r="F582" s="8">
        <v>43.000928000000002</v>
      </c>
      <c r="G582" s="8">
        <v>-84.558509799999996</v>
      </c>
    </row>
    <row r="583" spans="1:7" ht="15.75" customHeight="1" x14ac:dyDescent="0.25">
      <c r="A583" s="8" t="s">
        <v>5143</v>
      </c>
      <c r="B583" s="8" t="s">
        <v>359</v>
      </c>
      <c r="C583" s="8" t="s">
        <v>2747</v>
      </c>
      <c r="D583" s="8" t="s">
        <v>359</v>
      </c>
      <c r="E583" s="8">
        <v>49117</v>
      </c>
      <c r="F583" s="8">
        <v>41.800319399999999</v>
      </c>
      <c r="G583" s="8">
        <v>-86.7206446</v>
      </c>
    </row>
    <row r="584" spans="1:7" ht="15.75" customHeight="1" x14ac:dyDescent="0.25">
      <c r="A584" s="8" t="s">
        <v>5144</v>
      </c>
      <c r="B584" s="8" t="s">
        <v>5145</v>
      </c>
      <c r="C584" s="8" t="s">
        <v>5146</v>
      </c>
      <c r="D584" s="8" t="s">
        <v>359</v>
      </c>
      <c r="E584" s="8">
        <v>49915</v>
      </c>
      <c r="F584" s="8">
        <v>46.064121999999998</v>
      </c>
      <c r="G584" s="8">
        <v>-88.631521000000006</v>
      </c>
    </row>
    <row r="585" spans="1:7" ht="15.75" customHeight="1" x14ac:dyDescent="0.25">
      <c r="A585" s="8" t="s">
        <v>5147</v>
      </c>
      <c r="B585" s="8" t="s">
        <v>365</v>
      </c>
      <c r="C585" s="8" t="s">
        <v>5148</v>
      </c>
      <c r="D585" s="8" t="s">
        <v>359</v>
      </c>
      <c r="E585" s="8">
        <v>48723</v>
      </c>
      <c r="F585" s="8">
        <v>43.491132</v>
      </c>
      <c r="G585" s="8">
        <v>-83.396896999999996</v>
      </c>
    </row>
    <row r="586" spans="1:7" ht="15.75" customHeight="1" x14ac:dyDescent="0.25">
      <c r="A586" s="8" t="s">
        <v>5149</v>
      </c>
      <c r="B586" s="8" t="s">
        <v>5150</v>
      </c>
      <c r="C586" s="8" t="s">
        <v>5151</v>
      </c>
      <c r="D586" s="8" t="s">
        <v>359</v>
      </c>
      <c r="E586" s="8">
        <v>48726</v>
      </c>
      <c r="F586" s="8">
        <v>43.600852000000003</v>
      </c>
      <c r="G586" s="8">
        <v>-83.174668999999994</v>
      </c>
    </row>
    <row r="587" spans="1:7" ht="15.75" customHeight="1" x14ac:dyDescent="0.25">
      <c r="A587" s="8" t="s">
        <v>5152</v>
      </c>
      <c r="B587" s="8" t="s">
        <v>5153</v>
      </c>
      <c r="C587" s="8" t="s">
        <v>5153</v>
      </c>
      <c r="D587" s="8" t="s">
        <v>359</v>
      </c>
      <c r="E587" s="8">
        <v>49720</v>
      </c>
      <c r="F587" s="8">
        <v>45.307499999999997</v>
      </c>
      <c r="G587" s="8">
        <v>-85.295400000000001</v>
      </c>
    </row>
    <row r="588" spans="1:7" ht="15.75" customHeight="1" x14ac:dyDescent="0.25">
      <c r="A588" s="8" t="s">
        <v>5154</v>
      </c>
      <c r="B588" s="8" t="s">
        <v>5155</v>
      </c>
      <c r="C588" s="8" t="s">
        <v>5156</v>
      </c>
      <c r="D588" s="8" t="s">
        <v>359</v>
      </c>
      <c r="E588" s="8">
        <v>49837</v>
      </c>
      <c r="F588" s="8">
        <v>45.852744000000001</v>
      </c>
      <c r="G588" s="8">
        <v>-87.021805000000001</v>
      </c>
    </row>
    <row r="589" spans="1:7" ht="15.75" customHeight="1" x14ac:dyDescent="0.25">
      <c r="A589" s="8" t="s">
        <v>5157</v>
      </c>
      <c r="B589" s="8" t="s">
        <v>5158</v>
      </c>
      <c r="C589" s="8" t="s">
        <v>5064</v>
      </c>
      <c r="D589" s="8" t="s">
        <v>359</v>
      </c>
      <c r="E589" s="8">
        <v>49788</v>
      </c>
      <c r="F589" s="8">
        <v>46.266612600000002</v>
      </c>
      <c r="G589" s="8">
        <v>-84.456668800000003</v>
      </c>
    </row>
    <row r="590" spans="1:7" ht="15.75" customHeight="1" x14ac:dyDescent="0.25">
      <c r="A590" s="8" t="s">
        <v>5159</v>
      </c>
      <c r="B590" s="8" t="s">
        <v>5160</v>
      </c>
      <c r="C590" s="8" t="s">
        <v>1440</v>
      </c>
      <c r="D590" s="8" t="s">
        <v>359</v>
      </c>
      <c r="E590" s="8">
        <v>49080</v>
      </c>
      <c r="F590" s="8">
        <v>42.440035700000003</v>
      </c>
      <c r="G590" s="8">
        <v>-85.648903500000003</v>
      </c>
    </row>
    <row r="591" spans="1:7" ht="15.75" customHeight="1" x14ac:dyDescent="0.25">
      <c r="A591" s="8" t="s">
        <v>5161</v>
      </c>
      <c r="B591" s="8"/>
      <c r="C591" s="8"/>
      <c r="D591" s="8" t="s">
        <v>359</v>
      </c>
      <c r="E591" s="8">
        <v>49779</v>
      </c>
      <c r="F591" s="8">
        <v>45.422137011300002</v>
      </c>
      <c r="G591" s="8">
        <v>-83.876733643700007</v>
      </c>
    </row>
    <row r="592" spans="1:7" ht="15.75" customHeight="1" x14ac:dyDescent="0.25">
      <c r="A592" s="8" t="s">
        <v>5162</v>
      </c>
      <c r="B592" s="8" t="s">
        <v>5163</v>
      </c>
      <c r="C592" s="8" t="s">
        <v>5164</v>
      </c>
      <c r="D592" s="8" t="s">
        <v>359</v>
      </c>
      <c r="E592" s="8">
        <v>48661</v>
      </c>
      <c r="F592" s="8">
        <v>44.2764083</v>
      </c>
      <c r="G592" s="8">
        <v>-84.238613200000003</v>
      </c>
    </row>
    <row r="593" spans="1:7" ht="15.75" customHeight="1" x14ac:dyDescent="0.25">
      <c r="A593" s="8" t="s">
        <v>5165</v>
      </c>
      <c r="B593" s="8" t="s">
        <v>5166</v>
      </c>
      <c r="C593" s="8" t="s">
        <v>5167</v>
      </c>
      <c r="D593" s="8" t="s">
        <v>359</v>
      </c>
      <c r="E593" s="8">
        <v>49247</v>
      </c>
      <c r="F593" s="8">
        <v>41.855047999999996</v>
      </c>
      <c r="G593" s="8">
        <v>-84.353835900000007</v>
      </c>
    </row>
    <row r="594" spans="1:7" ht="15.75" customHeight="1" x14ac:dyDescent="0.25">
      <c r="A594" s="8" t="s">
        <v>5168</v>
      </c>
      <c r="B594" s="8" t="s">
        <v>5169</v>
      </c>
      <c r="C594" s="8" t="s">
        <v>5148</v>
      </c>
      <c r="D594" s="8" t="s">
        <v>359</v>
      </c>
      <c r="E594" s="8">
        <v>48768</v>
      </c>
      <c r="F594" s="8">
        <v>43.371968000000003</v>
      </c>
      <c r="G594" s="8">
        <v>-83.583292</v>
      </c>
    </row>
    <row r="595" spans="1:7" ht="15.75" customHeight="1" x14ac:dyDescent="0.25">
      <c r="A595" s="8" t="s">
        <v>5170</v>
      </c>
      <c r="B595" s="8" t="s">
        <v>5171</v>
      </c>
      <c r="C595" s="8" t="s">
        <v>5171</v>
      </c>
      <c r="D595" s="8" t="s">
        <v>359</v>
      </c>
      <c r="E595" s="8">
        <v>48653</v>
      </c>
      <c r="F595" s="8">
        <v>44.332693200000001</v>
      </c>
      <c r="G595" s="8">
        <v>-84.616516399999995</v>
      </c>
    </row>
    <row r="596" spans="1:7" ht="15.75" customHeight="1" x14ac:dyDescent="0.25">
      <c r="A596" s="8" t="s">
        <v>5172</v>
      </c>
      <c r="B596" s="8" t="s">
        <v>5173</v>
      </c>
      <c r="C596" s="8" t="s">
        <v>2755</v>
      </c>
      <c r="D596" s="8" t="s">
        <v>359</v>
      </c>
      <c r="E596" s="8">
        <v>48616</v>
      </c>
      <c r="F596" s="8">
        <v>43.184747999999999</v>
      </c>
      <c r="G596" s="8">
        <v>-84.114975000000001</v>
      </c>
    </row>
    <row r="597" spans="1:7" ht="15.75" customHeight="1" x14ac:dyDescent="0.25">
      <c r="A597" s="8" t="s">
        <v>5174</v>
      </c>
      <c r="B597" s="8" t="s">
        <v>5175</v>
      </c>
      <c r="C597" s="8" t="s">
        <v>5176</v>
      </c>
      <c r="D597" s="8" t="s">
        <v>359</v>
      </c>
      <c r="E597" s="8">
        <v>48471</v>
      </c>
      <c r="F597" s="8">
        <v>43.420299</v>
      </c>
      <c r="G597" s="8">
        <v>-82.829656999999997</v>
      </c>
    </row>
    <row r="598" spans="1:7" ht="15.75" customHeight="1" x14ac:dyDescent="0.25">
      <c r="A598" s="8" t="s">
        <v>5177</v>
      </c>
      <c r="B598" s="8" t="s">
        <v>5178</v>
      </c>
      <c r="C598" s="8" t="s">
        <v>1446</v>
      </c>
      <c r="D598" s="8" t="s">
        <v>359</v>
      </c>
      <c r="E598" s="8">
        <v>48895</v>
      </c>
      <c r="F598" s="8">
        <v>42.689151000000003</v>
      </c>
      <c r="G598" s="8">
        <v>-84.283279800000003</v>
      </c>
    </row>
    <row r="599" spans="1:7" ht="15.75" customHeight="1" x14ac:dyDescent="0.25">
      <c r="A599" s="8" t="s">
        <v>5179</v>
      </c>
      <c r="B599" s="8" t="s">
        <v>5180</v>
      </c>
      <c r="C599" s="8" t="s">
        <v>5181</v>
      </c>
      <c r="D599" s="8" t="s">
        <v>359</v>
      </c>
      <c r="E599" s="8">
        <v>48105</v>
      </c>
      <c r="F599" s="8">
        <v>42.338369700000001</v>
      </c>
      <c r="G599" s="8">
        <v>-83.888555299999993</v>
      </c>
    </row>
    <row r="600" spans="1:7" ht="15.75" customHeight="1" x14ac:dyDescent="0.25">
      <c r="A600" s="8" t="s">
        <v>5182</v>
      </c>
      <c r="B600" s="8" t="s">
        <v>5183</v>
      </c>
      <c r="C600" s="8" t="s">
        <v>5183</v>
      </c>
      <c r="D600" s="8" t="s">
        <v>359</v>
      </c>
      <c r="E600" s="8">
        <v>48624</v>
      </c>
      <c r="F600" s="8">
        <v>43.974777400000001</v>
      </c>
      <c r="G600" s="8">
        <v>-84.387323499999994</v>
      </c>
    </row>
    <row r="601" spans="1:7" ht="15.75" customHeight="1" x14ac:dyDescent="0.25">
      <c r="A601" s="8" t="s">
        <v>5184</v>
      </c>
      <c r="B601" s="8" t="s">
        <v>5185</v>
      </c>
      <c r="C601" s="8" t="s">
        <v>1541</v>
      </c>
      <c r="D601" s="8" t="s">
        <v>359</v>
      </c>
      <c r="E601" s="8">
        <v>48189</v>
      </c>
      <c r="F601" s="8">
        <v>42.429769899999997</v>
      </c>
      <c r="G601" s="8">
        <v>-83.752573009299994</v>
      </c>
    </row>
    <row r="602" spans="1:7" ht="15.75" customHeight="1" x14ac:dyDescent="0.25">
      <c r="A602" s="8" t="s">
        <v>5186</v>
      </c>
      <c r="B602" s="8" t="s">
        <v>5187</v>
      </c>
      <c r="C602" s="8" t="s">
        <v>5141</v>
      </c>
      <c r="D602" s="8" t="s">
        <v>359</v>
      </c>
      <c r="E602" s="8">
        <v>49887</v>
      </c>
      <c r="F602" s="8">
        <v>45.415250999999998</v>
      </c>
      <c r="G602" s="8">
        <v>-87.607615999999993</v>
      </c>
    </row>
    <row r="603" spans="1:7" ht="15.75" customHeight="1" x14ac:dyDescent="0.25">
      <c r="A603" s="8" t="s">
        <v>5188</v>
      </c>
      <c r="B603" s="8" t="s">
        <v>5189</v>
      </c>
      <c r="C603" s="8" t="s">
        <v>2855</v>
      </c>
      <c r="D603" s="8" t="s">
        <v>376</v>
      </c>
      <c r="E603" s="8">
        <v>55806</v>
      </c>
      <c r="F603" s="8">
        <v>46.761924899999997</v>
      </c>
      <c r="G603" s="8">
        <v>-92.131325000000004</v>
      </c>
    </row>
    <row r="604" spans="1:7" ht="15.75" customHeight="1" x14ac:dyDescent="0.25">
      <c r="A604" s="8" t="s">
        <v>5190</v>
      </c>
      <c r="B604" s="8" t="s">
        <v>5191</v>
      </c>
      <c r="C604" s="8" t="s">
        <v>1346</v>
      </c>
      <c r="D604" s="8" t="s">
        <v>376</v>
      </c>
      <c r="E604" s="8">
        <v>55379</v>
      </c>
      <c r="F604" s="8">
        <v>44.798018599999999</v>
      </c>
      <c r="G604" s="8">
        <v>-93.526898599999996</v>
      </c>
    </row>
    <row r="605" spans="1:7" ht="15.75" customHeight="1" x14ac:dyDescent="0.25">
      <c r="A605" s="8" t="s">
        <v>5192</v>
      </c>
      <c r="B605" s="8" t="s">
        <v>5193</v>
      </c>
      <c r="C605" s="8" t="s">
        <v>5194</v>
      </c>
      <c r="D605" s="8" t="s">
        <v>376</v>
      </c>
      <c r="E605" s="8">
        <v>55901</v>
      </c>
      <c r="F605" s="8">
        <v>44.055855100000002</v>
      </c>
      <c r="G605" s="8">
        <v>-92.494436300000004</v>
      </c>
    </row>
    <row r="606" spans="1:7" ht="15.75" customHeight="1" x14ac:dyDescent="0.25">
      <c r="A606" s="8" t="s">
        <v>5195</v>
      </c>
      <c r="B606" s="8" t="s">
        <v>5196</v>
      </c>
      <c r="C606" s="8" t="s">
        <v>5197</v>
      </c>
      <c r="D606" s="8" t="s">
        <v>376</v>
      </c>
      <c r="E606" s="8">
        <v>56007</v>
      </c>
      <c r="F606" s="8">
        <v>43.648012700000002</v>
      </c>
      <c r="G606" s="8">
        <v>-93.368265600000001</v>
      </c>
    </row>
    <row r="607" spans="1:7" ht="15.75" customHeight="1" x14ac:dyDescent="0.25">
      <c r="A607" s="8" t="s">
        <v>5198</v>
      </c>
      <c r="B607" s="8" t="s">
        <v>2154</v>
      </c>
      <c r="C607" s="8" t="s">
        <v>5199</v>
      </c>
      <c r="D607" s="8" t="s">
        <v>376</v>
      </c>
      <c r="E607" s="8">
        <v>56301</v>
      </c>
      <c r="F607" s="8">
        <v>45.464731</v>
      </c>
      <c r="G607" s="8">
        <v>-94.1277051</v>
      </c>
    </row>
    <row r="608" spans="1:7" ht="15.75" customHeight="1" x14ac:dyDescent="0.25">
      <c r="A608" s="8" t="s">
        <v>5200</v>
      </c>
      <c r="B608" s="8" t="s">
        <v>5201</v>
      </c>
      <c r="C608" s="8" t="s">
        <v>1120</v>
      </c>
      <c r="D608" s="8" t="s">
        <v>376</v>
      </c>
      <c r="E608" s="8">
        <v>56002</v>
      </c>
      <c r="F608" s="8">
        <v>44.163466300000003</v>
      </c>
      <c r="G608" s="8">
        <v>-93.999350500000006</v>
      </c>
    </row>
    <row r="609" spans="1:7" ht="15.75" customHeight="1" x14ac:dyDescent="0.25">
      <c r="A609" s="8" t="s">
        <v>5202</v>
      </c>
      <c r="B609" s="8" t="s">
        <v>5203</v>
      </c>
      <c r="C609" s="8" t="s">
        <v>1500</v>
      </c>
      <c r="D609" s="8" t="s">
        <v>376</v>
      </c>
      <c r="E609" s="8">
        <v>56560</v>
      </c>
      <c r="F609" s="8">
        <v>46.873908100000001</v>
      </c>
      <c r="G609" s="8">
        <v>-96.753867400000004</v>
      </c>
    </row>
    <row r="610" spans="1:7" ht="15.75" customHeight="1" x14ac:dyDescent="0.25">
      <c r="A610" s="8" t="s">
        <v>5204</v>
      </c>
      <c r="B610" s="8" t="s">
        <v>5205</v>
      </c>
      <c r="C610" s="8" t="s">
        <v>5206</v>
      </c>
      <c r="D610" s="8" t="s">
        <v>376</v>
      </c>
      <c r="E610" s="8">
        <v>55912</v>
      </c>
      <c r="F610" s="8">
        <v>43.691663699999999</v>
      </c>
      <c r="G610" s="8">
        <v>-92.959029700000002</v>
      </c>
    </row>
    <row r="611" spans="1:7" ht="15.75" customHeight="1" x14ac:dyDescent="0.25">
      <c r="A611" s="8" t="s">
        <v>5207</v>
      </c>
      <c r="B611" s="8" t="s">
        <v>5208</v>
      </c>
      <c r="C611" s="8" t="s">
        <v>2819</v>
      </c>
      <c r="D611" s="8" t="s">
        <v>376</v>
      </c>
      <c r="E611" s="8">
        <v>55024</v>
      </c>
      <c r="F611" s="8">
        <v>44.642083</v>
      </c>
      <c r="G611" s="8">
        <v>-93.131579000000002</v>
      </c>
    </row>
    <row r="612" spans="1:7" ht="15.75" customHeight="1" x14ac:dyDescent="0.25">
      <c r="A612" s="8" t="s">
        <v>5209</v>
      </c>
      <c r="B612" s="8" t="s">
        <v>395</v>
      </c>
      <c r="C612" s="8" t="s">
        <v>3836</v>
      </c>
      <c r="D612" s="8" t="s">
        <v>376</v>
      </c>
      <c r="E612" s="8">
        <v>56156</v>
      </c>
      <c r="F612" s="8">
        <v>43.654234199999998</v>
      </c>
      <c r="G612" s="8">
        <v>-96.212781100000001</v>
      </c>
    </row>
    <row r="613" spans="1:7" ht="15.75" customHeight="1" x14ac:dyDescent="0.25">
      <c r="A613" s="8" t="s">
        <v>5210</v>
      </c>
      <c r="B613" s="8" t="s">
        <v>5211</v>
      </c>
      <c r="C613" s="8" t="s">
        <v>5212</v>
      </c>
      <c r="D613" s="8" t="s">
        <v>376</v>
      </c>
      <c r="E613" s="8">
        <v>56649</v>
      </c>
      <c r="F613" s="8">
        <v>48.586408239100003</v>
      </c>
      <c r="G613" s="8">
        <v>-93.3767054634</v>
      </c>
    </row>
    <row r="614" spans="1:7" ht="15.75" customHeight="1" x14ac:dyDescent="0.25">
      <c r="A614" s="8" t="s">
        <v>5213</v>
      </c>
      <c r="B614" s="8" t="s">
        <v>5214</v>
      </c>
      <c r="C614" s="8" t="s">
        <v>5215</v>
      </c>
      <c r="D614" s="8" t="s">
        <v>376</v>
      </c>
      <c r="E614" s="8">
        <v>56352</v>
      </c>
      <c r="F614" s="8">
        <v>45.674687300000002</v>
      </c>
      <c r="G614" s="8">
        <v>-94.807515199999997</v>
      </c>
    </row>
    <row r="615" spans="1:7" ht="15.75" customHeight="1" x14ac:dyDescent="0.25">
      <c r="A615" s="8" t="s">
        <v>5216</v>
      </c>
      <c r="B615" s="8" t="s">
        <v>527</v>
      </c>
      <c r="C615" s="8" t="s">
        <v>5217</v>
      </c>
      <c r="D615" s="8" t="s">
        <v>376</v>
      </c>
      <c r="E615" s="8">
        <v>55008</v>
      </c>
      <c r="F615" s="8">
        <v>45.572740799999998</v>
      </c>
      <c r="G615" s="8">
        <v>-93.224392100000003</v>
      </c>
    </row>
    <row r="616" spans="1:7" ht="15.75" customHeight="1" x14ac:dyDescent="0.25">
      <c r="A616" s="8" t="s">
        <v>5218</v>
      </c>
      <c r="B616" s="8" t="s">
        <v>5219</v>
      </c>
      <c r="C616" s="8" t="s">
        <v>5199</v>
      </c>
      <c r="D616" s="8" t="s">
        <v>376</v>
      </c>
      <c r="E616" s="8">
        <v>55330</v>
      </c>
      <c r="F616" s="8">
        <v>45.3040716</v>
      </c>
      <c r="G616" s="8">
        <v>-93.568248100000005</v>
      </c>
    </row>
    <row r="617" spans="1:7" ht="15.75" customHeight="1" x14ac:dyDescent="0.25">
      <c r="A617" s="8" t="s">
        <v>5220</v>
      </c>
      <c r="B617" s="8" t="s">
        <v>5221</v>
      </c>
      <c r="C617" s="8" t="s">
        <v>5222</v>
      </c>
      <c r="D617" s="8" t="s">
        <v>376</v>
      </c>
      <c r="E617" s="8">
        <v>56601</v>
      </c>
      <c r="F617" s="8">
        <v>47.478653999999999</v>
      </c>
      <c r="G617" s="8">
        <v>-94.890801999999994</v>
      </c>
    </row>
    <row r="618" spans="1:7" ht="15.75" customHeight="1" x14ac:dyDescent="0.25">
      <c r="A618" s="8" t="s">
        <v>5223</v>
      </c>
      <c r="B618" s="8" t="s">
        <v>5223</v>
      </c>
      <c r="C618" s="8" t="s">
        <v>5215</v>
      </c>
      <c r="D618" s="8" t="s">
        <v>376</v>
      </c>
      <c r="E618" s="8">
        <v>56320</v>
      </c>
      <c r="F618" s="8">
        <v>45.4557973</v>
      </c>
      <c r="G618" s="8">
        <v>-94.4288849</v>
      </c>
    </row>
    <row r="619" spans="1:7" ht="15.75" customHeight="1" x14ac:dyDescent="0.25">
      <c r="A619" s="8" t="s">
        <v>5224</v>
      </c>
      <c r="B619" s="8" t="s">
        <v>1331</v>
      </c>
      <c r="C619" s="8" t="s">
        <v>5225</v>
      </c>
      <c r="D619" s="8" t="s">
        <v>376</v>
      </c>
      <c r="E619" s="8">
        <v>55355</v>
      </c>
      <c r="F619" s="8">
        <v>45.127184700000001</v>
      </c>
      <c r="G619" s="8">
        <v>-94.528047400000005</v>
      </c>
    </row>
    <row r="620" spans="1:7" ht="15.75" customHeight="1" x14ac:dyDescent="0.25">
      <c r="A620" s="8" t="s">
        <v>5226</v>
      </c>
      <c r="B620" s="8" t="s">
        <v>1117</v>
      </c>
      <c r="C620" s="8" t="s">
        <v>1118</v>
      </c>
      <c r="D620" s="8" t="s">
        <v>376</v>
      </c>
      <c r="E620" s="8">
        <v>55066</v>
      </c>
      <c r="F620" s="8">
        <v>44.562476799999999</v>
      </c>
      <c r="G620" s="8">
        <v>-92.553616599999998</v>
      </c>
    </row>
    <row r="621" spans="1:7" ht="15.75" customHeight="1" x14ac:dyDescent="0.25">
      <c r="A621" s="8" t="s">
        <v>5227</v>
      </c>
      <c r="B621" s="8" t="s">
        <v>402</v>
      </c>
      <c r="C621" s="8" t="s">
        <v>5228</v>
      </c>
      <c r="D621" s="8" t="s">
        <v>376</v>
      </c>
      <c r="E621" s="8">
        <v>56031</v>
      </c>
      <c r="F621" s="8">
        <v>43.652177500000001</v>
      </c>
      <c r="G621" s="8">
        <v>-94.461083200000004</v>
      </c>
    </row>
    <row r="622" spans="1:7" ht="15.75" customHeight="1" x14ac:dyDescent="0.25">
      <c r="A622" s="8" t="s">
        <v>5229</v>
      </c>
      <c r="B622" s="8" t="s">
        <v>5230</v>
      </c>
      <c r="C622" s="8" t="s">
        <v>5231</v>
      </c>
      <c r="D622" s="8" t="s">
        <v>376</v>
      </c>
      <c r="E622" s="8">
        <v>55792</v>
      </c>
      <c r="F622" s="8">
        <v>47.523260000000001</v>
      </c>
      <c r="G622" s="8">
        <v>-92.536570999999995</v>
      </c>
    </row>
    <row r="623" spans="1:7" ht="15.75" customHeight="1" x14ac:dyDescent="0.25">
      <c r="A623" s="8" t="s">
        <v>5232</v>
      </c>
      <c r="B623" s="8" t="s">
        <v>5233</v>
      </c>
      <c r="C623" s="8" t="s">
        <v>5234</v>
      </c>
      <c r="D623" s="8" t="s">
        <v>376</v>
      </c>
      <c r="E623" s="8">
        <v>56187</v>
      </c>
      <c r="F623" s="8">
        <v>43.620505600000001</v>
      </c>
      <c r="G623" s="8">
        <v>-95.5956434</v>
      </c>
    </row>
    <row r="624" spans="1:7" ht="15.75" customHeight="1" x14ac:dyDescent="0.25">
      <c r="A624" s="8" t="s">
        <v>5235</v>
      </c>
      <c r="B624" s="8" t="s">
        <v>391</v>
      </c>
      <c r="C624" s="8" t="s">
        <v>5236</v>
      </c>
      <c r="D624" s="8" t="s">
        <v>376</v>
      </c>
      <c r="E624" s="8">
        <v>56538</v>
      </c>
      <c r="F624" s="8">
        <v>46.266803000000003</v>
      </c>
      <c r="G624" s="8">
        <v>-96.099525999999997</v>
      </c>
    </row>
    <row r="625" spans="1:7" ht="15.75" customHeight="1" x14ac:dyDescent="0.25">
      <c r="A625" s="8" t="s">
        <v>5237</v>
      </c>
      <c r="B625" s="8" t="s">
        <v>5238</v>
      </c>
      <c r="C625" s="8" t="s">
        <v>5239</v>
      </c>
      <c r="D625" s="8" t="s">
        <v>376</v>
      </c>
      <c r="E625" s="8">
        <v>55060</v>
      </c>
      <c r="F625" s="8">
        <v>44.083993700000001</v>
      </c>
      <c r="G625" s="8">
        <v>-93.226107600000006</v>
      </c>
    </row>
    <row r="626" spans="1:7" ht="15.75" customHeight="1" x14ac:dyDescent="0.25">
      <c r="A626" s="8" t="s">
        <v>5240</v>
      </c>
      <c r="B626" s="8" t="s">
        <v>5241</v>
      </c>
      <c r="C626" s="8" t="s">
        <v>1118</v>
      </c>
      <c r="D626" s="8" t="s">
        <v>376</v>
      </c>
      <c r="E626" s="8">
        <v>55992</v>
      </c>
      <c r="F626" s="8">
        <v>44.293966900000001</v>
      </c>
      <c r="G626" s="8">
        <v>-92.668914299999997</v>
      </c>
    </row>
    <row r="627" spans="1:7" ht="15.75" customHeight="1" x14ac:dyDescent="0.25">
      <c r="A627" s="8" t="s">
        <v>5242</v>
      </c>
      <c r="B627" s="8" t="s">
        <v>1120</v>
      </c>
      <c r="C627" s="8" t="s">
        <v>5243</v>
      </c>
      <c r="D627" s="8" t="s">
        <v>376</v>
      </c>
      <c r="E627" s="8">
        <v>56013</v>
      </c>
      <c r="F627" s="8">
        <v>43.656497000000002</v>
      </c>
      <c r="G627" s="8">
        <v>-94.095134000000002</v>
      </c>
    </row>
    <row r="628" spans="1:7" ht="15.75" customHeight="1" x14ac:dyDescent="0.25">
      <c r="A628" s="8" t="s">
        <v>5244</v>
      </c>
      <c r="B628" s="8" t="s">
        <v>5245</v>
      </c>
      <c r="C628" s="8" t="s">
        <v>4558</v>
      </c>
      <c r="D628" s="8" t="s">
        <v>443</v>
      </c>
      <c r="E628" s="8">
        <v>64633</v>
      </c>
      <c r="F628" s="8">
        <v>39.358350799999997</v>
      </c>
      <c r="G628" s="8">
        <v>-93.496131500000004</v>
      </c>
    </row>
    <row r="629" spans="1:7" ht="15.75" customHeight="1" x14ac:dyDescent="0.25">
      <c r="A629" s="8" t="s">
        <v>5246</v>
      </c>
      <c r="B629" s="8" t="s">
        <v>5247</v>
      </c>
      <c r="C629" s="8" t="s">
        <v>4745</v>
      </c>
      <c r="D629" s="8" t="s">
        <v>443</v>
      </c>
      <c r="E629" s="8">
        <v>65203</v>
      </c>
      <c r="F629" s="8">
        <v>38.9225566</v>
      </c>
      <c r="G629" s="8">
        <v>-92.3843502</v>
      </c>
    </row>
    <row r="630" spans="1:7" ht="15.75" customHeight="1" x14ac:dyDescent="0.25">
      <c r="A630" s="8" t="s">
        <v>5248</v>
      </c>
      <c r="B630" s="8" t="s">
        <v>5249</v>
      </c>
      <c r="C630" s="8" t="s">
        <v>5250</v>
      </c>
      <c r="D630" s="8" t="s">
        <v>443</v>
      </c>
      <c r="E630" s="8">
        <v>64801</v>
      </c>
      <c r="F630" s="8">
        <v>37.0842271</v>
      </c>
      <c r="G630" s="8">
        <v>-94.513281000000006</v>
      </c>
    </row>
    <row r="631" spans="1:7" ht="15.75" customHeight="1" x14ac:dyDescent="0.25">
      <c r="A631" s="8" t="s">
        <v>5251</v>
      </c>
      <c r="B631" s="8" t="s">
        <v>5249</v>
      </c>
      <c r="C631" s="8" t="s">
        <v>4951</v>
      </c>
      <c r="D631" s="8" t="s">
        <v>443</v>
      </c>
      <c r="E631" s="8">
        <v>64804</v>
      </c>
      <c r="F631" s="8">
        <v>37.0842271</v>
      </c>
      <c r="G631" s="8">
        <v>-94.513281000000006</v>
      </c>
    </row>
    <row r="632" spans="1:7" ht="15.75" customHeight="1" x14ac:dyDescent="0.25">
      <c r="A632" s="8" t="s">
        <v>5252</v>
      </c>
      <c r="B632" s="8" t="s">
        <v>5253</v>
      </c>
      <c r="C632" s="8" t="s">
        <v>4789</v>
      </c>
      <c r="D632" s="8" t="s">
        <v>443</v>
      </c>
      <c r="E632" s="8">
        <v>64120</v>
      </c>
      <c r="F632" s="8">
        <v>38.684307199999999</v>
      </c>
      <c r="G632" s="8">
        <v>-94.540835799999996</v>
      </c>
    </row>
    <row r="633" spans="1:7" ht="15.75" customHeight="1" x14ac:dyDescent="0.25">
      <c r="A633" s="8" t="s">
        <v>5254</v>
      </c>
      <c r="B633" s="8" t="s">
        <v>5255</v>
      </c>
      <c r="C633" s="8" t="s">
        <v>5256</v>
      </c>
      <c r="D633" s="8" t="s">
        <v>443</v>
      </c>
      <c r="E633" s="8">
        <v>63501</v>
      </c>
      <c r="F633" s="8">
        <v>40.194753900000002</v>
      </c>
      <c r="G633" s="8">
        <v>-92.583249600000002</v>
      </c>
    </row>
    <row r="634" spans="1:7" ht="15.75" customHeight="1" x14ac:dyDescent="0.25">
      <c r="A634" s="8" t="s">
        <v>5257</v>
      </c>
      <c r="B634" s="8" t="s">
        <v>5258</v>
      </c>
      <c r="C634" s="8" t="s">
        <v>5259</v>
      </c>
      <c r="D634" s="8" t="s">
        <v>443</v>
      </c>
      <c r="E634" s="8">
        <v>65265</v>
      </c>
      <c r="F634" s="8">
        <v>39.169762599999999</v>
      </c>
      <c r="G634" s="8">
        <v>-91.882948400000004</v>
      </c>
    </row>
    <row r="635" spans="1:7" ht="15.75" customHeight="1" x14ac:dyDescent="0.25">
      <c r="A635" s="8" t="s">
        <v>5260</v>
      </c>
      <c r="B635" s="8" t="s">
        <v>5261</v>
      </c>
      <c r="C635" s="8" t="s">
        <v>5262</v>
      </c>
      <c r="D635" s="8" t="s">
        <v>443</v>
      </c>
      <c r="E635" s="8">
        <v>65301</v>
      </c>
      <c r="F635" s="8">
        <v>38.7113485</v>
      </c>
      <c r="G635" s="8">
        <v>-93.228236699999997</v>
      </c>
    </row>
    <row r="636" spans="1:7" ht="15.75" customHeight="1" x14ac:dyDescent="0.25">
      <c r="A636" s="8" t="s">
        <v>5263</v>
      </c>
      <c r="B636" s="8" t="s">
        <v>4688</v>
      </c>
      <c r="C636" s="8" t="s">
        <v>5264</v>
      </c>
      <c r="D636" s="8" t="s">
        <v>443</v>
      </c>
      <c r="E636" s="8">
        <v>65801</v>
      </c>
      <c r="F636" s="8">
        <v>37.216677900000001</v>
      </c>
      <c r="G636" s="8">
        <v>-93.292037300000004</v>
      </c>
    </row>
    <row r="637" spans="1:7" ht="15.75" customHeight="1" x14ac:dyDescent="0.25">
      <c r="A637" s="8" t="s">
        <v>5265</v>
      </c>
      <c r="B637" s="8" t="s">
        <v>5053</v>
      </c>
      <c r="C637" s="8" t="s">
        <v>5266</v>
      </c>
      <c r="D637" s="8" t="s">
        <v>443</v>
      </c>
      <c r="E637" s="8">
        <v>64504</v>
      </c>
      <c r="F637" s="8">
        <v>39.714562000000001</v>
      </c>
      <c r="G637" s="8">
        <v>-94.865741</v>
      </c>
    </row>
    <row r="638" spans="1:7" ht="15.75" customHeight="1" x14ac:dyDescent="0.25">
      <c r="A638" s="8" t="s">
        <v>5267</v>
      </c>
      <c r="B638" s="8" t="s">
        <v>5268</v>
      </c>
      <c r="C638" s="8" t="s">
        <v>5268</v>
      </c>
      <c r="D638" s="8" t="s">
        <v>443</v>
      </c>
      <c r="E638" s="8">
        <v>63146</v>
      </c>
      <c r="F638" s="8">
        <v>38.691032300000003</v>
      </c>
      <c r="G638" s="8">
        <v>-90.429546000000002</v>
      </c>
    </row>
    <row r="639" spans="1:7" ht="15.75" customHeight="1" x14ac:dyDescent="0.25">
      <c r="A639" s="8" t="s">
        <v>5269</v>
      </c>
      <c r="B639" s="8" t="s">
        <v>5270</v>
      </c>
      <c r="C639" s="8" t="s">
        <v>5271</v>
      </c>
      <c r="D639" s="8" t="s">
        <v>1494</v>
      </c>
      <c r="E639" s="8">
        <v>39503</v>
      </c>
      <c r="F639" s="8">
        <v>30.3674198</v>
      </c>
      <c r="G639" s="8">
        <v>-89.0928155</v>
      </c>
    </row>
    <row r="640" spans="1:7" ht="15.75" customHeight="1" x14ac:dyDescent="0.25">
      <c r="A640" s="8" t="s">
        <v>5272</v>
      </c>
      <c r="B640" s="8" t="s">
        <v>5273</v>
      </c>
      <c r="C640" s="8" t="s">
        <v>5274</v>
      </c>
      <c r="D640" s="8" t="s">
        <v>1494</v>
      </c>
      <c r="E640" s="8">
        <v>39180</v>
      </c>
      <c r="F640" s="8">
        <v>32.3026073184</v>
      </c>
      <c r="G640" s="8">
        <v>-90.8589705001</v>
      </c>
    </row>
    <row r="641" spans="1:7" ht="15.75" customHeight="1" x14ac:dyDescent="0.25">
      <c r="A641" s="8" t="s">
        <v>5275</v>
      </c>
      <c r="B641" s="8" t="s">
        <v>5276</v>
      </c>
      <c r="C641" s="8" t="s">
        <v>5277</v>
      </c>
      <c r="D641" s="8" t="s">
        <v>1506</v>
      </c>
      <c r="E641" s="8">
        <v>59111</v>
      </c>
      <c r="F641" s="8">
        <v>45.787495700000001</v>
      </c>
      <c r="G641" s="8">
        <v>-108.49607</v>
      </c>
    </row>
    <row r="642" spans="1:7" ht="15.75" customHeight="1" x14ac:dyDescent="0.25">
      <c r="A642" s="8" t="s">
        <v>5278</v>
      </c>
      <c r="B642" s="8" t="s">
        <v>5279</v>
      </c>
      <c r="C642" s="8" t="s">
        <v>5280</v>
      </c>
      <c r="D642" s="8" t="s">
        <v>1506</v>
      </c>
      <c r="E642" s="8">
        <v>59404</v>
      </c>
      <c r="F642" s="8">
        <v>47.504885100000003</v>
      </c>
      <c r="G642" s="8">
        <v>-111.2918908</v>
      </c>
    </row>
    <row r="643" spans="1:7" ht="15.75" customHeight="1" x14ac:dyDescent="0.25">
      <c r="A643" s="8" t="s">
        <v>5281</v>
      </c>
      <c r="B643" s="8" t="s">
        <v>5282</v>
      </c>
      <c r="C643" s="8" t="s">
        <v>5282</v>
      </c>
      <c r="D643" s="8" t="s">
        <v>1506</v>
      </c>
      <c r="E643" s="8">
        <v>59808</v>
      </c>
      <c r="F643" s="8">
        <v>46.870080100000003</v>
      </c>
      <c r="G643" s="8">
        <v>-113.9952796</v>
      </c>
    </row>
    <row r="644" spans="1:7" ht="15.75" customHeight="1" x14ac:dyDescent="0.25">
      <c r="A644" s="8" t="s">
        <v>5283</v>
      </c>
      <c r="B644" s="8" t="s">
        <v>5284</v>
      </c>
      <c r="C644" s="8" t="s">
        <v>5285</v>
      </c>
      <c r="D644" s="8" t="s">
        <v>1506</v>
      </c>
      <c r="E644" s="8">
        <v>59602</v>
      </c>
      <c r="F644" s="8">
        <v>46.592711999999999</v>
      </c>
      <c r="G644" s="8">
        <v>-112.036109</v>
      </c>
    </row>
    <row r="645" spans="1:7" ht="15.75" customHeight="1" x14ac:dyDescent="0.25">
      <c r="A645" s="8" t="s">
        <v>5286</v>
      </c>
      <c r="B645" s="8" t="s">
        <v>5287</v>
      </c>
      <c r="C645" s="8" t="s">
        <v>5288</v>
      </c>
      <c r="D645" s="8" t="s">
        <v>1506</v>
      </c>
      <c r="E645" s="8">
        <v>59718</v>
      </c>
      <c r="F645" s="8">
        <v>45.679983999999997</v>
      </c>
      <c r="G645" s="8">
        <v>-111.044675</v>
      </c>
    </row>
    <row r="646" spans="1:7" ht="15.75" customHeight="1" x14ac:dyDescent="0.25">
      <c r="A646" s="8" t="s">
        <v>5289</v>
      </c>
      <c r="B646" s="8" t="s">
        <v>5290</v>
      </c>
      <c r="C646" s="8" t="s">
        <v>5291</v>
      </c>
      <c r="D646" s="8" t="s">
        <v>1506</v>
      </c>
      <c r="E646" s="8">
        <v>59457</v>
      </c>
      <c r="F646" s="8">
        <v>47.062472999999997</v>
      </c>
      <c r="G646" s="8">
        <v>-109.42823799999999</v>
      </c>
    </row>
    <row r="647" spans="1:7" ht="15.75" customHeight="1" x14ac:dyDescent="0.25">
      <c r="A647" s="8" t="s">
        <v>5292</v>
      </c>
      <c r="B647" s="8" t="s">
        <v>4804</v>
      </c>
      <c r="C647" s="8" t="s">
        <v>5293</v>
      </c>
      <c r="D647" s="8" t="s">
        <v>1506</v>
      </c>
      <c r="E647" s="8">
        <v>59047</v>
      </c>
      <c r="F647" s="8">
        <v>45.662436</v>
      </c>
      <c r="G647" s="8">
        <v>-110.56104000000001</v>
      </c>
    </row>
    <row r="648" spans="1:7" ht="15.75" customHeight="1" x14ac:dyDescent="0.25">
      <c r="A648" s="8" t="s">
        <v>5294</v>
      </c>
      <c r="B648" s="8" t="s">
        <v>5295</v>
      </c>
      <c r="C648" s="8" t="s">
        <v>5296</v>
      </c>
      <c r="D648" s="8" t="s">
        <v>1506</v>
      </c>
      <c r="E648" s="8">
        <v>59903</v>
      </c>
      <c r="F648" s="8">
        <v>48.202256300000002</v>
      </c>
      <c r="G648" s="8">
        <v>-114.3167117</v>
      </c>
    </row>
    <row r="649" spans="1:7" ht="15.75" customHeight="1" x14ac:dyDescent="0.25">
      <c r="A649" s="8" t="s">
        <v>5297</v>
      </c>
      <c r="B649" s="8" t="s">
        <v>5298</v>
      </c>
      <c r="C649" s="8" t="s">
        <v>5299</v>
      </c>
      <c r="D649" s="8" t="s">
        <v>455</v>
      </c>
      <c r="E649" s="8">
        <v>28134</v>
      </c>
      <c r="F649" s="8">
        <v>35.0832014</v>
      </c>
      <c r="G649" s="8">
        <v>-80.892295700000005</v>
      </c>
    </row>
    <row r="650" spans="1:7" ht="15.75" customHeight="1" x14ac:dyDescent="0.25">
      <c r="A650" s="8" t="s">
        <v>5300</v>
      </c>
      <c r="B650" s="8" t="s">
        <v>3125</v>
      </c>
      <c r="C650" s="8" t="s">
        <v>3126</v>
      </c>
      <c r="D650" s="8" t="s">
        <v>455</v>
      </c>
      <c r="E650" s="8">
        <v>27103</v>
      </c>
      <c r="F650" s="8">
        <v>36.077642699999998</v>
      </c>
      <c r="G650" s="8">
        <v>-80.302243500000003</v>
      </c>
    </row>
    <row r="651" spans="1:7" ht="15.75" customHeight="1" x14ac:dyDescent="0.25">
      <c r="A651" s="8" t="s">
        <v>5301</v>
      </c>
      <c r="B651" s="8" t="s">
        <v>3106</v>
      </c>
      <c r="C651" s="8" t="s">
        <v>1114</v>
      </c>
      <c r="D651" s="8" t="s">
        <v>455</v>
      </c>
      <c r="E651" s="8">
        <v>28302</v>
      </c>
      <c r="F651" s="8">
        <v>35.052575900000001</v>
      </c>
      <c r="G651" s="8">
        <v>-78.878292000000002</v>
      </c>
    </row>
    <row r="652" spans="1:7" ht="15.75" customHeight="1" x14ac:dyDescent="0.25">
      <c r="A652" s="8" t="s">
        <v>5302</v>
      </c>
      <c r="B652" s="8" t="s">
        <v>3125</v>
      </c>
      <c r="C652" s="8" t="s">
        <v>3126</v>
      </c>
      <c r="D652" s="8" t="s">
        <v>455</v>
      </c>
      <c r="E652" s="8">
        <v>27103</v>
      </c>
      <c r="F652" s="8">
        <v>36.077642699999998</v>
      </c>
      <c r="G652" s="8">
        <v>-80.302243500000003</v>
      </c>
    </row>
    <row r="653" spans="1:7" ht="15.75" customHeight="1" x14ac:dyDescent="0.25">
      <c r="A653" s="8" t="s">
        <v>5303</v>
      </c>
      <c r="B653" s="8" t="s">
        <v>3093</v>
      </c>
      <c r="C653" s="8" t="s">
        <v>5304</v>
      </c>
      <c r="D653" s="8" t="s">
        <v>455</v>
      </c>
      <c r="E653" s="8">
        <v>27704</v>
      </c>
      <c r="F653" s="8">
        <v>36.094076999999999</v>
      </c>
      <c r="G653" s="8">
        <v>-78.826550999999995</v>
      </c>
    </row>
    <row r="654" spans="1:7" ht="15.75" customHeight="1" x14ac:dyDescent="0.25">
      <c r="A654" s="8" t="s">
        <v>5305</v>
      </c>
      <c r="B654" s="8" t="s">
        <v>5306</v>
      </c>
      <c r="C654" s="8" t="s">
        <v>3093</v>
      </c>
      <c r="D654" s="8" t="s">
        <v>455</v>
      </c>
      <c r="E654" s="8">
        <v>27517</v>
      </c>
      <c r="F654" s="8">
        <v>35.912344276200002</v>
      </c>
      <c r="G654" s="8">
        <v>-79.019385473499995</v>
      </c>
    </row>
    <row r="655" spans="1:7" ht="15.75" customHeight="1" x14ac:dyDescent="0.25">
      <c r="A655" s="8" t="s">
        <v>5307</v>
      </c>
      <c r="B655" s="8" t="s">
        <v>2206</v>
      </c>
      <c r="C655" s="8" t="s">
        <v>5299</v>
      </c>
      <c r="D655" s="8" t="s">
        <v>455</v>
      </c>
      <c r="E655" s="8">
        <v>28210</v>
      </c>
      <c r="F655" s="8">
        <v>35.148154499999997</v>
      </c>
      <c r="G655" s="8">
        <v>-80.850676899999996</v>
      </c>
    </row>
    <row r="656" spans="1:7" ht="15.75" customHeight="1" x14ac:dyDescent="0.25">
      <c r="A656" s="8" t="s">
        <v>5308</v>
      </c>
      <c r="B656" s="8" t="s">
        <v>5309</v>
      </c>
      <c r="C656" s="8" t="s">
        <v>5310</v>
      </c>
      <c r="D656" s="8" t="s">
        <v>455</v>
      </c>
      <c r="E656" s="8">
        <v>28052</v>
      </c>
      <c r="F656" s="8">
        <v>35.262081999999999</v>
      </c>
      <c r="G656" s="8">
        <v>-81.187300500000006</v>
      </c>
    </row>
    <row r="657" spans="1:7" ht="15.75" customHeight="1" x14ac:dyDescent="0.25">
      <c r="A657" s="8" t="s">
        <v>5311</v>
      </c>
      <c r="B657" s="8" t="s">
        <v>2206</v>
      </c>
      <c r="C657" s="8" t="s">
        <v>5299</v>
      </c>
      <c r="D657" s="8" t="s">
        <v>455</v>
      </c>
      <c r="E657" s="8">
        <v>28217</v>
      </c>
      <c r="F657" s="8">
        <v>35.227086900000003</v>
      </c>
      <c r="G657" s="8">
        <v>-80.843126799999993</v>
      </c>
    </row>
    <row r="658" spans="1:7" ht="15.75" customHeight="1" x14ac:dyDescent="0.25">
      <c r="A658" s="8" t="s">
        <v>5312</v>
      </c>
      <c r="B658" s="8" t="s">
        <v>1556</v>
      </c>
      <c r="C658" s="8" t="s">
        <v>5313</v>
      </c>
      <c r="D658" s="8" t="s">
        <v>455</v>
      </c>
      <c r="E658" s="8">
        <v>27893</v>
      </c>
      <c r="F658" s="8">
        <v>35.721268899999998</v>
      </c>
      <c r="G658" s="8">
        <v>-77.915539499999994</v>
      </c>
    </row>
    <row r="659" spans="1:7" ht="15.75" customHeight="1" x14ac:dyDescent="0.25">
      <c r="A659" s="8" t="s">
        <v>5314</v>
      </c>
      <c r="B659" s="8" t="s">
        <v>5315</v>
      </c>
      <c r="C659" s="8" t="s">
        <v>4048</v>
      </c>
      <c r="D659" s="8" t="s">
        <v>455</v>
      </c>
      <c r="E659" s="8">
        <v>27510</v>
      </c>
      <c r="F659" s="8">
        <v>35.9107512</v>
      </c>
      <c r="G659" s="8">
        <v>-79.081452299999995</v>
      </c>
    </row>
    <row r="660" spans="1:7" ht="15.75" customHeight="1" x14ac:dyDescent="0.25">
      <c r="A660" s="8" t="s">
        <v>5316</v>
      </c>
      <c r="B660" s="8" t="s">
        <v>2111</v>
      </c>
      <c r="C660" s="8" t="s">
        <v>5317</v>
      </c>
      <c r="D660" s="8" t="s">
        <v>455</v>
      </c>
      <c r="E660" s="8">
        <v>28412</v>
      </c>
      <c r="F660" s="8">
        <v>34.225728199999999</v>
      </c>
      <c r="G660" s="8">
        <v>-77.944710700000002</v>
      </c>
    </row>
    <row r="661" spans="1:7" ht="15.75" customHeight="1" x14ac:dyDescent="0.25">
      <c r="A661" s="8" t="s">
        <v>5318</v>
      </c>
      <c r="B661" s="8" t="s">
        <v>5319</v>
      </c>
      <c r="C661" s="8" t="s">
        <v>5320</v>
      </c>
      <c r="D661" s="8" t="s">
        <v>455</v>
      </c>
      <c r="E661" s="8">
        <v>27203</v>
      </c>
      <c r="F661" s="8">
        <v>35.734500500000003</v>
      </c>
      <c r="G661" s="8">
        <v>-79.818829699999995</v>
      </c>
    </row>
    <row r="662" spans="1:7" ht="15.75" customHeight="1" x14ac:dyDescent="0.25">
      <c r="A662" s="8" t="s">
        <v>5321</v>
      </c>
      <c r="B662" s="8" t="s">
        <v>5322</v>
      </c>
      <c r="C662" s="8" t="s">
        <v>5323</v>
      </c>
      <c r="D662" s="8" t="s">
        <v>455</v>
      </c>
      <c r="E662" s="8">
        <v>27870</v>
      </c>
      <c r="F662" s="8">
        <v>36.461075600000001</v>
      </c>
      <c r="G662" s="8">
        <v>-77.654802599999996</v>
      </c>
    </row>
    <row r="663" spans="1:7" ht="15.75" customHeight="1" x14ac:dyDescent="0.25">
      <c r="A663" s="8" t="s">
        <v>5324</v>
      </c>
      <c r="B663" s="8"/>
      <c r="C663" s="8"/>
      <c r="D663" s="8" t="s">
        <v>455</v>
      </c>
      <c r="E663" s="8">
        <v>28405</v>
      </c>
      <c r="F663" s="8">
        <v>34.260244975900001</v>
      </c>
      <c r="G663" s="8">
        <v>-77.858166890999996</v>
      </c>
    </row>
    <row r="664" spans="1:7" ht="15.75" customHeight="1" x14ac:dyDescent="0.25">
      <c r="A664" s="8" t="s">
        <v>5325</v>
      </c>
      <c r="B664" s="8" t="s">
        <v>5326</v>
      </c>
      <c r="C664" s="8" t="s">
        <v>5327</v>
      </c>
      <c r="D664" s="8" t="s">
        <v>455</v>
      </c>
      <c r="E664" s="8">
        <v>28092</v>
      </c>
      <c r="F664" s="8">
        <v>35.473745000000001</v>
      </c>
      <c r="G664" s="8">
        <v>-81.254525099999995</v>
      </c>
    </row>
    <row r="665" spans="1:7" ht="15.75" customHeight="1" x14ac:dyDescent="0.25">
      <c r="A665" s="8" t="s">
        <v>5328</v>
      </c>
      <c r="B665" s="8" t="s">
        <v>2206</v>
      </c>
      <c r="C665" s="8" t="s">
        <v>5299</v>
      </c>
      <c r="D665" s="8" t="s">
        <v>455</v>
      </c>
      <c r="E665" s="8">
        <v>28262</v>
      </c>
      <c r="F665" s="8">
        <v>35.313136299999996</v>
      </c>
      <c r="G665" s="8">
        <v>-80.743903599999996</v>
      </c>
    </row>
    <row r="666" spans="1:7" ht="15.75" customHeight="1" x14ac:dyDescent="0.25">
      <c r="A666" s="8" t="s">
        <v>5329</v>
      </c>
      <c r="B666" s="8" t="s">
        <v>5330</v>
      </c>
      <c r="C666" s="8" t="s">
        <v>5299</v>
      </c>
      <c r="D666" s="8" t="s">
        <v>455</v>
      </c>
      <c r="E666" s="8">
        <v>28078</v>
      </c>
      <c r="F666" s="8">
        <v>35.410845000000002</v>
      </c>
      <c r="G666" s="8">
        <v>-80.842909399999996</v>
      </c>
    </row>
    <row r="667" spans="1:7" ht="15.75" customHeight="1" x14ac:dyDescent="0.25">
      <c r="A667" s="8" t="s">
        <v>5331</v>
      </c>
      <c r="B667" s="8" t="s">
        <v>5332</v>
      </c>
      <c r="C667" s="8" t="s">
        <v>5333</v>
      </c>
      <c r="D667" s="8" t="s">
        <v>455</v>
      </c>
      <c r="E667" s="8">
        <v>27537</v>
      </c>
      <c r="F667" s="8">
        <v>36.329590500000002</v>
      </c>
      <c r="G667" s="8">
        <v>-78.399163799999997</v>
      </c>
    </row>
    <row r="668" spans="1:7" ht="15.75" customHeight="1" x14ac:dyDescent="0.25">
      <c r="A668" s="8" t="s">
        <v>5334</v>
      </c>
      <c r="B668" s="8" t="s">
        <v>5335</v>
      </c>
      <c r="C668" s="8" t="s">
        <v>5336</v>
      </c>
      <c r="D668" s="8" t="s">
        <v>455</v>
      </c>
      <c r="E668" s="8">
        <v>29777</v>
      </c>
      <c r="F668" s="8">
        <v>35.922636900000001</v>
      </c>
      <c r="G668" s="8">
        <v>-82.086462100000006</v>
      </c>
    </row>
    <row r="669" spans="1:7" ht="15.75" customHeight="1" x14ac:dyDescent="0.25">
      <c r="A669" s="8" t="s">
        <v>5337</v>
      </c>
      <c r="B669" s="8" t="s">
        <v>5338</v>
      </c>
      <c r="C669" s="8" t="s">
        <v>4373</v>
      </c>
      <c r="D669" s="8" t="s">
        <v>455</v>
      </c>
      <c r="E669" s="8">
        <v>28782</v>
      </c>
      <c r="F669" s="8">
        <v>35.208169499999997</v>
      </c>
      <c r="G669" s="8">
        <v>-82.238447899999997</v>
      </c>
    </row>
    <row r="670" spans="1:7" ht="15.75" customHeight="1" x14ac:dyDescent="0.25">
      <c r="A670" s="8" t="s">
        <v>5339</v>
      </c>
      <c r="B670" s="8" t="s">
        <v>5340</v>
      </c>
      <c r="C670" s="8" t="s">
        <v>5341</v>
      </c>
      <c r="D670" s="8" t="s">
        <v>455</v>
      </c>
      <c r="E670" s="8">
        <v>28785</v>
      </c>
      <c r="F670" s="8">
        <v>35.488747600000004</v>
      </c>
      <c r="G670" s="8">
        <v>-82.988872499999999</v>
      </c>
    </row>
    <row r="671" spans="1:7" ht="15.75" customHeight="1" x14ac:dyDescent="0.25">
      <c r="A671" s="8" t="s">
        <v>5342</v>
      </c>
      <c r="B671" s="8" t="s">
        <v>5343</v>
      </c>
      <c r="C671" s="8" t="s">
        <v>5344</v>
      </c>
      <c r="D671" s="8" t="s">
        <v>455</v>
      </c>
      <c r="E671" s="8">
        <v>28377</v>
      </c>
      <c r="F671" s="8">
        <v>34.815157999999997</v>
      </c>
      <c r="G671" s="8">
        <v>-79.1837649</v>
      </c>
    </row>
    <row r="672" spans="1:7" ht="15.75" customHeight="1" x14ac:dyDescent="0.25">
      <c r="A672" s="8" t="s">
        <v>5345</v>
      </c>
      <c r="B672" s="8" t="s">
        <v>5346</v>
      </c>
      <c r="C672" s="8" t="s">
        <v>5347</v>
      </c>
      <c r="D672" s="8" t="s">
        <v>455</v>
      </c>
      <c r="E672" s="8">
        <v>28373</v>
      </c>
      <c r="F672" s="8">
        <v>35.109879499999998</v>
      </c>
      <c r="G672" s="8">
        <v>-79.4722589</v>
      </c>
    </row>
    <row r="673" spans="1:7" ht="15.75" customHeight="1" x14ac:dyDescent="0.25">
      <c r="A673" s="8" t="s">
        <v>5348</v>
      </c>
      <c r="B673" s="8" t="s">
        <v>5349</v>
      </c>
      <c r="C673" s="8" t="s">
        <v>5350</v>
      </c>
      <c r="D673" s="8" t="s">
        <v>455</v>
      </c>
      <c r="E673" s="8">
        <v>28170</v>
      </c>
      <c r="F673" s="8">
        <v>34.968209700000003</v>
      </c>
      <c r="G673" s="8">
        <v>-80.076726600000001</v>
      </c>
    </row>
    <row r="674" spans="1:7" ht="15.75" customHeight="1" x14ac:dyDescent="0.25">
      <c r="A674" s="8" t="s">
        <v>5351</v>
      </c>
      <c r="B674" s="8" t="s">
        <v>5352</v>
      </c>
      <c r="C674" s="8" t="s">
        <v>5310</v>
      </c>
      <c r="D674" s="8" t="s">
        <v>455</v>
      </c>
      <c r="E674" s="8">
        <v>28052</v>
      </c>
      <c r="F674" s="8">
        <v>35.262081999999999</v>
      </c>
      <c r="G674" s="8">
        <v>-81.187300500000006</v>
      </c>
    </row>
    <row r="675" spans="1:7" ht="15.75" customHeight="1" x14ac:dyDescent="0.25">
      <c r="A675" s="8" t="s">
        <v>5353</v>
      </c>
      <c r="B675" s="8" t="s">
        <v>3190</v>
      </c>
      <c r="C675" s="8" t="s">
        <v>5354</v>
      </c>
      <c r="D675" s="8" t="s">
        <v>459</v>
      </c>
      <c r="E675" s="8">
        <v>58102</v>
      </c>
      <c r="F675" s="8">
        <v>46.880985950000003</v>
      </c>
      <c r="G675" s="8">
        <v>-96.785123999999996</v>
      </c>
    </row>
    <row r="676" spans="1:7" ht="15.75" customHeight="1" x14ac:dyDescent="0.25">
      <c r="A676" s="8" t="s">
        <v>5355</v>
      </c>
      <c r="B676" s="8" t="s">
        <v>5356</v>
      </c>
      <c r="C676" s="8" t="s">
        <v>5357</v>
      </c>
      <c r="D676" s="8" t="s">
        <v>459</v>
      </c>
      <c r="E676" s="8">
        <v>58504</v>
      </c>
      <c r="F676" s="8">
        <v>46.808326999999998</v>
      </c>
      <c r="G676" s="8">
        <v>-100.783739</v>
      </c>
    </row>
    <row r="677" spans="1:7" ht="15.75" customHeight="1" x14ac:dyDescent="0.25">
      <c r="A677" s="8" t="s">
        <v>5358</v>
      </c>
      <c r="B677" s="8" t="s">
        <v>5359</v>
      </c>
      <c r="C677" s="8" t="s">
        <v>4934</v>
      </c>
      <c r="D677" s="8" t="s">
        <v>475</v>
      </c>
      <c r="E677" s="8">
        <v>68107</v>
      </c>
      <c r="F677" s="8">
        <v>41.2497799</v>
      </c>
      <c r="G677" s="8">
        <v>-95.927153399999995</v>
      </c>
    </row>
    <row r="678" spans="1:7" ht="15.75" customHeight="1" x14ac:dyDescent="0.25">
      <c r="A678" s="8" t="s">
        <v>5360</v>
      </c>
      <c r="B678" s="8" t="s">
        <v>5361</v>
      </c>
      <c r="C678" s="8" t="s">
        <v>5362</v>
      </c>
      <c r="D678" s="8" t="s">
        <v>475</v>
      </c>
      <c r="E678" s="8">
        <v>68005</v>
      </c>
      <c r="F678" s="8">
        <v>41.136649400000003</v>
      </c>
      <c r="G678" s="8">
        <v>-95.890737299999998</v>
      </c>
    </row>
    <row r="679" spans="1:7" ht="15.75" customHeight="1" x14ac:dyDescent="0.25">
      <c r="A679" s="8" t="s">
        <v>5363</v>
      </c>
      <c r="B679" s="8" t="s">
        <v>5327</v>
      </c>
      <c r="C679" s="8" t="s">
        <v>5364</v>
      </c>
      <c r="D679" s="8" t="s">
        <v>475</v>
      </c>
      <c r="E679" s="8">
        <v>68521</v>
      </c>
      <c r="F679" s="8">
        <v>40.799999999999997</v>
      </c>
      <c r="G679" s="8">
        <v>-96.667821000000004</v>
      </c>
    </row>
    <row r="680" spans="1:7" ht="15.75" customHeight="1" x14ac:dyDescent="0.25">
      <c r="A680" s="8" t="s">
        <v>5365</v>
      </c>
      <c r="B680" s="8" t="s">
        <v>5327</v>
      </c>
      <c r="C680" s="8" t="s">
        <v>5364</v>
      </c>
      <c r="D680" s="8" t="s">
        <v>475</v>
      </c>
      <c r="E680" s="8">
        <v>68507</v>
      </c>
      <c r="F680" s="8">
        <v>40.799999999999997</v>
      </c>
      <c r="G680" s="8">
        <v>-96.667821000000004</v>
      </c>
    </row>
    <row r="681" spans="1:7" ht="15.75" customHeight="1" x14ac:dyDescent="0.25">
      <c r="A681" s="8" t="s">
        <v>5366</v>
      </c>
      <c r="B681" s="8" t="s">
        <v>5367</v>
      </c>
      <c r="C681" s="8" t="s">
        <v>5368</v>
      </c>
      <c r="D681" s="8" t="s">
        <v>475</v>
      </c>
      <c r="E681" s="8">
        <v>69153</v>
      </c>
      <c r="F681" s="8">
        <v>41.128431999999997</v>
      </c>
      <c r="G681" s="8">
        <v>-101.71934899999999</v>
      </c>
    </row>
    <row r="682" spans="1:7" ht="15.75" customHeight="1" x14ac:dyDescent="0.25">
      <c r="A682" s="8" t="s">
        <v>5369</v>
      </c>
      <c r="B682" s="8" t="s">
        <v>5370</v>
      </c>
      <c r="C682" s="8" t="s">
        <v>5371</v>
      </c>
      <c r="D682" s="8" t="s">
        <v>475</v>
      </c>
      <c r="E682" s="8">
        <v>68025</v>
      </c>
      <c r="F682" s="8">
        <v>41.433804500000001</v>
      </c>
      <c r="G682" s="8">
        <v>-96.497321299999996</v>
      </c>
    </row>
    <row r="683" spans="1:7" ht="15.75" customHeight="1" x14ac:dyDescent="0.25">
      <c r="A683" s="8" t="s">
        <v>5372</v>
      </c>
      <c r="B683" s="8" t="s">
        <v>5373</v>
      </c>
      <c r="C683" s="8" t="s">
        <v>4296</v>
      </c>
      <c r="D683" s="8" t="s">
        <v>475</v>
      </c>
      <c r="E683" s="8">
        <v>68901</v>
      </c>
      <c r="F683" s="8">
        <v>40.584116600000002</v>
      </c>
      <c r="G683" s="8">
        <v>-98.387634700000007</v>
      </c>
    </row>
    <row r="684" spans="1:7" ht="15.75" customHeight="1" x14ac:dyDescent="0.25">
      <c r="A684" s="8" t="s">
        <v>5374</v>
      </c>
      <c r="B684" s="8" t="s">
        <v>5375</v>
      </c>
      <c r="C684" s="8" t="s">
        <v>4362</v>
      </c>
      <c r="D684" s="8" t="s">
        <v>1125</v>
      </c>
      <c r="E684" s="8">
        <v>3060</v>
      </c>
      <c r="F684" s="8">
        <v>42.765366200000003</v>
      </c>
      <c r="G684" s="8">
        <v>-71.467566000000005</v>
      </c>
    </row>
    <row r="685" spans="1:7" ht="15.75" customHeight="1" x14ac:dyDescent="0.25">
      <c r="A685" s="8" t="s">
        <v>5376</v>
      </c>
      <c r="B685" s="8" t="s">
        <v>1411</v>
      </c>
      <c r="C685" s="8" t="s">
        <v>5377</v>
      </c>
      <c r="D685" s="8" t="s">
        <v>1125</v>
      </c>
      <c r="E685" s="8">
        <v>3235</v>
      </c>
      <c r="F685" s="8">
        <v>43.444243200000003</v>
      </c>
      <c r="G685" s="8">
        <v>-71.647298800000002</v>
      </c>
    </row>
    <row r="686" spans="1:7" ht="15.75" customHeight="1" x14ac:dyDescent="0.25">
      <c r="A686" s="8" t="s">
        <v>5378</v>
      </c>
      <c r="B686" s="8" t="s">
        <v>3702</v>
      </c>
      <c r="C686" s="8" t="s">
        <v>5379</v>
      </c>
      <c r="D686" s="8" t="s">
        <v>1125</v>
      </c>
      <c r="E686" s="8">
        <v>3755</v>
      </c>
      <c r="F686" s="8">
        <v>43.703622000000003</v>
      </c>
      <c r="G686" s="8">
        <v>-72.288666000000006</v>
      </c>
    </row>
    <row r="687" spans="1:7" ht="15.75" customHeight="1" x14ac:dyDescent="0.25">
      <c r="A687" s="8" t="s">
        <v>5380</v>
      </c>
      <c r="B687" s="8" t="s">
        <v>5381</v>
      </c>
      <c r="C687" s="8" t="s">
        <v>5382</v>
      </c>
      <c r="D687" s="8" t="s">
        <v>738</v>
      </c>
      <c r="E687" s="8">
        <v>7643</v>
      </c>
      <c r="F687" s="8">
        <v>40.852877700000001</v>
      </c>
      <c r="G687" s="8">
        <v>-74.042084799999998</v>
      </c>
    </row>
    <row r="688" spans="1:7" ht="15.75" customHeight="1" x14ac:dyDescent="0.25">
      <c r="A688" s="8" t="s">
        <v>5383</v>
      </c>
      <c r="B688" s="8" t="s">
        <v>5384</v>
      </c>
      <c r="C688" s="8" t="s">
        <v>5010</v>
      </c>
      <c r="D688" s="8" t="s">
        <v>738</v>
      </c>
      <c r="E688" s="8">
        <v>7202</v>
      </c>
      <c r="F688" s="8">
        <v>40.663991600000003</v>
      </c>
      <c r="G688" s="8">
        <v>-74.210700599999996</v>
      </c>
    </row>
    <row r="689" spans="1:7" ht="15.75" customHeight="1" x14ac:dyDescent="0.25">
      <c r="A689" s="8" t="s">
        <v>5385</v>
      </c>
      <c r="B689" s="8" t="s">
        <v>5386</v>
      </c>
      <c r="C689" s="8" t="s">
        <v>4551</v>
      </c>
      <c r="D689" s="8" t="s">
        <v>738</v>
      </c>
      <c r="E689" s="8">
        <v>7065</v>
      </c>
      <c r="F689" s="8">
        <v>40.608159100000002</v>
      </c>
      <c r="G689" s="8">
        <v>-74.277646799999999</v>
      </c>
    </row>
    <row r="690" spans="1:7" ht="15.75" customHeight="1" x14ac:dyDescent="0.25">
      <c r="A690" s="8" t="s">
        <v>5387</v>
      </c>
      <c r="B690" s="8" t="s">
        <v>5388</v>
      </c>
      <c r="C690" s="8" t="s">
        <v>5389</v>
      </c>
      <c r="D690" s="8" t="s">
        <v>738</v>
      </c>
      <c r="E690" s="8">
        <v>8721</v>
      </c>
      <c r="F690" s="8">
        <v>39.909285199999999</v>
      </c>
      <c r="G690" s="8">
        <v>-74.154861400000001</v>
      </c>
    </row>
    <row r="691" spans="1:7" ht="15.75" customHeight="1" x14ac:dyDescent="0.25">
      <c r="A691" s="8" t="s">
        <v>5390</v>
      </c>
      <c r="B691" s="8" t="s">
        <v>5388</v>
      </c>
      <c r="C691" s="8" t="s">
        <v>5389</v>
      </c>
      <c r="D691" s="8" t="s">
        <v>738</v>
      </c>
      <c r="E691" s="8">
        <v>8721</v>
      </c>
      <c r="F691" s="8">
        <v>39.909285199999999</v>
      </c>
      <c r="G691" s="8">
        <v>-74.154861400000001</v>
      </c>
    </row>
    <row r="692" spans="1:7" ht="15.75" customHeight="1" x14ac:dyDescent="0.25">
      <c r="A692" s="8" t="s">
        <v>5391</v>
      </c>
      <c r="B692" s="8" t="s">
        <v>533</v>
      </c>
      <c r="C692" s="8" t="s">
        <v>4987</v>
      </c>
      <c r="D692" s="8" t="s">
        <v>738</v>
      </c>
      <c r="E692" s="8">
        <v>8611</v>
      </c>
      <c r="F692" s="8">
        <v>40.217057500000003</v>
      </c>
      <c r="G692" s="8">
        <v>-74.7429463</v>
      </c>
    </row>
    <row r="693" spans="1:7" ht="15.75" customHeight="1" x14ac:dyDescent="0.25">
      <c r="A693" s="8" t="s">
        <v>5392</v>
      </c>
      <c r="B693" s="8" t="s">
        <v>5393</v>
      </c>
      <c r="C693" s="8" t="s">
        <v>5389</v>
      </c>
      <c r="D693" s="8" t="s">
        <v>738</v>
      </c>
      <c r="E693" s="8">
        <v>8092</v>
      </c>
      <c r="F693" s="8">
        <v>39.634563</v>
      </c>
      <c r="G693" s="8">
        <v>-74.307087999999993</v>
      </c>
    </row>
    <row r="694" spans="1:7" ht="15.75" customHeight="1" x14ac:dyDescent="0.25">
      <c r="A694" s="8" t="s">
        <v>5394</v>
      </c>
      <c r="B694" s="8" t="s">
        <v>1439</v>
      </c>
      <c r="C694" s="8" t="s">
        <v>4987</v>
      </c>
      <c r="D694" s="8" t="s">
        <v>738</v>
      </c>
      <c r="E694" s="8">
        <v>8610</v>
      </c>
      <c r="F694" s="8">
        <v>40.217057500000003</v>
      </c>
      <c r="G694" s="8">
        <v>-74.7429463</v>
      </c>
    </row>
    <row r="695" spans="1:7" ht="15.75" customHeight="1" x14ac:dyDescent="0.25">
      <c r="A695" s="8" t="s">
        <v>5395</v>
      </c>
      <c r="B695" s="8" t="s">
        <v>309</v>
      </c>
      <c r="C695" s="8" t="s">
        <v>4551</v>
      </c>
      <c r="D695" s="8" t="s">
        <v>738</v>
      </c>
      <c r="E695" s="8">
        <v>7036</v>
      </c>
      <c r="F695" s="8">
        <v>40.622047799999997</v>
      </c>
      <c r="G695" s="8">
        <v>-74.244590200000005</v>
      </c>
    </row>
    <row r="696" spans="1:7" ht="15.75" customHeight="1" x14ac:dyDescent="0.25">
      <c r="A696" s="8" t="s">
        <v>5396</v>
      </c>
      <c r="B696" s="8" t="s">
        <v>5397</v>
      </c>
      <c r="C696" s="8" t="s">
        <v>5398</v>
      </c>
      <c r="D696" s="8" t="s">
        <v>738</v>
      </c>
      <c r="E696" s="8">
        <v>7748</v>
      </c>
      <c r="F696" s="8">
        <v>40.427840500000002</v>
      </c>
      <c r="G696" s="8">
        <v>-74.079423494400004</v>
      </c>
    </row>
    <row r="697" spans="1:7" ht="15.75" customHeight="1" x14ac:dyDescent="0.25">
      <c r="A697" s="8" t="s">
        <v>5399</v>
      </c>
      <c r="B697" s="8" t="s">
        <v>5400</v>
      </c>
      <c r="C697" s="8" t="s">
        <v>5398</v>
      </c>
      <c r="D697" s="8" t="s">
        <v>738</v>
      </c>
      <c r="E697" s="8">
        <v>7719</v>
      </c>
      <c r="F697" s="8">
        <v>40.1784471</v>
      </c>
      <c r="G697" s="8">
        <v>-74.021803700000007</v>
      </c>
    </row>
    <row r="698" spans="1:7" ht="15.75" customHeight="1" x14ac:dyDescent="0.25">
      <c r="A698" s="8" t="s">
        <v>5401</v>
      </c>
      <c r="B698" s="8" t="s">
        <v>5402</v>
      </c>
      <c r="C698" s="8" t="s">
        <v>5398</v>
      </c>
      <c r="D698" s="8" t="s">
        <v>738</v>
      </c>
      <c r="E698" s="8">
        <v>7753</v>
      </c>
      <c r="F698" s="8">
        <v>40.208444</v>
      </c>
      <c r="G698" s="8">
        <v>-74.055762293000001</v>
      </c>
    </row>
    <row r="699" spans="1:7" ht="15.75" customHeight="1" x14ac:dyDescent="0.25">
      <c r="A699" s="8" t="s">
        <v>6630</v>
      </c>
      <c r="B699" s="8" t="s">
        <v>5562</v>
      </c>
      <c r="C699" s="8"/>
      <c r="D699" s="8" t="s">
        <v>738</v>
      </c>
      <c r="E699" s="8"/>
      <c r="F699" s="8">
        <v>40.43</v>
      </c>
      <c r="G699" s="8">
        <v>-74.08</v>
      </c>
    </row>
    <row r="700" spans="1:7" ht="15.75" customHeight="1" x14ac:dyDescent="0.25">
      <c r="A700" s="8" t="s">
        <v>5403</v>
      </c>
      <c r="B700" s="8" t="s">
        <v>5404</v>
      </c>
      <c r="C700" s="8" t="s">
        <v>5405</v>
      </c>
      <c r="D700" s="8" t="s">
        <v>738</v>
      </c>
      <c r="E700" s="8">
        <v>7726</v>
      </c>
      <c r="F700" s="8">
        <v>40.285289499999998</v>
      </c>
      <c r="G700" s="8">
        <v>-74.333494999999999</v>
      </c>
    </row>
    <row r="701" spans="1:7" ht="15.75" customHeight="1" x14ac:dyDescent="0.25">
      <c r="A701" s="8" t="s">
        <v>5390</v>
      </c>
      <c r="B701" s="8" t="s">
        <v>6631</v>
      </c>
      <c r="C701" s="8"/>
      <c r="D701" s="8" t="s">
        <v>738</v>
      </c>
      <c r="E701" s="8"/>
      <c r="F701" s="8">
        <v>40.049999999999997</v>
      </c>
      <c r="G701" s="8">
        <v>-74.08</v>
      </c>
    </row>
    <row r="702" spans="1:7" ht="15.75" customHeight="1" x14ac:dyDescent="0.25">
      <c r="A702" s="8" t="s">
        <v>5392</v>
      </c>
      <c r="B702" s="8" t="s">
        <v>6632</v>
      </c>
      <c r="C702" s="8"/>
      <c r="D702" s="8" t="s">
        <v>738</v>
      </c>
      <c r="E702" s="8"/>
      <c r="F702" s="8">
        <v>39.68</v>
      </c>
      <c r="G702" s="8">
        <v>-74.260000000000005</v>
      </c>
    </row>
    <row r="703" spans="1:7" ht="15.75" customHeight="1" x14ac:dyDescent="0.25">
      <c r="A703" s="8" t="s">
        <v>5406</v>
      </c>
      <c r="B703" s="8" t="s">
        <v>5407</v>
      </c>
      <c r="C703" s="8" t="s">
        <v>5408</v>
      </c>
      <c r="D703" s="8" t="s">
        <v>738</v>
      </c>
      <c r="E703" s="8">
        <v>8302</v>
      </c>
      <c r="F703" s="8">
        <v>39.427337000000001</v>
      </c>
      <c r="G703" s="8">
        <v>-75.234076799999997</v>
      </c>
    </row>
    <row r="704" spans="1:7" ht="15.75" customHeight="1" x14ac:dyDescent="0.25">
      <c r="A704" s="8" t="s">
        <v>5409</v>
      </c>
      <c r="B704" s="8" t="s">
        <v>5410</v>
      </c>
      <c r="C704" s="8" t="s">
        <v>5398</v>
      </c>
      <c r="D704" s="8" t="s">
        <v>738</v>
      </c>
      <c r="E704" s="8">
        <v>7740</v>
      </c>
      <c r="F704" s="8">
        <v>40.304277800000001</v>
      </c>
      <c r="G704" s="8">
        <v>-73.9923596</v>
      </c>
    </row>
    <row r="705" spans="1:7" ht="15.75" customHeight="1" x14ac:dyDescent="0.25">
      <c r="A705" s="8" t="s">
        <v>5411</v>
      </c>
      <c r="B705" s="8" t="s">
        <v>5412</v>
      </c>
      <c r="C705" s="8" t="s">
        <v>2948</v>
      </c>
      <c r="D705" s="8" t="s">
        <v>738</v>
      </c>
      <c r="E705" s="8">
        <v>8046</v>
      </c>
      <c r="F705" s="8">
        <v>40.027889399999999</v>
      </c>
      <c r="G705" s="8">
        <v>-74.869054199999994</v>
      </c>
    </row>
    <row r="706" spans="1:7" ht="15.75" customHeight="1" x14ac:dyDescent="0.25">
      <c r="A706" s="8" t="s">
        <v>5413</v>
      </c>
      <c r="B706" s="8" t="s">
        <v>5414</v>
      </c>
      <c r="C706" s="8" t="s">
        <v>5382</v>
      </c>
      <c r="D706" s="8" t="s">
        <v>738</v>
      </c>
      <c r="E706" s="8">
        <v>7450</v>
      </c>
      <c r="F706" s="8">
        <v>40.979186400000003</v>
      </c>
      <c r="G706" s="8">
        <v>-74.116575699999999</v>
      </c>
    </row>
    <row r="707" spans="1:7" ht="15.75" customHeight="1" x14ac:dyDescent="0.25">
      <c r="A707" s="8" t="s">
        <v>5415</v>
      </c>
      <c r="B707" s="8" t="s">
        <v>5416</v>
      </c>
      <c r="C707" s="8" t="s">
        <v>388</v>
      </c>
      <c r="D707" s="8" t="s">
        <v>738</v>
      </c>
      <c r="E707" s="8">
        <v>7928</v>
      </c>
      <c r="F707" s="8">
        <v>40.740924200000002</v>
      </c>
      <c r="G707" s="8">
        <v>-74.383671100000001</v>
      </c>
    </row>
    <row r="708" spans="1:7" ht="15.75" customHeight="1" x14ac:dyDescent="0.25">
      <c r="A708" s="8" t="s">
        <v>5417</v>
      </c>
      <c r="B708" s="8" t="s">
        <v>5418</v>
      </c>
      <c r="C708" s="8" t="s">
        <v>4551</v>
      </c>
      <c r="D708" s="8" t="s">
        <v>738</v>
      </c>
      <c r="E708" s="8">
        <v>7922</v>
      </c>
      <c r="F708" s="8">
        <v>40.683434900000002</v>
      </c>
      <c r="G708" s="8">
        <v>-74.442653000000007</v>
      </c>
    </row>
    <row r="709" spans="1:7" ht="15.75" customHeight="1" x14ac:dyDescent="0.25">
      <c r="A709" s="8" t="s">
        <v>5419</v>
      </c>
      <c r="B709" s="8" t="s">
        <v>5420</v>
      </c>
      <c r="C709" s="8" t="s">
        <v>4526</v>
      </c>
      <c r="D709" s="8" t="s">
        <v>738</v>
      </c>
      <c r="E709" s="8">
        <v>8068</v>
      </c>
      <c r="F709" s="8">
        <v>39.971561000000001</v>
      </c>
      <c r="G709" s="8">
        <v>-74.685215907599996</v>
      </c>
    </row>
    <row r="710" spans="1:7" ht="15.75" customHeight="1" x14ac:dyDescent="0.25">
      <c r="A710" s="8" t="s">
        <v>5421</v>
      </c>
      <c r="B710" s="8" t="s">
        <v>5422</v>
      </c>
      <c r="C710" s="8" t="s">
        <v>4987</v>
      </c>
      <c r="D710" s="8" t="s">
        <v>738</v>
      </c>
      <c r="E710" s="8">
        <v>8520</v>
      </c>
      <c r="F710" s="8">
        <v>40.269553799999997</v>
      </c>
      <c r="G710" s="8">
        <v>-74.5232089</v>
      </c>
    </row>
    <row r="711" spans="1:7" ht="15.75" customHeight="1" x14ac:dyDescent="0.25">
      <c r="A711" s="8" t="s">
        <v>5423</v>
      </c>
      <c r="B711" s="8" t="s">
        <v>5424</v>
      </c>
      <c r="C711" s="8" t="s">
        <v>5405</v>
      </c>
      <c r="D711" s="8" t="s">
        <v>738</v>
      </c>
      <c r="E711" s="8">
        <v>7840</v>
      </c>
      <c r="F711" s="8">
        <v>40.853987799999999</v>
      </c>
      <c r="G711" s="8">
        <v>-74.829055600000004</v>
      </c>
    </row>
    <row r="712" spans="1:7" ht="15.75" customHeight="1" x14ac:dyDescent="0.25">
      <c r="A712" s="8" t="s">
        <v>5425</v>
      </c>
      <c r="B712" s="8" t="s">
        <v>5426</v>
      </c>
      <c r="C712" s="8" t="s">
        <v>1099</v>
      </c>
      <c r="D712" s="8" t="s">
        <v>738</v>
      </c>
      <c r="E712" s="8">
        <v>7044</v>
      </c>
      <c r="F712" s="8">
        <v>40.829822</v>
      </c>
      <c r="G712" s="8">
        <v>-74.240146600000003</v>
      </c>
    </row>
    <row r="713" spans="1:7" ht="15.75" customHeight="1" x14ac:dyDescent="0.25">
      <c r="A713" s="8" t="s">
        <v>5427</v>
      </c>
      <c r="B713" s="8" t="s">
        <v>4804</v>
      </c>
      <c r="C713" s="8" t="s">
        <v>1099</v>
      </c>
      <c r="D713" s="8" t="s">
        <v>738</v>
      </c>
      <c r="E713" s="8">
        <v>7039</v>
      </c>
      <c r="F713" s="8">
        <v>40.795933499999997</v>
      </c>
      <c r="G713" s="8">
        <v>-74.314871299999993</v>
      </c>
    </row>
    <row r="714" spans="1:7" ht="15.75" customHeight="1" x14ac:dyDescent="0.25">
      <c r="A714" s="8" t="s">
        <v>5428</v>
      </c>
      <c r="B714" s="8" t="s">
        <v>5429</v>
      </c>
      <c r="C714" s="8" t="s">
        <v>388</v>
      </c>
      <c r="D714" s="8" t="s">
        <v>738</v>
      </c>
      <c r="E714" s="8">
        <v>7981</v>
      </c>
      <c r="F714" s="8">
        <v>40.824544199999998</v>
      </c>
      <c r="G714" s="8">
        <v>-74.417097200000001</v>
      </c>
    </row>
    <row r="715" spans="1:7" ht="15.75" customHeight="1" x14ac:dyDescent="0.25">
      <c r="A715" s="8" t="s">
        <v>5430</v>
      </c>
      <c r="B715" s="8" t="s">
        <v>5431</v>
      </c>
      <c r="C715" s="8" t="s">
        <v>4526</v>
      </c>
      <c r="D715" s="8" t="s">
        <v>738</v>
      </c>
      <c r="E715" s="8">
        <v>8057</v>
      </c>
      <c r="F715" s="8">
        <v>39.967056900000003</v>
      </c>
      <c r="G715" s="8">
        <v>-74.942667700000001</v>
      </c>
    </row>
    <row r="716" spans="1:7" ht="15.75" customHeight="1" x14ac:dyDescent="0.25">
      <c r="A716" s="8" t="s">
        <v>5432</v>
      </c>
      <c r="B716" s="8" t="s">
        <v>5433</v>
      </c>
      <c r="C716" s="8" t="s">
        <v>5010</v>
      </c>
      <c r="D716" s="8" t="s">
        <v>738</v>
      </c>
      <c r="E716" s="8">
        <v>7009</v>
      </c>
      <c r="F716" s="8">
        <v>40.8517662</v>
      </c>
      <c r="G716" s="8">
        <v>-74.229034999999996</v>
      </c>
    </row>
    <row r="717" spans="1:7" ht="15.75" customHeight="1" x14ac:dyDescent="0.25">
      <c r="A717" s="8" t="s">
        <v>5434</v>
      </c>
      <c r="B717" s="8" t="s">
        <v>5435</v>
      </c>
      <c r="C717" s="8" t="s">
        <v>388</v>
      </c>
      <c r="D717" s="8" t="s">
        <v>738</v>
      </c>
      <c r="E717" s="8">
        <v>7960</v>
      </c>
      <c r="F717" s="8">
        <v>40.7971808</v>
      </c>
      <c r="G717" s="8">
        <v>-74.474120200000002</v>
      </c>
    </row>
    <row r="718" spans="1:7" ht="15.75" customHeight="1" x14ac:dyDescent="0.25">
      <c r="A718" s="8" t="s">
        <v>5436</v>
      </c>
      <c r="B718" s="8" t="s">
        <v>5437</v>
      </c>
      <c r="C718" s="8" t="s">
        <v>388</v>
      </c>
      <c r="D718" s="8" t="s">
        <v>738</v>
      </c>
      <c r="E718" s="8">
        <v>7945</v>
      </c>
      <c r="F718" s="8">
        <v>40.7759334</v>
      </c>
      <c r="G718" s="8">
        <v>-74.600714199999999</v>
      </c>
    </row>
    <row r="719" spans="1:7" ht="15.75" customHeight="1" x14ac:dyDescent="0.25">
      <c r="A719" s="8" t="s">
        <v>5438</v>
      </c>
      <c r="B719" s="8" t="s">
        <v>5407</v>
      </c>
      <c r="C719" s="8" t="s">
        <v>5439</v>
      </c>
      <c r="D719" s="8" t="s">
        <v>738</v>
      </c>
      <c r="E719" s="8">
        <v>8302</v>
      </c>
      <c r="F719" s="8">
        <v>39.427337000000001</v>
      </c>
      <c r="G719" s="8">
        <v>-75.234076799999997</v>
      </c>
    </row>
    <row r="720" spans="1:7" ht="15.75" customHeight="1" x14ac:dyDescent="0.25">
      <c r="A720" s="8" t="s">
        <v>5440</v>
      </c>
      <c r="B720" s="8" t="s">
        <v>5441</v>
      </c>
      <c r="C720" s="8" t="s">
        <v>5408</v>
      </c>
      <c r="D720" s="8" t="s">
        <v>738</v>
      </c>
      <c r="E720" s="8">
        <v>8360</v>
      </c>
      <c r="F720" s="8">
        <v>39.486224499999999</v>
      </c>
      <c r="G720" s="8">
        <v>-75.025724100000005</v>
      </c>
    </row>
    <row r="721" spans="1:7" ht="15.75" customHeight="1" x14ac:dyDescent="0.25">
      <c r="A721" s="8" t="s">
        <v>5442</v>
      </c>
      <c r="B721" s="8" t="s">
        <v>5420</v>
      </c>
      <c r="C721" s="8" t="s">
        <v>5443</v>
      </c>
      <c r="D721" s="8" t="s">
        <v>738</v>
      </c>
      <c r="E721" s="8">
        <v>8068</v>
      </c>
      <c r="F721" s="8">
        <v>39.971561000000001</v>
      </c>
      <c r="G721" s="8">
        <v>-74.685215907599996</v>
      </c>
    </row>
    <row r="722" spans="1:7" ht="15.75" customHeight="1" x14ac:dyDescent="0.25">
      <c r="A722" s="8" t="s">
        <v>5444</v>
      </c>
      <c r="B722" s="8" t="s">
        <v>5445</v>
      </c>
      <c r="C722" s="8" t="s">
        <v>5446</v>
      </c>
      <c r="D722" s="8" t="s">
        <v>2987</v>
      </c>
      <c r="E722" s="8">
        <v>87105</v>
      </c>
      <c r="F722" s="8">
        <v>35.084103399999996</v>
      </c>
      <c r="G722" s="8">
        <v>-106.6509851</v>
      </c>
    </row>
    <row r="723" spans="1:7" ht="15.75" customHeight="1" x14ac:dyDescent="0.25">
      <c r="A723" s="8" t="s">
        <v>5447</v>
      </c>
      <c r="B723" s="8" t="s">
        <v>5448</v>
      </c>
      <c r="C723" s="8" t="s">
        <v>5449</v>
      </c>
      <c r="D723" s="8" t="s">
        <v>2987</v>
      </c>
      <c r="E723" s="8">
        <v>88005</v>
      </c>
      <c r="F723" s="8">
        <v>32.29</v>
      </c>
      <c r="G723" s="8">
        <v>-106.82</v>
      </c>
    </row>
    <row r="724" spans="1:7" ht="15.75" customHeight="1" x14ac:dyDescent="0.25">
      <c r="A724" s="8" t="s">
        <v>5450</v>
      </c>
      <c r="B724" s="8" t="s">
        <v>5451</v>
      </c>
      <c r="C724" s="8" t="s">
        <v>5452</v>
      </c>
      <c r="D724" s="8" t="s">
        <v>2987</v>
      </c>
      <c r="E724" s="8">
        <v>88220</v>
      </c>
      <c r="F724" s="8">
        <v>32.420673600000001</v>
      </c>
      <c r="G724" s="8">
        <v>-104.2288375</v>
      </c>
    </row>
    <row r="725" spans="1:7" ht="15.75" customHeight="1" x14ac:dyDescent="0.25">
      <c r="A725" s="8" t="s">
        <v>5453</v>
      </c>
      <c r="B725" s="8" t="s">
        <v>5454</v>
      </c>
      <c r="C725" s="8" t="s">
        <v>5455</v>
      </c>
      <c r="D725" s="8" t="s">
        <v>2987</v>
      </c>
      <c r="E725" s="8">
        <v>88201</v>
      </c>
      <c r="F725" s="8">
        <v>33.394328199999997</v>
      </c>
      <c r="G725" s="8">
        <v>-104.5229518</v>
      </c>
    </row>
    <row r="726" spans="1:7" ht="15.75" customHeight="1" x14ac:dyDescent="0.25">
      <c r="A726" s="8" t="s">
        <v>5456</v>
      </c>
      <c r="B726" s="8" t="s">
        <v>5457</v>
      </c>
      <c r="C726" s="8" t="s">
        <v>5458</v>
      </c>
      <c r="D726" s="8" t="s">
        <v>2987</v>
      </c>
      <c r="E726" s="8">
        <v>87401</v>
      </c>
      <c r="F726" s="8">
        <v>36.728058300000001</v>
      </c>
      <c r="G726" s="8">
        <v>-108.2186856</v>
      </c>
    </row>
    <row r="727" spans="1:7" ht="15.75" customHeight="1" x14ac:dyDescent="0.25">
      <c r="A727" s="8" t="s">
        <v>5459</v>
      </c>
      <c r="B727" s="8" t="s">
        <v>5460</v>
      </c>
      <c r="C727" s="8" t="s">
        <v>5460</v>
      </c>
      <c r="D727" s="8" t="s">
        <v>2987</v>
      </c>
      <c r="E727" s="8">
        <v>87501</v>
      </c>
      <c r="F727" s="8">
        <v>35.686466519100001</v>
      </c>
      <c r="G727" s="8">
        <v>-105.93945586</v>
      </c>
    </row>
    <row r="728" spans="1:7" ht="15.75" customHeight="1" x14ac:dyDescent="0.25">
      <c r="A728" s="8" t="s">
        <v>6633</v>
      </c>
      <c r="B728" s="8" t="s">
        <v>5462</v>
      </c>
      <c r="C728" s="8" t="s">
        <v>5463</v>
      </c>
      <c r="D728" s="8" t="s">
        <v>2987</v>
      </c>
      <c r="E728" s="8">
        <v>87124</v>
      </c>
      <c r="F728" s="8">
        <v>35.26</v>
      </c>
      <c r="G728" s="8">
        <v>-106.63</v>
      </c>
    </row>
    <row r="729" spans="1:7" ht="15.75" customHeight="1" x14ac:dyDescent="0.25">
      <c r="A729" s="8" t="s">
        <v>5461</v>
      </c>
      <c r="B729" s="8" t="s">
        <v>5462</v>
      </c>
      <c r="C729" s="8" t="s">
        <v>5463</v>
      </c>
      <c r="D729" s="8" t="s">
        <v>2987</v>
      </c>
      <c r="E729" s="8">
        <v>87124</v>
      </c>
      <c r="F729" s="8">
        <v>35.242601036300002</v>
      </c>
      <c r="G729" s="8">
        <v>-106.66921775199999</v>
      </c>
    </row>
    <row r="730" spans="1:7" ht="15.75" customHeight="1" x14ac:dyDescent="0.25">
      <c r="A730" s="8" t="s">
        <v>5464</v>
      </c>
      <c r="B730" s="8" t="s">
        <v>5465</v>
      </c>
      <c r="C730" s="8" t="s">
        <v>5449</v>
      </c>
      <c r="D730" s="8" t="s">
        <v>2987</v>
      </c>
      <c r="E730" s="8">
        <v>88021</v>
      </c>
      <c r="F730" s="8">
        <v>32.020000000000003</v>
      </c>
      <c r="G730" s="8">
        <v>-106.6</v>
      </c>
    </row>
    <row r="731" spans="1:7" ht="15.75" customHeight="1" x14ac:dyDescent="0.25">
      <c r="A731" s="8" t="s">
        <v>5466</v>
      </c>
      <c r="B731" s="8" t="s">
        <v>2929</v>
      </c>
      <c r="C731" s="8" t="s">
        <v>1772</v>
      </c>
      <c r="D731" s="8" t="s">
        <v>2927</v>
      </c>
      <c r="E731" s="8">
        <v>89142</v>
      </c>
      <c r="F731" s="8">
        <v>36.166285899999998</v>
      </c>
      <c r="G731" s="8">
        <v>-115.149225</v>
      </c>
    </row>
    <row r="732" spans="1:7" ht="15.75" customHeight="1" x14ac:dyDescent="0.25">
      <c r="A732" s="8" t="s">
        <v>5467</v>
      </c>
      <c r="B732" s="8" t="s">
        <v>4937</v>
      </c>
      <c r="C732" s="8" t="s">
        <v>5468</v>
      </c>
      <c r="D732" s="8" t="s">
        <v>2927</v>
      </c>
      <c r="E732" s="8">
        <v>89502</v>
      </c>
      <c r="F732" s="8">
        <v>39.528691799999997</v>
      </c>
      <c r="G732" s="8">
        <v>-119.8117058</v>
      </c>
    </row>
    <row r="733" spans="1:7" ht="15.75" customHeight="1" x14ac:dyDescent="0.25">
      <c r="A733" s="8" t="s">
        <v>5469</v>
      </c>
      <c r="B733" s="8" t="s">
        <v>5470</v>
      </c>
      <c r="C733" s="8" t="s">
        <v>5470</v>
      </c>
      <c r="D733" s="8" t="s">
        <v>2927</v>
      </c>
      <c r="E733" s="8">
        <v>89801</v>
      </c>
      <c r="F733" s="8">
        <v>40.824731100000001</v>
      </c>
      <c r="G733" s="8">
        <v>-115.7724089</v>
      </c>
    </row>
    <row r="734" spans="1:7" ht="15.75" customHeight="1" x14ac:dyDescent="0.25">
      <c r="A734" s="8" t="s">
        <v>5471</v>
      </c>
      <c r="B734" s="8" t="s">
        <v>5472</v>
      </c>
      <c r="C734" s="8" t="s">
        <v>1357</v>
      </c>
      <c r="D734" s="8" t="s">
        <v>2927</v>
      </c>
      <c r="E734" s="8">
        <v>89701</v>
      </c>
      <c r="F734" s="8">
        <v>39.158687814799997</v>
      </c>
      <c r="G734" s="8">
        <v>-119.756901306</v>
      </c>
    </row>
    <row r="735" spans="1:7" ht="15.75" customHeight="1" x14ac:dyDescent="0.25">
      <c r="A735" s="8" t="s">
        <v>5473</v>
      </c>
      <c r="B735" s="8" t="s">
        <v>515</v>
      </c>
      <c r="C735" s="8" t="s">
        <v>2912</v>
      </c>
      <c r="D735" s="8" t="s">
        <v>2927</v>
      </c>
      <c r="E735" s="8">
        <v>89423</v>
      </c>
      <c r="F735" s="8">
        <v>38.954248700000001</v>
      </c>
      <c r="G735" s="8">
        <v>-119.7656174</v>
      </c>
    </row>
    <row r="736" spans="1:7" ht="15.75" customHeight="1" x14ac:dyDescent="0.25">
      <c r="A736" s="8" t="s">
        <v>5474</v>
      </c>
      <c r="B736" s="8" t="s">
        <v>5475</v>
      </c>
      <c r="C736" s="8" t="s">
        <v>5476</v>
      </c>
      <c r="D736" s="8" t="s">
        <v>545</v>
      </c>
      <c r="E736" s="8">
        <v>11222</v>
      </c>
      <c r="F736" s="8">
        <v>40.650103799999997</v>
      </c>
      <c r="G736" s="8">
        <v>-73.949582300000003</v>
      </c>
    </row>
    <row r="737" spans="1:7" ht="15.75" customHeight="1" x14ac:dyDescent="0.25">
      <c r="A737" s="8" t="s">
        <v>5477</v>
      </c>
      <c r="B737" s="8" t="s">
        <v>5478</v>
      </c>
      <c r="C737" s="8" t="s">
        <v>5479</v>
      </c>
      <c r="D737" s="8" t="s">
        <v>545</v>
      </c>
      <c r="E737" s="8">
        <v>10035</v>
      </c>
      <c r="F737" s="8">
        <v>40.787601199999997</v>
      </c>
      <c r="G737" s="8">
        <v>-73.925414900000007</v>
      </c>
    </row>
    <row r="738" spans="1:7" ht="15.75" customHeight="1" x14ac:dyDescent="0.25">
      <c r="A738" s="8" t="s">
        <v>5480</v>
      </c>
      <c r="B738" s="8" t="s">
        <v>5481</v>
      </c>
      <c r="C738" s="8" t="s">
        <v>5482</v>
      </c>
      <c r="D738" s="8" t="s">
        <v>545</v>
      </c>
      <c r="E738" s="8">
        <v>10474</v>
      </c>
      <c r="F738" s="8">
        <v>40.850485450000001</v>
      </c>
      <c r="G738" s="8">
        <v>-73.840403558000006</v>
      </c>
    </row>
    <row r="739" spans="1:7" ht="15.75" customHeight="1" x14ac:dyDescent="0.25">
      <c r="A739" s="8" t="s">
        <v>5483</v>
      </c>
      <c r="B739" s="8" t="s">
        <v>5484</v>
      </c>
      <c r="C739" s="8" t="s">
        <v>5485</v>
      </c>
      <c r="D739" s="8" t="s">
        <v>545</v>
      </c>
      <c r="E739" s="8">
        <v>14213</v>
      </c>
      <c r="F739" s="8">
        <v>42.8867166</v>
      </c>
      <c r="G739" s="8">
        <v>-78.878392199999993</v>
      </c>
    </row>
    <row r="740" spans="1:7" ht="15.75" customHeight="1" x14ac:dyDescent="0.25">
      <c r="A740" s="8" t="s">
        <v>5486</v>
      </c>
      <c r="B740" s="8" t="s">
        <v>5487</v>
      </c>
      <c r="C740" s="8" t="s">
        <v>5479</v>
      </c>
      <c r="D740" s="8" t="s">
        <v>545</v>
      </c>
      <c r="E740" s="8">
        <v>10031</v>
      </c>
      <c r="F740" s="8">
        <v>40.730645799999998</v>
      </c>
      <c r="G740" s="8">
        <v>-73.986613599999998</v>
      </c>
    </row>
    <row r="741" spans="1:7" ht="15.75" customHeight="1" x14ac:dyDescent="0.25">
      <c r="A741" s="8" t="s">
        <v>5488</v>
      </c>
      <c r="B741" s="8" t="s">
        <v>5489</v>
      </c>
      <c r="C741" s="8" t="s">
        <v>5490</v>
      </c>
      <c r="D741" s="8" t="s">
        <v>545</v>
      </c>
      <c r="E741" s="8">
        <v>11105</v>
      </c>
      <c r="F741" s="8">
        <v>40.772014499999997</v>
      </c>
      <c r="G741" s="8">
        <v>-73.930267299999997</v>
      </c>
    </row>
    <row r="742" spans="1:7" ht="15.75" customHeight="1" x14ac:dyDescent="0.25">
      <c r="A742" s="8" t="s">
        <v>5491</v>
      </c>
      <c r="B742" s="8" t="s">
        <v>5492</v>
      </c>
      <c r="C742" s="8" t="s">
        <v>5493</v>
      </c>
      <c r="D742" s="8" t="s">
        <v>545</v>
      </c>
      <c r="E742" s="8">
        <v>10705</v>
      </c>
      <c r="F742" s="8">
        <v>40.931209899999999</v>
      </c>
      <c r="G742" s="8">
        <v>-73.898746900000006</v>
      </c>
    </row>
    <row r="743" spans="1:7" ht="15.75" customHeight="1" x14ac:dyDescent="0.25">
      <c r="A743" s="8" t="s">
        <v>5494</v>
      </c>
      <c r="B743" s="8" t="s">
        <v>5475</v>
      </c>
      <c r="C743" s="8" t="s">
        <v>5476</v>
      </c>
      <c r="D743" s="8" t="s">
        <v>545</v>
      </c>
      <c r="E743" s="8">
        <v>11220</v>
      </c>
      <c r="F743" s="8">
        <v>40.650103799999997</v>
      </c>
      <c r="G743" s="8">
        <v>-73.949582300000003</v>
      </c>
    </row>
    <row r="744" spans="1:7" ht="15.75" customHeight="1" x14ac:dyDescent="0.25">
      <c r="A744" s="8" t="s">
        <v>5495</v>
      </c>
      <c r="B744" s="8" t="s">
        <v>5475</v>
      </c>
      <c r="C744" s="8" t="s">
        <v>4228</v>
      </c>
      <c r="D744" s="8" t="s">
        <v>545</v>
      </c>
      <c r="E744" s="8">
        <v>11235</v>
      </c>
      <c r="F744" s="8">
        <v>40.650103799999997</v>
      </c>
      <c r="G744" s="8">
        <v>-73.949582300000003</v>
      </c>
    </row>
    <row r="745" spans="1:7" ht="15.75" customHeight="1" x14ac:dyDescent="0.25">
      <c r="A745" s="8" t="s">
        <v>5496</v>
      </c>
      <c r="B745" s="8" t="s">
        <v>5497</v>
      </c>
      <c r="C745" s="8" t="s">
        <v>5490</v>
      </c>
      <c r="D745" s="8" t="s">
        <v>545</v>
      </c>
      <c r="E745" s="8">
        <v>11430</v>
      </c>
      <c r="F745" s="8">
        <v>40.691485200000002</v>
      </c>
      <c r="G745" s="8">
        <v>-73.805677099999997</v>
      </c>
    </row>
    <row r="746" spans="1:7" ht="15.75" customHeight="1" x14ac:dyDescent="0.25">
      <c r="A746" s="8" t="s">
        <v>5498</v>
      </c>
      <c r="B746" s="8" t="s">
        <v>5475</v>
      </c>
      <c r="C746" s="8" t="s">
        <v>5476</v>
      </c>
      <c r="D746" s="8" t="s">
        <v>545</v>
      </c>
      <c r="E746" s="8">
        <v>11207</v>
      </c>
      <c r="F746" s="8">
        <v>40.650103799999997</v>
      </c>
      <c r="G746" s="8">
        <v>-73.949582300000003</v>
      </c>
    </row>
    <row r="747" spans="1:7" ht="15.75" customHeight="1" x14ac:dyDescent="0.25">
      <c r="A747" s="8" t="s">
        <v>5499</v>
      </c>
      <c r="B747" s="8" t="s">
        <v>5500</v>
      </c>
      <c r="C747" s="8" t="s">
        <v>5490</v>
      </c>
      <c r="D747" s="8" t="s">
        <v>545</v>
      </c>
      <c r="E747" s="8">
        <v>11356</v>
      </c>
      <c r="F747" s="8">
        <v>40.7876014</v>
      </c>
      <c r="G747" s="8">
        <v>-73.845968200000002</v>
      </c>
    </row>
    <row r="748" spans="1:7" ht="15.75" customHeight="1" x14ac:dyDescent="0.25">
      <c r="A748" s="8" t="s">
        <v>5501</v>
      </c>
      <c r="B748" s="8" t="s">
        <v>5502</v>
      </c>
      <c r="C748" s="8" t="s">
        <v>5503</v>
      </c>
      <c r="D748" s="8" t="s">
        <v>545</v>
      </c>
      <c r="E748" s="8">
        <v>13204</v>
      </c>
      <c r="F748" s="8">
        <v>43.048122100000001</v>
      </c>
      <c r="G748" s="8">
        <v>-76.147424400000006</v>
      </c>
    </row>
    <row r="749" spans="1:7" ht="15.75" customHeight="1" x14ac:dyDescent="0.25">
      <c r="A749" s="8" t="s">
        <v>5504</v>
      </c>
      <c r="B749" s="8" t="s">
        <v>5505</v>
      </c>
      <c r="C749" s="8" t="s">
        <v>5506</v>
      </c>
      <c r="D749" s="8" t="s">
        <v>545</v>
      </c>
      <c r="E749" s="8">
        <v>11793</v>
      </c>
      <c r="F749" s="8">
        <v>40.683712100000001</v>
      </c>
      <c r="G749" s="8">
        <v>-73.510125799999997</v>
      </c>
    </row>
    <row r="750" spans="1:7" ht="15.75" customHeight="1" x14ac:dyDescent="0.25">
      <c r="A750" s="8" t="s">
        <v>5507</v>
      </c>
      <c r="B750" s="8" t="s">
        <v>5508</v>
      </c>
      <c r="C750" s="8" t="s">
        <v>5506</v>
      </c>
      <c r="D750" s="8" t="s">
        <v>545</v>
      </c>
      <c r="E750" s="8">
        <v>11518</v>
      </c>
      <c r="F750" s="8">
        <v>40.642047699999999</v>
      </c>
      <c r="G750" s="8">
        <v>-73.669574699999998</v>
      </c>
    </row>
    <row r="751" spans="1:7" ht="15.75" customHeight="1" x14ac:dyDescent="0.25">
      <c r="A751" s="8" t="s">
        <v>5509</v>
      </c>
      <c r="B751" s="8" t="s">
        <v>5510</v>
      </c>
      <c r="C751" s="8" t="s">
        <v>5511</v>
      </c>
      <c r="D751" s="8" t="s">
        <v>545</v>
      </c>
      <c r="E751" s="8">
        <v>10310</v>
      </c>
      <c r="F751" s="8">
        <v>40.645349000000003</v>
      </c>
      <c r="G751" s="8">
        <v>-74.092961599999995</v>
      </c>
    </row>
    <row r="752" spans="1:7" ht="15.75" customHeight="1" x14ac:dyDescent="0.25">
      <c r="A752" s="8" t="s">
        <v>5512</v>
      </c>
      <c r="B752" s="8" t="s">
        <v>5475</v>
      </c>
      <c r="C752" s="8" t="s">
        <v>5476</v>
      </c>
      <c r="D752" s="8" t="s">
        <v>545</v>
      </c>
      <c r="E752" s="8">
        <v>11205</v>
      </c>
      <c r="F752" s="8">
        <v>40.650103799999997</v>
      </c>
      <c r="G752" s="8">
        <v>-73.949582300000003</v>
      </c>
    </row>
    <row r="753" spans="1:7" ht="15.75" customHeight="1" x14ac:dyDescent="0.25">
      <c r="A753" s="8" t="s">
        <v>5513</v>
      </c>
      <c r="B753" s="8" t="s">
        <v>5514</v>
      </c>
      <c r="C753" s="8" t="s">
        <v>5490</v>
      </c>
      <c r="D753" s="8" t="s">
        <v>545</v>
      </c>
      <c r="E753" s="8">
        <v>11694</v>
      </c>
      <c r="F753" s="8">
        <v>40.580510400000001</v>
      </c>
      <c r="G753" s="8">
        <v>-73.836153499999995</v>
      </c>
    </row>
    <row r="754" spans="1:7" ht="15.75" customHeight="1" x14ac:dyDescent="0.25">
      <c r="A754" s="8" t="s">
        <v>5515</v>
      </c>
      <c r="B754" s="8" t="s">
        <v>5510</v>
      </c>
      <c r="C754" s="8" t="s">
        <v>5511</v>
      </c>
      <c r="D754" s="8" t="s">
        <v>545</v>
      </c>
      <c r="E754" s="8">
        <v>10306</v>
      </c>
      <c r="F754" s="8">
        <v>40.575859100000002</v>
      </c>
      <c r="G754" s="8">
        <v>-74.140512999999999</v>
      </c>
    </row>
    <row r="755" spans="1:7" ht="15.75" customHeight="1" x14ac:dyDescent="0.25">
      <c r="A755" s="8" t="s">
        <v>5516</v>
      </c>
      <c r="B755" s="8" t="s">
        <v>5517</v>
      </c>
      <c r="C755" s="8" t="s">
        <v>5518</v>
      </c>
      <c r="D755" s="8" t="s">
        <v>545</v>
      </c>
      <c r="E755" s="8">
        <v>10962</v>
      </c>
      <c r="F755" s="8">
        <v>41.046577599999999</v>
      </c>
      <c r="G755" s="8">
        <v>-73.949670699999999</v>
      </c>
    </row>
    <row r="756" spans="1:7" ht="15.75" customHeight="1" x14ac:dyDescent="0.25">
      <c r="A756" s="8" t="s">
        <v>5519</v>
      </c>
      <c r="B756" s="8" t="s">
        <v>5520</v>
      </c>
      <c r="C756" s="8" t="s">
        <v>5521</v>
      </c>
      <c r="D756" s="8" t="s">
        <v>545</v>
      </c>
      <c r="E756" s="8">
        <v>13850</v>
      </c>
      <c r="F756" s="8">
        <v>42.0850747</v>
      </c>
      <c r="G756" s="8">
        <v>-76.053813000000005</v>
      </c>
    </row>
    <row r="757" spans="1:7" ht="15.75" customHeight="1" x14ac:dyDescent="0.25">
      <c r="A757" s="8" t="s">
        <v>5522</v>
      </c>
      <c r="B757" s="8" t="s">
        <v>5523</v>
      </c>
      <c r="C757" s="8" t="s">
        <v>5524</v>
      </c>
      <c r="D757" s="8" t="s">
        <v>545</v>
      </c>
      <c r="E757" s="8">
        <v>12308</v>
      </c>
      <c r="F757" s="8">
        <v>42.8142432</v>
      </c>
      <c r="G757" s="8">
        <v>-73.939568699999995</v>
      </c>
    </row>
    <row r="758" spans="1:7" ht="15.75" customHeight="1" x14ac:dyDescent="0.25">
      <c r="A758" s="8" t="s">
        <v>5525</v>
      </c>
      <c r="B758" s="8" t="s">
        <v>5526</v>
      </c>
      <c r="C758" s="8" t="s">
        <v>5527</v>
      </c>
      <c r="D758" s="8" t="s">
        <v>545</v>
      </c>
      <c r="E758" s="8">
        <v>13601</v>
      </c>
      <c r="F758" s="8">
        <v>43.974783799999997</v>
      </c>
      <c r="G758" s="8">
        <v>-75.910756500000005</v>
      </c>
    </row>
    <row r="759" spans="1:7" ht="15.75" customHeight="1" x14ac:dyDescent="0.25">
      <c r="A759" s="8" t="s">
        <v>5528</v>
      </c>
      <c r="B759" s="8" t="s">
        <v>5529</v>
      </c>
      <c r="C759" s="8" t="s">
        <v>5530</v>
      </c>
      <c r="D759" s="8" t="s">
        <v>545</v>
      </c>
      <c r="E759" s="8">
        <v>14850</v>
      </c>
      <c r="F759" s="8">
        <v>42.462020649999999</v>
      </c>
      <c r="G759" s="8">
        <v>-76.503492944599998</v>
      </c>
    </row>
    <row r="760" spans="1:7" ht="15.75" customHeight="1" x14ac:dyDescent="0.25">
      <c r="A760" s="8" t="s">
        <v>5531</v>
      </c>
      <c r="B760" s="8" t="s">
        <v>5532</v>
      </c>
      <c r="C760" s="8" t="s">
        <v>5533</v>
      </c>
      <c r="D760" s="8" t="s">
        <v>545</v>
      </c>
      <c r="E760" s="8">
        <v>14120</v>
      </c>
      <c r="F760" s="8">
        <v>43.038668000000001</v>
      </c>
      <c r="G760" s="8">
        <v>-78.864203399999994</v>
      </c>
    </row>
    <row r="761" spans="1:7" ht="15.75" customHeight="1" x14ac:dyDescent="0.25">
      <c r="A761" s="8" t="s">
        <v>5534</v>
      </c>
      <c r="B761" s="8" t="s">
        <v>4078</v>
      </c>
      <c r="C761" s="8" t="s">
        <v>5535</v>
      </c>
      <c r="D761" s="8" t="s">
        <v>545</v>
      </c>
      <c r="E761" s="8">
        <v>14904</v>
      </c>
      <c r="F761" s="8">
        <v>42.089796499999999</v>
      </c>
      <c r="G761" s="8">
        <v>-76.807733799999994</v>
      </c>
    </row>
    <row r="762" spans="1:7" ht="15.75" customHeight="1" x14ac:dyDescent="0.25">
      <c r="A762" s="8" t="s">
        <v>5536</v>
      </c>
      <c r="B762" s="8" t="s">
        <v>5537</v>
      </c>
      <c r="C762" s="8" t="s">
        <v>5538</v>
      </c>
      <c r="D762" s="8" t="s">
        <v>545</v>
      </c>
      <c r="E762" s="8">
        <v>14701</v>
      </c>
      <c r="F762" s="8">
        <v>40.774056000000002</v>
      </c>
      <c r="G762" s="8">
        <v>-73.973744699999997</v>
      </c>
    </row>
    <row r="763" spans="1:7" ht="15.75" customHeight="1" x14ac:dyDescent="0.25">
      <c r="A763" s="8" t="s">
        <v>5539</v>
      </c>
      <c r="B763" s="8" t="s">
        <v>4444</v>
      </c>
      <c r="C763" s="8" t="s">
        <v>5540</v>
      </c>
      <c r="D763" s="8" t="s">
        <v>545</v>
      </c>
      <c r="E763" s="8">
        <v>13440</v>
      </c>
      <c r="F763" s="8">
        <v>43.2128473</v>
      </c>
      <c r="G763" s="8">
        <v>-75.455730399999993</v>
      </c>
    </row>
    <row r="764" spans="1:7" ht="15.75" customHeight="1" x14ac:dyDescent="0.25">
      <c r="A764" s="8" t="s">
        <v>5541</v>
      </c>
      <c r="B764" s="8" t="s">
        <v>5542</v>
      </c>
      <c r="C764" s="8" t="s">
        <v>5521</v>
      </c>
      <c r="D764" s="8" t="s">
        <v>545</v>
      </c>
      <c r="E764" s="8">
        <v>13760</v>
      </c>
      <c r="F764" s="8">
        <v>42.098407999999999</v>
      </c>
      <c r="G764" s="8">
        <v>-76.049368400000006</v>
      </c>
    </row>
    <row r="765" spans="1:7" ht="15.75" customHeight="1" x14ac:dyDescent="0.25">
      <c r="A765" s="8" t="s">
        <v>5543</v>
      </c>
      <c r="B765" s="8" t="s">
        <v>5544</v>
      </c>
      <c r="C765" s="8" t="s">
        <v>5545</v>
      </c>
      <c r="D765" s="8" t="s">
        <v>545</v>
      </c>
      <c r="E765" s="8">
        <v>12095</v>
      </c>
      <c r="F765" s="8">
        <v>43.006868900000001</v>
      </c>
      <c r="G765" s="8">
        <v>-74.367643700000002</v>
      </c>
    </row>
    <row r="766" spans="1:7" ht="15.75" customHeight="1" x14ac:dyDescent="0.25">
      <c r="A766" s="8" t="s">
        <v>5546</v>
      </c>
      <c r="B766" s="8" t="s">
        <v>5547</v>
      </c>
      <c r="C766" s="8" t="s">
        <v>5493</v>
      </c>
      <c r="D766" s="8" t="s">
        <v>545</v>
      </c>
      <c r="E766" s="8">
        <v>10566</v>
      </c>
      <c r="F766" s="8">
        <v>41.289811</v>
      </c>
      <c r="G766" s="8">
        <v>-73.920492199999998</v>
      </c>
    </row>
    <row r="767" spans="1:7" ht="15.75" customHeight="1" x14ac:dyDescent="0.25">
      <c r="A767" s="8" t="s">
        <v>5548</v>
      </c>
      <c r="B767" s="8" t="s">
        <v>6634</v>
      </c>
      <c r="C767" s="8"/>
      <c r="D767" s="8" t="s">
        <v>545</v>
      </c>
      <c r="E767" s="8">
        <v>13045</v>
      </c>
      <c r="F767" s="8">
        <v>42.590505020499997</v>
      </c>
      <c r="G767" s="8">
        <v>-76.192194697399998</v>
      </c>
    </row>
    <row r="768" spans="1:7" ht="15.75" customHeight="1" x14ac:dyDescent="0.25">
      <c r="A768" s="8" t="s">
        <v>5549</v>
      </c>
      <c r="B768" s="8" t="s">
        <v>4018</v>
      </c>
      <c r="C768" s="8" t="s">
        <v>5506</v>
      </c>
      <c r="D768" s="8" t="s">
        <v>545</v>
      </c>
      <c r="E768" s="8">
        <v>11561</v>
      </c>
      <c r="F768" s="8">
        <v>40.588889049999999</v>
      </c>
      <c r="G768" s="8">
        <v>-73.664875113600004</v>
      </c>
    </row>
    <row r="769" spans="1:7" ht="15.75" customHeight="1" x14ac:dyDescent="0.25">
      <c r="A769" s="8" t="s">
        <v>5550</v>
      </c>
      <c r="B769" s="8" t="s">
        <v>5551</v>
      </c>
      <c r="C769" s="8" t="s">
        <v>649</v>
      </c>
      <c r="D769" s="8" t="s">
        <v>545</v>
      </c>
      <c r="E769" s="8">
        <v>14580</v>
      </c>
      <c r="F769" s="8">
        <v>40.721366949999997</v>
      </c>
      <c r="G769" s="8">
        <v>-74.002726209800002</v>
      </c>
    </row>
    <row r="770" spans="1:7" ht="15.75" customHeight="1" x14ac:dyDescent="0.25">
      <c r="A770" s="8" t="s">
        <v>5552</v>
      </c>
      <c r="B770" s="8" t="s">
        <v>5553</v>
      </c>
      <c r="C770" s="8" t="s">
        <v>5554</v>
      </c>
      <c r="D770" s="8" t="s">
        <v>545</v>
      </c>
      <c r="E770" s="8">
        <v>12401</v>
      </c>
      <c r="F770" s="8">
        <v>41.928781200000003</v>
      </c>
      <c r="G770" s="8">
        <v>-74.002370200000001</v>
      </c>
    </row>
    <row r="771" spans="1:7" ht="15.75" customHeight="1" x14ac:dyDescent="0.25">
      <c r="A771" s="8" t="s">
        <v>5555</v>
      </c>
      <c r="B771" s="8" t="s">
        <v>5556</v>
      </c>
      <c r="C771" s="8" t="s">
        <v>5557</v>
      </c>
      <c r="D771" s="8" t="s">
        <v>545</v>
      </c>
      <c r="E771" s="8">
        <v>14424</v>
      </c>
      <c r="F771" s="8">
        <v>42.884462499999998</v>
      </c>
      <c r="G771" s="8">
        <v>-77.278398999999993</v>
      </c>
    </row>
    <row r="772" spans="1:7" ht="15.75" customHeight="1" x14ac:dyDescent="0.25">
      <c r="A772" s="8" t="s">
        <v>5558</v>
      </c>
      <c r="B772" s="8" t="s">
        <v>5559</v>
      </c>
      <c r="C772" s="8" t="s">
        <v>5560</v>
      </c>
      <c r="D772" s="8" t="s">
        <v>545</v>
      </c>
      <c r="E772" s="8">
        <v>13669</v>
      </c>
      <c r="F772" s="8">
        <v>44.694285000000001</v>
      </c>
      <c r="G772" s="8">
        <v>-75.486373999999998</v>
      </c>
    </row>
    <row r="773" spans="1:7" ht="15.75" customHeight="1" x14ac:dyDescent="0.25">
      <c r="A773" s="8" t="s">
        <v>5561</v>
      </c>
      <c r="B773" s="8" t="s">
        <v>5562</v>
      </c>
      <c r="C773" s="8" t="s">
        <v>5563</v>
      </c>
      <c r="D773" s="8" t="s">
        <v>545</v>
      </c>
      <c r="E773" s="8">
        <v>10940</v>
      </c>
      <c r="F773" s="8">
        <v>41.446339999999999</v>
      </c>
      <c r="G773" s="8">
        <v>-74.420917745899999</v>
      </c>
    </row>
    <row r="774" spans="1:7" ht="15.75" customHeight="1" x14ac:dyDescent="0.25">
      <c r="A774" s="8" t="s">
        <v>5564</v>
      </c>
      <c r="B774" s="8" t="s">
        <v>4757</v>
      </c>
      <c r="C774" s="8" t="s">
        <v>5557</v>
      </c>
      <c r="D774" s="8" t="s">
        <v>545</v>
      </c>
      <c r="E774" s="8">
        <v>14456</v>
      </c>
      <c r="F774" s="8">
        <v>42.868955200000002</v>
      </c>
      <c r="G774" s="8">
        <v>-76.977743599999997</v>
      </c>
    </row>
    <row r="775" spans="1:7" ht="15.75" customHeight="1" x14ac:dyDescent="0.25">
      <c r="A775" s="8" t="s">
        <v>5565</v>
      </c>
      <c r="B775" s="8" t="s">
        <v>5523</v>
      </c>
      <c r="C775" s="8" t="s">
        <v>5524</v>
      </c>
      <c r="D775" s="8" t="s">
        <v>545</v>
      </c>
      <c r="E775" s="8">
        <v>12306</v>
      </c>
      <c r="F775" s="8">
        <v>42.814556500000002</v>
      </c>
      <c r="G775" s="8">
        <v>-73.942743911799994</v>
      </c>
    </row>
    <row r="776" spans="1:7" ht="15.75" customHeight="1" x14ac:dyDescent="0.25">
      <c r="A776" s="8" t="s">
        <v>5566</v>
      </c>
      <c r="B776" s="8" t="s">
        <v>5567</v>
      </c>
      <c r="C776" s="8" t="s">
        <v>5568</v>
      </c>
      <c r="D776" s="8" t="s">
        <v>545</v>
      </c>
      <c r="E776" s="8">
        <v>14569</v>
      </c>
      <c r="F776" s="8">
        <v>42.7401871</v>
      </c>
      <c r="G776" s="8">
        <v>-78.132554799999994</v>
      </c>
    </row>
    <row r="777" spans="1:7" ht="15.75" customHeight="1" x14ac:dyDescent="0.25">
      <c r="A777" s="8" t="s">
        <v>5569</v>
      </c>
      <c r="B777" s="8" t="s">
        <v>5570</v>
      </c>
      <c r="C777" s="8" t="s">
        <v>5571</v>
      </c>
      <c r="D777" s="8" t="s">
        <v>545</v>
      </c>
      <c r="E777" s="8">
        <v>12983</v>
      </c>
      <c r="F777" s="8">
        <v>44.330926900000001</v>
      </c>
      <c r="G777" s="8">
        <v>-74.132613199999994</v>
      </c>
    </row>
    <row r="778" spans="1:7" ht="15.75" customHeight="1" x14ac:dyDescent="0.25">
      <c r="A778" s="8" t="s">
        <v>5572</v>
      </c>
      <c r="B778" s="8" t="s">
        <v>5573</v>
      </c>
      <c r="C778" s="8" t="s">
        <v>5568</v>
      </c>
      <c r="D778" s="8" t="s">
        <v>545</v>
      </c>
      <c r="E778" s="8">
        <v>14011</v>
      </c>
      <c r="F778" s="8">
        <v>42.864226700000003</v>
      </c>
      <c r="G778" s="8">
        <v>-78.280294600000005</v>
      </c>
    </row>
    <row r="779" spans="1:7" ht="15.75" customHeight="1" x14ac:dyDescent="0.25">
      <c r="A779" s="8" t="s">
        <v>5574</v>
      </c>
      <c r="B779" s="8" t="s">
        <v>5575</v>
      </c>
      <c r="C779" s="8" t="s">
        <v>5571</v>
      </c>
      <c r="D779" s="8" t="s">
        <v>545</v>
      </c>
      <c r="E779" s="8">
        <v>12946</v>
      </c>
      <c r="F779" s="8">
        <v>44.279620999999999</v>
      </c>
      <c r="G779" s="8">
        <v>-73.979873999999995</v>
      </c>
    </row>
    <row r="780" spans="1:7" ht="15.75" customHeight="1" x14ac:dyDescent="0.25">
      <c r="A780" s="8" t="s">
        <v>5576</v>
      </c>
      <c r="B780" s="8" t="s">
        <v>5577</v>
      </c>
      <c r="C780" s="8" t="s">
        <v>5506</v>
      </c>
      <c r="D780" s="8" t="s">
        <v>545</v>
      </c>
      <c r="E780" s="8">
        <v>11516</v>
      </c>
      <c r="F780" s="8">
        <v>40.622605800000002</v>
      </c>
      <c r="G780" s="8">
        <v>-73.725687300000004</v>
      </c>
    </row>
    <row r="781" spans="1:7" ht="15.75" customHeight="1" x14ac:dyDescent="0.25">
      <c r="A781" s="8" t="s">
        <v>5578</v>
      </c>
      <c r="B781" s="8" t="s">
        <v>5579</v>
      </c>
      <c r="C781" s="8" t="s">
        <v>5506</v>
      </c>
      <c r="D781" s="8" t="s">
        <v>545</v>
      </c>
      <c r="E781" s="8">
        <v>11509</v>
      </c>
      <c r="F781" s="8">
        <v>40.588993600000002</v>
      </c>
      <c r="G781" s="8">
        <v>-73.729020700000007</v>
      </c>
    </row>
    <row r="782" spans="1:7" ht="15.75" customHeight="1" x14ac:dyDescent="0.25">
      <c r="A782" s="8" t="s">
        <v>5580</v>
      </c>
      <c r="B782" s="8" t="s">
        <v>5581</v>
      </c>
      <c r="C782" s="8" t="s">
        <v>5582</v>
      </c>
      <c r="D782" s="8" t="s">
        <v>545</v>
      </c>
      <c r="E782" s="8">
        <v>13329</v>
      </c>
      <c r="F782" s="8">
        <v>43.100982999999999</v>
      </c>
      <c r="G782" s="8">
        <v>-74.772948999999997</v>
      </c>
    </row>
    <row r="783" spans="1:7" ht="15.75" customHeight="1" x14ac:dyDescent="0.25">
      <c r="A783" s="8" t="s">
        <v>6635</v>
      </c>
      <c r="B783" s="8" t="s">
        <v>5583</v>
      </c>
      <c r="C783" s="8" t="s">
        <v>5538</v>
      </c>
      <c r="D783" s="8" t="s">
        <v>545</v>
      </c>
      <c r="E783" s="8">
        <v>14048</v>
      </c>
      <c r="F783" s="8">
        <v>42.479501999999997</v>
      </c>
      <c r="G783" s="8">
        <v>-79.333932000000004</v>
      </c>
    </row>
    <row r="784" spans="1:7" ht="15.75" customHeight="1" x14ac:dyDescent="0.25">
      <c r="A784" s="8" t="s">
        <v>5584</v>
      </c>
      <c r="B784" s="8" t="s">
        <v>5585</v>
      </c>
      <c r="C784" s="8" t="s">
        <v>5506</v>
      </c>
      <c r="D784" s="8" t="s">
        <v>545</v>
      </c>
      <c r="E784" s="8">
        <v>11542</v>
      </c>
      <c r="F784" s="8">
        <v>40.8663995</v>
      </c>
      <c r="G784" s="8">
        <v>-73.603751000000003</v>
      </c>
    </row>
    <row r="785" spans="1:7" ht="15.75" customHeight="1" x14ac:dyDescent="0.25">
      <c r="A785" s="8" t="s">
        <v>5586</v>
      </c>
      <c r="B785" s="8" t="s">
        <v>5587</v>
      </c>
      <c r="C785" s="8" t="s">
        <v>5493</v>
      </c>
      <c r="D785" s="8" t="s">
        <v>545</v>
      </c>
      <c r="E785" s="8">
        <v>10598</v>
      </c>
      <c r="F785" s="8">
        <v>41.270927399999998</v>
      </c>
      <c r="G785" s="8">
        <v>-73.777633600000001</v>
      </c>
    </row>
    <row r="786" spans="1:7" ht="15.75" customHeight="1" x14ac:dyDescent="0.25">
      <c r="A786" s="8" t="s">
        <v>5588</v>
      </c>
      <c r="B786" s="8" t="s">
        <v>5589</v>
      </c>
      <c r="C786" s="8" t="s">
        <v>5506</v>
      </c>
      <c r="D786" s="8" t="s">
        <v>545</v>
      </c>
      <c r="E786" s="8">
        <v>11022</v>
      </c>
      <c r="F786" s="8">
        <v>40.800656699999998</v>
      </c>
      <c r="G786" s="8">
        <v>-73.728464700000004</v>
      </c>
    </row>
    <row r="787" spans="1:7" ht="15.75" customHeight="1" x14ac:dyDescent="0.25">
      <c r="A787" s="8" t="s">
        <v>5590</v>
      </c>
      <c r="B787" s="8" t="s">
        <v>5591</v>
      </c>
      <c r="C787" s="8" t="s">
        <v>5592</v>
      </c>
      <c r="D787" s="8" t="s">
        <v>545</v>
      </c>
      <c r="E787" s="8">
        <v>13421</v>
      </c>
      <c r="F787" s="8">
        <v>43.092208999999997</v>
      </c>
      <c r="G787" s="8">
        <v>-75.651168999999996</v>
      </c>
    </row>
    <row r="788" spans="1:7" ht="15.75" customHeight="1" x14ac:dyDescent="0.25">
      <c r="A788" s="8" t="s">
        <v>5593</v>
      </c>
      <c r="B788" s="8" t="s">
        <v>5594</v>
      </c>
      <c r="C788" s="8" t="s">
        <v>5485</v>
      </c>
      <c r="D788" s="8" t="s">
        <v>545</v>
      </c>
      <c r="E788" s="8">
        <v>14072</v>
      </c>
      <c r="F788" s="8">
        <v>43.009740200000003</v>
      </c>
      <c r="G788" s="8">
        <v>-78.970609362499999</v>
      </c>
    </row>
    <row r="789" spans="1:7" ht="15.75" customHeight="1" x14ac:dyDescent="0.25">
      <c r="A789" s="8" t="s">
        <v>5595</v>
      </c>
      <c r="B789" s="8" t="s">
        <v>4651</v>
      </c>
      <c r="C789" s="8" t="s">
        <v>5533</v>
      </c>
      <c r="D789" s="8" t="s">
        <v>545</v>
      </c>
      <c r="E789" s="8">
        <v>14092</v>
      </c>
      <c r="F789" s="8">
        <v>43.172555000000003</v>
      </c>
      <c r="G789" s="8">
        <v>-79.035877999999997</v>
      </c>
    </row>
    <row r="790" spans="1:7" ht="15.75" customHeight="1" x14ac:dyDescent="0.25">
      <c r="A790" s="8" t="s">
        <v>5596</v>
      </c>
      <c r="B790" s="8" t="s">
        <v>5597</v>
      </c>
      <c r="C790" s="8" t="s">
        <v>2694</v>
      </c>
      <c r="D790" s="8" t="s">
        <v>545</v>
      </c>
      <c r="E790" s="8">
        <v>14513</v>
      </c>
      <c r="F790" s="8">
        <v>43.046730099999998</v>
      </c>
      <c r="G790" s="8">
        <v>-77.095251599999997</v>
      </c>
    </row>
    <row r="791" spans="1:7" ht="15.75" customHeight="1" x14ac:dyDescent="0.25">
      <c r="A791" s="8" t="s">
        <v>5598</v>
      </c>
      <c r="B791" s="8" t="s">
        <v>5599</v>
      </c>
      <c r="C791" s="8" t="s">
        <v>5600</v>
      </c>
      <c r="D791" s="8" t="s">
        <v>545</v>
      </c>
      <c r="E791" s="8">
        <v>12953</v>
      </c>
      <c r="F791" s="8">
        <v>44.84881</v>
      </c>
      <c r="G791" s="8">
        <v>-74.295044000000004</v>
      </c>
    </row>
    <row r="792" spans="1:7" ht="15.75" customHeight="1" x14ac:dyDescent="0.25">
      <c r="A792" s="8" t="s">
        <v>5601</v>
      </c>
      <c r="B792" s="8" t="s">
        <v>5602</v>
      </c>
      <c r="C792" s="8" t="s">
        <v>1137</v>
      </c>
      <c r="D792" s="8" t="s">
        <v>545</v>
      </c>
      <c r="E792" s="8">
        <v>12828</v>
      </c>
      <c r="F792" s="8">
        <v>43.267206000000002</v>
      </c>
      <c r="G792" s="8">
        <v>-73.584709000000004</v>
      </c>
    </row>
    <row r="793" spans="1:7" ht="15.75" customHeight="1" x14ac:dyDescent="0.25">
      <c r="A793" s="8" t="s">
        <v>5603</v>
      </c>
      <c r="B793" s="8" t="s">
        <v>4933</v>
      </c>
      <c r="C793" s="8" t="s">
        <v>5506</v>
      </c>
      <c r="D793" s="8" t="s">
        <v>545</v>
      </c>
      <c r="E793" s="8">
        <v>11559</v>
      </c>
      <c r="F793" s="8">
        <v>40.615697750000002</v>
      </c>
      <c r="G793" s="8">
        <v>-73.7358794254</v>
      </c>
    </row>
    <row r="794" spans="1:7" ht="15.75" customHeight="1" x14ac:dyDescent="0.25">
      <c r="A794" s="8" t="s">
        <v>5604</v>
      </c>
      <c r="B794" s="8" t="s">
        <v>5605</v>
      </c>
      <c r="C794" s="8" t="s">
        <v>5606</v>
      </c>
      <c r="D794" s="8" t="s">
        <v>545</v>
      </c>
      <c r="E794" s="8">
        <v>13732</v>
      </c>
      <c r="F794" s="8">
        <v>42.069518899999998</v>
      </c>
      <c r="G794" s="8">
        <v>-76.154650399999994</v>
      </c>
    </row>
    <row r="795" spans="1:7" ht="15.75" customHeight="1" x14ac:dyDescent="0.25">
      <c r="A795" s="8" t="s">
        <v>5607</v>
      </c>
      <c r="B795" s="8" t="s">
        <v>5608</v>
      </c>
      <c r="C795" s="8" t="s">
        <v>5609</v>
      </c>
      <c r="D795" s="8" t="s">
        <v>545</v>
      </c>
      <c r="E795" s="8">
        <v>14414</v>
      </c>
      <c r="F795" s="8">
        <v>42.911992499999997</v>
      </c>
      <c r="G795" s="8">
        <v>-77.745456700000005</v>
      </c>
    </row>
    <row r="796" spans="1:7" ht="15.75" customHeight="1" x14ac:dyDescent="0.25">
      <c r="A796" s="8" t="s">
        <v>5610</v>
      </c>
      <c r="B796" s="8" t="s">
        <v>4078</v>
      </c>
      <c r="C796" s="8" t="s">
        <v>5535</v>
      </c>
      <c r="D796" s="8" t="s">
        <v>545</v>
      </c>
      <c r="E796" s="8">
        <v>14901</v>
      </c>
      <c r="F796" s="8">
        <v>42.089796499999999</v>
      </c>
      <c r="G796" s="8">
        <v>-76.807733799999994</v>
      </c>
    </row>
    <row r="797" spans="1:7" ht="15.75" customHeight="1" x14ac:dyDescent="0.25">
      <c r="A797" s="8" t="s">
        <v>5611</v>
      </c>
      <c r="B797" s="8" t="s">
        <v>4763</v>
      </c>
      <c r="C797" s="8" t="s">
        <v>5609</v>
      </c>
      <c r="D797" s="8" t="s">
        <v>545</v>
      </c>
      <c r="E797" s="8">
        <v>14454</v>
      </c>
      <c r="F797" s="8">
        <v>42.795895999999999</v>
      </c>
      <c r="G797" s="8">
        <v>-77.816946999999999</v>
      </c>
    </row>
    <row r="798" spans="1:7" ht="15.75" customHeight="1" x14ac:dyDescent="0.25">
      <c r="A798" s="8" t="s">
        <v>5612</v>
      </c>
      <c r="B798" s="8" t="s">
        <v>5613</v>
      </c>
      <c r="C798" s="8" t="s">
        <v>5485</v>
      </c>
      <c r="D798" s="8" t="s">
        <v>545</v>
      </c>
      <c r="E798" s="8">
        <v>14070</v>
      </c>
      <c r="F798" s="8">
        <v>42.463116999999997</v>
      </c>
      <c r="G798" s="8">
        <v>-78.935867999999999</v>
      </c>
    </row>
    <row r="799" spans="1:7" ht="15.75" customHeight="1" x14ac:dyDescent="0.25">
      <c r="A799" s="8" t="s">
        <v>5614</v>
      </c>
      <c r="B799" s="8" t="s">
        <v>5589</v>
      </c>
      <c r="C799" s="8" t="s">
        <v>5506</v>
      </c>
      <c r="D799" s="8" t="s">
        <v>545</v>
      </c>
      <c r="E799" s="8">
        <v>11023</v>
      </c>
      <c r="F799" s="8">
        <v>40.800656699999998</v>
      </c>
      <c r="G799" s="8">
        <v>-73.728464700000004</v>
      </c>
    </row>
    <row r="800" spans="1:7" ht="15.75" customHeight="1" x14ac:dyDescent="0.25">
      <c r="A800" s="8" t="s">
        <v>5615</v>
      </c>
      <c r="B800" s="8" t="s">
        <v>5616</v>
      </c>
      <c r="C800" s="8" t="s">
        <v>5617</v>
      </c>
      <c r="D800" s="8" t="s">
        <v>545</v>
      </c>
      <c r="E800" s="8">
        <v>14843</v>
      </c>
      <c r="F800" s="8">
        <v>42.3278477</v>
      </c>
      <c r="G800" s="8">
        <v>-77.661102499999998</v>
      </c>
    </row>
    <row r="801" spans="1:7" ht="15.75" customHeight="1" x14ac:dyDescent="0.25">
      <c r="A801" s="8" t="s">
        <v>6636</v>
      </c>
      <c r="B801" s="8" t="s">
        <v>6637</v>
      </c>
      <c r="C801" s="8"/>
      <c r="D801" s="8" t="s">
        <v>545</v>
      </c>
      <c r="E801" s="8"/>
      <c r="F801" s="8">
        <v>41.31</v>
      </c>
      <c r="G801" s="8">
        <v>-74.150000000000006</v>
      </c>
    </row>
    <row r="802" spans="1:7" ht="15.75" customHeight="1" x14ac:dyDescent="0.25">
      <c r="A802" s="8" t="s">
        <v>5618</v>
      </c>
      <c r="B802" s="8" t="s">
        <v>4907</v>
      </c>
      <c r="C802" s="8" t="s">
        <v>5619</v>
      </c>
      <c r="D802" s="8" t="s">
        <v>545</v>
      </c>
      <c r="E802" s="8">
        <v>11743</v>
      </c>
      <c r="F802" s="8">
        <v>40.868153999999997</v>
      </c>
      <c r="G802" s="8">
        <v>-73.425675999999996</v>
      </c>
    </row>
    <row r="803" spans="1:7" ht="15.75" customHeight="1" x14ac:dyDescent="0.25">
      <c r="A803" s="8" t="s">
        <v>5620</v>
      </c>
      <c r="B803" s="8" t="s">
        <v>5529</v>
      </c>
      <c r="C803" s="8" t="s">
        <v>5530</v>
      </c>
      <c r="D803" s="8" t="s">
        <v>545</v>
      </c>
      <c r="E803" s="8">
        <v>14850</v>
      </c>
      <c r="F803" s="8">
        <v>42.462020649999999</v>
      </c>
      <c r="G803" s="8">
        <v>-76.503492944599998</v>
      </c>
    </row>
    <row r="804" spans="1:7" ht="15.75" customHeight="1" x14ac:dyDescent="0.25">
      <c r="A804" s="8" t="s">
        <v>5621</v>
      </c>
      <c r="B804" s="8" t="s">
        <v>5622</v>
      </c>
      <c r="C804" s="8" t="s">
        <v>5623</v>
      </c>
      <c r="D804" s="8" t="s">
        <v>545</v>
      </c>
      <c r="E804" s="8">
        <v>12845</v>
      </c>
      <c r="F804" s="8">
        <v>43.425995999999998</v>
      </c>
      <c r="G804" s="8">
        <v>-73.712424999999996</v>
      </c>
    </row>
    <row r="805" spans="1:7" ht="15.75" customHeight="1" x14ac:dyDescent="0.25">
      <c r="A805" s="8" t="s">
        <v>5624</v>
      </c>
      <c r="B805" s="8" t="s">
        <v>5625</v>
      </c>
      <c r="C805" s="8" t="s">
        <v>5609</v>
      </c>
      <c r="D805" s="8" t="s">
        <v>545</v>
      </c>
      <c r="E805" s="8">
        <v>14480</v>
      </c>
      <c r="F805" s="8">
        <v>42.836452199999997</v>
      </c>
      <c r="G805" s="8">
        <v>-77.705000100000007</v>
      </c>
    </row>
    <row r="806" spans="1:7" ht="15.75" customHeight="1" x14ac:dyDescent="0.25">
      <c r="A806" s="8" t="s">
        <v>5626</v>
      </c>
      <c r="B806" s="8" t="s">
        <v>5627</v>
      </c>
      <c r="C806" s="8" t="s">
        <v>5560</v>
      </c>
      <c r="D806" s="8" t="s">
        <v>545</v>
      </c>
      <c r="E806" s="8">
        <v>13662</v>
      </c>
      <c r="F806" s="8">
        <v>44.928106</v>
      </c>
      <c r="G806" s="8">
        <v>-74.892082000000002</v>
      </c>
    </row>
    <row r="807" spans="1:7" ht="15.75" customHeight="1" x14ac:dyDescent="0.25">
      <c r="A807" s="8" t="s">
        <v>5628</v>
      </c>
      <c r="B807" s="8" t="s">
        <v>5629</v>
      </c>
      <c r="C807" s="8" t="s">
        <v>5554</v>
      </c>
      <c r="D807" s="8" t="s">
        <v>545</v>
      </c>
      <c r="E807" s="8">
        <v>12561</v>
      </c>
      <c r="F807" s="8">
        <v>41.7464972</v>
      </c>
      <c r="G807" s="8">
        <v>-74.084489399999995</v>
      </c>
    </row>
    <row r="808" spans="1:7" ht="15.75" customHeight="1" x14ac:dyDescent="0.25">
      <c r="A808" s="8" t="s">
        <v>5630</v>
      </c>
      <c r="B808" s="8" t="s">
        <v>5631</v>
      </c>
      <c r="C808" s="8" t="s">
        <v>5632</v>
      </c>
      <c r="D808" s="8" t="s">
        <v>545</v>
      </c>
      <c r="E808" s="8">
        <v>13815</v>
      </c>
      <c r="F808" s="8">
        <v>42.531184000000003</v>
      </c>
      <c r="G808" s="8">
        <v>-75.523514899999995</v>
      </c>
    </row>
    <row r="809" spans="1:7" ht="15.75" customHeight="1" x14ac:dyDescent="0.25">
      <c r="A809" s="8" t="s">
        <v>5633</v>
      </c>
      <c r="B809" s="8" t="s">
        <v>5634</v>
      </c>
      <c r="C809" s="8" t="s">
        <v>5635</v>
      </c>
      <c r="D809" s="8" t="s">
        <v>545</v>
      </c>
      <c r="E809" s="8">
        <v>14760</v>
      </c>
      <c r="F809" s="8">
        <v>42.077565</v>
      </c>
      <c r="G809" s="8">
        <v>-78.429741899999996</v>
      </c>
    </row>
    <row r="810" spans="1:7" ht="15.75" customHeight="1" x14ac:dyDescent="0.25">
      <c r="A810" s="8" t="s">
        <v>5636</v>
      </c>
      <c r="B810" s="8" t="s">
        <v>5637</v>
      </c>
      <c r="C810" s="8" t="s">
        <v>5638</v>
      </c>
      <c r="D810" s="8" t="s">
        <v>545</v>
      </c>
      <c r="E810" s="8">
        <v>13820</v>
      </c>
      <c r="F810" s="8">
        <v>42.453491999999997</v>
      </c>
      <c r="G810" s="8">
        <v>-75.062953100000001</v>
      </c>
    </row>
    <row r="811" spans="1:7" ht="15.75" customHeight="1" x14ac:dyDescent="0.25">
      <c r="A811" s="8" t="s">
        <v>5639</v>
      </c>
      <c r="B811" s="8" t="s">
        <v>5640</v>
      </c>
      <c r="C811" s="8" t="s">
        <v>5606</v>
      </c>
      <c r="D811" s="8" t="s">
        <v>545</v>
      </c>
      <c r="E811" s="8">
        <v>13827</v>
      </c>
      <c r="F811" s="8">
        <v>42.103407500000003</v>
      </c>
      <c r="G811" s="8">
        <v>-76.262154899999999</v>
      </c>
    </row>
    <row r="812" spans="1:7" ht="15.75" customHeight="1" x14ac:dyDescent="0.25">
      <c r="A812" s="8" t="s">
        <v>5641</v>
      </c>
      <c r="B812" s="8" t="s">
        <v>5642</v>
      </c>
      <c r="C812" s="8" t="s">
        <v>5643</v>
      </c>
      <c r="D812" s="8" t="s">
        <v>545</v>
      </c>
      <c r="E812" s="8">
        <v>14527</v>
      </c>
      <c r="F812" s="8">
        <v>42.6603037</v>
      </c>
      <c r="G812" s="8">
        <v>-77.0540989</v>
      </c>
    </row>
    <row r="813" spans="1:7" ht="15.75" customHeight="1" x14ac:dyDescent="0.25">
      <c r="A813" s="8" t="s">
        <v>5644</v>
      </c>
      <c r="B813" s="8" t="s">
        <v>5645</v>
      </c>
      <c r="C813" s="8" t="s">
        <v>5554</v>
      </c>
      <c r="D813" s="8" t="s">
        <v>545</v>
      </c>
      <c r="E813" s="8">
        <v>12477</v>
      </c>
      <c r="F813" s="8">
        <v>42.077590600000001</v>
      </c>
      <c r="G813" s="8">
        <v>-73.952912600000005</v>
      </c>
    </row>
    <row r="814" spans="1:7" ht="15.75" customHeight="1" x14ac:dyDescent="0.25">
      <c r="A814" s="8" t="s">
        <v>5646</v>
      </c>
      <c r="B814" s="8" t="s">
        <v>5647</v>
      </c>
      <c r="C814" s="8" t="s">
        <v>5524</v>
      </c>
      <c r="D814" s="8" t="s">
        <v>545</v>
      </c>
      <c r="E814" s="8">
        <v>12309</v>
      </c>
      <c r="F814" s="8">
        <v>42.807658500000002</v>
      </c>
      <c r="G814" s="8">
        <v>-73.875020626500003</v>
      </c>
    </row>
    <row r="815" spans="1:7" ht="15.75" customHeight="1" x14ac:dyDescent="0.25">
      <c r="A815" s="8" t="s">
        <v>5648</v>
      </c>
      <c r="B815" s="8" t="s">
        <v>5649</v>
      </c>
      <c r="C815" s="8" t="s">
        <v>5650</v>
      </c>
      <c r="D815" s="8" t="s">
        <v>545</v>
      </c>
      <c r="E815" s="8">
        <v>13148</v>
      </c>
      <c r="F815" s="8">
        <v>42.908551546200002</v>
      </c>
      <c r="G815" s="8">
        <v>-76.792015579099996</v>
      </c>
    </row>
    <row r="816" spans="1:7" ht="15.75" customHeight="1" x14ac:dyDescent="0.25">
      <c r="A816" s="8" t="s">
        <v>5651</v>
      </c>
      <c r="B816" s="8" t="s">
        <v>5652</v>
      </c>
      <c r="C816" s="8" t="s">
        <v>5653</v>
      </c>
      <c r="D816" s="8" t="s">
        <v>545</v>
      </c>
      <c r="E816" s="8">
        <v>12779</v>
      </c>
      <c r="F816" s="8">
        <v>41.720646799999997</v>
      </c>
      <c r="G816" s="8">
        <v>-74.634327099999993</v>
      </c>
    </row>
    <row r="817" spans="1:7" ht="15.75" customHeight="1" x14ac:dyDescent="0.25">
      <c r="A817" s="8" t="s">
        <v>5654</v>
      </c>
      <c r="B817" s="8" t="s">
        <v>5655</v>
      </c>
      <c r="C817" s="8" t="s">
        <v>5485</v>
      </c>
      <c r="D817" s="8" t="s">
        <v>545</v>
      </c>
      <c r="E817" s="8">
        <v>14141</v>
      </c>
      <c r="F817" s="8">
        <v>42.508395200000002</v>
      </c>
      <c r="G817" s="8">
        <v>-78.667248200000003</v>
      </c>
    </row>
    <row r="818" spans="1:7" ht="15.75" customHeight="1" x14ac:dyDescent="0.25">
      <c r="A818" s="8" t="s">
        <v>5656</v>
      </c>
      <c r="B818" s="8" t="s">
        <v>5657</v>
      </c>
      <c r="C818" s="8" t="s">
        <v>5518</v>
      </c>
      <c r="D818" s="8" t="s">
        <v>545</v>
      </c>
      <c r="E818" s="8">
        <v>10901</v>
      </c>
      <c r="F818" s="8">
        <v>41.113708799999998</v>
      </c>
      <c r="G818" s="8">
        <v>-74.153543999999997</v>
      </c>
    </row>
    <row r="819" spans="1:7" ht="15.75" customHeight="1" x14ac:dyDescent="0.25">
      <c r="A819" s="8" t="s">
        <v>5658</v>
      </c>
      <c r="B819" s="8"/>
      <c r="C819" s="8"/>
      <c r="D819" s="8" t="s">
        <v>545</v>
      </c>
      <c r="E819" s="8">
        <v>14895</v>
      </c>
      <c r="F819" s="8">
        <v>42.109736793700002</v>
      </c>
      <c r="G819" s="8">
        <v>-77.943660201900002</v>
      </c>
    </row>
    <row r="820" spans="1:7" ht="15.75" customHeight="1" x14ac:dyDescent="0.25">
      <c r="A820" s="8" t="s">
        <v>5659</v>
      </c>
      <c r="B820" s="8" t="s">
        <v>6638</v>
      </c>
      <c r="C820" s="8"/>
      <c r="D820" s="8" t="s">
        <v>545</v>
      </c>
      <c r="E820" s="8">
        <v>11794</v>
      </c>
      <c r="F820" s="8">
        <v>40.907756769899997</v>
      </c>
      <c r="G820" s="8">
        <v>-73.117493666599998</v>
      </c>
    </row>
    <row r="821" spans="1:7" ht="15.75" customHeight="1" x14ac:dyDescent="0.25">
      <c r="A821" s="8" t="s">
        <v>5660</v>
      </c>
      <c r="B821" s="8" t="s">
        <v>4887</v>
      </c>
      <c r="C821" s="8" t="s">
        <v>5563</v>
      </c>
      <c r="D821" s="8" t="s">
        <v>545</v>
      </c>
      <c r="E821" s="8">
        <v>10924</v>
      </c>
      <c r="F821" s="8">
        <v>41.4020382</v>
      </c>
      <c r="G821" s="8">
        <v>-74.324319099999997</v>
      </c>
    </row>
    <row r="822" spans="1:7" ht="15.75" customHeight="1" x14ac:dyDescent="0.25">
      <c r="A822" s="8" t="s">
        <v>5661</v>
      </c>
      <c r="B822" s="8" t="s">
        <v>5662</v>
      </c>
      <c r="C822" s="8" t="s">
        <v>5554</v>
      </c>
      <c r="D822" s="8" t="s">
        <v>545</v>
      </c>
      <c r="E822" s="8">
        <v>12449</v>
      </c>
      <c r="F822" s="8">
        <v>41.9856476</v>
      </c>
      <c r="G822" s="8">
        <v>-73.9881934</v>
      </c>
    </row>
    <row r="823" spans="1:7" ht="15.75" customHeight="1" x14ac:dyDescent="0.25">
      <c r="A823" s="8" t="s">
        <v>5663</v>
      </c>
      <c r="B823" s="8" t="s">
        <v>5664</v>
      </c>
      <c r="C823" s="8" t="s">
        <v>5560</v>
      </c>
      <c r="D823" s="8" t="s">
        <v>545</v>
      </c>
      <c r="E823" s="8">
        <v>13676</v>
      </c>
      <c r="F823" s="8">
        <v>44.669799599999997</v>
      </c>
      <c r="G823" s="8">
        <v>-74.981334899999993</v>
      </c>
    </row>
    <row r="824" spans="1:7" ht="15.75" customHeight="1" x14ac:dyDescent="0.25">
      <c r="A824" s="8" t="s">
        <v>5665</v>
      </c>
      <c r="B824" s="8" t="s">
        <v>5666</v>
      </c>
      <c r="C824" s="8" t="s">
        <v>5557</v>
      </c>
      <c r="D824" s="8" t="s">
        <v>545</v>
      </c>
      <c r="E824" s="8" t="s">
        <v>5667</v>
      </c>
      <c r="F824" s="8">
        <v>49.801335700000003</v>
      </c>
      <c r="G824" s="8">
        <v>18.788667199999999</v>
      </c>
    </row>
    <row r="825" spans="1:7" ht="15.75" customHeight="1" x14ac:dyDescent="0.25">
      <c r="A825" s="8" t="s">
        <v>5668</v>
      </c>
      <c r="B825" s="8" t="s">
        <v>544</v>
      </c>
      <c r="C825" s="8" t="s">
        <v>5669</v>
      </c>
      <c r="D825" s="8" t="s">
        <v>545</v>
      </c>
      <c r="E825" s="8">
        <v>14103</v>
      </c>
      <c r="F825" s="8">
        <v>43.220058000000002</v>
      </c>
      <c r="G825" s="8">
        <v>-78.386968999999993</v>
      </c>
    </row>
    <row r="826" spans="1:7" ht="15.75" customHeight="1" x14ac:dyDescent="0.25">
      <c r="A826" s="8" t="s">
        <v>5670</v>
      </c>
      <c r="B826" s="8" t="s">
        <v>171</v>
      </c>
      <c r="C826" s="8" t="s">
        <v>5671</v>
      </c>
      <c r="D826" s="8" t="s">
        <v>545</v>
      </c>
      <c r="E826" s="8">
        <v>14830</v>
      </c>
      <c r="F826" s="8">
        <v>42.143525699999998</v>
      </c>
      <c r="G826" s="8">
        <v>-77.054340800000006</v>
      </c>
    </row>
    <row r="827" spans="1:7" ht="15.75" customHeight="1" x14ac:dyDescent="0.25">
      <c r="A827" s="8" t="s">
        <v>5672</v>
      </c>
      <c r="B827" s="8" t="s">
        <v>3309</v>
      </c>
      <c r="C827" s="8" t="s">
        <v>5485</v>
      </c>
      <c r="D827" s="8" t="s">
        <v>545</v>
      </c>
      <c r="E827" s="8">
        <v>14218</v>
      </c>
      <c r="F827" s="8">
        <v>42.819090250000002</v>
      </c>
      <c r="G827" s="8">
        <v>-78.833717479100002</v>
      </c>
    </row>
    <row r="828" spans="1:7" ht="15.75" customHeight="1" x14ac:dyDescent="0.25">
      <c r="A828" s="8" t="s">
        <v>5673</v>
      </c>
      <c r="B828" s="8" t="s">
        <v>5674</v>
      </c>
      <c r="C828" s="8" t="s">
        <v>1141</v>
      </c>
      <c r="D828" s="8" t="s">
        <v>545</v>
      </c>
      <c r="E828" s="8">
        <v>14105</v>
      </c>
      <c r="F828" s="8">
        <v>43.212300999999997</v>
      </c>
      <c r="G828" s="8">
        <v>-78.476562999999999</v>
      </c>
    </row>
    <row r="829" spans="1:7" ht="15.75" customHeight="1" x14ac:dyDescent="0.25">
      <c r="A829" s="8" t="s">
        <v>5675</v>
      </c>
      <c r="B829" s="8" t="s">
        <v>5676</v>
      </c>
      <c r="C829" s="8" t="s">
        <v>2094</v>
      </c>
      <c r="D829" s="8" t="s">
        <v>545</v>
      </c>
      <c r="E829" s="8">
        <v>14004</v>
      </c>
      <c r="F829" s="8">
        <v>40.750703899999998</v>
      </c>
      <c r="G829" s="8">
        <v>-73.883796356700003</v>
      </c>
    </row>
    <row r="830" spans="1:7" ht="15.75" customHeight="1" x14ac:dyDescent="0.25">
      <c r="A830" s="8" t="s">
        <v>5677</v>
      </c>
      <c r="B830" s="8" t="s">
        <v>5678</v>
      </c>
      <c r="C830" s="8" t="s">
        <v>1568</v>
      </c>
      <c r="D830" s="8" t="s">
        <v>545</v>
      </c>
      <c r="E830" s="8">
        <v>14757</v>
      </c>
      <c r="F830" s="8">
        <v>42.253946999999997</v>
      </c>
      <c r="G830" s="8">
        <v>-79.504491000000002</v>
      </c>
    </row>
    <row r="831" spans="1:7" ht="15.75" customHeight="1" x14ac:dyDescent="0.25">
      <c r="A831" s="8" t="s">
        <v>5679</v>
      </c>
      <c r="B831" s="8" t="s">
        <v>5680</v>
      </c>
      <c r="C831" s="8" t="s">
        <v>5681</v>
      </c>
      <c r="D831" s="8" t="s">
        <v>545</v>
      </c>
      <c r="E831" s="8">
        <v>14744</v>
      </c>
      <c r="F831" s="8">
        <v>42.4233981</v>
      </c>
      <c r="G831" s="8">
        <v>-78.157231899999999</v>
      </c>
    </row>
    <row r="832" spans="1:7" ht="15.75" customHeight="1" x14ac:dyDescent="0.25">
      <c r="A832" s="8" t="s">
        <v>5682</v>
      </c>
      <c r="B832" s="8" t="s">
        <v>5683</v>
      </c>
      <c r="C832" s="8"/>
      <c r="D832" s="8" t="s">
        <v>545</v>
      </c>
      <c r="E832" s="8">
        <v>14837</v>
      </c>
      <c r="F832" s="8">
        <v>42.523404399999997</v>
      </c>
      <c r="G832" s="8">
        <v>-76.976630999999998</v>
      </c>
    </row>
    <row r="833" spans="1:7" ht="15.75" customHeight="1" x14ac:dyDescent="0.25">
      <c r="A833" s="8" t="s">
        <v>5684</v>
      </c>
      <c r="B833" s="8" t="s">
        <v>5685</v>
      </c>
      <c r="C833" s="8"/>
      <c r="D833" s="8" t="s">
        <v>545</v>
      </c>
      <c r="E833" s="8">
        <v>14522</v>
      </c>
      <c r="F833" s="8">
        <v>43.062375400000001</v>
      </c>
      <c r="G833" s="8">
        <v>-77.234724499999999</v>
      </c>
    </row>
    <row r="834" spans="1:7" ht="15.75" customHeight="1" x14ac:dyDescent="0.25">
      <c r="A834" s="8" t="s">
        <v>5686</v>
      </c>
      <c r="B834" s="8" t="s">
        <v>5687</v>
      </c>
      <c r="C834" s="8"/>
      <c r="D834" s="8" t="s">
        <v>545</v>
      </c>
      <c r="E834" s="8">
        <v>14502</v>
      </c>
      <c r="F834" s="8">
        <v>43.069229999999997</v>
      </c>
      <c r="G834" s="8">
        <v>-77.298874999999995</v>
      </c>
    </row>
    <row r="835" spans="1:7" ht="15.75" customHeight="1" x14ac:dyDescent="0.25">
      <c r="A835" s="8" t="s">
        <v>5688</v>
      </c>
      <c r="B835" s="8" t="s">
        <v>5689</v>
      </c>
      <c r="C835" s="8" t="s">
        <v>5617</v>
      </c>
      <c r="D835" s="8" t="s">
        <v>545</v>
      </c>
      <c r="E835" s="8">
        <v>14870</v>
      </c>
      <c r="F835" s="8">
        <v>42.156762200000003</v>
      </c>
      <c r="G835" s="8">
        <v>-77.088564000000005</v>
      </c>
    </row>
    <row r="836" spans="1:7" ht="15.75" customHeight="1" x14ac:dyDescent="0.25">
      <c r="A836" s="8" t="s">
        <v>5690</v>
      </c>
      <c r="B836" s="8" t="s">
        <v>1727</v>
      </c>
      <c r="C836" s="8"/>
      <c r="D836" s="8" t="s">
        <v>545</v>
      </c>
      <c r="E836" s="8">
        <v>14801</v>
      </c>
      <c r="F836" s="8">
        <v>42.1051571</v>
      </c>
      <c r="G836" s="8">
        <v>-77.234058399999995</v>
      </c>
    </row>
    <row r="837" spans="1:7" ht="15.75" customHeight="1" x14ac:dyDescent="0.25">
      <c r="A837" s="8" t="s">
        <v>5691</v>
      </c>
      <c r="B837" s="8" t="s">
        <v>5692</v>
      </c>
      <c r="C837" s="8" t="s">
        <v>1453</v>
      </c>
      <c r="D837" s="8" t="s">
        <v>545</v>
      </c>
      <c r="E837" s="8">
        <v>14098</v>
      </c>
      <c r="F837" s="8">
        <v>43.326723999999999</v>
      </c>
      <c r="G837" s="8">
        <v>-78.388914</v>
      </c>
    </row>
    <row r="838" spans="1:7" ht="15.75" customHeight="1" x14ac:dyDescent="0.25">
      <c r="A838" s="8" t="s">
        <v>5693</v>
      </c>
      <c r="B838" s="8" t="s">
        <v>5666</v>
      </c>
      <c r="C838" s="8" t="s">
        <v>5694</v>
      </c>
      <c r="D838" s="8" t="s">
        <v>545</v>
      </c>
      <c r="E838" s="8">
        <v>14564</v>
      </c>
      <c r="F838" s="8">
        <v>49.801335700000003</v>
      </c>
      <c r="G838" s="8">
        <v>18.788667199999999</v>
      </c>
    </row>
    <row r="839" spans="1:7" ht="15.75" customHeight="1" x14ac:dyDescent="0.25">
      <c r="A839" s="8" t="s">
        <v>5695</v>
      </c>
      <c r="B839" s="8" t="s">
        <v>5696</v>
      </c>
      <c r="C839" s="8" t="s">
        <v>4472</v>
      </c>
      <c r="D839" s="8" t="s">
        <v>545</v>
      </c>
      <c r="E839" s="8">
        <v>14472</v>
      </c>
      <c r="F839" s="8">
        <v>42.951903799999997</v>
      </c>
      <c r="G839" s="8">
        <v>-77.5914322</v>
      </c>
    </row>
    <row r="840" spans="1:7" ht="15.75" customHeight="1" x14ac:dyDescent="0.25">
      <c r="A840" s="8" t="s">
        <v>5697</v>
      </c>
      <c r="B840" s="8" t="s">
        <v>5698</v>
      </c>
      <c r="C840" s="8" t="s">
        <v>4804</v>
      </c>
      <c r="D840" s="8" t="s">
        <v>545</v>
      </c>
      <c r="E840" s="8">
        <v>14510</v>
      </c>
      <c r="F840" s="8">
        <v>44.159504599999998</v>
      </c>
      <c r="G840" s="8">
        <v>-74.475167999999996</v>
      </c>
    </row>
    <row r="841" spans="1:7" ht="15.75" customHeight="1" x14ac:dyDescent="0.25">
      <c r="A841" s="8" t="s">
        <v>548</v>
      </c>
      <c r="B841" s="8" t="s">
        <v>5699</v>
      </c>
      <c r="C841" s="8" t="s">
        <v>4804</v>
      </c>
      <c r="D841" s="8" t="s">
        <v>545</v>
      </c>
      <c r="E841" s="8">
        <v>14485</v>
      </c>
      <c r="F841" s="8">
        <v>40.6357657</v>
      </c>
      <c r="G841" s="8">
        <v>-73.787873599999998</v>
      </c>
    </row>
    <row r="842" spans="1:7" ht="15.75" customHeight="1" x14ac:dyDescent="0.25">
      <c r="A842" s="8" t="s">
        <v>5700</v>
      </c>
      <c r="B842" s="8" t="s">
        <v>5701</v>
      </c>
      <c r="C842" s="8" t="s">
        <v>5702</v>
      </c>
      <c r="D842" s="8" t="s">
        <v>545</v>
      </c>
      <c r="E842" s="8">
        <v>13053</v>
      </c>
      <c r="F842" s="8">
        <v>42.490905300000001</v>
      </c>
      <c r="G842" s="8">
        <v>-76.2971553</v>
      </c>
    </row>
    <row r="843" spans="1:7" ht="15.75" customHeight="1" x14ac:dyDescent="0.25">
      <c r="A843" s="8" t="s">
        <v>5703</v>
      </c>
      <c r="B843" s="8" t="s">
        <v>5704</v>
      </c>
      <c r="C843" s="8" t="s">
        <v>5705</v>
      </c>
      <c r="D843" s="8" t="s">
        <v>545</v>
      </c>
      <c r="E843" s="8">
        <v>13460</v>
      </c>
      <c r="F843" s="8">
        <v>42.678126599999999</v>
      </c>
      <c r="G843" s="8">
        <v>-75.498512300000002</v>
      </c>
    </row>
    <row r="844" spans="1:7" ht="15.75" customHeight="1" x14ac:dyDescent="0.25">
      <c r="A844" s="8" t="s">
        <v>5706</v>
      </c>
      <c r="B844" s="8" t="s">
        <v>1606</v>
      </c>
      <c r="C844" s="8" t="s">
        <v>5707</v>
      </c>
      <c r="D844" s="8" t="s">
        <v>545</v>
      </c>
      <c r="E844" s="8">
        <v>13778</v>
      </c>
      <c r="F844" s="8">
        <v>42.329240800000001</v>
      </c>
      <c r="G844" s="8">
        <v>-75.769914700000001</v>
      </c>
    </row>
    <row r="845" spans="1:7" ht="15.75" customHeight="1" x14ac:dyDescent="0.25">
      <c r="A845" s="8" t="s">
        <v>6639</v>
      </c>
      <c r="B845" s="8" t="s">
        <v>5708</v>
      </c>
      <c r="C845" s="8" t="s">
        <v>5709</v>
      </c>
      <c r="D845" s="8" t="s">
        <v>545</v>
      </c>
      <c r="E845" s="8">
        <v>13326</v>
      </c>
      <c r="F845" s="8">
        <v>42.7006303</v>
      </c>
      <c r="G845" s="8">
        <v>-74.924321000000006</v>
      </c>
    </row>
    <row r="846" spans="1:7" ht="15.75" customHeight="1" x14ac:dyDescent="0.25">
      <c r="A846" s="8" t="s">
        <v>5710</v>
      </c>
      <c r="B846" s="8" t="s">
        <v>5711</v>
      </c>
      <c r="C846" s="8" t="s">
        <v>5264</v>
      </c>
      <c r="D846" s="8" t="s">
        <v>545</v>
      </c>
      <c r="E846" s="8">
        <v>12414</v>
      </c>
      <c r="F846" s="8">
        <v>42.135089499999999</v>
      </c>
      <c r="G846" s="8">
        <v>-73.924577200000002</v>
      </c>
    </row>
    <row r="847" spans="1:7" ht="15.75" customHeight="1" x14ac:dyDescent="0.25">
      <c r="A847" s="8" t="s">
        <v>5712</v>
      </c>
      <c r="B847" s="8" t="s">
        <v>5266</v>
      </c>
      <c r="C847" s="8" t="s">
        <v>5713</v>
      </c>
      <c r="D847" s="8" t="s">
        <v>545</v>
      </c>
      <c r="E847" s="8">
        <v>10511</v>
      </c>
      <c r="F847" s="8">
        <v>41.2620383</v>
      </c>
      <c r="G847" s="8">
        <v>-73.938194300000006</v>
      </c>
    </row>
    <row r="848" spans="1:7" ht="15.75" customHeight="1" x14ac:dyDescent="0.25">
      <c r="A848" s="8" t="s">
        <v>5714</v>
      </c>
      <c r="B848" s="8" t="s">
        <v>5715</v>
      </c>
      <c r="C848" s="8" t="s">
        <v>5716</v>
      </c>
      <c r="D848" s="8" t="s">
        <v>545</v>
      </c>
      <c r="E848" s="8">
        <v>12428</v>
      </c>
      <c r="F848" s="8">
        <v>41.717037900000001</v>
      </c>
      <c r="G848" s="8">
        <v>-74.395709999999994</v>
      </c>
    </row>
    <row r="849" spans="1:7" ht="15.75" customHeight="1" x14ac:dyDescent="0.25">
      <c r="A849" s="8" t="s">
        <v>5717</v>
      </c>
      <c r="B849" s="8" t="s">
        <v>5718</v>
      </c>
      <c r="C849" s="8" t="s">
        <v>4390</v>
      </c>
      <c r="D849" s="8" t="s">
        <v>545</v>
      </c>
      <c r="E849" s="8">
        <v>10512</v>
      </c>
      <c r="F849" s="8">
        <v>41.426636100000003</v>
      </c>
      <c r="G849" s="8">
        <v>-73.678827200000001</v>
      </c>
    </row>
    <row r="850" spans="1:7" ht="15.75" customHeight="1" x14ac:dyDescent="0.25">
      <c r="A850" s="8" t="s">
        <v>5719</v>
      </c>
      <c r="B850" s="8" t="s">
        <v>5720</v>
      </c>
      <c r="C850" s="8" t="s">
        <v>4048</v>
      </c>
      <c r="D850" s="8" t="s">
        <v>545</v>
      </c>
      <c r="E850" s="8">
        <v>10930</v>
      </c>
      <c r="F850" s="8">
        <v>41.3470382</v>
      </c>
      <c r="G850" s="8">
        <v>-74.126255999999998</v>
      </c>
    </row>
    <row r="851" spans="1:7" ht="15.75" customHeight="1" x14ac:dyDescent="0.25">
      <c r="A851" s="8" t="s">
        <v>5721</v>
      </c>
      <c r="B851" s="8" t="s">
        <v>5722</v>
      </c>
      <c r="C851" s="8" t="s">
        <v>4048</v>
      </c>
      <c r="D851" s="8" t="s">
        <v>545</v>
      </c>
      <c r="E851" s="8">
        <v>12543</v>
      </c>
      <c r="F851" s="8">
        <v>41.483982699999999</v>
      </c>
      <c r="G851" s="8">
        <v>-74.217648699999998</v>
      </c>
    </row>
    <row r="852" spans="1:7" ht="15.75" customHeight="1" x14ac:dyDescent="0.25">
      <c r="A852" s="8" t="s">
        <v>5723</v>
      </c>
      <c r="B852" s="8" t="s">
        <v>5724</v>
      </c>
      <c r="C852" s="8" t="s">
        <v>1481</v>
      </c>
      <c r="D852" s="8" t="s">
        <v>545</v>
      </c>
      <c r="E852" s="8">
        <v>12759</v>
      </c>
      <c r="F852" s="8">
        <v>41.770090600000003</v>
      </c>
      <c r="G852" s="8">
        <v>-74.657104799999999</v>
      </c>
    </row>
    <row r="853" spans="1:7" ht="15.75" customHeight="1" x14ac:dyDescent="0.25">
      <c r="A853" s="8" t="s">
        <v>5725</v>
      </c>
      <c r="B853" s="8" t="s">
        <v>5613</v>
      </c>
      <c r="C853" s="8" t="s">
        <v>5726</v>
      </c>
      <c r="D853" s="8" t="s">
        <v>545</v>
      </c>
      <c r="E853" s="8">
        <v>14070</v>
      </c>
      <c r="F853" s="8">
        <v>42.463116999999997</v>
      </c>
      <c r="G853" s="8">
        <v>-78.935867999999999</v>
      </c>
    </row>
    <row r="854" spans="1:7" ht="15.75" customHeight="1" x14ac:dyDescent="0.25">
      <c r="A854" s="8" t="s">
        <v>6640</v>
      </c>
      <c r="B854" s="8" t="s">
        <v>6641</v>
      </c>
      <c r="C854" s="8"/>
      <c r="D854" s="8" t="s">
        <v>545</v>
      </c>
      <c r="E854" s="8"/>
      <c r="F854" s="8">
        <v>42.13</v>
      </c>
      <c r="G854" s="8">
        <v>-77.959999999999994</v>
      </c>
    </row>
    <row r="855" spans="1:7" ht="15.75" customHeight="1" x14ac:dyDescent="0.25">
      <c r="A855" s="8" t="s">
        <v>6642</v>
      </c>
      <c r="B855" s="8" t="s">
        <v>5727</v>
      </c>
      <c r="C855" s="8" t="s">
        <v>2094</v>
      </c>
      <c r="D855" s="8" t="s">
        <v>545</v>
      </c>
      <c r="E855" s="8">
        <v>14213</v>
      </c>
      <c r="F855" s="8">
        <v>42.8867166</v>
      </c>
      <c r="G855" s="8">
        <v>-78.878392199999993</v>
      </c>
    </row>
    <row r="856" spans="1:7" ht="15.75" customHeight="1" x14ac:dyDescent="0.25">
      <c r="A856" s="8" t="s">
        <v>5728</v>
      </c>
      <c r="B856" s="8" t="s">
        <v>5729</v>
      </c>
      <c r="C856" s="8" t="s">
        <v>3905</v>
      </c>
      <c r="D856" s="8" t="s">
        <v>549</v>
      </c>
      <c r="E856" s="8">
        <v>45418</v>
      </c>
      <c r="F856" s="8">
        <v>39.758947800000001</v>
      </c>
      <c r="G856" s="8">
        <v>-84.191606899999996</v>
      </c>
    </row>
    <row r="857" spans="1:7" ht="15.75" customHeight="1" x14ac:dyDescent="0.25">
      <c r="A857" s="8" t="s">
        <v>5730</v>
      </c>
      <c r="B857" s="8" t="s">
        <v>5731</v>
      </c>
      <c r="C857" s="8" t="s">
        <v>5732</v>
      </c>
      <c r="D857" s="8" t="s">
        <v>549</v>
      </c>
      <c r="E857" s="8">
        <v>44035</v>
      </c>
      <c r="F857" s="8">
        <v>41.368251000000001</v>
      </c>
      <c r="G857" s="8">
        <v>-82.106575699999993</v>
      </c>
    </row>
    <row r="858" spans="1:7" ht="15.75" customHeight="1" x14ac:dyDescent="0.25">
      <c r="A858" s="8" t="s">
        <v>5733</v>
      </c>
      <c r="B858" s="8" t="s">
        <v>4339</v>
      </c>
      <c r="C858" s="8" t="s">
        <v>5734</v>
      </c>
      <c r="D858" s="8" t="s">
        <v>549</v>
      </c>
      <c r="E858" s="8">
        <v>45014</v>
      </c>
      <c r="F858" s="8">
        <v>39.317273399999998</v>
      </c>
      <c r="G858" s="8">
        <v>-84.492120900000003</v>
      </c>
    </row>
    <row r="859" spans="1:7" ht="15.75" customHeight="1" x14ac:dyDescent="0.25">
      <c r="A859" s="8" t="s">
        <v>5735</v>
      </c>
      <c r="B859" s="8" t="s">
        <v>5736</v>
      </c>
      <c r="C859" s="8" t="s">
        <v>5737</v>
      </c>
      <c r="D859" s="8" t="s">
        <v>549</v>
      </c>
      <c r="E859" s="8">
        <v>44107</v>
      </c>
      <c r="F859" s="8">
        <v>41.481993199999998</v>
      </c>
      <c r="G859" s="8">
        <v>-81.7981908</v>
      </c>
    </row>
    <row r="860" spans="1:7" ht="15.75" customHeight="1" x14ac:dyDescent="0.25">
      <c r="A860" s="8" t="s">
        <v>5738</v>
      </c>
      <c r="B860" s="8" t="s">
        <v>5364</v>
      </c>
      <c r="C860" s="8" t="s">
        <v>4339</v>
      </c>
      <c r="D860" s="8" t="s">
        <v>549</v>
      </c>
      <c r="E860" s="8">
        <v>43130</v>
      </c>
      <c r="F860" s="8">
        <v>39.7136754</v>
      </c>
      <c r="G860" s="8">
        <v>-82.599329400000002</v>
      </c>
    </row>
    <row r="861" spans="1:7" ht="15.75" customHeight="1" x14ac:dyDescent="0.25">
      <c r="A861" s="8" t="s">
        <v>5739</v>
      </c>
      <c r="B861" s="8" t="s">
        <v>5699</v>
      </c>
      <c r="C861" s="8" t="s">
        <v>4848</v>
      </c>
      <c r="D861" s="8" t="s">
        <v>549</v>
      </c>
      <c r="E861" s="8">
        <v>45802</v>
      </c>
      <c r="F861" s="8">
        <v>40.742550999999999</v>
      </c>
      <c r="G861" s="8">
        <v>-84.105225599999997</v>
      </c>
    </row>
    <row r="862" spans="1:7" ht="15.75" customHeight="1" x14ac:dyDescent="0.25">
      <c r="A862" s="8" t="s">
        <v>5740</v>
      </c>
      <c r="B862" s="8" t="s">
        <v>5732</v>
      </c>
      <c r="C862" s="8" t="s">
        <v>5732</v>
      </c>
      <c r="D862" s="8" t="s">
        <v>549</v>
      </c>
      <c r="E862" s="8">
        <v>44052</v>
      </c>
      <c r="F862" s="8">
        <v>41.467323800000003</v>
      </c>
      <c r="G862" s="8">
        <v>-82.178190400000005</v>
      </c>
    </row>
    <row r="863" spans="1:7" ht="15.75" customHeight="1" x14ac:dyDescent="0.25">
      <c r="A863" s="8" t="s">
        <v>5741</v>
      </c>
      <c r="B863" s="8" t="s">
        <v>5742</v>
      </c>
      <c r="C863" s="8" t="s">
        <v>4811</v>
      </c>
      <c r="D863" s="8" t="s">
        <v>549</v>
      </c>
      <c r="E863" s="8">
        <v>44902</v>
      </c>
      <c r="F863" s="8">
        <v>40.758389999999999</v>
      </c>
      <c r="G863" s="8">
        <v>-82.515447100000003</v>
      </c>
    </row>
    <row r="864" spans="1:7" ht="15.75" customHeight="1" x14ac:dyDescent="0.25">
      <c r="A864" s="8" t="s">
        <v>5743</v>
      </c>
      <c r="B864" s="8" t="s">
        <v>5744</v>
      </c>
      <c r="C864" s="8" t="s">
        <v>5745</v>
      </c>
      <c r="D864" s="8" t="s">
        <v>549</v>
      </c>
      <c r="E864" s="8">
        <v>44646</v>
      </c>
      <c r="F864" s="8">
        <v>40.796724400000002</v>
      </c>
      <c r="G864" s="8">
        <v>-81.521509300000005</v>
      </c>
    </row>
    <row r="865" spans="1:7" ht="15.75" customHeight="1" x14ac:dyDescent="0.25">
      <c r="A865" s="8" t="s">
        <v>5746</v>
      </c>
      <c r="B865" s="8" t="s">
        <v>5747</v>
      </c>
      <c r="C865" s="8" t="s">
        <v>5748</v>
      </c>
      <c r="D865" s="8" t="s">
        <v>549</v>
      </c>
      <c r="E865" s="8">
        <v>45356</v>
      </c>
      <c r="F865" s="8">
        <v>40.144773200000003</v>
      </c>
      <c r="G865" s="8">
        <v>-84.242444899999995</v>
      </c>
    </row>
    <row r="866" spans="1:7" ht="15.75" customHeight="1" x14ac:dyDescent="0.25">
      <c r="A866" s="8" t="s">
        <v>5749</v>
      </c>
      <c r="B866" s="8" t="s">
        <v>5750</v>
      </c>
      <c r="C866" s="8" t="s">
        <v>5737</v>
      </c>
      <c r="D866" s="8" t="s">
        <v>549</v>
      </c>
      <c r="E866" s="8">
        <v>44116</v>
      </c>
      <c r="F866" s="8">
        <v>41.483122999999999</v>
      </c>
      <c r="G866" s="8">
        <v>-81.838474000000005</v>
      </c>
    </row>
    <row r="867" spans="1:7" ht="15.75" customHeight="1" x14ac:dyDescent="0.25">
      <c r="A867" s="8" t="s">
        <v>5751</v>
      </c>
      <c r="B867" s="8" t="s">
        <v>5752</v>
      </c>
      <c r="C867" s="8" t="s">
        <v>5753</v>
      </c>
      <c r="D867" s="8" t="s">
        <v>549</v>
      </c>
      <c r="E867" s="8">
        <v>44870</v>
      </c>
      <c r="F867" s="8">
        <v>41.448939699999997</v>
      </c>
      <c r="G867" s="8">
        <v>-82.707960499999999</v>
      </c>
    </row>
    <row r="868" spans="1:7" ht="15.75" customHeight="1" x14ac:dyDescent="0.25">
      <c r="A868" s="8" t="s">
        <v>5754</v>
      </c>
      <c r="B868" s="8" t="s">
        <v>4688</v>
      </c>
      <c r="C868" s="8" t="s">
        <v>5755</v>
      </c>
      <c r="D868" s="8" t="s">
        <v>549</v>
      </c>
      <c r="E868" s="8">
        <v>45506</v>
      </c>
      <c r="F868" s="8">
        <v>39.924226599999997</v>
      </c>
      <c r="G868" s="8">
        <v>-83.808817199999993</v>
      </c>
    </row>
    <row r="869" spans="1:7" ht="15.75" customHeight="1" x14ac:dyDescent="0.25">
      <c r="A869" s="8" t="s">
        <v>5756</v>
      </c>
      <c r="B869" s="8" t="s">
        <v>5757</v>
      </c>
      <c r="C869" s="8" t="s">
        <v>5758</v>
      </c>
      <c r="D869" s="8" t="s">
        <v>549</v>
      </c>
      <c r="E869" s="8">
        <v>43611</v>
      </c>
      <c r="F869" s="8">
        <v>41.678675400000003</v>
      </c>
      <c r="G869" s="8">
        <v>-83.512728300000006</v>
      </c>
    </row>
    <row r="870" spans="1:7" ht="15.75" customHeight="1" x14ac:dyDescent="0.25">
      <c r="A870" s="8" t="s">
        <v>5759</v>
      </c>
      <c r="B870" s="8" t="s">
        <v>5760</v>
      </c>
      <c r="C870" s="8" t="s">
        <v>5761</v>
      </c>
      <c r="D870" s="8" t="s">
        <v>549</v>
      </c>
      <c r="E870" s="8">
        <v>44308</v>
      </c>
      <c r="F870" s="8">
        <v>41.083064</v>
      </c>
      <c r="G870" s="8">
        <v>-81.518484999999998</v>
      </c>
    </row>
    <row r="871" spans="1:7" ht="15.75" customHeight="1" x14ac:dyDescent="0.25">
      <c r="A871" s="8" t="s">
        <v>5762</v>
      </c>
      <c r="B871" s="8" t="s">
        <v>5763</v>
      </c>
      <c r="C871" s="8" t="s">
        <v>5763</v>
      </c>
      <c r="D871" s="8" t="s">
        <v>549</v>
      </c>
      <c r="E871" s="8">
        <v>44004</v>
      </c>
      <c r="F871" s="8">
        <v>41.865054000000001</v>
      </c>
      <c r="G871" s="8">
        <v>-80.789809000000005</v>
      </c>
    </row>
    <row r="872" spans="1:7" ht="15.75" customHeight="1" x14ac:dyDescent="0.25">
      <c r="A872" s="8" t="s">
        <v>5764</v>
      </c>
      <c r="B872" s="8" t="s">
        <v>5765</v>
      </c>
      <c r="C872" s="8" t="s">
        <v>5732</v>
      </c>
      <c r="D872" s="8" t="s">
        <v>549</v>
      </c>
      <c r="E872" s="8">
        <v>44012</v>
      </c>
      <c r="F872" s="8">
        <v>41.510029000000003</v>
      </c>
      <c r="G872" s="8">
        <v>-82.0185891</v>
      </c>
    </row>
    <row r="873" spans="1:7" ht="15.75" customHeight="1" x14ac:dyDescent="0.25">
      <c r="A873" s="8" t="s">
        <v>5766</v>
      </c>
      <c r="B873" s="8" t="s">
        <v>5767</v>
      </c>
      <c r="C873" s="8" t="s">
        <v>5745</v>
      </c>
      <c r="D873" s="8" t="s">
        <v>549</v>
      </c>
      <c r="E873" s="8">
        <v>44601</v>
      </c>
      <c r="F873" s="8">
        <v>40.915336199999999</v>
      </c>
      <c r="G873" s="8">
        <v>-81.105930900000004</v>
      </c>
    </row>
    <row r="874" spans="1:7" ht="15.75" customHeight="1" x14ac:dyDescent="0.25">
      <c r="A874" s="8" t="s">
        <v>6643</v>
      </c>
      <c r="B874" s="8" t="s">
        <v>6036</v>
      </c>
      <c r="C874" s="8"/>
      <c r="D874" s="8" t="s">
        <v>549</v>
      </c>
      <c r="E874" s="8"/>
      <c r="F874" s="8">
        <v>41.39</v>
      </c>
      <c r="G874" s="8">
        <v>-81.56</v>
      </c>
    </row>
    <row r="875" spans="1:7" ht="15.75" customHeight="1" x14ac:dyDescent="0.25">
      <c r="A875" s="8" t="s">
        <v>5768</v>
      </c>
      <c r="B875" s="8" t="s">
        <v>5769</v>
      </c>
      <c r="C875" s="8" t="s">
        <v>4774</v>
      </c>
      <c r="D875" s="8" t="s">
        <v>549</v>
      </c>
      <c r="E875" s="8">
        <v>43137</v>
      </c>
      <c r="F875" s="8">
        <v>39.807065999999999</v>
      </c>
      <c r="G875" s="8">
        <v>-82.961915000000005</v>
      </c>
    </row>
    <row r="876" spans="1:7" ht="15.75" customHeight="1" x14ac:dyDescent="0.25">
      <c r="A876" s="8" t="s">
        <v>5770</v>
      </c>
      <c r="B876" s="8" t="s">
        <v>4437</v>
      </c>
      <c r="C876" s="8" t="s">
        <v>4774</v>
      </c>
      <c r="D876" s="8" t="s">
        <v>549</v>
      </c>
      <c r="E876" s="8">
        <v>43223</v>
      </c>
      <c r="F876" s="8">
        <v>39.962260100000002</v>
      </c>
      <c r="G876" s="8">
        <v>-83.000706500000007</v>
      </c>
    </row>
    <row r="877" spans="1:7" ht="15.75" customHeight="1" x14ac:dyDescent="0.25">
      <c r="A877" s="8" t="s">
        <v>5771</v>
      </c>
      <c r="B877" s="8" t="s">
        <v>5772</v>
      </c>
      <c r="C877" s="8" t="s">
        <v>5772</v>
      </c>
      <c r="D877" s="8" t="s">
        <v>549</v>
      </c>
      <c r="E877" s="8">
        <v>43512</v>
      </c>
      <c r="F877" s="8">
        <v>41.284493300000001</v>
      </c>
      <c r="G877" s="8">
        <v>-84.355780199999998</v>
      </c>
    </row>
    <row r="878" spans="1:7" ht="15.75" customHeight="1" x14ac:dyDescent="0.25">
      <c r="A878" s="8" t="s">
        <v>5773</v>
      </c>
      <c r="B878" s="8" t="s">
        <v>5774</v>
      </c>
      <c r="C878" s="8" t="s">
        <v>5775</v>
      </c>
      <c r="D878" s="8" t="s">
        <v>549</v>
      </c>
      <c r="E878" s="8">
        <v>43906</v>
      </c>
      <c r="F878" s="8">
        <v>40.016184299999999</v>
      </c>
      <c r="G878" s="8">
        <v>-80.742305400000006</v>
      </c>
    </row>
    <row r="879" spans="1:7" ht="15.75" customHeight="1" x14ac:dyDescent="0.25">
      <c r="A879" s="8" t="s">
        <v>5776</v>
      </c>
      <c r="B879" s="8" t="s">
        <v>5370</v>
      </c>
      <c r="C879" s="8" t="s">
        <v>5752</v>
      </c>
      <c r="D879" s="8" t="s">
        <v>549</v>
      </c>
      <c r="E879" s="8">
        <v>43420</v>
      </c>
      <c r="F879" s="8">
        <v>41.350330300000003</v>
      </c>
      <c r="G879" s="8">
        <v>-83.121863399999995</v>
      </c>
    </row>
    <row r="880" spans="1:7" ht="15.75" customHeight="1" x14ac:dyDescent="0.25">
      <c r="A880" s="8" t="s">
        <v>5777</v>
      </c>
      <c r="B880" s="8" t="s">
        <v>5778</v>
      </c>
      <c r="C880" s="8" t="s">
        <v>5779</v>
      </c>
      <c r="D880" s="8" t="s">
        <v>549</v>
      </c>
      <c r="E880" s="8">
        <v>44420</v>
      </c>
      <c r="F880" s="8">
        <v>41.153947000000002</v>
      </c>
      <c r="G880" s="8">
        <v>-80.701465999999996</v>
      </c>
    </row>
    <row r="881" spans="1:7" ht="15.75" customHeight="1" x14ac:dyDescent="0.25">
      <c r="A881" s="8" t="s">
        <v>5780</v>
      </c>
      <c r="B881" s="8" t="s">
        <v>5781</v>
      </c>
      <c r="C881" s="8" t="s">
        <v>4695</v>
      </c>
      <c r="D881" s="8" t="s">
        <v>549</v>
      </c>
      <c r="E881" s="8">
        <v>44060</v>
      </c>
      <c r="F881" s="8">
        <v>41.666157300000002</v>
      </c>
      <c r="G881" s="8">
        <v>-81.339551999999998</v>
      </c>
    </row>
    <row r="882" spans="1:7" ht="15.75" customHeight="1" x14ac:dyDescent="0.25">
      <c r="A882" s="8" t="s">
        <v>5782</v>
      </c>
      <c r="B882" s="8" t="s">
        <v>5732</v>
      </c>
      <c r="C882" s="8" t="s">
        <v>5732</v>
      </c>
      <c r="D882" s="8" t="s">
        <v>549</v>
      </c>
      <c r="E882" s="8">
        <v>44052</v>
      </c>
      <c r="F882" s="8">
        <v>41.467323800000003</v>
      </c>
      <c r="G882" s="8">
        <v>-82.178190400000005</v>
      </c>
    </row>
    <row r="883" spans="1:7" ht="15.75" customHeight="1" x14ac:dyDescent="0.25">
      <c r="A883" s="8" t="s">
        <v>5783</v>
      </c>
      <c r="B883" s="8" t="s">
        <v>5784</v>
      </c>
      <c r="C883" s="8" t="s">
        <v>5758</v>
      </c>
      <c r="D883" s="8" t="s">
        <v>549</v>
      </c>
      <c r="E883" s="8">
        <v>43566</v>
      </c>
      <c r="F883" s="8">
        <v>41.5008859</v>
      </c>
      <c r="G883" s="8">
        <v>-83.718270099999998</v>
      </c>
    </row>
    <row r="884" spans="1:7" ht="15.75" customHeight="1" x14ac:dyDescent="0.25">
      <c r="A884" s="8" t="s">
        <v>5785</v>
      </c>
      <c r="B884" s="8" t="s">
        <v>5786</v>
      </c>
      <c r="C884" s="8" t="s">
        <v>4721</v>
      </c>
      <c r="D884" s="8" t="s">
        <v>549</v>
      </c>
      <c r="E884" s="8">
        <v>43050</v>
      </c>
      <c r="F884" s="8">
        <v>40.393395599999998</v>
      </c>
      <c r="G884" s="8">
        <v>-82.4857181</v>
      </c>
    </row>
    <row r="885" spans="1:7" ht="15.75" customHeight="1" x14ac:dyDescent="0.25">
      <c r="A885" s="8" t="s">
        <v>5787</v>
      </c>
      <c r="B885" s="8" t="s">
        <v>5788</v>
      </c>
      <c r="C885" s="8" t="s">
        <v>5789</v>
      </c>
      <c r="D885" s="8" t="s">
        <v>549</v>
      </c>
      <c r="E885" s="8">
        <v>43055</v>
      </c>
      <c r="F885" s="8">
        <v>40.058120500000001</v>
      </c>
      <c r="G885" s="8">
        <v>-82.401264299999994</v>
      </c>
    </row>
    <row r="886" spans="1:7" ht="15.75" customHeight="1" x14ac:dyDescent="0.25">
      <c r="A886" s="8" t="s">
        <v>5790</v>
      </c>
      <c r="B886" s="8" t="s">
        <v>5791</v>
      </c>
      <c r="C886" s="8" t="s">
        <v>5779</v>
      </c>
      <c r="D886" s="8" t="s">
        <v>549</v>
      </c>
      <c r="E886" s="8">
        <v>44446</v>
      </c>
      <c r="F886" s="8">
        <v>41.182835300000001</v>
      </c>
      <c r="G886" s="8">
        <v>-80.765358000000006</v>
      </c>
    </row>
    <row r="887" spans="1:7" ht="15.75" customHeight="1" x14ac:dyDescent="0.25">
      <c r="A887" s="8" t="s">
        <v>5792</v>
      </c>
      <c r="B887" s="8" t="s">
        <v>5793</v>
      </c>
      <c r="C887" s="8" t="s">
        <v>4695</v>
      </c>
      <c r="D887" s="8" t="s">
        <v>549</v>
      </c>
      <c r="E887" s="8">
        <v>44077</v>
      </c>
      <c r="F887" s="8">
        <v>41.7244885</v>
      </c>
      <c r="G887" s="8">
        <v>-81.245656999999994</v>
      </c>
    </row>
    <row r="888" spans="1:7" ht="15.75" customHeight="1" x14ac:dyDescent="0.25">
      <c r="A888" s="8" t="s">
        <v>5794</v>
      </c>
      <c r="B888" s="8" t="s">
        <v>5795</v>
      </c>
      <c r="C888" s="8" t="s">
        <v>5796</v>
      </c>
      <c r="D888" s="8" t="s">
        <v>549</v>
      </c>
      <c r="E888" s="8">
        <v>43551</v>
      </c>
      <c r="F888" s="8">
        <v>41.550659500000002</v>
      </c>
      <c r="G888" s="8">
        <v>-83.620388599999998</v>
      </c>
    </row>
    <row r="889" spans="1:7" ht="15.75" customHeight="1" x14ac:dyDescent="0.25">
      <c r="A889" s="8" t="s">
        <v>5797</v>
      </c>
      <c r="B889" s="8" t="s">
        <v>5798</v>
      </c>
      <c r="C889" s="8" t="s">
        <v>3936</v>
      </c>
      <c r="D889" s="8" t="s">
        <v>549</v>
      </c>
      <c r="E889" s="8">
        <v>45365</v>
      </c>
      <c r="F889" s="8">
        <v>40.284216399999998</v>
      </c>
      <c r="G889" s="8">
        <v>-84.155498699999995</v>
      </c>
    </row>
    <row r="890" spans="1:7" ht="15.75" customHeight="1" x14ac:dyDescent="0.25">
      <c r="A890" s="8" t="s">
        <v>5799</v>
      </c>
      <c r="B890" s="8" t="s">
        <v>5800</v>
      </c>
      <c r="C890" s="8" t="s">
        <v>5737</v>
      </c>
      <c r="D890" s="8" t="s">
        <v>549</v>
      </c>
      <c r="E890" s="8">
        <v>44139</v>
      </c>
      <c r="F890" s="8">
        <v>41.389776400000002</v>
      </c>
      <c r="G890" s="8">
        <v>-81.441225900000006</v>
      </c>
    </row>
    <row r="891" spans="1:7" ht="15.75" customHeight="1" x14ac:dyDescent="0.25">
      <c r="A891" s="8" t="s">
        <v>5801</v>
      </c>
      <c r="B891" s="8" t="s">
        <v>5802</v>
      </c>
      <c r="C891" s="8" t="s">
        <v>5803</v>
      </c>
      <c r="D891" s="8" t="s">
        <v>549</v>
      </c>
      <c r="E891" s="8">
        <v>44471</v>
      </c>
      <c r="F891" s="8">
        <v>41.055945000000001</v>
      </c>
      <c r="G891" s="8">
        <v>-80.589712000000006</v>
      </c>
    </row>
    <row r="892" spans="1:7" ht="15.75" customHeight="1" x14ac:dyDescent="0.25">
      <c r="A892" s="8" t="s">
        <v>5804</v>
      </c>
      <c r="B892" s="8" t="s">
        <v>5729</v>
      </c>
      <c r="C892" s="8" t="s">
        <v>3905</v>
      </c>
      <c r="D892" s="8" t="s">
        <v>549</v>
      </c>
      <c r="E892" s="8">
        <v>45424</v>
      </c>
      <c r="F892" s="8">
        <v>39.758947800000001</v>
      </c>
      <c r="G892" s="8">
        <v>-84.191606899999996</v>
      </c>
    </row>
    <row r="893" spans="1:7" ht="15.75" customHeight="1" x14ac:dyDescent="0.25">
      <c r="A893" s="8" t="s">
        <v>5805</v>
      </c>
      <c r="B893" s="8" t="s">
        <v>5806</v>
      </c>
      <c r="C893" s="8" t="s">
        <v>5807</v>
      </c>
      <c r="D893" s="8" t="s">
        <v>549</v>
      </c>
      <c r="E893" s="8">
        <v>44281</v>
      </c>
      <c r="F893" s="8">
        <v>41.025610100000002</v>
      </c>
      <c r="G893" s="8">
        <v>-81.7298519</v>
      </c>
    </row>
    <row r="894" spans="1:7" ht="15.75" customHeight="1" x14ac:dyDescent="0.25">
      <c r="A894" s="8" t="s">
        <v>5808</v>
      </c>
      <c r="B894" s="8" t="s">
        <v>5809</v>
      </c>
      <c r="C894" s="8" t="s">
        <v>4974</v>
      </c>
      <c r="D894" s="8" t="s">
        <v>549</v>
      </c>
      <c r="E894" s="8">
        <v>43160</v>
      </c>
      <c r="F894" s="8">
        <v>39.536451100000001</v>
      </c>
      <c r="G894" s="8">
        <v>-83.439084300000005</v>
      </c>
    </row>
    <row r="895" spans="1:7" ht="15.75" customHeight="1" x14ac:dyDescent="0.25">
      <c r="A895" s="8" t="s">
        <v>5810</v>
      </c>
      <c r="B895" s="8" t="s">
        <v>5811</v>
      </c>
      <c r="C895" s="8" t="s">
        <v>5812</v>
      </c>
      <c r="D895" s="8" t="s">
        <v>549</v>
      </c>
      <c r="E895" s="8">
        <v>44691</v>
      </c>
      <c r="F895" s="8">
        <v>40.799176600000003</v>
      </c>
      <c r="G895" s="8">
        <v>-81.938318699999996</v>
      </c>
    </row>
    <row r="896" spans="1:7" ht="15.75" customHeight="1" x14ac:dyDescent="0.25">
      <c r="A896" s="8" t="s">
        <v>5813</v>
      </c>
      <c r="B896" s="8" t="s">
        <v>5814</v>
      </c>
      <c r="C896" s="8" t="s">
        <v>5732</v>
      </c>
      <c r="D896" s="8" t="s">
        <v>549</v>
      </c>
      <c r="E896" s="8">
        <v>44074</v>
      </c>
      <c r="F896" s="8">
        <v>41.293938599999997</v>
      </c>
      <c r="G896" s="8">
        <v>-82.217378600000004</v>
      </c>
    </row>
    <row r="897" spans="1:7" ht="15.75" customHeight="1" x14ac:dyDescent="0.25">
      <c r="A897" s="8" t="s">
        <v>5815</v>
      </c>
      <c r="B897" s="8" t="s">
        <v>5816</v>
      </c>
      <c r="C897" s="8" t="s">
        <v>5817</v>
      </c>
      <c r="D897" s="8" t="s">
        <v>549</v>
      </c>
      <c r="E897" s="8">
        <v>45631</v>
      </c>
      <c r="F897" s="8">
        <v>38.809803000000002</v>
      </c>
      <c r="G897" s="8">
        <v>-82.202369099999999</v>
      </c>
    </row>
    <row r="898" spans="1:7" ht="15.75" customHeight="1" x14ac:dyDescent="0.25">
      <c r="A898" s="8" t="s">
        <v>5818</v>
      </c>
      <c r="B898" s="8" t="s">
        <v>5819</v>
      </c>
      <c r="C898" s="8" t="s">
        <v>4432</v>
      </c>
      <c r="D898" s="8" t="s">
        <v>549</v>
      </c>
      <c r="E898" s="8">
        <v>43502</v>
      </c>
      <c r="F898" s="8">
        <v>41.521133200000001</v>
      </c>
      <c r="G898" s="8">
        <v>-84.306546900000001</v>
      </c>
    </row>
    <row r="899" spans="1:7" ht="15.75" customHeight="1" x14ac:dyDescent="0.25">
      <c r="A899" s="8" t="s">
        <v>6644</v>
      </c>
      <c r="B899" s="8" t="s">
        <v>6645</v>
      </c>
      <c r="C899" s="8"/>
      <c r="D899" s="8" t="s">
        <v>549</v>
      </c>
      <c r="E899" s="8"/>
      <c r="F899" s="8">
        <v>41.26</v>
      </c>
      <c r="G899" s="8">
        <v>-82.61</v>
      </c>
    </row>
    <row r="900" spans="1:7" ht="15.75" customHeight="1" x14ac:dyDescent="0.25">
      <c r="A900" s="8" t="s">
        <v>5820</v>
      </c>
      <c r="B900" s="8" t="s">
        <v>5821</v>
      </c>
      <c r="C900" s="8" t="s">
        <v>4764</v>
      </c>
      <c r="D900" s="8" t="s">
        <v>549</v>
      </c>
      <c r="E900" s="8">
        <v>43545</v>
      </c>
      <c r="F900" s="8">
        <v>41.392272599999998</v>
      </c>
      <c r="G900" s="8">
        <v>-84.125224299999999</v>
      </c>
    </row>
    <row r="901" spans="1:7" ht="15.75" customHeight="1" x14ac:dyDescent="0.25">
      <c r="A901" s="8" t="s">
        <v>5822</v>
      </c>
      <c r="B901" s="8" t="s">
        <v>5823</v>
      </c>
      <c r="C901" s="8" t="s">
        <v>4432</v>
      </c>
      <c r="D901" s="8" t="s">
        <v>549</v>
      </c>
      <c r="E901" s="8">
        <v>435670</v>
      </c>
      <c r="F901" s="8">
        <v>41.546069000000003</v>
      </c>
      <c r="G901" s="8">
        <v>-84.136204699999993</v>
      </c>
    </row>
    <row r="902" spans="1:7" ht="15.75" customHeight="1" x14ac:dyDescent="0.25">
      <c r="A902" s="8" t="s">
        <v>6646</v>
      </c>
      <c r="B902" s="8" t="s">
        <v>6647</v>
      </c>
      <c r="C902" s="8"/>
      <c r="D902" s="8" t="s">
        <v>549</v>
      </c>
      <c r="E902" s="8"/>
      <c r="F902" s="8">
        <v>41.27</v>
      </c>
      <c r="G902" s="8">
        <v>-81.92</v>
      </c>
    </row>
    <row r="903" spans="1:7" ht="15.75" customHeight="1" x14ac:dyDescent="0.25">
      <c r="A903" s="8" t="s">
        <v>5824</v>
      </c>
      <c r="B903" s="8" t="s">
        <v>3936</v>
      </c>
      <c r="C903" s="8" t="s">
        <v>4811</v>
      </c>
      <c r="D903" s="8" t="s">
        <v>549</v>
      </c>
      <c r="E903" s="8">
        <v>44875</v>
      </c>
      <c r="F903" s="8">
        <v>40.881445200000002</v>
      </c>
      <c r="G903" s="8">
        <v>-82.661842399999998</v>
      </c>
    </row>
    <row r="904" spans="1:7" ht="15.75" customHeight="1" x14ac:dyDescent="0.25">
      <c r="A904" s="8" t="s">
        <v>5825</v>
      </c>
      <c r="B904" s="8" t="s">
        <v>4704</v>
      </c>
      <c r="C904" s="8" t="s">
        <v>5753</v>
      </c>
      <c r="D904" s="8" t="s">
        <v>549</v>
      </c>
      <c r="E904" s="8">
        <v>44089</v>
      </c>
      <c r="F904" s="8">
        <v>41.421988900000002</v>
      </c>
      <c r="G904" s="8">
        <v>-82.364606800000004</v>
      </c>
    </row>
    <row r="905" spans="1:7" ht="15.75" customHeight="1" x14ac:dyDescent="0.25">
      <c r="A905" s="8" t="s">
        <v>5826</v>
      </c>
      <c r="B905" s="8" t="s">
        <v>5827</v>
      </c>
      <c r="C905" s="8" t="s">
        <v>5763</v>
      </c>
      <c r="D905" s="8" t="s">
        <v>549</v>
      </c>
      <c r="E905" s="8">
        <v>44030</v>
      </c>
      <c r="F905" s="8">
        <v>41.947555000000001</v>
      </c>
      <c r="G905" s="8">
        <v>-80.554241000000005</v>
      </c>
    </row>
    <row r="906" spans="1:7" ht="15.75" customHeight="1" x14ac:dyDescent="0.25">
      <c r="A906" s="8" t="s">
        <v>5828</v>
      </c>
      <c r="B906" s="8" t="s">
        <v>5829</v>
      </c>
      <c r="C906" s="8" t="s">
        <v>5830</v>
      </c>
      <c r="D906" s="8" t="s">
        <v>549</v>
      </c>
      <c r="E906" s="8">
        <v>43920</v>
      </c>
      <c r="F906" s="8">
        <v>40.629347899999999</v>
      </c>
      <c r="G906" s="8">
        <v>-80.576869200000004</v>
      </c>
    </row>
    <row r="907" spans="1:7" ht="15.75" customHeight="1" x14ac:dyDescent="0.25">
      <c r="A907" s="8" t="s">
        <v>5831</v>
      </c>
      <c r="B907" s="8" t="s">
        <v>5832</v>
      </c>
      <c r="C907" s="8" t="s">
        <v>4943</v>
      </c>
      <c r="D907" s="8" t="s">
        <v>549</v>
      </c>
      <c r="E907" s="8">
        <v>44833</v>
      </c>
      <c r="F907" s="8">
        <v>40.733668799999997</v>
      </c>
      <c r="G907" s="8">
        <v>-82.789902600000005</v>
      </c>
    </row>
    <row r="908" spans="1:7" ht="15.75" customHeight="1" x14ac:dyDescent="0.25">
      <c r="A908" s="8" t="s">
        <v>5833</v>
      </c>
      <c r="B908" s="8" t="s">
        <v>5129</v>
      </c>
      <c r="C908" s="8" t="s">
        <v>5834</v>
      </c>
      <c r="D908" s="8" t="s">
        <v>549</v>
      </c>
      <c r="E908" s="8">
        <v>44240</v>
      </c>
      <c r="F908" s="8">
        <v>41.154718299999999</v>
      </c>
      <c r="G908" s="8">
        <v>-81.336197299999995</v>
      </c>
    </row>
    <row r="909" spans="1:7" ht="15.75" customHeight="1" x14ac:dyDescent="0.25">
      <c r="A909" s="8" t="s">
        <v>5835</v>
      </c>
      <c r="B909" s="8" t="s">
        <v>5836</v>
      </c>
      <c r="C909" s="8" t="s">
        <v>3905</v>
      </c>
      <c r="D909" s="8" t="s">
        <v>549</v>
      </c>
      <c r="E909" s="8">
        <v>45342</v>
      </c>
      <c r="F909" s="8">
        <v>39.631073000000001</v>
      </c>
      <c r="G909" s="8">
        <v>-84.290056000000007</v>
      </c>
    </row>
    <row r="910" spans="1:7" ht="15.75" customHeight="1" x14ac:dyDescent="0.25">
      <c r="A910" s="8" t="s">
        <v>5837</v>
      </c>
      <c r="B910" s="8" t="s">
        <v>5838</v>
      </c>
      <c r="C910" s="8" t="s">
        <v>5761</v>
      </c>
      <c r="D910" s="8" t="s">
        <v>549</v>
      </c>
      <c r="E910" s="8">
        <v>44087</v>
      </c>
      <c r="F910" s="8">
        <v>41.312555199999998</v>
      </c>
      <c r="G910" s="8">
        <v>-81.440112900000003</v>
      </c>
    </row>
    <row r="911" spans="1:7" ht="15.75" customHeight="1" x14ac:dyDescent="0.25">
      <c r="A911" s="8" t="s">
        <v>5839</v>
      </c>
      <c r="B911" s="8" t="s">
        <v>5073</v>
      </c>
      <c r="C911" s="8" t="s">
        <v>5840</v>
      </c>
      <c r="D911" s="8" t="s">
        <v>549</v>
      </c>
      <c r="E911" s="8">
        <v>45320</v>
      </c>
      <c r="F911" s="8">
        <v>39.743940500000001</v>
      </c>
      <c r="G911" s="8">
        <v>-84.636620100000002</v>
      </c>
    </row>
    <row r="912" spans="1:7" ht="15.75" customHeight="1" x14ac:dyDescent="0.25">
      <c r="A912" s="8" t="s">
        <v>5841</v>
      </c>
      <c r="B912" s="8" t="s">
        <v>4757</v>
      </c>
      <c r="C912" s="8" t="s">
        <v>5763</v>
      </c>
      <c r="D912" s="8" t="s">
        <v>549</v>
      </c>
      <c r="E912" s="8">
        <v>44041</v>
      </c>
      <c r="F912" s="8">
        <v>41.805053999999998</v>
      </c>
      <c r="G912" s="8">
        <v>-80.948149000000001</v>
      </c>
    </row>
    <row r="913" spans="1:7" ht="15.75" customHeight="1" x14ac:dyDescent="0.25">
      <c r="A913" s="8" t="s">
        <v>5842</v>
      </c>
      <c r="B913" s="8" t="s">
        <v>5843</v>
      </c>
      <c r="C913" s="8" t="s">
        <v>3900</v>
      </c>
      <c r="D913" s="8" t="s">
        <v>549</v>
      </c>
      <c r="E913" s="8">
        <v>43140</v>
      </c>
      <c r="F913" s="8">
        <v>39.886449300000002</v>
      </c>
      <c r="G913" s="8">
        <v>-83.448252999999994</v>
      </c>
    </row>
    <row r="914" spans="1:7" ht="15.75" customHeight="1" x14ac:dyDescent="0.25">
      <c r="A914" s="8" t="s">
        <v>5844</v>
      </c>
      <c r="B914" s="8" t="s">
        <v>3245</v>
      </c>
      <c r="C914" s="8" t="s">
        <v>4866</v>
      </c>
      <c r="D914" s="8" t="s">
        <v>549</v>
      </c>
      <c r="E914" s="8">
        <v>45204</v>
      </c>
      <c r="F914" s="8">
        <v>39.103551699999997</v>
      </c>
      <c r="G914" s="8">
        <v>-84.527431000000007</v>
      </c>
    </row>
    <row r="915" spans="1:7" ht="15.75" customHeight="1" x14ac:dyDescent="0.25">
      <c r="A915" s="8" t="s">
        <v>5845</v>
      </c>
      <c r="B915" s="8" t="s">
        <v>5846</v>
      </c>
      <c r="C915" s="8" t="s">
        <v>5812</v>
      </c>
      <c r="D915" s="8" t="s">
        <v>549</v>
      </c>
      <c r="E915" s="8">
        <v>44667</v>
      </c>
      <c r="F915" s="8">
        <v>40.843666399999996</v>
      </c>
      <c r="G915" s="8">
        <v>-81.764021200000002</v>
      </c>
    </row>
    <row r="916" spans="1:7" ht="15.75" customHeight="1" x14ac:dyDescent="0.25">
      <c r="A916" s="8" t="s">
        <v>5847</v>
      </c>
      <c r="B916" s="8" t="s">
        <v>3921</v>
      </c>
      <c r="C916" s="8" t="s">
        <v>5734</v>
      </c>
      <c r="D916" s="8" t="s">
        <v>549</v>
      </c>
      <c r="E916" s="8">
        <v>45056</v>
      </c>
      <c r="F916" s="8">
        <v>39.510310400000002</v>
      </c>
      <c r="G916" s="8">
        <v>-84.726801499999993</v>
      </c>
    </row>
    <row r="917" spans="1:7" ht="15.75" customHeight="1" x14ac:dyDescent="0.25">
      <c r="A917" s="8" t="s">
        <v>6648</v>
      </c>
      <c r="B917" s="8" t="s">
        <v>6649</v>
      </c>
      <c r="C917" s="8"/>
      <c r="D917" s="8" t="s">
        <v>549</v>
      </c>
      <c r="E917" s="8"/>
      <c r="F917" s="8">
        <v>39.909999999999997</v>
      </c>
      <c r="G917" s="8">
        <v>-82</v>
      </c>
    </row>
    <row r="918" spans="1:7" ht="15.75" customHeight="1" x14ac:dyDescent="0.25">
      <c r="A918" s="8" t="s">
        <v>5848</v>
      </c>
      <c r="B918" s="8" t="s">
        <v>5849</v>
      </c>
      <c r="C918" s="8" t="s">
        <v>5849</v>
      </c>
      <c r="D918" s="8" t="s">
        <v>1153</v>
      </c>
      <c r="E918" s="8">
        <v>74107</v>
      </c>
      <c r="F918" s="8">
        <v>36.133496700000002</v>
      </c>
      <c r="G918" s="8">
        <v>-96.013236599999999</v>
      </c>
    </row>
    <row r="919" spans="1:7" ht="15.75" customHeight="1" x14ac:dyDescent="0.25">
      <c r="A919" s="8" t="s">
        <v>5850</v>
      </c>
      <c r="B919" s="8" t="s">
        <v>5849</v>
      </c>
      <c r="C919" s="8" t="s">
        <v>5849</v>
      </c>
      <c r="D919" s="8" t="s">
        <v>1153</v>
      </c>
      <c r="E919" s="8">
        <v>74117</v>
      </c>
      <c r="F919" s="8">
        <v>36.2513729</v>
      </c>
      <c r="G919" s="8">
        <v>-95.928856499999995</v>
      </c>
    </row>
    <row r="920" spans="1:7" ht="15.75" customHeight="1" x14ac:dyDescent="0.25">
      <c r="A920" s="8" t="s">
        <v>5851</v>
      </c>
      <c r="B920" s="8" t="s">
        <v>5852</v>
      </c>
      <c r="C920" s="8" t="s">
        <v>5852</v>
      </c>
      <c r="D920" s="8" t="s">
        <v>1153</v>
      </c>
      <c r="E920" s="8">
        <v>74403</v>
      </c>
      <c r="F920" s="8">
        <v>35.742629299999997</v>
      </c>
      <c r="G920" s="8">
        <v>-95.366191700000002</v>
      </c>
    </row>
    <row r="921" spans="1:7" ht="15.75" customHeight="1" x14ac:dyDescent="0.25">
      <c r="A921" s="8" t="s">
        <v>5853</v>
      </c>
      <c r="B921" s="8" t="s">
        <v>5854</v>
      </c>
      <c r="C921" s="8" t="s">
        <v>713</v>
      </c>
      <c r="D921" s="8" t="s">
        <v>1153</v>
      </c>
      <c r="E921" s="8">
        <v>73141</v>
      </c>
      <c r="F921" s="8">
        <v>35.489258824300002</v>
      </c>
      <c r="G921" s="8">
        <v>-97.388108472300004</v>
      </c>
    </row>
    <row r="922" spans="1:7" ht="15.75" customHeight="1" x14ac:dyDescent="0.25">
      <c r="A922" s="8" t="s">
        <v>5855</v>
      </c>
      <c r="B922" s="8" t="s">
        <v>5856</v>
      </c>
      <c r="C922" s="8" t="s">
        <v>5857</v>
      </c>
      <c r="D922" s="8" t="s">
        <v>1153</v>
      </c>
      <c r="E922" s="8">
        <v>73070</v>
      </c>
      <c r="F922" s="8">
        <v>35.222571700000003</v>
      </c>
      <c r="G922" s="8">
        <v>-97.439481599999993</v>
      </c>
    </row>
    <row r="923" spans="1:7" ht="15.75" customHeight="1" x14ac:dyDescent="0.25">
      <c r="A923" s="8" t="s">
        <v>5858</v>
      </c>
      <c r="B923" s="8" t="s">
        <v>5859</v>
      </c>
      <c r="C923" s="8" t="s">
        <v>5860</v>
      </c>
      <c r="D923" s="8" t="s">
        <v>1153</v>
      </c>
      <c r="E923" s="8">
        <v>74076</v>
      </c>
      <c r="F923" s="8">
        <v>36.115630600000003</v>
      </c>
      <c r="G923" s="8">
        <v>-97.058571700000002</v>
      </c>
    </row>
    <row r="924" spans="1:7" ht="15.75" customHeight="1" x14ac:dyDescent="0.25">
      <c r="A924" s="8" t="s">
        <v>5861</v>
      </c>
      <c r="B924" s="8" t="s">
        <v>5862</v>
      </c>
      <c r="C924" s="8" t="s">
        <v>5863</v>
      </c>
      <c r="D924" s="8" t="s">
        <v>1153</v>
      </c>
      <c r="E924" s="8">
        <v>74701</v>
      </c>
      <c r="F924" s="8">
        <v>33.993986100000001</v>
      </c>
      <c r="G924" s="8">
        <v>-96.370823999999999</v>
      </c>
    </row>
    <row r="925" spans="1:7" ht="15.75" customHeight="1" x14ac:dyDescent="0.25">
      <c r="A925" s="8" t="s">
        <v>5864</v>
      </c>
      <c r="B925" s="8" t="s">
        <v>5865</v>
      </c>
      <c r="C925" s="8" t="s">
        <v>5866</v>
      </c>
      <c r="D925" s="8" t="s">
        <v>1153</v>
      </c>
      <c r="E925" s="8">
        <v>73533</v>
      </c>
      <c r="F925" s="8">
        <v>34.502302899999997</v>
      </c>
      <c r="G925" s="8">
        <v>-97.957812899999993</v>
      </c>
    </row>
    <row r="926" spans="1:7" ht="15.75" customHeight="1" x14ac:dyDescent="0.25">
      <c r="A926" s="8" t="s">
        <v>5867</v>
      </c>
      <c r="B926" s="8" t="s">
        <v>5868</v>
      </c>
      <c r="C926" s="8" t="s">
        <v>5869</v>
      </c>
      <c r="D926" s="8" t="s">
        <v>1153</v>
      </c>
      <c r="E926" s="8">
        <v>74631</v>
      </c>
      <c r="F926" s="8">
        <v>36.804476700000002</v>
      </c>
      <c r="G926" s="8">
        <v>-97.282820700000002</v>
      </c>
    </row>
    <row r="927" spans="1:7" ht="15.75" customHeight="1" x14ac:dyDescent="0.25">
      <c r="A927" s="8" t="s">
        <v>5870</v>
      </c>
      <c r="B927" s="8" t="s">
        <v>5871</v>
      </c>
      <c r="C927" s="8" t="s">
        <v>5872</v>
      </c>
      <c r="D927" s="8" t="s">
        <v>1153</v>
      </c>
      <c r="E927" s="8">
        <v>73044</v>
      </c>
      <c r="F927" s="8">
        <v>35.854964600000002</v>
      </c>
      <c r="G927" s="8">
        <v>-97.426305600000006</v>
      </c>
    </row>
    <row r="928" spans="1:7" ht="15.75" customHeight="1" x14ac:dyDescent="0.25">
      <c r="A928" s="8" t="s">
        <v>5873</v>
      </c>
      <c r="B928" s="8" t="s">
        <v>5874</v>
      </c>
      <c r="C928" s="8" t="s">
        <v>713</v>
      </c>
      <c r="D928" s="8" t="s">
        <v>1153</v>
      </c>
      <c r="E928" s="8">
        <v>73117</v>
      </c>
      <c r="F928" s="8">
        <v>35.480313822500001</v>
      </c>
      <c r="G928" s="8">
        <v>-97.479012206999997</v>
      </c>
    </row>
    <row r="929" spans="1:7" ht="15.75" customHeight="1" x14ac:dyDescent="0.25">
      <c r="A929" s="8" t="s">
        <v>5875</v>
      </c>
      <c r="B929" s="8" t="s">
        <v>5876</v>
      </c>
      <c r="C929" s="8" t="s">
        <v>5877</v>
      </c>
      <c r="D929" s="8" t="s">
        <v>1153</v>
      </c>
      <c r="E929" s="8">
        <v>74745</v>
      </c>
      <c r="F929" s="8">
        <v>33.895664699999998</v>
      </c>
      <c r="G929" s="8">
        <v>-94.826328099999998</v>
      </c>
    </row>
    <row r="930" spans="1:7" ht="15.75" customHeight="1" x14ac:dyDescent="0.25">
      <c r="A930" s="8" t="s">
        <v>5878</v>
      </c>
      <c r="B930" s="8" t="s">
        <v>5879</v>
      </c>
      <c r="C930" s="8" t="s">
        <v>5880</v>
      </c>
      <c r="D930" s="8" t="s">
        <v>1153</v>
      </c>
      <c r="E930" s="8">
        <v>73085</v>
      </c>
      <c r="F930" s="8">
        <v>35.506725899999999</v>
      </c>
      <c r="G930" s="8">
        <v>-97.762538599999999</v>
      </c>
    </row>
    <row r="931" spans="1:7" ht="15.75" customHeight="1" x14ac:dyDescent="0.25">
      <c r="A931" s="8" t="s">
        <v>5881</v>
      </c>
      <c r="B931" s="8" t="s">
        <v>5882</v>
      </c>
      <c r="C931" s="8" t="s">
        <v>5882</v>
      </c>
      <c r="D931" s="8" t="s">
        <v>1153</v>
      </c>
      <c r="E931" s="8">
        <v>73801</v>
      </c>
      <c r="F931" s="8">
        <v>36.433648099999999</v>
      </c>
      <c r="G931" s="8">
        <v>-99.390386199999995</v>
      </c>
    </row>
    <row r="932" spans="1:7" ht="15.75" customHeight="1" x14ac:dyDescent="0.25">
      <c r="A932" s="8" t="s">
        <v>5883</v>
      </c>
      <c r="B932" s="8" t="s">
        <v>5884</v>
      </c>
      <c r="C932" s="8" t="s">
        <v>5885</v>
      </c>
      <c r="D932" s="8" t="s">
        <v>1153</v>
      </c>
      <c r="E932" s="8">
        <v>73402</v>
      </c>
      <c r="F932" s="8">
        <v>34.174261100000003</v>
      </c>
      <c r="G932" s="8">
        <v>-97.143625400000005</v>
      </c>
    </row>
    <row r="933" spans="1:7" ht="15.75" customHeight="1" x14ac:dyDescent="0.25">
      <c r="A933" s="8" t="s">
        <v>6650</v>
      </c>
      <c r="B933" s="8" t="s">
        <v>6651</v>
      </c>
      <c r="C933" s="8" t="s">
        <v>5849</v>
      </c>
      <c r="D933" s="8" t="s">
        <v>1153</v>
      </c>
      <c r="E933" s="8">
        <v>74103</v>
      </c>
      <c r="F933" s="8">
        <v>36.21</v>
      </c>
      <c r="G933" s="8">
        <v>-95.74</v>
      </c>
    </row>
    <row r="934" spans="1:7" ht="15.75" customHeight="1" x14ac:dyDescent="0.25">
      <c r="A934" s="8" t="s">
        <v>5886</v>
      </c>
      <c r="B934" s="8" t="s">
        <v>293</v>
      </c>
      <c r="C934" s="8" t="s">
        <v>5887</v>
      </c>
      <c r="D934" s="8" t="s">
        <v>571</v>
      </c>
      <c r="E934" s="8">
        <v>97203</v>
      </c>
      <c r="F934" s="8">
        <v>45.520247099999999</v>
      </c>
      <c r="G934" s="8">
        <v>-122.6741949</v>
      </c>
    </row>
    <row r="935" spans="1:7" ht="15.75" customHeight="1" x14ac:dyDescent="0.25">
      <c r="A935" s="8" t="s">
        <v>5888</v>
      </c>
      <c r="B935" s="8" t="s">
        <v>3305</v>
      </c>
      <c r="C935" s="8" t="s">
        <v>1620</v>
      </c>
      <c r="D935" s="8" t="s">
        <v>571</v>
      </c>
      <c r="E935" s="8">
        <v>97404</v>
      </c>
      <c r="F935" s="8">
        <v>44.050505399999999</v>
      </c>
      <c r="G935" s="8">
        <v>-123.09505059999999</v>
      </c>
    </row>
    <row r="936" spans="1:7" ht="15.75" customHeight="1" x14ac:dyDescent="0.25">
      <c r="A936" s="8" t="s">
        <v>5889</v>
      </c>
      <c r="B936" s="8" t="s">
        <v>5890</v>
      </c>
      <c r="C936" s="8" t="s">
        <v>1137</v>
      </c>
      <c r="D936" s="8" t="s">
        <v>571</v>
      </c>
      <c r="E936" s="8">
        <v>97123</v>
      </c>
      <c r="F936" s="8">
        <v>45.5228939</v>
      </c>
      <c r="G936" s="8">
        <v>-122.98982700000001</v>
      </c>
    </row>
    <row r="937" spans="1:7" ht="15.75" customHeight="1" x14ac:dyDescent="0.25">
      <c r="A937" s="8" t="s">
        <v>5891</v>
      </c>
      <c r="B937" s="8" t="s">
        <v>2984</v>
      </c>
      <c r="C937" s="8" t="s">
        <v>272</v>
      </c>
      <c r="D937" s="8" t="s">
        <v>571</v>
      </c>
      <c r="E937" s="8">
        <v>97303</v>
      </c>
      <c r="F937" s="8">
        <v>44.939156500000003</v>
      </c>
      <c r="G937" s="8">
        <v>-123.03312099999999</v>
      </c>
    </row>
    <row r="938" spans="1:7" ht="15.75" customHeight="1" x14ac:dyDescent="0.25">
      <c r="A938" s="8" t="s">
        <v>5892</v>
      </c>
      <c r="B938" s="8" t="s">
        <v>5893</v>
      </c>
      <c r="C938" s="8" t="s">
        <v>5247</v>
      </c>
      <c r="D938" s="8" t="s">
        <v>571</v>
      </c>
      <c r="E938" s="8">
        <v>97051</v>
      </c>
      <c r="F938" s="8">
        <v>45.864003400000001</v>
      </c>
      <c r="G938" s="8">
        <v>-122.80649219999999</v>
      </c>
    </row>
    <row r="939" spans="1:7" ht="15.75" customHeight="1" x14ac:dyDescent="0.25">
      <c r="A939" s="8" t="s">
        <v>5894</v>
      </c>
      <c r="B939" s="8" t="s">
        <v>5895</v>
      </c>
      <c r="C939" s="8" t="s">
        <v>1137</v>
      </c>
      <c r="D939" s="8" t="s">
        <v>571</v>
      </c>
      <c r="E939" s="8">
        <v>97224</v>
      </c>
      <c r="F939" s="8">
        <v>45.4307473</v>
      </c>
      <c r="G939" s="8">
        <v>-122.77193389999999</v>
      </c>
    </row>
    <row r="940" spans="1:7" ht="15.75" customHeight="1" x14ac:dyDescent="0.25">
      <c r="A940" s="8" t="s">
        <v>5896</v>
      </c>
      <c r="B940" s="8" t="s">
        <v>293</v>
      </c>
      <c r="C940" s="8" t="s">
        <v>5887</v>
      </c>
      <c r="D940" s="8" t="s">
        <v>571</v>
      </c>
      <c r="E940" s="8">
        <v>97230</v>
      </c>
      <c r="F940" s="8">
        <v>45.520247099999999</v>
      </c>
      <c r="G940" s="8">
        <v>-122.6741949</v>
      </c>
    </row>
    <row r="941" spans="1:7" ht="15.75" customHeight="1" x14ac:dyDescent="0.25">
      <c r="A941" s="8" t="s">
        <v>5897</v>
      </c>
      <c r="B941" s="8" t="s">
        <v>5898</v>
      </c>
      <c r="C941" s="8" t="s">
        <v>4789</v>
      </c>
      <c r="D941" s="8" t="s">
        <v>571</v>
      </c>
      <c r="E941" s="8">
        <v>97502</v>
      </c>
      <c r="F941" s="8">
        <v>42.376781999999999</v>
      </c>
      <c r="G941" s="8">
        <v>-122.912721</v>
      </c>
    </row>
    <row r="942" spans="1:7" ht="15.75" customHeight="1" x14ac:dyDescent="0.25">
      <c r="A942" s="8" t="s">
        <v>5899</v>
      </c>
      <c r="B942" s="8" t="s">
        <v>2544</v>
      </c>
      <c r="C942" s="8" t="s">
        <v>5900</v>
      </c>
      <c r="D942" s="8" t="s">
        <v>571</v>
      </c>
      <c r="E942" s="8">
        <v>97801</v>
      </c>
      <c r="F942" s="8">
        <v>45.672075</v>
      </c>
      <c r="G942" s="8">
        <v>-118.7885967</v>
      </c>
    </row>
    <row r="943" spans="1:7" ht="15.75" customHeight="1" x14ac:dyDescent="0.25">
      <c r="A943" s="8" t="s">
        <v>5901</v>
      </c>
      <c r="B943" s="8" t="s">
        <v>5902</v>
      </c>
      <c r="C943" s="8" t="s">
        <v>5903</v>
      </c>
      <c r="D943" s="8" t="s">
        <v>571</v>
      </c>
      <c r="E943" s="8">
        <v>97045</v>
      </c>
      <c r="F943" s="8">
        <v>45.357342899999999</v>
      </c>
      <c r="G943" s="8">
        <v>-122.6067583</v>
      </c>
    </row>
    <row r="944" spans="1:7" ht="15.75" customHeight="1" x14ac:dyDescent="0.25">
      <c r="A944" s="8" t="s">
        <v>5904</v>
      </c>
      <c r="B944" s="8" t="s">
        <v>5905</v>
      </c>
      <c r="C944" s="8" t="s">
        <v>5903</v>
      </c>
      <c r="D944" s="8" t="s">
        <v>571</v>
      </c>
      <c r="E944" s="8">
        <v>97222</v>
      </c>
      <c r="F944" s="8">
        <v>45.445390099999997</v>
      </c>
      <c r="G944" s="8">
        <v>-122.6392889</v>
      </c>
    </row>
    <row r="945" spans="1:7" ht="15.75" customHeight="1" x14ac:dyDescent="0.25">
      <c r="A945" s="8" t="s">
        <v>5906</v>
      </c>
      <c r="B945" s="8" t="s">
        <v>1504</v>
      </c>
      <c r="C945" s="8" t="s">
        <v>3281</v>
      </c>
      <c r="D945" s="8" t="s">
        <v>571</v>
      </c>
      <c r="E945" s="8">
        <v>97330</v>
      </c>
      <c r="F945" s="8">
        <v>44.564565899999998</v>
      </c>
      <c r="G945" s="8">
        <v>-123.2620435</v>
      </c>
    </row>
    <row r="946" spans="1:7" ht="15.75" customHeight="1" x14ac:dyDescent="0.25">
      <c r="A946" s="8" t="s">
        <v>5907</v>
      </c>
      <c r="B946" s="8" t="s">
        <v>5908</v>
      </c>
      <c r="C946" s="8" t="s">
        <v>5909</v>
      </c>
      <c r="D946" s="8" t="s">
        <v>571</v>
      </c>
      <c r="E946" s="8">
        <v>97034</v>
      </c>
      <c r="F946" s="8">
        <v>45.409472473999998</v>
      </c>
      <c r="G946" s="8">
        <v>-122.685394285</v>
      </c>
    </row>
    <row r="947" spans="1:7" ht="15.75" customHeight="1" x14ac:dyDescent="0.25">
      <c r="A947" s="8" t="s">
        <v>5910</v>
      </c>
      <c r="B947" s="8" t="s">
        <v>5911</v>
      </c>
      <c r="C947" s="8" t="s">
        <v>4934</v>
      </c>
      <c r="D947" s="8" t="s">
        <v>571</v>
      </c>
      <c r="E947" s="8">
        <v>97470</v>
      </c>
      <c r="F947" s="8">
        <v>43.215904852100003</v>
      </c>
      <c r="G947" s="8">
        <v>-123.352262874</v>
      </c>
    </row>
    <row r="948" spans="1:7" ht="15.75" customHeight="1" x14ac:dyDescent="0.25">
      <c r="A948" s="8" t="s">
        <v>5912</v>
      </c>
      <c r="B948" s="8" t="s">
        <v>5913</v>
      </c>
      <c r="C948" s="8" t="s">
        <v>5914</v>
      </c>
      <c r="D948" s="8" t="s">
        <v>571</v>
      </c>
      <c r="E948" s="8">
        <v>97526</v>
      </c>
      <c r="F948" s="8">
        <v>42.460910744499998</v>
      </c>
      <c r="G948" s="8">
        <v>-123.33567346700001</v>
      </c>
    </row>
    <row r="949" spans="1:7" ht="15.75" customHeight="1" x14ac:dyDescent="0.25">
      <c r="A949" s="8" t="s">
        <v>5915</v>
      </c>
      <c r="B949" s="8" t="s">
        <v>5916</v>
      </c>
      <c r="C949" s="8" t="s">
        <v>5917</v>
      </c>
      <c r="D949" s="8" t="s">
        <v>571</v>
      </c>
      <c r="E949" s="8">
        <v>97601</v>
      </c>
      <c r="F949" s="8">
        <v>42.224867000000003</v>
      </c>
      <c r="G949" s="8">
        <v>-121.7816704</v>
      </c>
    </row>
    <row r="950" spans="1:7" ht="15.75" customHeight="1" x14ac:dyDescent="0.25">
      <c r="A950" s="8" t="s">
        <v>5918</v>
      </c>
      <c r="B950" s="8" t="s">
        <v>5919</v>
      </c>
      <c r="C950" s="8" t="s">
        <v>1156</v>
      </c>
      <c r="D950" s="8" t="s">
        <v>571</v>
      </c>
      <c r="E950" s="8">
        <v>97071</v>
      </c>
      <c r="F950" s="8">
        <v>45.143731000000002</v>
      </c>
      <c r="G950" s="8">
        <v>-122.8553725</v>
      </c>
    </row>
    <row r="951" spans="1:7" ht="15.75" customHeight="1" x14ac:dyDescent="0.25">
      <c r="A951" s="8" t="s">
        <v>5920</v>
      </c>
      <c r="B951" s="8" t="s">
        <v>5921</v>
      </c>
      <c r="C951" s="8" t="s">
        <v>5922</v>
      </c>
      <c r="D951" s="8" t="s">
        <v>571</v>
      </c>
      <c r="E951" s="8">
        <v>97060</v>
      </c>
      <c r="F951" s="8">
        <v>45.531792799999998</v>
      </c>
      <c r="G951" s="8">
        <v>-122.391155</v>
      </c>
    </row>
    <row r="952" spans="1:7" ht="15.75" customHeight="1" x14ac:dyDescent="0.25">
      <c r="A952" s="8" t="s">
        <v>5923</v>
      </c>
      <c r="B952" s="8" t="s">
        <v>5923</v>
      </c>
      <c r="C952" s="8" t="s">
        <v>5923</v>
      </c>
      <c r="D952" s="8" t="s">
        <v>571</v>
      </c>
      <c r="E952" s="8">
        <v>97031</v>
      </c>
      <c r="F952" s="8">
        <v>45.688026535699997</v>
      </c>
      <c r="G952" s="8">
        <v>-121.536157957</v>
      </c>
    </row>
    <row r="953" spans="1:7" ht="15.75" customHeight="1" x14ac:dyDescent="0.25">
      <c r="A953" s="8" t="s">
        <v>5924</v>
      </c>
      <c r="B953" s="8" t="s">
        <v>5925</v>
      </c>
      <c r="C953" s="8" t="s">
        <v>1321</v>
      </c>
      <c r="D953" s="8" t="s">
        <v>571</v>
      </c>
      <c r="E953" s="8">
        <v>97058</v>
      </c>
      <c r="F953" s="8">
        <v>45.601505600000003</v>
      </c>
      <c r="G953" s="8">
        <v>-121.1841587</v>
      </c>
    </row>
    <row r="954" spans="1:7" ht="15.75" customHeight="1" x14ac:dyDescent="0.25">
      <c r="A954" s="8" t="s">
        <v>5926</v>
      </c>
      <c r="B954" s="8" t="s">
        <v>5905</v>
      </c>
      <c r="C954" s="8" t="s">
        <v>5903</v>
      </c>
      <c r="D954" s="8" t="s">
        <v>571</v>
      </c>
      <c r="E954" s="8">
        <v>97222</v>
      </c>
      <c r="F954" s="8">
        <v>45.445390099999997</v>
      </c>
      <c r="G954" s="8">
        <v>-122.6392889</v>
      </c>
    </row>
    <row r="955" spans="1:7" ht="15.75" customHeight="1" x14ac:dyDescent="0.25">
      <c r="A955" s="8" t="s">
        <v>5927</v>
      </c>
      <c r="B955" s="8" t="s">
        <v>5928</v>
      </c>
      <c r="C955" s="8" t="s">
        <v>5929</v>
      </c>
      <c r="D955" s="8" t="s">
        <v>571</v>
      </c>
      <c r="E955" s="8">
        <v>97415</v>
      </c>
      <c r="F955" s="8">
        <v>42.074101499999998</v>
      </c>
      <c r="G955" s="8">
        <v>-124.315577241</v>
      </c>
    </row>
    <row r="956" spans="1:7" ht="15.75" customHeight="1" x14ac:dyDescent="0.25">
      <c r="A956" s="8" t="s">
        <v>5930</v>
      </c>
      <c r="B956" s="8" t="s">
        <v>5931</v>
      </c>
      <c r="C956" s="8" t="s">
        <v>5932</v>
      </c>
      <c r="D956" s="8" t="s">
        <v>571</v>
      </c>
      <c r="E956" s="8">
        <v>97420</v>
      </c>
      <c r="F956" s="8">
        <v>43.366500700000003</v>
      </c>
      <c r="G956" s="8">
        <v>-124.21789029999999</v>
      </c>
    </row>
    <row r="957" spans="1:7" ht="15.75" customHeight="1" x14ac:dyDescent="0.25">
      <c r="A957" s="8" t="s">
        <v>5933</v>
      </c>
      <c r="B957" s="8" t="s">
        <v>5931</v>
      </c>
      <c r="C957" s="8" t="s">
        <v>5932</v>
      </c>
      <c r="D957" s="8" t="s">
        <v>571</v>
      </c>
      <c r="E957" s="8">
        <v>97420</v>
      </c>
      <c r="F957" s="8">
        <v>43.366500700000003</v>
      </c>
      <c r="G957" s="8">
        <v>-124.21789029999999</v>
      </c>
    </row>
    <row r="958" spans="1:7" ht="15.75" customHeight="1" x14ac:dyDescent="0.25">
      <c r="A958" s="8" t="s">
        <v>5934</v>
      </c>
      <c r="B958" s="8" t="s">
        <v>5911</v>
      </c>
      <c r="C958" s="8" t="s">
        <v>4934</v>
      </c>
      <c r="D958" s="8" t="s">
        <v>571</v>
      </c>
      <c r="E958" s="8">
        <v>97470</v>
      </c>
      <c r="F958" s="8">
        <v>43.215904852100003</v>
      </c>
      <c r="G958" s="8">
        <v>-123.352262874</v>
      </c>
    </row>
    <row r="959" spans="1:7" ht="15.75" customHeight="1" x14ac:dyDescent="0.25">
      <c r="A959" s="8" t="s">
        <v>5935</v>
      </c>
      <c r="B959" s="8" t="s">
        <v>5936</v>
      </c>
      <c r="C959" s="8" t="s">
        <v>5900</v>
      </c>
      <c r="D959" s="8" t="s">
        <v>571</v>
      </c>
      <c r="E959" s="8">
        <v>97838</v>
      </c>
      <c r="F959" s="8">
        <v>45.8404101</v>
      </c>
      <c r="G959" s="8">
        <v>-119.2894605</v>
      </c>
    </row>
    <row r="960" spans="1:7" ht="15.75" customHeight="1" x14ac:dyDescent="0.25">
      <c r="A960" s="8" t="s">
        <v>5937</v>
      </c>
      <c r="B960" s="8" t="s">
        <v>5938</v>
      </c>
      <c r="C960" s="8" t="s">
        <v>5939</v>
      </c>
      <c r="D960" s="8" t="s">
        <v>571</v>
      </c>
      <c r="E960" s="8">
        <v>97601</v>
      </c>
      <c r="F960" s="8">
        <v>42.224867000000003</v>
      </c>
      <c r="G960" s="8">
        <v>-121.7816704</v>
      </c>
    </row>
    <row r="961" spans="1:7" ht="15.75" customHeight="1" x14ac:dyDescent="0.25">
      <c r="A961" s="8" t="s">
        <v>5940</v>
      </c>
      <c r="B961" s="8" t="s">
        <v>5941</v>
      </c>
      <c r="C961" s="8" t="s">
        <v>5942</v>
      </c>
      <c r="D961" s="8" t="s">
        <v>571</v>
      </c>
      <c r="E961" s="8">
        <v>97701</v>
      </c>
      <c r="F961" s="8">
        <v>44.049413600000001</v>
      </c>
      <c r="G961" s="8">
        <v>-121.3052656</v>
      </c>
    </row>
    <row r="962" spans="1:7" ht="15.75" customHeight="1" x14ac:dyDescent="0.25">
      <c r="A962" s="8" t="s">
        <v>5943</v>
      </c>
      <c r="B962" s="8" t="s">
        <v>3301</v>
      </c>
      <c r="C962" s="8" t="s">
        <v>2912</v>
      </c>
      <c r="D962" s="8" t="s">
        <v>571</v>
      </c>
      <c r="E962" s="8">
        <v>97470</v>
      </c>
      <c r="F962" s="8">
        <v>43.215904852100003</v>
      </c>
      <c r="G962" s="8">
        <v>-123.352262874</v>
      </c>
    </row>
    <row r="963" spans="1:7" ht="15.75" customHeight="1" x14ac:dyDescent="0.25">
      <c r="A963" s="8" t="s">
        <v>5944</v>
      </c>
      <c r="B963" s="8" t="s">
        <v>3301</v>
      </c>
      <c r="C963" s="8" t="s">
        <v>2912</v>
      </c>
      <c r="D963" s="8" t="s">
        <v>571</v>
      </c>
      <c r="E963" s="8">
        <v>97471</v>
      </c>
      <c r="F963" s="8">
        <v>43.231331003400001</v>
      </c>
      <c r="G963" s="8">
        <v>-123.372338392</v>
      </c>
    </row>
    <row r="964" spans="1:7" ht="15.75" customHeight="1" x14ac:dyDescent="0.25">
      <c r="A964" s="8" t="s">
        <v>5945</v>
      </c>
      <c r="B964" s="8" t="s">
        <v>5946</v>
      </c>
      <c r="C964" s="8" t="s">
        <v>5887</v>
      </c>
      <c r="D964" s="8" t="s">
        <v>571</v>
      </c>
      <c r="E964" s="8">
        <v>97060</v>
      </c>
      <c r="F964" s="8">
        <v>45.531792799999998</v>
      </c>
      <c r="G964" s="8">
        <v>-122.391155</v>
      </c>
    </row>
    <row r="965" spans="1:7" ht="15.75" customHeight="1" x14ac:dyDescent="0.25">
      <c r="A965" s="8" t="s">
        <v>5947</v>
      </c>
      <c r="B965" s="8" t="s">
        <v>5948</v>
      </c>
      <c r="C965" s="8" t="s">
        <v>5949</v>
      </c>
      <c r="D965" s="8" t="s">
        <v>571</v>
      </c>
      <c r="E965" s="8">
        <v>97420</v>
      </c>
      <c r="F965" s="8">
        <v>43.366500700000003</v>
      </c>
      <c r="G965" s="8">
        <v>-124.21789029999999</v>
      </c>
    </row>
    <row r="966" spans="1:7" ht="15.75" customHeight="1" x14ac:dyDescent="0.25">
      <c r="A966" s="8" t="s">
        <v>5950</v>
      </c>
      <c r="B966" s="8" t="s">
        <v>5948</v>
      </c>
      <c r="C966" s="8" t="s">
        <v>5949</v>
      </c>
      <c r="D966" s="8" t="s">
        <v>571</v>
      </c>
      <c r="E966" s="8">
        <v>97420</v>
      </c>
      <c r="F966" s="8">
        <v>43.366500700000003</v>
      </c>
      <c r="G966" s="8">
        <v>-124.21789029999999</v>
      </c>
    </row>
    <row r="967" spans="1:7" ht="15.75" customHeight="1" x14ac:dyDescent="0.25">
      <c r="A967" s="8" t="s">
        <v>5951</v>
      </c>
      <c r="B967" s="8" t="s">
        <v>5952</v>
      </c>
      <c r="C967" s="8" t="s">
        <v>5952</v>
      </c>
      <c r="D967" s="8" t="s">
        <v>575</v>
      </c>
      <c r="E967" s="8">
        <v>19137</v>
      </c>
      <c r="F967" s="8">
        <v>39.952415199999997</v>
      </c>
      <c r="G967" s="8">
        <v>-75.163575499999993</v>
      </c>
    </row>
    <row r="968" spans="1:7" ht="15.75" customHeight="1" x14ac:dyDescent="0.25">
      <c r="A968" s="8" t="s">
        <v>5953</v>
      </c>
      <c r="B968" s="8" t="s">
        <v>5952</v>
      </c>
      <c r="C968" s="8" t="s">
        <v>5952</v>
      </c>
      <c r="D968" s="8" t="s">
        <v>575</v>
      </c>
      <c r="E968" s="8">
        <v>19153</v>
      </c>
      <c r="F968" s="8">
        <v>39.952415199999997</v>
      </c>
      <c r="G968" s="8">
        <v>-75.163575499999993</v>
      </c>
    </row>
    <row r="969" spans="1:7" ht="15.75" customHeight="1" x14ac:dyDescent="0.25">
      <c r="A969" s="8" t="s">
        <v>5954</v>
      </c>
      <c r="B969" s="8" t="s">
        <v>5955</v>
      </c>
      <c r="C969" s="8" t="s">
        <v>5956</v>
      </c>
      <c r="D969" s="8" t="s">
        <v>575</v>
      </c>
      <c r="E969" s="8">
        <v>18102</v>
      </c>
      <c r="F969" s="8">
        <v>40.602205900000001</v>
      </c>
      <c r="G969" s="8">
        <v>-75.4712794</v>
      </c>
    </row>
    <row r="970" spans="1:7" ht="15.75" customHeight="1" x14ac:dyDescent="0.25">
      <c r="A970" s="8" t="s">
        <v>5957</v>
      </c>
      <c r="B970" s="8" t="s">
        <v>5958</v>
      </c>
      <c r="C970" s="8" t="s">
        <v>5959</v>
      </c>
      <c r="D970" s="8" t="s">
        <v>575</v>
      </c>
      <c r="E970" s="8">
        <v>19601</v>
      </c>
      <c r="F970" s="8">
        <v>40.349626999999998</v>
      </c>
      <c r="G970" s="8">
        <v>-75.941446999999997</v>
      </c>
    </row>
    <row r="971" spans="1:7" ht="15.75" customHeight="1" x14ac:dyDescent="0.25">
      <c r="A971" s="8" t="s">
        <v>5960</v>
      </c>
      <c r="B971" s="8" t="s">
        <v>5961</v>
      </c>
      <c r="C971" s="8" t="s">
        <v>5962</v>
      </c>
      <c r="D971" s="8" t="s">
        <v>575</v>
      </c>
      <c r="E971" s="8">
        <v>18015</v>
      </c>
      <c r="F971" s="8">
        <v>40.617891499999999</v>
      </c>
      <c r="G971" s="8">
        <v>-75.378652099999996</v>
      </c>
    </row>
    <row r="972" spans="1:7" ht="15.75" customHeight="1" x14ac:dyDescent="0.25">
      <c r="A972" s="8" t="s">
        <v>5963</v>
      </c>
      <c r="B972" s="8" t="s">
        <v>5964</v>
      </c>
      <c r="C972" s="8" t="s">
        <v>5964</v>
      </c>
      <c r="D972" s="8" t="s">
        <v>575</v>
      </c>
      <c r="E972" s="8">
        <v>17402</v>
      </c>
      <c r="F972" s="8">
        <v>39.950125499999999</v>
      </c>
      <c r="G972" s="8">
        <v>-76.614614700000004</v>
      </c>
    </row>
    <row r="973" spans="1:7" ht="15.75" customHeight="1" x14ac:dyDescent="0.25">
      <c r="A973" s="8" t="s">
        <v>5965</v>
      </c>
      <c r="B973" s="8" t="s">
        <v>5966</v>
      </c>
      <c r="C973" s="8" t="s">
        <v>5967</v>
      </c>
      <c r="D973" s="8" t="s">
        <v>575</v>
      </c>
      <c r="E973" s="8">
        <v>17104</v>
      </c>
      <c r="F973" s="8">
        <v>40.260457666299999</v>
      </c>
      <c r="G973" s="8">
        <v>-76.850512341300004</v>
      </c>
    </row>
    <row r="974" spans="1:7" ht="15.75" customHeight="1" x14ac:dyDescent="0.25">
      <c r="A974" s="8" t="s">
        <v>5968</v>
      </c>
      <c r="B974" s="8" t="s">
        <v>5969</v>
      </c>
      <c r="C974" s="8" t="s">
        <v>5962</v>
      </c>
      <c r="D974" s="8" t="s">
        <v>575</v>
      </c>
      <c r="E974" s="8">
        <v>18042</v>
      </c>
      <c r="F974" s="8">
        <v>40.6921198</v>
      </c>
      <c r="G974" s="8">
        <v>-75.206258300000002</v>
      </c>
    </row>
    <row r="975" spans="1:7" ht="15.75" customHeight="1" x14ac:dyDescent="0.25">
      <c r="A975" s="8" t="s">
        <v>5970</v>
      </c>
      <c r="B975" s="8" t="s">
        <v>5971</v>
      </c>
      <c r="C975" s="8" t="s">
        <v>3905</v>
      </c>
      <c r="D975" s="8" t="s">
        <v>575</v>
      </c>
      <c r="E975" s="8">
        <v>19401</v>
      </c>
      <c r="F975" s="8">
        <v>40.121496999999998</v>
      </c>
      <c r="G975" s="8">
        <v>-75.339904799999999</v>
      </c>
    </row>
    <row r="976" spans="1:7" ht="15.75" customHeight="1" x14ac:dyDescent="0.25">
      <c r="A976" s="8" t="s">
        <v>5972</v>
      </c>
      <c r="B976" s="8" t="s">
        <v>5973</v>
      </c>
      <c r="C976" s="8" t="s">
        <v>5974</v>
      </c>
      <c r="D976" s="8" t="s">
        <v>575</v>
      </c>
      <c r="E976" s="8">
        <v>18974</v>
      </c>
      <c r="F976" s="8">
        <v>40.195077499999996</v>
      </c>
      <c r="G976" s="8">
        <v>-75.088931500000001</v>
      </c>
    </row>
    <row r="977" spans="1:7" ht="15.75" customHeight="1" x14ac:dyDescent="0.25">
      <c r="A977" s="8" t="s">
        <v>5975</v>
      </c>
      <c r="B977" s="8" t="s">
        <v>5976</v>
      </c>
      <c r="C977" s="8" t="s">
        <v>5976</v>
      </c>
      <c r="D977" s="8" t="s">
        <v>575</v>
      </c>
      <c r="E977" s="8">
        <v>17042</v>
      </c>
      <c r="F977" s="8">
        <v>40.257764999999999</v>
      </c>
      <c r="G977" s="8">
        <v>-76.431005299999995</v>
      </c>
    </row>
    <row r="978" spans="1:7" ht="15.75" customHeight="1" x14ac:dyDescent="0.25">
      <c r="A978" s="8" t="s">
        <v>5977</v>
      </c>
      <c r="B978" s="8" t="s">
        <v>691</v>
      </c>
      <c r="C978" s="8" t="s">
        <v>691</v>
      </c>
      <c r="D978" s="8" t="s">
        <v>575</v>
      </c>
      <c r="E978" s="8">
        <v>15701</v>
      </c>
      <c r="F978" s="8">
        <v>40.6652494</v>
      </c>
      <c r="G978" s="8">
        <v>-79.117906000000005</v>
      </c>
    </row>
    <row r="979" spans="1:7" ht="15.75" customHeight="1" x14ac:dyDescent="0.25">
      <c r="A979" s="8" t="s">
        <v>5978</v>
      </c>
      <c r="B979" s="8" t="s">
        <v>5979</v>
      </c>
      <c r="C979" s="8" t="s">
        <v>5980</v>
      </c>
      <c r="D979" s="8" t="s">
        <v>575</v>
      </c>
      <c r="E979" s="8">
        <v>18512</v>
      </c>
      <c r="F979" s="8">
        <v>41.451385700000003</v>
      </c>
      <c r="G979" s="8">
        <v>-75.612234900000004</v>
      </c>
    </row>
    <row r="980" spans="1:7" ht="15.75" customHeight="1" x14ac:dyDescent="0.25">
      <c r="A980" s="8" t="s">
        <v>5981</v>
      </c>
      <c r="B980" s="8" t="s">
        <v>5982</v>
      </c>
      <c r="C980" s="8" t="s">
        <v>5983</v>
      </c>
      <c r="D980" s="8" t="s">
        <v>575</v>
      </c>
      <c r="E980" s="8">
        <v>17872</v>
      </c>
      <c r="F980" s="8">
        <v>40.791235149999999</v>
      </c>
      <c r="G980" s="8">
        <v>-76.554046732499998</v>
      </c>
    </row>
    <row r="981" spans="1:7" ht="15.75" customHeight="1" x14ac:dyDescent="0.25">
      <c r="A981" s="8" t="s">
        <v>5984</v>
      </c>
      <c r="B981" s="8" t="s">
        <v>5985</v>
      </c>
      <c r="C981" s="8" t="s">
        <v>4774</v>
      </c>
      <c r="D981" s="8" t="s">
        <v>575</v>
      </c>
      <c r="E981" s="8">
        <v>17201</v>
      </c>
      <c r="F981" s="8">
        <v>39.940590299999997</v>
      </c>
      <c r="G981" s="8">
        <v>-77.659862399999994</v>
      </c>
    </row>
    <row r="982" spans="1:7" ht="15.75" customHeight="1" x14ac:dyDescent="0.25">
      <c r="A982" s="8" t="s">
        <v>5986</v>
      </c>
      <c r="B982" s="8" t="s">
        <v>5987</v>
      </c>
      <c r="C982" s="8" t="s">
        <v>3905</v>
      </c>
      <c r="D982" s="8" t="s">
        <v>575</v>
      </c>
      <c r="E982" s="8">
        <v>19002</v>
      </c>
      <c r="F982" s="8">
        <v>40.152864100000002</v>
      </c>
      <c r="G982" s="8">
        <v>-75.224361500000001</v>
      </c>
    </row>
    <row r="983" spans="1:7" ht="15.75" customHeight="1" x14ac:dyDescent="0.25">
      <c r="A983" s="8" t="s">
        <v>5988</v>
      </c>
      <c r="B983" s="8" t="s">
        <v>4360</v>
      </c>
      <c r="C983" s="8" t="s">
        <v>4933</v>
      </c>
      <c r="D983" s="8" t="s">
        <v>575</v>
      </c>
      <c r="E983" s="8">
        <v>16102</v>
      </c>
      <c r="F983" s="8">
        <v>41.003671900000001</v>
      </c>
      <c r="G983" s="8">
        <v>-80.347009099999994</v>
      </c>
    </row>
    <row r="984" spans="1:7" ht="15.75" customHeight="1" x14ac:dyDescent="0.25">
      <c r="A984" s="8" t="s">
        <v>5989</v>
      </c>
      <c r="B984" s="8" t="s">
        <v>5990</v>
      </c>
      <c r="C984" s="8" t="s">
        <v>5991</v>
      </c>
      <c r="D984" s="8" t="s">
        <v>575</v>
      </c>
      <c r="E984" s="8">
        <v>17901</v>
      </c>
      <c r="F984" s="8">
        <v>40.6933194</v>
      </c>
      <c r="G984" s="8">
        <v>-76.192514000000003</v>
      </c>
    </row>
    <row r="985" spans="1:7" ht="15.75" customHeight="1" x14ac:dyDescent="0.25">
      <c r="A985" s="8" t="s">
        <v>5992</v>
      </c>
      <c r="B985" s="8" t="s">
        <v>724</v>
      </c>
      <c r="C985" s="8" t="s">
        <v>724</v>
      </c>
      <c r="D985" s="8" t="s">
        <v>575</v>
      </c>
      <c r="E985" s="8">
        <v>15301</v>
      </c>
      <c r="F985" s="8">
        <v>40.173960000000001</v>
      </c>
      <c r="G985" s="8">
        <v>-80.246171399999994</v>
      </c>
    </row>
    <row r="986" spans="1:7" ht="15.75" customHeight="1" x14ac:dyDescent="0.25">
      <c r="A986" s="8" t="s">
        <v>5993</v>
      </c>
      <c r="B986" s="8" t="s">
        <v>5994</v>
      </c>
      <c r="C986" s="8" t="s">
        <v>5995</v>
      </c>
      <c r="D986" s="8" t="s">
        <v>575</v>
      </c>
      <c r="E986" s="8">
        <v>15601</v>
      </c>
      <c r="F986" s="8">
        <v>40.323525199999999</v>
      </c>
      <c r="G986" s="8">
        <v>-79.540921499999996</v>
      </c>
    </row>
    <row r="987" spans="1:7" ht="15.75" customHeight="1" x14ac:dyDescent="0.25">
      <c r="A987" s="8" t="s">
        <v>5996</v>
      </c>
      <c r="B987" s="8" t="s">
        <v>5997</v>
      </c>
      <c r="C987" s="8" t="s">
        <v>5998</v>
      </c>
      <c r="D987" s="8" t="s">
        <v>575</v>
      </c>
      <c r="E987" s="8">
        <v>18642</v>
      </c>
      <c r="F987" s="8">
        <v>41.347816999999999</v>
      </c>
      <c r="G987" s="8">
        <v>-75.756426700000006</v>
      </c>
    </row>
    <row r="988" spans="1:7" ht="15.75" customHeight="1" x14ac:dyDescent="0.25">
      <c r="A988" s="8" t="s">
        <v>5999</v>
      </c>
      <c r="B988" s="8" t="s">
        <v>6000</v>
      </c>
      <c r="C988" s="8" t="s">
        <v>5980</v>
      </c>
      <c r="D988" s="8" t="s">
        <v>575</v>
      </c>
      <c r="E988" s="8">
        <v>18519</v>
      </c>
      <c r="F988" s="8">
        <v>41.471469300000003</v>
      </c>
      <c r="G988" s="8">
        <v>-75.607687999999996</v>
      </c>
    </row>
    <row r="989" spans="1:7" ht="15.75" customHeight="1" x14ac:dyDescent="0.25">
      <c r="A989" s="8" t="s">
        <v>6001</v>
      </c>
      <c r="B989" s="8" t="s">
        <v>6002</v>
      </c>
      <c r="C989" s="8" t="s">
        <v>5995</v>
      </c>
      <c r="D989" s="8" t="s">
        <v>575</v>
      </c>
      <c r="E989" s="8">
        <v>15068</v>
      </c>
      <c r="F989" s="8">
        <v>40.569789299999997</v>
      </c>
      <c r="G989" s="8">
        <v>-79.764770499999997</v>
      </c>
    </row>
    <row r="990" spans="1:7" ht="15.75" customHeight="1" x14ac:dyDescent="0.25">
      <c r="A990" s="8" t="s">
        <v>6003</v>
      </c>
      <c r="B990" s="8" t="s">
        <v>6004</v>
      </c>
      <c r="C990" s="8" t="s">
        <v>685</v>
      </c>
      <c r="D990" s="8" t="s">
        <v>575</v>
      </c>
      <c r="E990" s="8">
        <v>19014</v>
      </c>
      <c r="F990" s="8">
        <v>39.862490899999997</v>
      </c>
      <c r="G990" s="8">
        <v>-75.439566022099996</v>
      </c>
    </row>
    <row r="991" spans="1:7" ht="15.75" customHeight="1" x14ac:dyDescent="0.25">
      <c r="A991" s="8" t="s">
        <v>6005</v>
      </c>
      <c r="B991" s="8" t="s">
        <v>6006</v>
      </c>
      <c r="C991" s="8" t="s">
        <v>6007</v>
      </c>
      <c r="D991" s="8" t="s">
        <v>575</v>
      </c>
      <c r="E991" s="8">
        <v>19382</v>
      </c>
      <c r="F991" s="8">
        <v>39.959721299999998</v>
      </c>
      <c r="G991" s="8">
        <v>-75.605963799999998</v>
      </c>
    </row>
    <row r="992" spans="1:7" ht="15.75" customHeight="1" x14ac:dyDescent="0.25">
      <c r="A992" s="8" t="s">
        <v>6008</v>
      </c>
      <c r="B992" s="8" t="s">
        <v>6009</v>
      </c>
      <c r="C992" s="8" t="s">
        <v>724</v>
      </c>
      <c r="D992" s="8" t="s">
        <v>575</v>
      </c>
      <c r="E992" s="8">
        <v>15317</v>
      </c>
      <c r="F992" s="8">
        <v>40.262570199999999</v>
      </c>
      <c r="G992" s="8">
        <v>-80.187279700000005</v>
      </c>
    </row>
    <row r="993" spans="1:7" ht="15.75" customHeight="1" x14ac:dyDescent="0.25">
      <c r="A993" s="8" t="s">
        <v>6010</v>
      </c>
      <c r="B993" s="8" t="s">
        <v>6011</v>
      </c>
      <c r="C993" s="8" t="s">
        <v>6012</v>
      </c>
      <c r="D993" s="8" t="s">
        <v>575</v>
      </c>
      <c r="E993" s="8">
        <v>17701</v>
      </c>
      <c r="F993" s="8">
        <v>41.249329199999998</v>
      </c>
      <c r="G993" s="8">
        <v>-77.0027671</v>
      </c>
    </row>
    <row r="994" spans="1:7" ht="15.75" customHeight="1" x14ac:dyDescent="0.25">
      <c r="A994" s="8" t="s">
        <v>6013</v>
      </c>
      <c r="B994" s="8" t="s">
        <v>6011</v>
      </c>
      <c r="C994" s="8" t="s">
        <v>6012</v>
      </c>
      <c r="D994" s="8" t="s">
        <v>575</v>
      </c>
      <c r="E994" s="8">
        <v>17701</v>
      </c>
      <c r="F994" s="8">
        <v>41.249329199999998</v>
      </c>
      <c r="G994" s="8">
        <v>-77.0027671</v>
      </c>
    </row>
    <row r="995" spans="1:7" ht="15.75" customHeight="1" x14ac:dyDescent="0.25">
      <c r="A995" s="8" t="s">
        <v>6014</v>
      </c>
      <c r="B995" s="8" t="s">
        <v>6015</v>
      </c>
      <c r="C995" s="8" t="s">
        <v>6016</v>
      </c>
      <c r="D995" s="8" t="s">
        <v>575</v>
      </c>
      <c r="E995" s="8">
        <v>15025</v>
      </c>
      <c r="F995" s="8">
        <v>40.290896699999998</v>
      </c>
      <c r="G995" s="8">
        <v>-79.880768900000007</v>
      </c>
    </row>
    <row r="996" spans="1:7" ht="15.75" customHeight="1" x14ac:dyDescent="0.25">
      <c r="A996" s="8" t="s">
        <v>6017</v>
      </c>
      <c r="B996" s="8" t="s">
        <v>4774</v>
      </c>
      <c r="C996" s="8" t="s">
        <v>6018</v>
      </c>
      <c r="D996" s="8" t="s">
        <v>575</v>
      </c>
      <c r="E996" s="8">
        <v>16323</v>
      </c>
      <c r="F996" s="8">
        <v>41.397835999999998</v>
      </c>
      <c r="G996" s="8">
        <v>-79.831444000000005</v>
      </c>
    </row>
    <row r="997" spans="1:7" ht="15.75" customHeight="1" x14ac:dyDescent="0.25">
      <c r="A997" s="8" t="s">
        <v>6019</v>
      </c>
      <c r="B997" s="8" t="s">
        <v>6020</v>
      </c>
      <c r="C997" s="8" t="s">
        <v>4987</v>
      </c>
      <c r="D997" s="8" t="s">
        <v>575</v>
      </c>
      <c r="E997" s="8">
        <v>16148</v>
      </c>
      <c r="F997" s="8">
        <v>41.233389699999996</v>
      </c>
      <c r="G997" s="8">
        <v>-80.448679999999996</v>
      </c>
    </row>
    <row r="998" spans="1:7" ht="15.75" customHeight="1" x14ac:dyDescent="0.25">
      <c r="A998" s="8" t="s">
        <v>6021</v>
      </c>
      <c r="B998" s="8" t="s">
        <v>6022</v>
      </c>
      <c r="C998" s="8" t="s">
        <v>6022</v>
      </c>
      <c r="D998" s="8" t="s">
        <v>575</v>
      </c>
      <c r="E998" s="8">
        <v>15009</v>
      </c>
      <c r="F998" s="8">
        <v>40.691662399999998</v>
      </c>
      <c r="G998" s="8">
        <v>-80.370999900000001</v>
      </c>
    </row>
    <row r="999" spans="1:7" ht="15.75" customHeight="1" x14ac:dyDescent="0.25">
      <c r="A999" s="8" t="s">
        <v>6023</v>
      </c>
      <c r="B999" s="8" t="s">
        <v>6024</v>
      </c>
      <c r="C999" s="8" t="s">
        <v>5264</v>
      </c>
      <c r="D999" s="8" t="s">
        <v>575</v>
      </c>
      <c r="E999" s="8">
        <v>15370</v>
      </c>
      <c r="F999" s="8">
        <v>39.896464100000003</v>
      </c>
      <c r="G999" s="8">
        <v>-80.179229899999996</v>
      </c>
    </row>
    <row r="1000" spans="1:7" ht="15.75" customHeight="1" x14ac:dyDescent="0.25">
      <c r="A1000" s="8" t="s">
        <v>6025</v>
      </c>
      <c r="B1000" s="8" t="s">
        <v>6026</v>
      </c>
      <c r="C1000" s="8" t="s">
        <v>6022</v>
      </c>
      <c r="D1000" s="8" t="s">
        <v>575</v>
      </c>
      <c r="E1000" s="8">
        <v>15061</v>
      </c>
      <c r="F1000" s="8">
        <v>40.687288500000001</v>
      </c>
      <c r="G1000" s="8">
        <v>-80.2714505</v>
      </c>
    </row>
    <row r="1001" spans="1:7" ht="15.75" customHeight="1" x14ac:dyDescent="0.25">
      <c r="A1001" s="8" t="s">
        <v>6027</v>
      </c>
      <c r="B1001" s="8" t="s">
        <v>6028</v>
      </c>
      <c r="C1001" s="8" t="s">
        <v>4987</v>
      </c>
      <c r="D1001" s="8" t="s">
        <v>575</v>
      </c>
      <c r="E1001" s="8">
        <v>16127</v>
      </c>
      <c r="F1001" s="8">
        <v>41.157837700000002</v>
      </c>
      <c r="G1001" s="8">
        <v>-80.088670300000004</v>
      </c>
    </row>
    <row r="1002" spans="1:7" ht="15.75" customHeight="1" x14ac:dyDescent="0.25">
      <c r="A1002" s="8" t="s">
        <v>6029</v>
      </c>
      <c r="B1002" s="8" t="s">
        <v>6030</v>
      </c>
      <c r="C1002" s="8" t="s">
        <v>4774</v>
      </c>
      <c r="D1002" s="8" t="s">
        <v>575</v>
      </c>
      <c r="E1002" s="8">
        <v>17268</v>
      </c>
      <c r="F1002" s="8">
        <v>39.757005999999997</v>
      </c>
      <c r="G1002" s="8">
        <v>-77.570479000000006</v>
      </c>
    </row>
    <row r="1003" spans="1:7" ht="15.75" customHeight="1" x14ac:dyDescent="0.25">
      <c r="A1003" s="8" t="s">
        <v>6031</v>
      </c>
      <c r="B1003" s="8" t="s">
        <v>6032</v>
      </c>
      <c r="C1003" s="8" t="s">
        <v>5408</v>
      </c>
      <c r="D1003" s="8" t="s">
        <v>575</v>
      </c>
      <c r="E1003" s="8">
        <v>17055</v>
      </c>
      <c r="F1003" s="8">
        <v>40.210197200000003</v>
      </c>
      <c r="G1003" s="8">
        <v>-77.004727599999995</v>
      </c>
    </row>
    <row r="1004" spans="1:7" ht="15.75" customHeight="1" x14ac:dyDescent="0.25">
      <c r="A1004" s="8" t="s">
        <v>6033</v>
      </c>
      <c r="B1004" s="8" t="s">
        <v>6034</v>
      </c>
      <c r="C1004" s="8" t="s">
        <v>5956</v>
      </c>
      <c r="D1004" s="8" t="s">
        <v>575</v>
      </c>
      <c r="E1004" s="8">
        <v>18032</v>
      </c>
      <c r="F1004" s="8">
        <v>40.654819099999997</v>
      </c>
      <c r="G1004" s="8">
        <v>-75.474627299999995</v>
      </c>
    </row>
    <row r="1005" spans="1:7" ht="15.75" customHeight="1" x14ac:dyDescent="0.25">
      <c r="A1005" s="8" t="s">
        <v>6035</v>
      </c>
      <c r="B1005" s="8" t="s">
        <v>6036</v>
      </c>
      <c r="C1005" s="8" t="s">
        <v>6036</v>
      </c>
      <c r="D1005" s="8" t="s">
        <v>575</v>
      </c>
      <c r="E1005" s="8">
        <v>15522</v>
      </c>
      <c r="F1005" s="8">
        <v>40.027145300000001</v>
      </c>
      <c r="G1005" s="8">
        <v>-78.523744699999995</v>
      </c>
    </row>
    <row r="1006" spans="1:7" ht="15.75" customHeight="1" x14ac:dyDescent="0.25">
      <c r="A1006" s="8" t="s">
        <v>6037</v>
      </c>
      <c r="B1006" s="8" t="s">
        <v>6038</v>
      </c>
      <c r="C1006" s="8" t="s">
        <v>5753</v>
      </c>
      <c r="D1006" s="8" t="s">
        <v>575</v>
      </c>
      <c r="E1006" s="8">
        <v>16401</v>
      </c>
      <c r="F1006" s="8">
        <v>41.890611200000002</v>
      </c>
      <c r="G1006" s="8">
        <v>-80.366454200000007</v>
      </c>
    </row>
    <row r="1007" spans="1:7" ht="15.75" customHeight="1" x14ac:dyDescent="0.25">
      <c r="A1007" s="8" t="s">
        <v>6039</v>
      </c>
      <c r="B1007" s="8" t="s">
        <v>6040</v>
      </c>
      <c r="C1007" s="8" t="s">
        <v>5967</v>
      </c>
      <c r="D1007" s="8" t="s">
        <v>575</v>
      </c>
      <c r="E1007" s="8">
        <v>17034</v>
      </c>
      <c r="F1007" s="8">
        <v>40.211113300000001</v>
      </c>
      <c r="G1007" s="8">
        <v>-76.790245299999995</v>
      </c>
    </row>
    <row r="1008" spans="1:7" ht="15.75" customHeight="1" x14ac:dyDescent="0.25">
      <c r="A1008" s="8" t="s">
        <v>6041</v>
      </c>
      <c r="B1008" s="8" t="s">
        <v>6042</v>
      </c>
      <c r="C1008" s="8" t="s">
        <v>5964</v>
      </c>
      <c r="D1008" s="8" t="s">
        <v>575</v>
      </c>
      <c r="E1008" s="8">
        <v>17019</v>
      </c>
      <c r="F1008" s="8">
        <v>40.111191099999999</v>
      </c>
      <c r="G1008" s="8">
        <v>-77.036342000000005</v>
      </c>
    </row>
    <row r="1009" spans="1:7" ht="15.75" customHeight="1" x14ac:dyDescent="0.25">
      <c r="A1009" s="8" t="s">
        <v>6043</v>
      </c>
      <c r="B1009" s="8" t="s">
        <v>6044</v>
      </c>
      <c r="C1009" s="8" t="s">
        <v>5734</v>
      </c>
      <c r="D1009" s="8" t="s">
        <v>575</v>
      </c>
      <c r="E1009" s="8">
        <v>16057</v>
      </c>
      <c r="F1009" s="8">
        <v>41.063950599999998</v>
      </c>
      <c r="G1009" s="8">
        <v>-80.056446800000003</v>
      </c>
    </row>
    <row r="1010" spans="1:7" ht="15.75" customHeight="1" x14ac:dyDescent="0.25">
      <c r="A1010" s="8" t="s">
        <v>6045</v>
      </c>
      <c r="B1010" s="8" t="s">
        <v>6046</v>
      </c>
      <c r="C1010" s="8" t="s">
        <v>5995</v>
      </c>
      <c r="D1010" s="8" t="s">
        <v>575</v>
      </c>
      <c r="E1010" s="8">
        <v>15668</v>
      </c>
      <c r="F1010" s="8">
        <v>40.4284015</v>
      </c>
      <c r="G1010" s="8">
        <v>-79.697545000000005</v>
      </c>
    </row>
    <row r="1011" spans="1:7" ht="15.75" customHeight="1" x14ac:dyDescent="0.25">
      <c r="A1011" s="8" t="s">
        <v>6047</v>
      </c>
      <c r="B1011" s="8" t="s">
        <v>6048</v>
      </c>
      <c r="C1011" s="8" t="s">
        <v>724</v>
      </c>
      <c r="D1011" s="8" t="s">
        <v>575</v>
      </c>
      <c r="E1011" s="8">
        <v>15063</v>
      </c>
      <c r="F1011" s="8">
        <v>40.203126500000003</v>
      </c>
      <c r="G1011" s="8">
        <v>-79.926160300000006</v>
      </c>
    </row>
    <row r="1012" spans="1:7" ht="15.75" customHeight="1" x14ac:dyDescent="0.25">
      <c r="A1012" s="8" t="s">
        <v>6049</v>
      </c>
      <c r="B1012" s="8" t="s">
        <v>6050</v>
      </c>
      <c r="C1012" s="8" t="s">
        <v>6022</v>
      </c>
      <c r="D1012" s="8" t="s">
        <v>575</v>
      </c>
      <c r="E1012" s="8">
        <v>15001</v>
      </c>
      <c r="F1012" s="8">
        <v>40.615858600000003</v>
      </c>
      <c r="G1012" s="8">
        <v>-80.245339999999999</v>
      </c>
    </row>
    <row r="1013" spans="1:7" ht="15.75" customHeight="1" x14ac:dyDescent="0.25">
      <c r="A1013" s="8" t="s">
        <v>6051</v>
      </c>
      <c r="B1013" s="8" t="s">
        <v>6006</v>
      </c>
      <c r="C1013" s="8" t="s">
        <v>6007</v>
      </c>
      <c r="D1013" s="8" t="s">
        <v>575</v>
      </c>
      <c r="E1013" s="8">
        <v>19380</v>
      </c>
      <c r="F1013" s="8">
        <v>39.959721299999998</v>
      </c>
      <c r="G1013" s="8">
        <v>-75.605963799999998</v>
      </c>
    </row>
    <row r="1014" spans="1:7" ht="15.75" customHeight="1" x14ac:dyDescent="0.25">
      <c r="A1014" s="8" t="s">
        <v>6052</v>
      </c>
      <c r="B1014" s="8" t="s">
        <v>6053</v>
      </c>
      <c r="C1014" s="8" t="s">
        <v>6022</v>
      </c>
      <c r="D1014" s="8" t="s">
        <v>575</v>
      </c>
      <c r="E1014" s="8">
        <v>15066</v>
      </c>
      <c r="F1014" s="8">
        <v>40.730353399999998</v>
      </c>
      <c r="G1014" s="8">
        <v>-80.310051299999998</v>
      </c>
    </row>
    <row r="1015" spans="1:7" ht="15.75" customHeight="1" x14ac:dyDescent="0.25">
      <c r="A1015" s="8" t="s">
        <v>6054</v>
      </c>
      <c r="B1015" s="8" t="s">
        <v>6055</v>
      </c>
      <c r="C1015" s="8" t="s">
        <v>6016</v>
      </c>
      <c r="D1015" s="8" t="s">
        <v>575</v>
      </c>
      <c r="E1015" s="8">
        <v>15024</v>
      </c>
      <c r="F1015" s="8">
        <v>40.541734300000002</v>
      </c>
      <c r="G1015" s="8">
        <v>-79.799215500000003</v>
      </c>
    </row>
    <row r="1016" spans="1:7" ht="15.75" customHeight="1" x14ac:dyDescent="0.25">
      <c r="A1016" s="8" t="s">
        <v>6056</v>
      </c>
      <c r="B1016" s="8" t="s">
        <v>5290</v>
      </c>
      <c r="C1016" s="8" t="s">
        <v>6057</v>
      </c>
      <c r="D1016" s="8" t="s">
        <v>575</v>
      </c>
      <c r="E1016" s="8">
        <v>17044</v>
      </c>
      <c r="F1016" s="8">
        <v>40.599239500000003</v>
      </c>
      <c r="G1016" s="8">
        <v>-77.571382</v>
      </c>
    </row>
    <row r="1017" spans="1:7" ht="15.75" customHeight="1" x14ac:dyDescent="0.25">
      <c r="A1017" s="8" t="s">
        <v>6058</v>
      </c>
      <c r="B1017" s="8" t="s">
        <v>6059</v>
      </c>
      <c r="C1017" s="8" t="s">
        <v>6059</v>
      </c>
      <c r="D1017" s="8" t="s">
        <v>575</v>
      </c>
      <c r="E1017" s="8">
        <v>16830</v>
      </c>
      <c r="F1017" s="8">
        <v>41.0272796</v>
      </c>
      <c r="G1017" s="8">
        <v>-78.439187599999997</v>
      </c>
    </row>
    <row r="1018" spans="1:7" ht="15.75" customHeight="1" x14ac:dyDescent="0.25">
      <c r="A1018" s="8" t="s">
        <v>6060</v>
      </c>
      <c r="B1018" s="8" t="s">
        <v>6061</v>
      </c>
      <c r="C1018" s="8" t="s">
        <v>6062</v>
      </c>
      <c r="D1018" s="8" t="s">
        <v>575</v>
      </c>
      <c r="E1018" s="8">
        <v>15857</v>
      </c>
      <c r="F1018" s="8">
        <v>41.428043199999998</v>
      </c>
      <c r="G1018" s="8">
        <v>-78.561127499999998</v>
      </c>
    </row>
    <row r="1019" spans="1:7" ht="15.75" customHeight="1" x14ac:dyDescent="0.25">
      <c r="A1019" s="8" t="s">
        <v>6063</v>
      </c>
      <c r="B1019" s="8" t="s">
        <v>5426</v>
      </c>
      <c r="C1019" s="8" t="s">
        <v>6016</v>
      </c>
      <c r="D1019" s="8" t="s">
        <v>575</v>
      </c>
      <c r="E1019" s="8">
        <v>15147</v>
      </c>
      <c r="F1019" s="8">
        <v>40.506457099999999</v>
      </c>
      <c r="G1019" s="8">
        <v>-79.843104999999994</v>
      </c>
    </row>
    <row r="1020" spans="1:7" ht="15.75" customHeight="1" x14ac:dyDescent="0.25">
      <c r="A1020" s="8" t="s">
        <v>6064</v>
      </c>
      <c r="B1020" s="8" t="s">
        <v>6065</v>
      </c>
      <c r="C1020" s="8" t="s">
        <v>1166</v>
      </c>
      <c r="D1020" s="8" t="s">
        <v>575</v>
      </c>
      <c r="E1020" s="8">
        <v>19021</v>
      </c>
      <c r="F1020" s="8">
        <v>40.089488500000002</v>
      </c>
      <c r="G1020" s="8">
        <v>-74.898080729499995</v>
      </c>
    </row>
    <row r="1021" spans="1:7" ht="15.75" customHeight="1" x14ac:dyDescent="0.25">
      <c r="A1021" s="8" t="s">
        <v>6066</v>
      </c>
      <c r="B1021" s="8" t="s">
        <v>6067</v>
      </c>
      <c r="C1021" s="8" t="s">
        <v>5974</v>
      </c>
      <c r="D1021" s="8" t="s">
        <v>575</v>
      </c>
      <c r="E1021" s="8">
        <v>19055</v>
      </c>
      <c r="F1021" s="8">
        <v>40.154125700000002</v>
      </c>
      <c r="G1021" s="8">
        <v>-74.840876800000004</v>
      </c>
    </row>
    <row r="1022" spans="1:7" ht="15.75" customHeight="1" x14ac:dyDescent="0.25">
      <c r="A1022" s="8" t="s">
        <v>6068</v>
      </c>
      <c r="B1022" s="8" t="s">
        <v>6069</v>
      </c>
      <c r="C1022" s="8" t="s">
        <v>5967</v>
      </c>
      <c r="D1022" s="8" t="s">
        <v>575</v>
      </c>
      <c r="E1022" s="8">
        <v>17033</v>
      </c>
      <c r="F1022" s="8">
        <v>40.285488100000002</v>
      </c>
      <c r="G1022" s="8">
        <v>-76.650600100000005</v>
      </c>
    </row>
    <row r="1023" spans="1:7" ht="15.75" customHeight="1" x14ac:dyDescent="0.25">
      <c r="A1023" s="8" t="s">
        <v>6070</v>
      </c>
      <c r="B1023" s="8" t="s">
        <v>5958</v>
      </c>
      <c r="C1023" s="8" t="s">
        <v>5959</v>
      </c>
      <c r="D1023" s="8" t="s">
        <v>575</v>
      </c>
      <c r="E1023" s="8">
        <v>19611</v>
      </c>
      <c r="F1023" s="8">
        <v>40.336296400000002</v>
      </c>
      <c r="G1023" s="8">
        <v>-75.942201699999998</v>
      </c>
    </row>
    <row r="1024" spans="1:7" ht="15.75" customHeight="1" x14ac:dyDescent="0.25">
      <c r="A1024" s="8" t="s">
        <v>6071</v>
      </c>
      <c r="B1024" s="8" t="s">
        <v>6072</v>
      </c>
      <c r="C1024" s="8" t="s">
        <v>3905</v>
      </c>
      <c r="D1024" s="8" t="s">
        <v>575</v>
      </c>
      <c r="E1024" s="8">
        <v>19001</v>
      </c>
      <c r="F1024" s="8">
        <v>40.120665600000002</v>
      </c>
      <c r="G1024" s="8">
        <v>-75.117951199999993</v>
      </c>
    </row>
    <row r="1025" spans="1:7" ht="15.75" customHeight="1" x14ac:dyDescent="0.25">
      <c r="A1025" s="8" t="s">
        <v>6073</v>
      </c>
      <c r="B1025" s="8" t="s">
        <v>6074</v>
      </c>
      <c r="C1025" s="8" t="s">
        <v>4296</v>
      </c>
      <c r="D1025" s="8" t="s">
        <v>575</v>
      </c>
      <c r="E1025" s="8">
        <v>17344</v>
      </c>
      <c r="F1025" s="8">
        <v>39.807321600000002</v>
      </c>
      <c r="G1025" s="8">
        <v>-77.011369900000005</v>
      </c>
    </row>
    <row r="1026" spans="1:7" ht="15.75" customHeight="1" x14ac:dyDescent="0.25">
      <c r="A1026" s="8" t="s">
        <v>6075</v>
      </c>
      <c r="B1026" s="8" t="s">
        <v>5958</v>
      </c>
      <c r="C1026" s="8" t="s">
        <v>5959</v>
      </c>
      <c r="D1026" s="8" t="s">
        <v>575</v>
      </c>
      <c r="E1026" s="8">
        <v>19605</v>
      </c>
      <c r="F1026" s="8">
        <v>40.335344999999997</v>
      </c>
      <c r="G1026" s="8">
        <v>-75.927949499999997</v>
      </c>
    </row>
    <row r="1027" spans="1:7" ht="15.75" customHeight="1" x14ac:dyDescent="0.25">
      <c r="A1027" s="8" t="s">
        <v>6076</v>
      </c>
      <c r="B1027" s="8" t="s">
        <v>5274</v>
      </c>
      <c r="C1027" s="8" t="s">
        <v>5274</v>
      </c>
      <c r="D1027" s="8" t="s">
        <v>575</v>
      </c>
      <c r="E1027" s="8">
        <v>16365</v>
      </c>
      <c r="F1027" s="8">
        <v>41.906906399999997</v>
      </c>
      <c r="G1027" s="8">
        <v>-79.146299600000006</v>
      </c>
    </row>
    <row r="1028" spans="1:7" ht="15.75" customHeight="1" x14ac:dyDescent="0.25">
      <c r="A1028" s="8" t="s">
        <v>6077</v>
      </c>
      <c r="B1028" s="8" t="s">
        <v>6078</v>
      </c>
      <c r="C1028" s="8" t="s">
        <v>6022</v>
      </c>
      <c r="D1028" s="8" t="s">
        <v>575</v>
      </c>
      <c r="E1028" s="8">
        <v>15003</v>
      </c>
      <c r="F1028" s="8">
        <v>40.589233900000004</v>
      </c>
      <c r="G1028" s="8">
        <v>-80.225059999999999</v>
      </c>
    </row>
    <row r="1029" spans="1:7" ht="15.75" customHeight="1" x14ac:dyDescent="0.25">
      <c r="A1029" s="8" t="s">
        <v>6079</v>
      </c>
      <c r="B1029" s="8" t="s">
        <v>6080</v>
      </c>
      <c r="C1029" s="8" t="s">
        <v>6007</v>
      </c>
      <c r="D1029" s="8" t="s">
        <v>575</v>
      </c>
      <c r="E1029" s="8">
        <v>19460</v>
      </c>
      <c r="F1029" s="8">
        <v>40.1303822</v>
      </c>
      <c r="G1029" s="8">
        <v>-75.514912800000005</v>
      </c>
    </row>
    <row r="1030" spans="1:7" ht="15.75" customHeight="1" x14ac:dyDescent="0.25">
      <c r="A1030" s="8" t="s">
        <v>6081</v>
      </c>
      <c r="B1030" s="8" t="s">
        <v>6082</v>
      </c>
      <c r="C1030" s="8" t="s">
        <v>4974</v>
      </c>
      <c r="D1030" s="8" t="s">
        <v>575</v>
      </c>
      <c r="E1030" s="8">
        <v>15401</v>
      </c>
      <c r="F1030" s="8">
        <v>39.900075999999999</v>
      </c>
      <c r="G1030" s="8">
        <v>-79.716432600000005</v>
      </c>
    </row>
    <row r="1031" spans="1:7" ht="15.75" customHeight="1" x14ac:dyDescent="0.25">
      <c r="A1031" s="8" t="s">
        <v>6083</v>
      </c>
      <c r="B1031" s="8" t="s">
        <v>5016</v>
      </c>
      <c r="C1031" s="8" t="s">
        <v>5974</v>
      </c>
      <c r="D1031" s="8" t="s">
        <v>575</v>
      </c>
      <c r="E1031" s="8">
        <v>19007</v>
      </c>
      <c r="F1031" s="8">
        <v>40.104960499999997</v>
      </c>
      <c r="G1031" s="8">
        <v>-74.854789800000006</v>
      </c>
    </row>
    <row r="1032" spans="1:7" ht="15.75" customHeight="1" x14ac:dyDescent="0.25">
      <c r="A1032" s="8" t="s">
        <v>6084</v>
      </c>
      <c r="B1032" s="8" t="s">
        <v>6085</v>
      </c>
      <c r="C1032" s="8" t="s">
        <v>5364</v>
      </c>
      <c r="D1032" s="8" t="s">
        <v>575</v>
      </c>
      <c r="E1032" s="8">
        <v>17522</v>
      </c>
      <c r="F1032" s="8">
        <v>40.179911099999998</v>
      </c>
      <c r="G1032" s="8">
        <v>-76.178924199999997</v>
      </c>
    </row>
    <row r="1033" spans="1:7" ht="15.75" customHeight="1" x14ac:dyDescent="0.25">
      <c r="A1033" s="8" t="s">
        <v>6086</v>
      </c>
      <c r="B1033" s="8" t="s">
        <v>6087</v>
      </c>
      <c r="C1033" s="8" t="s">
        <v>5995</v>
      </c>
      <c r="D1033" s="8" t="s">
        <v>575</v>
      </c>
      <c r="E1033" s="8">
        <v>15675</v>
      </c>
      <c r="F1033" s="8">
        <v>40.328958</v>
      </c>
      <c r="G1033" s="8">
        <v>-79.641153700000004</v>
      </c>
    </row>
    <row r="1034" spans="1:7" ht="15.75" customHeight="1" x14ac:dyDescent="0.25">
      <c r="A1034" s="8" t="s">
        <v>6088</v>
      </c>
      <c r="B1034" s="8" t="s">
        <v>6089</v>
      </c>
      <c r="C1034" s="8" t="s">
        <v>5995</v>
      </c>
      <c r="D1034" s="8" t="s">
        <v>575</v>
      </c>
      <c r="E1034" s="8">
        <v>15642</v>
      </c>
      <c r="F1034" s="8">
        <v>40.330173799999997</v>
      </c>
      <c r="G1034" s="8">
        <v>-79.709333900000004</v>
      </c>
    </row>
    <row r="1035" spans="1:7" ht="15.75" customHeight="1" x14ac:dyDescent="0.25">
      <c r="A1035" s="8" t="s">
        <v>6090</v>
      </c>
      <c r="B1035" s="8" t="s">
        <v>6091</v>
      </c>
      <c r="C1035" s="8" t="s">
        <v>5753</v>
      </c>
      <c r="D1035" s="8" t="s">
        <v>575</v>
      </c>
      <c r="E1035" s="8">
        <v>16407</v>
      </c>
      <c r="F1035" s="8">
        <v>41.920333999999997</v>
      </c>
      <c r="G1035" s="8">
        <v>-79.640328999999994</v>
      </c>
    </row>
    <row r="1036" spans="1:7" ht="15.75" customHeight="1" x14ac:dyDescent="0.25">
      <c r="A1036" s="8" t="s">
        <v>6092</v>
      </c>
      <c r="B1036" s="8" t="s">
        <v>6093</v>
      </c>
      <c r="C1036" s="8" t="s">
        <v>6012</v>
      </c>
      <c r="D1036" s="8" t="s">
        <v>575</v>
      </c>
      <c r="E1036" s="8">
        <v>17740</v>
      </c>
      <c r="F1036" s="8">
        <v>41.197966000000001</v>
      </c>
      <c r="G1036" s="8">
        <v>-77.253684000000007</v>
      </c>
    </row>
    <row r="1037" spans="1:7" ht="15.75" customHeight="1" x14ac:dyDescent="0.25">
      <c r="A1037" s="8" t="s">
        <v>6652</v>
      </c>
      <c r="B1037" s="8" t="s">
        <v>6653</v>
      </c>
      <c r="C1037" s="8"/>
      <c r="D1037" s="8" t="s">
        <v>575</v>
      </c>
      <c r="E1037" s="8"/>
      <c r="F1037" s="8">
        <v>41.53</v>
      </c>
      <c r="G1037" s="8">
        <v>-75.55</v>
      </c>
    </row>
    <row r="1038" spans="1:7" ht="15.75" customHeight="1" x14ac:dyDescent="0.25">
      <c r="A1038" s="8" t="s">
        <v>6094</v>
      </c>
      <c r="B1038" s="8" t="s">
        <v>6095</v>
      </c>
      <c r="C1038" s="8" t="s">
        <v>5959</v>
      </c>
      <c r="D1038" s="8" t="s">
        <v>575</v>
      </c>
      <c r="E1038" s="8">
        <v>19530</v>
      </c>
      <c r="F1038" s="8">
        <v>40.5215222</v>
      </c>
      <c r="G1038" s="8">
        <v>-75.776459399999993</v>
      </c>
    </row>
    <row r="1039" spans="1:7" ht="15.75" customHeight="1" x14ac:dyDescent="0.25">
      <c r="A1039" s="8" t="s">
        <v>6096</v>
      </c>
      <c r="B1039" s="8" t="s">
        <v>6097</v>
      </c>
      <c r="C1039" s="8" t="s">
        <v>6098</v>
      </c>
      <c r="D1039" s="8" t="s">
        <v>575</v>
      </c>
      <c r="E1039" s="8">
        <v>16226</v>
      </c>
      <c r="F1039" s="8">
        <v>40.769621800000003</v>
      </c>
      <c r="G1039" s="8">
        <v>-79.531842299999994</v>
      </c>
    </row>
    <row r="1040" spans="1:7" ht="15.75" customHeight="1" x14ac:dyDescent="0.25">
      <c r="A1040" s="8" t="s">
        <v>6099</v>
      </c>
      <c r="B1040" s="8" t="s">
        <v>6100</v>
      </c>
      <c r="C1040" s="8" t="s">
        <v>5995</v>
      </c>
      <c r="D1040" s="8" t="s">
        <v>575</v>
      </c>
      <c r="E1040" s="8">
        <v>15639</v>
      </c>
      <c r="F1040" s="8">
        <v>40.2042377</v>
      </c>
      <c r="G1040" s="8">
        <v>-79.6205961</v>
      </c>
    </row>
    <row r="1041" spans="1:7" ht="15.75" customHeight="1" x14ac:dyDescent="0.25">
      <c r="A1041" s="8" t="s">
        <v>6101</v>
      </c>
      <c r="B1041" s="8" t="s">
        <v>6102</v>
      </c>
      <c r="C1041" s="8" t="s">
        <v>5408</v>
      </c>
      <c r="D1041" s="8" t="s">
        <v>575</v>
      </c>
      <c r="E1041" s="8">
        <v>17011</v>
      </c>
      <c r="F1041" s="8">
        <v>40.237870070299998</v>
      </c>
      <c r="G1041" s="8">
        <v>-76.929574341399999</v>
      </c>
    </row>
    <row r="1042" spans="1:7" ht="15.75" customHeight="1" x14ac:dyDescent="0.25">
      <c r="A1042" s="8" t="s">
        <v>6103</v>
      </c>
      <c r="B1042" s="8" t="s">
        <v>6104</v>
      </c>
      <c r="C1042" s="8" t="s">
        <v>6098</v>
      </c>
      <c r="D1042" s="8" t="s">
        <v>575</v>
      </c>
      <c r="E1042" s="8">
        <v>16201</v>
      </c>
      <c r="F1042" s="8">
        <v>40.811783499999997</v>
      </c>
      <c r="G1042" s="8">
        <v>-79.5342196</v>
      </c>
    </row>
    <row r="1043" spans="1:7" ht="15.75" customHeight="1" x14ac:dyDescent="0.25">
      <c r="A1043" s="8" t="s">
        <v>6105</v>
      </c>
      <c r="B1043" s="8" t="s">
        <v>6106</v>
      </c>
      <c r="C1043" s="8" t="s">
        <v>6016</v>
      </c>
      <c r="D1043" s="8" t="s">
        <v>575</v>
      </c>
      <c r="E1043" s="8">
        <v>15108</v>
      </c>
      <c r="F1043" s="8">
        <v>40.518401300000001</v>
      </c>
      <c r="G1043" s="8">
        <v>-80.166724700000003</v>
      </c>
    </row>
    <row r="1044" spans="1:7" ht="15.75" customHeight="1" x14ac:dyDescent="0.25">
      <c r="A1044" s="8" t="s">
        <v>6107</v>
      </c>
      <c r="B1044" s="8" t="s">
        <v>5973</v>
      </c>
      <c r="C1044" s="8" t="s">
        <v>5974</v>
      </c>
      <c r="D1044" s="8" t="s">
        <v>575</v>
      </c>
      <c r="E1044" s="8">
        <v>18974</v>
      </c>
      <c r="F1044" s="8">
        <v>40.195077499999996</v>
      </c>
      <c r="G1044" s="8">
        <v>-75.088931500000001</v>
      </c>
    </row>
    <row r="1045" spans="1:7" ht="15.75" customHeight="1" x14ac:dyDescent="0.25">
      <c r="A1045" s="8" t="s">
        <v>6108</v>
      </c>
      <c r="B1045" s="8" t="s">
        <v>6109</v>
      </c>
      <c r="C1045" s="8" t="s">
        <v>5959</v>
      </c>
      <c r="D1045" s="8" t="s">
        <v>575</v>
      </c>
      <c r="E1045" s="8">
        <v>19518</v>
      </c>
      <c r="F1045" s="8">
        <v>40.257871399999999</v>
      </c>
      <c r="G1045" s="8">
        <v>-75.726300800000004</v>
      </c>
    </row>
    <row r="1046" spans="1:7" ht="15.75" customHeight="1" x14ac:dyDescent="0.25">
      <c r="A1046" s="8" t="s">
        <v>6110</v>
      </c>
      <c r="B1046" s="8" t="s">
        <v>4624</v>
      </c>
      <c r="C1046" s="8" t="s">
        <v>5991</v>
      </c>
      <c r="D1046" s="8" t="s">
        <v>575</v>
      </c>
      <c r="E1046" s="8">
        <v>17976</v>
      </c>
      <c r="F1046" s="8">
        <v>40.820365799999998</v>
      </c>
      <c r="G1046" s="8">
        <v>-76.200773400000003</v>
      </c>
    </row>
    <row r="1047" spans="1:7" ht="15.75" customHeight="1" x14ac:dyDescent="0.25">
      <c r="A1047" s="8" t="s">
        <v>6111</v>
      </c>
      <c r="B1047" s="8" t="s">
        <v>5994</v>
      </c>
      <c r="C1047" s="8" t="s">
        <v>5995</v>
      </c>
      <c r="D1047" s="8" t="s">
        <v>575</v>
      </c>
      <c r="E1047" s="8">
        <v>15601</v>
      </c>
      <c r="F1047" s="8">
        <v>40.323525199999999</v>
      </c>
      <c r="G1047" s="8">
        <v>-79.540921499999996</v>
      </c>
    </row>
    <row r="1048" spans="1:7" ht="15.75" customHeight="1" x14ac:dyDescent="0.25">
      <c r="A1048" s="8" t="s">
        <v>6112</v>
      </c>
      <c r="B1048" s="8" t="s">
        <v>6113</v>
      </c>
      <c r="C1048" s="8" t="s">
        <v>6114</v>
      </c>
      <c r="D1048" s="8" t="s">
        <v>575</v>
      </c>
      <c r="E1048" s="8">
        <v>17870</v>
      </c>
      <c r="F1048" s="8">
        <v>40.806243700000003</v>
      </c>
      <c r="G1048" s="8">
        <v>-76.860708399999993</v>
      </c>
    </row>
    <row r="1049" spans="1:7" ht="15.75" customHeight="1" x14ac:dyDescent="0.25">
      <c r="A1049" s="8" t="s">
        <v>6654</v>
      </c>
      <c r="B1049" s="8" t="s">
        <v>6655</v>
      </c>
      <c r="C1049" s="8" t="s">
        <v>6656</v>
      </c>
      <c r="D1049" s="8" t="s">
        <v>3439</v>
      </c>
      <c r="E1049" s="8">
        <v>2914</v>
      </c>
      <c r="F1049" s="8">
        <v>41.85</v>
      </c>
      <c r="G1049" s="8">
        <v>-71.37</v>
      </c>
    </row>
    <row r="1050" spans="1:7" ht="15.75" customHeight="1" x14ac:dyDescent="0.25">
      <c r="A1050" s="8" t="s">
        <v>6115</v>
      </c>
      <c r="B1050" s="8" t="s">
        <v>6116</v>
      </c>
      <c r="C1050" s="8" t="s">
        <v>6117</v>
      </c>
      <c r="D1050" s="8" t="s">
        <v>3439</v>
      </c>
      <c r="E1050" s="8">
        <v>2914</v>
      </c>
      <c r="F1050" s="8">
        <v>41.8513904</v>
      </c>
      <c r="G1050" s="8">
        <v>-71.368077142199994</v>
      </c>
    </row>
    <row r="1051" spans="1:7" ht="15.75" customHeight="1" x14ac:dyDescent="0.25">
      <c r="A1051" s="8" t="s">
        <v>6118</v>
      </c>
      <c r="B1051" s="8" t="s">
        <v>1472</v>
      </c>
      <c r="C1051" s="8" t="s">
        <v>4811</v>
      </c>
      <c r="D1051" s="8" t="s">
        <v>1694</v>
      </c>
      <c r="E1051" s="8">
        <v>29209</v>
      </c>
      <c r="F1051" s="8">
        <v>34.000749300000003</v>
      </c>
      <c r="G1051" s="8">
        <v>-81.034331300000005</v>
      </c>
    </row>
    <row r="1052" spans="1:7" ht="15.75" customHeight="1" x14ac:dyDescent="0.25">
      <c r="A1052" s="8" t="s">
        <v>6119</v>
      </c>
      <c r="B1052" s="8" t="s">
        <v>561</v>
      </c>
      <c r="C1052" s="8" t="s">
        <v>6120</v>
      </c>
      <c r="D1052" s="8" t="s">
        <v>1694</v>
      </c>
      <c r="E1052" s="8">
        <v>29607</v>
      </c>
      <c r="F1052" s="8">
        <v>34.851354000000001</v>
      </c>
      <c r="G1052" s="8">
        <v>-82.398488200000003</v>
      </c>
    </row>
    <row r="1053" spans="1:7" ht="15.75" customHeight="1" x14ac:dyDescent="0.25">
      <c r="A1053" s="8" t="s">
        <v>6121</v>
      </c>
      <c r="B1053" s="8" t="s">
        <v>6122</v>
      </c>
      <c r="C1053" s="8" t="s">
        <v>5964</v>
      </c>
      <c r="D1053" s="8" t="s">
        <v>1694</v>
      </c>
      <c r="E1053" s="8">
        <v>29730</v>
      </c>
      <c r="F1053" s="8">
        <v>34.9093633166</v>
      </c>
      <c r="G1053" s="8">
        <v>-81.004613516500001</v>
      </c>
    </row>
    <row r="1054" spans="1:7" ht="15.75" customHeight="1" x14ac:dyDescent="0.25">
      <c r="A1054" s="8" t="s">
        <v>6123</v>
      </c>
      <c r="B1054" s="8" t="s">
        <v>3450</v>
      </c>
      <c r="C1054" s="8" t="s">
        <v>4863</v>
      </c>
      <c r="D1054" s="8" t="s">
        <v>1694</v>
      </c>
      <c r="E1054" s="8">
        <v>29626</v>
      </c>
      <c r="F1054" s="8">
        <v>34.506860099999997</v>
      </c>
      <c r="G1054" s="8">
        <v>-82.650626399999993</v>
      </c>
    </row>
    <row r="1055" spans="1:7" ht="15.75" customHeight="1" x14ac:dyDescent="0.25">
      <c r="A1055" s="8" t="s">
        <v>6124</v>
      </c>
      <c r="B1055" s="8" t="s">
        <v>3450</v>
      </c>
      <c r="C1055" s="8" t="s">
        <v>4863</v>
      </c>
      <c r="D1055" s="8" t="s">
        <v>1694</v>
      </c>
      <c r="E1055" s="8">
        <v>29624</v>
      </c>
      <c r="F1055" s="8">
        <v>34.450206999999999</v>
      </c>
      <c r="G1055" s="8">
        <v>-82.669068300000006</v>
      </c>
    </row>
    <row r="1056" spans="1:7" ht="15.75" customHeight="1" x14ac:dyDescent="0.25">
      <c r="A1056" s="8" t="s">
        <v>6125</v>
      </c>
      <c r="B1056" s="8" t="s">
        <v>6126</v>
      </c>
      <c r="C1056" s="8" t="s">
        <v>6120</v>
      </c>
      <c r="D1056" s="8" t="s">
        <v>1694</v>
      </c>
      <c r="E1056" s="8">
        <v>29644</v>
      </c>
      <c r="F1056" s="8">
        <v>34.687266000000001</v>
      </c>
      <c r="G1056" s="8">
        <v>-82.218566999999993</v>
      </c>
    </row>
    <row r="1057" spans="1:7" ht="15.75" customHeight="1" x14ac:dyDescent="0.25">
      <c r="A1057" s="8" t="s">
        <v>6127</v>
      </c>
      <c r="B1057" s="8" t="s">
        <v>6128</v>
      </c>
      <c r="C1057" s="8" t="s">
        <v>6120</v>
      </c>
      <c r="D1057" s="8" t="s">
        <v>1694</v>
      </c>
      <c r="E1057" s="8">
        <v>29680</v>
      </c>
      <c r="F1057" s="8">
        <v>34.737063900000003</v>
      </c>
      <c r="G1057" s="8">
        <v>-82.254283400000006</v>
      </c>
    </row>
    <row r="1058" spans="1:7" ht="15.75" customHeight="1" x14ac:dyDescent="0.25">
      <c r="A1058" s="8" t="s">
        <v>6129</v>
      </c>
      <c r="B1058" s="8" t="s">
        <v>6130</v>
      </c>
      <c r="C1058" s="8" t="s">
        <v>4339</v>
      </c>
      <c r="D1058" s="8" t="s">
        <v>1694</v>
      </c>
      <c r="E1058" s="8">
        <v>29180</v>
      </c>
      <c r="F1058" s="8">
        <v>34.380701199999997</v>
      </c>
      <c r="G1058" s="8">
        <v>-81.086477599999995</v>
      </c>
    </row>
    <row r="1059" spans="1:7" ht="15.75" customHeight="1" x14ac:dyDescent="0.25">
      <c r="A1059" s="8" t="s">
        <v>6131</v>
      </c>
      <c r="B1059" s="8" t="s">
        <v>3459</v>
      </c>
      <c r="C1059" s="8" t="s">
        <v>6120</v>
      </c>
      <c r="D1059" s="8" t="s">
        <v>1694</v>
      </c>
      <c r="E1059" s="8">
        <v>29650</v>
      </c>
      <c r="F1059" s="8">
        <v>34.938136100000001</v>
      </c>
      <c r="G1059" s="8">
        <v>-82.2272119</v>
      </c>
    </row>
    <row r="1060" spans="1:7" ht="15.75" customHeight="1" x14ac:dyDescent="0.25">
      <c r="A1060" s="8" t="s">
        <v>6132</v>
      </c>
      <c r="B1060" s="8" t="s">
        <v>6128</v>
      </c>
      <c r="C1060" s="8" t="s">
        <v>6120</v>
      </c>
      <c r="D1060" s="8" t="s">
        <v>1694</v>
      </c>
      <c r="E1060" s="8">
        <v>29681</v>
      </c>
      <c r="F1060" s="8">
        <v>34.737063900000003</v>
      </c>
      <c r="G1060" s="8">
        <v>-82.254283400000006</v>
      </c>
    </row>
    <row r="1061" spans="1:7" ht="15.75" customHeight="1" x14ac:dyDescent="0.25">
      <c r="A1061" s="8" t="s">
        <v>6133</v>
      </c>
      <c r="B1061" s="8" t="s">
        <v>6134</v>
      </c>
      <c r="C1061" s="8" t="s">
        <v>5964</v>
      </c>
      <c r="D1061" s="8" t="s">
        <v>1694</v>
      </c>
      <c r="E1061" s="8">
        <v>29715</v>
      </c>
      <c r="F1061" s="8">
        <v>34.999254200000003</v>
      </c>
      <c r="G1061" s="8">
        <v>-80.938963200000003</v>
      </c>
    </row>
    <row r="1062" spans="1:7" ht="15.75" customHeight="1" x14ac:dyDescent="0.25">
      <c r="A1062" s="8" t="s">
        <v>6135</v>
      </c>
      <c r="B1062" s="8" t="s">
        <v>5034</v>
      </c>
      <c r="C1062" s="8" t="s">
        <v>6136</v>
      </c>
      <c r="D1062" s="8" t="s">
        <v>586</v>
      </c>
      <c r="E1062" s="8">
        <v>57401</v>
      </c>
      <c r="F1062" s="8">
        <v>45.464698499999997</v>
      </c>
      <c r="G1062" s="8">
        <v>-98.486482899999999</v>
      </c>
    </row>
    <row r="1063" spans="1:7" ht="15.75" customHeight="1" x14ac:dyDescent="0.25">
      <c r="A1063" s="8" t="s">
        <v>6137</v>
      </c>
      <c r="B1063" s="8" t="s">
        <v>5928</v>
      </c>
      <c r="C1063" s="8" t="s">
        <v>5928</v>
      </c>
      <c r="D1063" s="8" t="s">
        <v>586</v>
      </c>
      <c r="E1063" s="8">
        <v>57006</v>
      </c>
      <c r="F1063" s="8">
        <v>44.311461000000001</v>
      </c>
      <c r="G1063" s="8">
        <v>-96.798439999999999</v>
      </c>
    </row>
    <row r="1064" spans="1:7" ht="15.75" customHeight="1" x14ac:dyDescent="0.25">
      <c r="A1064" s="8" t="s">
        <v>6138</v>
      </c>
      <c r="B1064" s="8" t="s">
        <v>6139</v>
      </c>
      <c r="C1064" s="8" t="s">
        <v>6140</v>
      </c>
      <c r="D1064" s="8" t="s">
        <v>586</v>
      </c>
      <c r="E1064" s="8">
        <v>57703</v>
      </c>
      <c r="F1064" s="8">
        <v>44.077883013600001</v>
      </c>
      <c r="G1064" s="8">
        <v>-103.15573676</v>
      </c>
    </row>
    <row r="1065" spans="1:7" ht="15.75" customHeight="1" x14ac:dyDescent="0.25">
      <c r="A1065" s="8" t="s">
        <v>6141</v>
      </c>
      <c r="B1065" s="8" t="s">
        <v>6142</v>
      </c>
      <c r="C1065" s="8" t="s">
        <v>4548</v>
      </c>
      <c r="D1065" s="8" t="s">
        <v>586</v>
      </c>
      <c r="E1065" s="8">
        <v>57069</v>
      </c>
      <c r="F1065" s="8">
        <v>42.779527299999998</v>
      </c>
      <c r="G1065" s="8">
        <v>-96.929101000000003</v>
      </c>
    </row>
    <row r="1066" spans="1:7" ht="15.75" customHeight="1" x14ac:dyDescent="0.25">
      <c r="A1066" s="8" t="s">
        <v>6657</v>
      </c>
      <c r="B1066" s="8" t="s">
        <v>3900</v>
      </c>
      <c r="C1066" s="8"/>
      <c r="D1066" s="8" t="s">
        <v>586</v>
      </c>
      <c r="E1066" s="8"/>
      <c r="F1066" s="8">
        <v>43.99</v>
      </c>
      <c r="G1066" s="8">
        <v>-97.09</v>
      </c>
    </row>
    <row r="1067" spans="1:7" ht="15.75" customHeight="1" x14ac:dyDescent="0.25">
      <c r="A1067" s="8" t="s">
        <v>6143</v>
      </c>
      <c r="B1067" s="8" t="s">
        <v>5526</v>
      </c>
      <c r="C1067" s="8" t="s">
        <v>6144</v>
      </c>
      <c r="D1067" s="8" t="s">
        <v>586</v>
      </c>
      <c r="E1067" s="8">
        <v>57201</v>
      </c>
      <c r="F1067" s="8">
        <v>44.899211000000001</v>
      </c>
      <c r="G1067" s="8">
        <v>-97.115289000000004</v>
      </c>
    </row>
    <row r="1068" spans="1:7" ht="15.75" customHeight="1" x14ac:dyDescent="0.25">
      <c r="A1068" s="8" t="s">
        <v>6145</v>
      </c>
      <c r="B1068" s="8" t="s">
        <v>6146</v>
      </c>
      <c r="C1068" s="8" t="s">
        <v>3495</v>
      </c>
      <c r="D1068" s="8" t="s">
        <v>586</v>
      </c>
      <c r="E1068" s="8">
        <v>57719</v>
      </c>
      <c r="F1068" s="8">
        <v>44.136345172600002</v>
      </c>
      <c r="G1068" s="8">
        <v>-103.065278377</v>
      </c>
    </row>
    <row r="1069" spans="1:7" ht="15.75" customHeight="1" x14ac:dyDescent="0.25">
      <c r="A1069" s="8" t="s">
        <v>6147</v>
      </c>
      <c r="B1069" s="8" t="s">
        <v>6148</v>
      </c>
      <c r="C1069" s="8" t="s">
        <v>3499</v>
      </c>
      <c r="D1069" s="8" t="s">
        <v>586</v>
      </c>
      <c r="E1069" s="8" t="s">
        <v>6149</v>
      </c>
      <c r="F1069" s="8">
        <v>43.562003833299997</v>
      </c>
      <c r="G1069" s="8">
        <v>-96.7288561206</v>
      </c>
    </row>
    <row r="1070" spans="1:7" ht="15.75" customHeight="1" x14ac:dyDescent="0.25">
      <c r="A1070" s="8" t="s">
        <v>6150</v>
      </c>
      <c r="B1070" s="8" t="s">
        <v>6151</v>
      </c>
      <c r="C1070" s="8" t="s">
        <v>2634</v>
      </c>
      <c r="D1070" s="8" t="s">
        <v>586</v>
      </c>
      <c r="E1070" s="8">
        <v>57747</v>
      </c>
      <c r="F1070" s="8">
        <v>43.425946612499999</v>
      </c>
      <c r="G1070" s="8">
        <v>-103.496271311</v>
      </c>
    </row>
    <row r="1071" spans="1:7" ht="15.75" customHeight="1" x14ac:dyDescent="0.25">
      <c r="A1071" s="8" t="s">
        <v>6152</v>
      </c>
      <c r="B1071" s="8" t="s">
        <v>6153</v>
      </c>
      <c r="C1071" s="8" t="s">
        <v>6153</v>
      </c>
      <c r="D1071" s="8" t="s">
        <v>586</v>
      </c>
      <c r="E1071" s="8">
        <v>57078</v>
      </c>
      <c r="F1071" s="8">
        <v>42.871293799999997</v>
      </c>
      <c r="G1071" s="8">
        <v>-97.396701100000001</v>
      </c>
    </row>
    <row r="1072" spans="1:7" ht="15.75" customHeight="1" x14ac:dyDescent="0.25">
      <c r="A1072" s="8" t="s">
        <v>6154</v>
      </c>
      <c r="B1072" s="8" t="s">
        <v>6155</v>
      </c>
      <c r="C1072" s="8" t="s">
        <v>1439</v>
      </c>
      <c r="D1072" s="8" t="s">
        <v>624</v>
      </c>
      <c r="E1072" s="8">
        <v>37405</v>
      </c>
      <c r="F1072" s="8">
        <v>35.052477600000003</v>
      </c>
      <c r="G1072" s="8">
        <v>-85.335470999999998</v>
      </c>
    </row>
    <row r="1073" spans="1:7" ht="15.75" customHeight="1" x14ac:dyDescent="0.25">
      <c r="A1073" s="8" t="s">
        <v>6156</v>
      </c>
      <c r="B1073" s="8" t="s">
        <v>3529</v>
      </c>
      <c r="C1073" s="8" t="s">
        <v>3525</v>
      </c>
      <c r="D1073" s="8" t="s">
        <v>624</v>
      </c>
      <c r="E1073" s="8">
        <v>38127</v>
      </c>
      <c r="F1073" s="8">
        <v>35.149021500000003</v>
      </c>
      <c r="G1073" s="8">
        <v>-90.051628500000007</v>
      </c>
    </row>
    <row r="1074" spans="1:7" ht="15.75" customHeight="1" x14ac:dyDescent="0.25">
      <c r="A1074" s="8" t="s">
        <v>6157</v>
      </c>
      <c r="B1074" s="8" t="s">
        <v>6158</v>
      </c>
      <c r="C1074" s="8" t="s">
        <v>3111</v>
      </c>
      <c r="D1074" s="8" t="s">
        <v>624</v>
      </c>
      <c r="E1074" s="8">
        <v>37208</v>
      </c>
      <c r="F1074" s="8">
        <v>36.162229600000003</v>
      </c>
      <c r="G1074" s="8">
        <v>-86.774353099999999</v>
      </c>
    </row>
    <row r="1075" spans="1:7" ht="15.75" customHeight="1" x14ac:dyDescent="0.25">
      <c r="A1075" s="8" t="s">
        <v>6159</v>
      </c>
      <c r="B1075" s="8" t="s">
        <v>3529</v>
      </c>
      <c r="C1075" s="8" t="s">
        <v>3525</v>
      </c>
      <c r="D1075" s="8" t="s">
        <v>624</v>
      </c>
      <c r="E1075" s="8">
        <v>38109</v>
      </c>
      <c r="F1075" s="8">
        <v>35.149021500000003</v>
      </c>
      <c r="G1075" s="8">
        <v>-90.051628500000007</v>
      </c>
    </row>
    <row r="1076" spans="1:7" ht="15.75" customHeight="1" x14ac:dyDescent="0.25">
      <c r="A1076" s="8" t="s">
        <v>6160</v>
      </c>
      <c r="B1076" s="8" t="s">
        <v>4570</v>
      </c>
      <c r="C1076" s="8" t="s">
        <v>4721</v>
      </c>
      <c r="D1076" s="8" t="s">
        <v>624</v>
      </c>
      <c r="E1076" s="8">
        <v>37916</v>
      </c>
      <c r="F1076" s="8">
        <v>35.960394800000003</v>
      </c>
      <c r="G1076" s="8">
        <v>-83.921026100000006</v>
      </c>
    </row>
    <row r="1077" spans="1:7" ht="15.75" customHeight="1" x14ac:dyDescent="0.25">
      <c r="A1077" s="8" t="s">
        <v>6161</v>
      </c>
      <c r="B1077" s="8" t="s">
        <v>3900</v>
      </c>
      <c r="C1077" s="8" t="s">
        <v>6162</v>
      </c>
      <c r="D1077" s="8" t="s">
        <v>624</v>
      </c>
      <c r="E1077" s="8">
        <v>37115</v>
      </c>
      <c r="F1077" s="8">
        <v>36.256164599999998</v>
      </c>
      <c r="G1077" s="8">
        <v>-86.713886099999996</v>
      </c>
    </row>
    <row r="1078" spans="1:7" ht="15.75" customHeight="1" x14ac:dyDescent="0.25">
      <c r="A1078" s="8" t="s">
        <v>6163</v>
      </c>
      <c r="B1078" s="8" t="s">
        <v>3900</v>
      </c>
      <c r="C1078" s="8" t="s">
        <v>3900</v>
      </c>
      <c r="D1078" s="8" t="s">
        <v>624</v>
      </c>
      <c r="E1078" s="8">
        <v>38305</v>
      </c>
      <c r="F1078" s="8">
        <v>35.638829000000001</v>
      </c>
      <c r="G1078" s="8">
        <v>-88.746510000000001</v>
      </c>
    </row>
    <row r="1079" spans="1:7" ht="15.75" customHeight="1" x14ac:dyDescent="0.25">
      <c r="A1079" s="8" t="s">
        <v>6164</v>
      </c>
      <c r="B1079" s="8" t="s">
        <v>6165</v>
      </c>
      <c r="C1079" s="8" t="s">
        <v>6166</v>
      </c>
      <c r="D1079" s="8" t="s">
        <v>624</v>
      </c>
      <c r="E1079" s="8">
        <v>37660</v>
      </c>
      <c r="F1079" s="8">
        <v>36.520611600000002</v>
      </c>
      <c r="G1079" s="8">
        <v>-82.551708300000001</v>
      </c>
    </row>
    <row r="1080" spans="1:7" ht="15.75" customHeight="1" x14ac:dyDescent="0.25">
      <c r="A1080" s="8" t="s">
        <v>6167</v>
      </c>
      <c r="B1080" s="8" t="s">
        <v>6168</v>
      </c>
      <c r="C1080" s="8" t="s">
        <v>6169</v>
      </c>
      <c r="D1080" s="8" t="s">
        <v>624</v>
      </c>
      <c r="E1080" s="8">
        <v>37738</v>
      </c>
      <c r="F1080" s="8">
        <v>35.714258999999998</v>
      </c>
      <c r="G1080" s="8">
        <v>-83.510163800000001</v>
      </c>
    </row>
    <row r="1081" spans="1:7" ht="15.75" customHeight="1" x14ac:dyDescent="0.25">
      <c r="A1081" s="8" t="s">
        <v>6170</v>
      </c>
      <c r="B1081" s="8" t="s">
        <v>6171</v>
      </c>
      <c r="C1081" s="8" t="s">
        <v>6172</v>
      </c>
      <c r="D1081" s="8" t="s">
        <v>624</v>
      </c>
      <c r="E1081" s="8">
        <v>37771</v>
      </c>
      <c r="F1081" s="8">
        <v>35.794741799999997</v>
      </c>
      <c r="G1081" s="8">
        <v>-84.260080299999998</v>
      </c>
    </row>
    <row r="1082" spans="1:7" ht="15.75" customHeight="1" x14ac:dyDescent="0.25">
      <c r="A1082" s="8" t="s">
        <v>6173</v>
      </c>
      <c r="B1082" s="8" t="s">
        <v>6174</v>
      </c>
      <c r="C1082" s="8" t="s">
        <v>6169</v>
      </c>
      <c r="D1082" s="8" t="s">
        <v>624</v>
      </c>
      <c r="E1082" s="8">
        <v>37863</v>
      </c>
      <c r="F1082" s="8">
        <v>35.792980999999997</v>
      </c>
      <c r="G1082" s="8">
        <v>-83.560174000000004</v>
      </c>
    </row>
    <row r="1083" spans="1:7" ht="15.75" customHeight="1" x14ac:dyDescent="0.25">
      <c r="A1083" s="8" t="s">
        <v>6175</v>
      </c>
      <c r="B1083" s="8" t="s">
        <v>6176</v>
      </c>
      <c r="C1083" s="8" t="s">
        <v>3916</v>
      </c>
      <c r="D1083" s="8" t="s">
        <v>624</v>
      </c>
      <c r="E1083" s="8">
        <v>37091</v>
      </c>
      <c r="F1083" s="8">
        <v>35.449240400000001</v>
      </c>
      <c r="G1083" s="8">
        <v>-86.788888700000001</v>
      </c>
    </row>
    <row r="1084" spans="1:7" ht="15.75" customHeight="1" x14ac:dyDescent="0.25">
      <c r="A1084" s="8" t="s">
        <v>6177</v>
      </c>
      <c r="B1084" s="8" t="s">
        <v>6178</v>
      </c>
      <c r="C1084" s="8" t="s">
        <v>6179</v>
      </c>
      <c r="D1084" s="8" t="s">
        <v>624</v>
      </c>
      <c r="E1084" s="8">
        <v>37650</v>
      </c>
      <c r="F1084" s="8">
        <v>36.145108200000003</v>
      </c>
      <c r="G1084" s="8">
        <v>-82.416805499999995</v>
      </c>
    </row>
    <row r="1085" spans="1:7" ht="15.75" customHeight="1" x14ac:dyDescent="0.25">
      <c r="A1085" s="8" t="s">
        <v>6180</v>
      </c>
      <c r="B1085" s="8" t="s">
        <v>4011</v>
      </c>
      <c r="C1085" s="8" t="s">
        <v>4390</v>
      </c>
      <c r="D1085" s="8" t="s">
        <v>624</v>
      </c>
      <c r="E1085" s="8">
        <v>38574</v>
      </c>
      <c r="F1085" s="8">
        <v>36.147564199999998</v>
      </c>
      <c r="G1085" s="8">
        <v>-85.268302199999994</v>
      </c>
    </row>
    <row r="1086" spans="1:7" ht="15.75" customHeight="1" x14ac:dyDescent="0.25">
      <c r="A1086" s="8" t="s">
        <v>6181</v>
      </c>
      <c r="B1086" s="8" t="s">
        <v>3931</v>
      </c>
      <c r="C1086" s="8" t="s">
        <v>3931</v>
      </c>
      <c r="D1086" s="8" t="s">
        <v>631</v>
      </c>
      <c r="E1086" s="8">
        <v>75203</v>
      </c>
      <c r="F1086" s="8">
        <v>32.776271899999998</v>
      </c>
      <c r="G1086" s="8">
        <v>-96.796855899999997</v>
      </c>
    </row>
    <row r="1087" spans="1:7" ht="15.75" customHeight="1" x14ac:dyDescent="0.25">
      <c r="A1087" s="8" t="s">
        <v>6182</v>
      </c>
      <c r="B1087" s="8" t="s">
        <v>6183</v>
      </c>
      <c r="C1087" s="8" t="s">
        <v>6184</v>
      </c>
      <c r="D1087" s="8" t="s">
        <v>631</v>
      </c>
      <c r="E1087" s="8">
        <v>76101</v>
      </c>
      <c r="F1087" s="8">
        <v>32.750517000000002</v>
      </c>
      <c r="G1087" s="8">
        <v>-97.337539500000005</v>
      </c>
    </row>
    <row r="1088" spans="1:7" ht="15.75" customHeight="1" x14ac:dyDescent="0.25">
      <c r="A1088" s="8" t="s">
        <v>6185</v>
      </c>
      <c r="B1088" s="8" t="s">
        <v>6186</v>
      </c>
      <c r="C1088" s="8" t="s">
        <v>6187</v>
      </c>
      <c r="D1088" s="8" t="s">
        <v>631</v>
      </c>
      <c r="E1088" s="8">
        <v>78221</v>
      </c>
      <c r="F1088" s="8">
        <v>29.343667018400001</v>
      </c>
      <c r="G1088" s="8">
        <v>-98.503698137599997</v>
      </c>
    </row>
    <row r="1089" spans="1:7" ht="15.75" customHeight="1" x14ac:dyDescent="0.25">
      <c r="A1089" s="8" t="s">
        <v>6188</v>
      </c>
      <c r="B1089" s="8" t="s">
        <v>3931</v>
      </c>
      <c r="C1089" s="8" t="s">
        <v>3931</v>
      </c>
      <c r="D1089" s="8" t="s">
        <v>631</v>
      </c>
      <c r="E1089" s="8">
        <v>75253</v>
      </c>
      <c r="F1089" s="8">
        <v>32.776271899999998</v>
      </c>
      <c r="G1089" s="8">
        <v>-96.796855899999997</v>
      </c>
    </row>
    <row r="1090" spans="1:7" ht="15.75" customHeight="1" x14ac:dyDescent="0.25">
      <c r="A1090" s="8" t="s">
        <v>6189</v>
      </c>
      <c r="B1090" s="8" t="s">
        <v>4330</v>
      </c>
      <c r="C1090" s="8" t="s">
        <v>4330</v>
      </c>
      <c r="D1090" s="8" t="s">
        <v>631</v>
      </c>
      <c r="E1090" s="8">
        <v>79961</v>
      </c>
      <c r="F1090" s="8">
        <v>31.51</v>
      </c>
      <c r="G1090" s="8">
        <v>-106.32</v>
      </c>
    </row>
    <row r="1091" spans="1:7" ht="15.75" customHeight="1" x14ac:dyDescent="0.25">
      <c r="A1091" s="8" t="s">
        <v>6190</v>
      </c>
      <c r="B1091" s="8" t="s">
        <v>6191</v>
      </c>
      <c r="C1091" s="8" t="s">
        <v>6192</v>
      </c>
      <c r="D1091" s="8" t="s">
        <v>631</v>
      </c>
      <c r="E1091" s="8">
        <v>76702</v>
      </c>
      <c r="F1091" s="8">
        <v>31.549333000000001</v>
      </c>
      <c r="G1091" s="8">
        <v>-97.146669500000002</v>
      </c>
    </row>
    <row r="1092" spans="1:7" ht="15.75" customHeight="1" x14ac:dyDescent="0.25">
      <c r="A1092" s="8" t="s">
        <v>6193</v>
      </c>
      <c r="B1092" s="8" t="s">
        <v>6194</v>
      </c>
      <c r="C1092" s="8" t="s">
        <v>6194</v>
      </c>
      <c r="D1092" s="8" t="s">
        <v>631</v>
      </c>
      <c r="E1092" s="8">
        <v>79457</v>
      </c>
      <c r="F1092" s="8">
        <v>33.577863100000002</v>
      </c>
      <c r="G1092" s="8">
        <v>-101.8551665</v>
      </c>
    </row>
    <row r="1093" spans="1:7" ht="15.75" customHeight="1" x14ac:dyDescent="0.25">
      <c r="A1093" s="8" t="s">
        <v>6195</v>
      </c>
      <c r="B1093" s="8" t="s">
        <v>4330</v>
      </c>
      <c r="C1093" s="8" t="s">
        <v>4330</v>
      </c>
      <c r="D1093" s="8" t="s">
        <v>631</v>
      </c>
      <c r="E1093" s="8">
        <v>79961</v>
      </c>
      <c r="F1093" s="8">
        <v>31.76</v>
      </c>
      <c r="G1093" s="8">
        <v>-106.44</v>
      </c>
    </row>
    <row r="1094" spans="1:7" ht="15.75" customHeight="1" x14ac:dyDescent="0.25">
      <c r="A1094" s="8" t="s">
        <v>6196</v>
      </c>
      <c r="B1094" s="8" t="s">
        <v>3951</v>
      </c>
      <c r="C1094" s="8" t="s">
        <v>3931</v>
      </c>
      <c r="D1094" s="8" t="s">
        <v>631</v>
      </c>
      <c r="E1094" s="8">
        <v>75046</v>
      </c>
      <c r="F1094" s="8">
        <v>32.916143499999997</v>
      </c>
      <c r="G1094" s="8">
        <v>-96.642369000000002</v>
      </c>
    </row>
    <row r="1095" spans="1:7" ht="15.75" customHeight="1" x14ac:dyDescent="0.25">
      <c r="A1095" s="8" t="s">
        <v>6197</v>
      </c>
      <c r="B1095" s="8" t="s">
        <v>6198</v>
      </c>
      <c r="C1095" s="8" t="s">
        <v>3931</v>
      </c>
      <c r="D1095" s="8" t="s">
        <v>631</v>
      </c>
      <c r="E1095" s="8">
        <v>76004</v>
      </c>
      <c r="F1095" s="8">
        <v>32.5340262</v>
      </c>
      <c r="G1095" s="8">
        <v>-96.665548799999996</v>
      </c>
    </row>
    <row r="1096" spans="1:7" ht="15.75" customHeight="1" x14ac:dyDescent="0.25">
      <c r="A1096" s="8" t="s">
        <v>6199</v>
      </c>
      <c r="B1096" s="8" t="s">
        <v>6200</v>
      </c>
      <c r="C1096" s="8" t="s">
        <v>6200</v>
      </c>
      <c r="D1096" s="8" t="s">
        <v>631</v>
      </c>
      <c r="E1096" s="8">
        <v>76201</v>
      </c>
      <c r="F1096" s="8">
        <v>33.217799999999997</v>
      </c>
      <c r="G1096" s="8">
        <v>-97.150232299999999</v>
      </c>
    </row>
    <row r="1097" spans="1:7" ht="15.75" customHeight="1" x14ac:dyDescent="0.25">
      <c r="A1097" s="8" t="s">
        <v>6201</v>
      </c>
      <c r="B1097" s="8" t="s">
        <v>6202</v>
      </c>
      <c r="C1097" s="8" t="s">
        <v>6203</v>
      </c>
      <c r="D1097" s="8" t="s">
        <v>631</v>
      </c>
      <c r="E1097" s="8">
        <v>75606</v>
      </c>
      <c r="F1097" s="8">
        <v>32.500703799999997</v>
      </c>
      <c r="G1097" s="8">
        <v>-94.740489100000005</v>
      </c>
    </row>
    <row r="1098" spans="1:7" ht="15.75" customHeight="1" x14ac:dyDescent="0.25">
      <c r="A1098" s="8" t="s">
        <v>6204</v>
      </c>
      <c r="B1098" s="8" t="s">
        <v>6205</v>
      </c>
      <c r="C1098" s="8" t="s">
        <v>4578</v>
      </c>
      <c r="D1098" s="8" t="s">
        <v>631</v>
      </c>
      <c r="E1098" s="8">
        <v>79604</v>
      </c>
      <c r="F1098" s="8">
        <v>32.446674100000003</v>
      </c>
      <c r="G1098" s="8">
        <v>-99.733301100000006</v>
      </c>
    </row>
    <row r="1099" spans="1:7" ht="15.75" customHeight="1" x14ac:dyDescent="0.25">
      <c r="A1099" s="8" t="s">
        <v>6206</v>
      </c>
      <c r="B1099" s="8" t="s">
        <v>4330</v>
      </c>
      <c r="C1099" s="8" t="s">
        <v>4330</v>
      </c>
      <c r="D1099" s="8" t="s">
        <v>631</v>
      </c>
      <c r="E1099" s="8">
        <v>79961</v>
      </c>
      <c r="F1099" s="8">
        <v>31.811130500000001</v>
      </c>
      <c r="G1099" s="8">
        <v>-106.50134939599999</v>
      </c>
    </row>
    <row r="1100" spans="1:7" ht="15.75" customHeight="1" x14ac:dyDescent="0.25">
      <c r="A1100" s="8" t="s">
        <v>6207</v>
      </c>
      <c r="B1100" s="8" t="s">
        <v>6208</v>
      </c>
      <c r="C1100" s="8" t="s">
        <v>6209</v>
      </c>
      <c r="D1100" s="8" t="s">
        <v>631</v>
      </c>
      <c r="E1100" s="8">
        <v>79105</v>
      </c>
      <c r="F1100" s="8">
        <v>35.207218500000003</v>
      </c>
      <c r="G1100" s="8">
        <v>-101.8338246</v>
      </c>
    </row>
    <row r="1101" spans="1:7" ht="15.75" customHeight="1" x14ac:dyDescent="0.25">
      <c r="A1101" s="8" t="s">
        <v>6210</v>
      </c>
      <c r="B1101" s="8" t="s">
        <v>6211</v>
      </c>
      <c r="C1101" s="8" t="s">
        <v>6212</v>
      </c>
      <c r="D1101" s="8" t="s">
        <v>631</v>
      </c>
      <c r="E1101" s="8">
        <v>75504</v>
      </c>
      <c r="F1101" s="8">
        <v>33.4254684</v>
      </c>
      <c r="G1101" s="8">
        <v>-94.043097700000004</v>
      </c>
    </row>
    <row r="1102" spans="1:7" ht="15.75" customHeight="1" x14ac:dyDescent="0.25">
      <c r="A1102" s="8" t="s">
        <v>6213</v>
      </c>
      <c r="B1102" s="8" t="s">
        <v>6214</v>
      </c>
      <c r="C1102" s="8" t="s">
        <v>6215</v>
      </c>
      <c r="D1102" s="8" t="s">
        <v>631</v>
      </c>
      <c r="E1102" s="8">
        <v>75091</v>
      </c>
      <c r="F1102" s="8">
        <v>33.6360125</v>
      </c>
      <c r="G1102" s="8">
        <v>-96.609788899999998</v>
      </c>
    </row>
    <row r="1103" spans="1:7" ht="15.75" customHeight="1" x14ac:dyDescent="0.25">
      <c r="A1103" s="8" t="s">
        <v>6216</v>
      </c>
      <c r="B1103" s="8" t="s">
        <v>6208</v>
      </c>
      <c r="C1103" s="8" t="s">
        <v>6217</v>
      </c>
      <c r="D1103" s="8" t="s">
        <v>631</v>
      </c>
      <c r="E1103" s="8">
        <v>79105</v>
      </c>
      <c r="F1103" s="8">
        <v>35.207218500000003</v>
      </c>
      <c r="G1103" s="8">
        <v>-101.8338246</v>
      </c>
    </row>
    <row r="1104" spans="1:7" ht="15.75" customHeight="1" x14ac:dyDescent="0.25">
      <c r="A1104" s="8" t="s">
        <v>6218</v>
      </c>
      <c r="B1104" s="8" t="s">
        <v>6219</v>
      </c>
      <c r="C1104" s="8" t="s">
        <v>6220</v>
      </c>
      <c r="D1104" s="8" t="s">
        <v>631</v>
      </c>
      <c r="E1104" s="8">
        <v>75901</v>
      </c>
      <c r="F1104" s="8">
        <v>31.344191899999998</v>
      </c>
      <c r="G1104" s="8">
        <v>-94.722028300000005</v>
      </c>
    </row>
    <row r="1105" spans="1:7" ht="15.75" customHeight="1" x14ac:dyDescent="0.25">
      <c r="A1105" s="8" t="s">
        <v>6221</v>
      </c>
      <c r="B1105" s="8" t="s">
        <v>6222</v>
      </c>
      <c r="C1105" s="8" t="s">
        <v>6223</v>
      </c>
      <c r="D1105" s="8" t="s">
        <v>631</v>
      </c>
      <c r="E1105" s="8">
        <v>75110</v>
      </c>
      <c r="F1105" s="8">
        <v>32.084341999999999</v>
      </c>
      <c r="G1105" s="8">
        <v>-96.452847000000006</v>
      </c>
    </row>
    <row r="1106" spans="1:7" ht="15.75" customHeight="1" x14ac:dyDescent="0.25">
      <c r="A1106" s="8" t="s">
        <v>6224</v>
      </c>
      <c r="B1106" s="8" t="s">
        <v>6225</v>
      </c>
      <c r="C1106" s="8" t="s">
        <v>6226</v>
      </c>
      <c r="D1106" s="8" t="s">
        <v>631</v>
      </c>
      <c r="E1106" s="8">
        <v>78469</v>
      </c>
      <c r="F1106" s="8">
        <v>27.798027000000001</v>
      </c>
      <c r="G1106" s="8">
        <v>-97.429009399999998</v>
      </c>
    </row>
    <row r="1107" spans="1:7" ht="15.75" customHeight="1" x14ac:dyDescent="0.25">
      <c r="A1107" s="8" t="s">
        <v>6227</v>
      </c>
      <c r="B1107" s="8" t="s">
        <v>6228</v>
      </c>
      <c r="C1107" s="8" t="s">
        <v>6229</v>
      </c>
      <c r="D1107" s="8" t="s">
        <v>631</v>
      </c>
      <c r="E1107" s="8">
        <v>76501</v>
      </c>
      <c r="F1107" s="8">
        <v>31.098206999999999</v>
      </c>
      <c r="G1107" s="8">
        <v>-97.342784699999996</v>
      </c>
    </row>
    <row r="1108" spans="1:7" ht="15.75" customHeight="1" x14ac:dyDescent="0.25">
      <c r="A1108" s="8" t="s">
        <v>6230</v>
      </c>
      <c r="B1108" s="8" t="s">
        <v>3916</v>
      </c>
      <c r="C1108" s="8" t="s">
        <v>5271</v>
      </c>
      <c r="D1108" s="8" t="s">
        <v>631</v>
      </c>
      <c r="E1108" s="8">
        <v>75670</v>
      </c>
      <c r="F1108" s="8">
        <v>32.538503900000002</v>
      </c>
      <c r="G1108" s="8">
        <v>-94.360530900000001</v>
      </c>
    </row>
    <row r="1109" spans="1:7" ht="15.75" customHeight="1" x14ac:dyDescent="0.25">
      <c r="A1109" s="8" t="s">
        <v>6231</v>
      </c>
      <c r="B1109" s="8" t="s">
        <v>6232</v>
      </c>
      <c r="C1109" s="8" t="s">
        <v>6233</v>
      </c>
      <c r="D1109" s="8" t="s">
        <v>631</v>
      </c>
      <c r="E1109" s="8">
        <v>75418</v>
      </c>
      <c r="F1109" s="8">
        <v>33.577327599999997</v>
      </c>
      <c r="G1109" s="8">
        <v>-96.178311100000002</v>
      </c>
    </row>
    <row r="1110" spans="1:7" ht="15.75" customHeight="1" x14ac:dyDescent="0.25">
      <c r="A1110" s="8" t="s">
        <v>6234</v>
      </c>
      <c r="B1110" s="8" t="s">
        <v>6235</v>
      </c>
      <c r="C1110" s="8" t="s">
        <v>6236</v>
      </c>
      <c r="D1110" s="8" t="s">
        <v>631</v>
      </c>
      <c r="E1110" s="8">
        <v>78382</v>
      </c>
      <c r="F1110" s="8">
        <v>28.079697299999999</v>
      </c>
      <c r="G1110" s="8">
        <v>-97.062733699999995</v>
      </c>
    </row>
    <row r="1111" spans="1:7" ht="15.75" customHeight="1" x14ac:dyDescent="0.25">
      <c r="A1111" s="8" t="s">
        <v>6237</v>
      </c>
      <c r="B1111" s="8" t="s">
        <v>6238</v>
      </c>
      <c r="C1111" s="8" t="s">
        <v>6239</v>
      </c>
      <c r="D1111" s="8" t="s">
        <v>631</v>
      </c>
      <c r="E1111" s="8">
        <v>76240</v>
      </c>
      <c r="F1111" s="8">
        <v>33.625941400000002</v>
      </c>
      <c r="G1111" s="8">
        <v>-97.133345300000002</v>
      </c>
    </row>
    <row r="1112" spans="1:7" ht="15.75" customHeight="1" x14ac:dyDescent="0.25">
      <c r="A1112" s="8" t="s">
        <v>6240</v>
      </c>
      <c r="B1112" s="8" t="s">
        <v>6241</v>
      </c>
      <c r="C1112" s="8" t="s">
        <v>6242</v>
      </c>
      <c r="D1112" s="8" t="s">
        <v>631</v>
      </c>
      <c r="E1112" s="8">
        <v>75160</v>
      </c>
      <c r="F1112" s="8">
        <v>32.735962600000001</v>
      </c>
      <c r="G1112" s="8">
        <v>-96.275256900000002</v>
      </c>
    </row>
    <row r="1113" spans="1:7" ht="15.75" customHeight="1" x14ac:dyDescent="0.25">
      <c r="A1113" s="8" t="s">
        <v>6243</v>
      </c>
      <c r="B1113" s="8" t="s">
        <v>5863</v>
      </c>
      <c r="C1113" s="8" t="s">
        <v>6244</v>
      </c>
      <c r="D1113" s="8" t="s">
        <v>631</v>
      </c>
      <c r="E1113" s="8">
        <v>77805</v>
      </c>
      <c r="F1113" s="8">
        <v>30.658087600000002</v>
      </c>
      <c r="G1113" s="8">
        <v>-96.352777420600006</v>
      </c>
    </row>
    <row r="1114" spans="1:7" ht="15.75" customHeight="1" x14ac:dyDescent="0.25">
      <c r="A1114" s="8" t="s">
        <v>6245</v>
      </c>
      <c r="B1114" s="8" t="s">
        <v>6246</v>
      </c>
      <c r="C1114" s="8" t="s">
        <v>6247</v>
      </c>
      <c r="D1114" s="8" t="s">
        <v>631</v>
      </c>
      <c r="E1114" s="8">
        <v>76385</v>
      </c>
      <c r="F1114" s="8">
        <v>34.153074500000002</v>
      </c>
      <c r="G1114" s="8">
        <v>-99.284458799999996</v>
      </c>
    </row>
    <row r="1115" spans="1:7" ht="15.75" customHeight="1" x14ac:dyDescent="0.25">
      <c r="A1115" s="8" t="s">
        <v>6248</v>
      </c>
      <c r="B1115" s="8" t="s">
        <v>6249</v>
      </c>
      <c r="C1115" s="8" t="s">
        <v>6229</v>
      </c>
      <c r="D1115" s="8" t="s">
        <v>631</v>
      </c>
      <c r="E1115" s="8">
        <v>76548</v>
      </c>
      <c r="F1115" s="8">
        <v>31.030712000000001</v>
      </c>
      <c r="G1115" s="8">
        <v>-97.634833999999998</v>
      </c>
    </row>
    <row r="1116" spans="1:7" ht="15.75" customHeight="1" x14ac:dyDescent="0.25">
      <c r="A1116" s="8" t="s">
        <v>6250</v>
      </c>
      <c r="B1116" s="8" t="s">
        <v>5863</v>
      </c>
      <c r="C1116" s="8" t="s">
        <v>6244</v>
      </c>
      <c r="D1116" s="8" t="s">
        <v>631</v>
      </c>
      <c r="E1116" s="8">
        <v>77805</v>
      </c>
      <c r="F1116" s="8">
        <v>30.658087600000002</v>
      </c>
      <c r="G1116" s="8">
        <v>-96.352777420600006</v>
      </c>
    </row>
    <row r="1117" spans="1:7" ht="15.75" customHeight="1" x14ac:dyDescent="0.25">
      <c r="A1117" s="8" t="s">
        <v>6251</v>
      </c>
      <c r="B1117" s="8" t="s">
        <v>6252</v>
      </c>
      <c r="C1117" s="8" t="s">
        <v>6252</v>
      </c>
      <c r="D1117" s="8" t="s">
        <v>631</v>
      </c>
      <c r="E1117" s="8">
        <v>77901</v>
      </c>
      <c r="F1117" s="8">
        <v>28.806638400000001</v>
      </c>
      <c r="G1117" s="8">
        <v>-96.996092500000003</v>
      </c>
    </row>
    <row r="1118" spans="1:7" ht="15.75" customHeight="1" x14ac:dyDescent="0.25">
      <c r="A1118" s="8" t="s">
        <v>6253</v>
      </c>
      <c r="B1118" s="8" t="s">
        <v>6254</v>
      </c>
      <c r="C1118" s="8" t="s">
        <v>4304</v>
      </c>
      <c r="D1118" s="8" t="s">
        <v>631</v>
      </c>
      <c r="E1118" s="8">
        <v>75751</v>
      </c>
      <c r="F1118" s="8">
        <v>32.192190500000002</v>
      </c>
      <c r="G1118" s="8">
        <v>-95.838261000000003</v>
      </c>
    </row>
    <row r="1119" spans="1:7" ht="15.75" customHeight="1" x14ac:dyDescent="0.25">
      <c r="A1119" s="8" t="s">
        <v>6255</v>
      </c>
      <c r="B1119" s="8" t="s">
        <v>6256</v>
      </c>
      <c r="C1119" s="8" t="s">
        <v>6203</v>
      </c>
      <c r="D1119" s="8" t="s">
        <v>631</v>
      </c>
      <c r="E1119" s="8">
        <v>75662</v>
      </c>
      <c r="F1119" s="8">
        <v>32.3860733</v>
      </c>
      <c r="G1119" s="8">
        <v>-94.875851800000007</v>
      </c>
    </row>
    <row r="1120" spans="1:7" ht="15.75" customHeight="1" x14ac:dyDescent="0.25">
      <c r="A1120" s="8" t="s">
        <v>6257</v>
      </c>
      <c r="B1120" s="8" t="s">
        <v>6258</v>
      </c>
      <c r="C1120" s="8" t="s">
        <v>6259</v>
      </c>
      <c r="D1120" s="8" t="s">
        <v>631</v>
      </c>
      <c r="E1120" s="8">
        <v>78333</v>
      </c>
      <c r="F1120" s="8">
        <v>27.752248699999999</v>
      </c>
      <c r="G1120" s="8">
        <v>-98.069724899999997</v>
      </c>
    </row>
    <row r="1121" spans="1:7" ht="15.75" customHeight="1" x14ac:dyDescent="0.25">
      <c r="A1121" s="8" t="s">
        <v>6260</v>
      </c>
      <c r="B1121" s="8" t="s">
        <v>6261</v>
      </c>
      <c r="C1121" s="8" t="s">
        <v>6136</v>
      </c>
      <c r="D1121" s="8" t="s">
        <v>631</v>
      </c>
      <c r="E1121" s="8">
        <v>76801</v>
      </c>
      <c r="F1121" s="8">
        <v>31.709319700000002</v>
      </c>
      <c r="G1121" s="8">
        <v>-98.991161099999999</v>
      </c>
    </row>
    <row r="1122" spans="1:7" ht="15.75" customHeight="1" x14ac:dyDescent="0.25">
      <c r="A1122" s="8" t="s">
        <v>6262</v>
      </c>
      <c r="B1122" s="8" t="s">
        <v>6225</v>
      </c>
      <c r="C1122" s="8" t="s">
        <v>6226</v>
      </c>
      <c r="D1122" s="8" t="s">
        <v>631</v>
      </c>
      <c r="E1122" s="8">
        <v>78401</v>
      </c>
      <c r="F1122" s="8">
        <v>27.801113300000001</v>
      </c>
      <c r="G1122" s="8">
        <v>-97.397491599999995</v>
      </c>
    </row>
    <row r="1123" spans="1:7" ht="15.75" customHeight="1" x14ac:dyDescent="0.25">
      <c r="A1123" s="8" t="s">
        <v>6263</v>
      </c>
      <c r="B1123" s="8" t="s">
        <v>6264</v>
      </c>
      <c r="C1123" s="8" t="s">
        <v>6265</v>
      </c>
      <c r="D1123" s="8" t="s">
        <v>631</v>
      </c>
      <c r="E1123" s="8">
        <v>76067</v>
      </c>
      <c r="F1123" s="8">
        <v>32.808460500000002</v>
      </c>
      <c r="G1123" s="8">
        <v>-98.112822300000005</v>
      </c>
    </row>
    <row r="1124" spans="1:7" ht="15.75" customHeight="1" x14ac:dyDescent="0.25">
      <c r="A1124" s="8" t="s">
        <v>6266</v>
      </c>
      <c r="B1124" s="8" t="s">
        <v>6267</v>
      </c>
      <c r="C1124" s="8" t="s">
        <v>4925</v>
      </c>
      <c r="D1124" s="8" t="s">
        <v>631</v>
      </c>
      <c r="E1124" s="8">
        <v>76301</v>
      </c>
      <c r="F1124" s="8">
        <v>33.872187099999998</v>
      </c>
      <c r="G1124" s="8">
        <v>-98.573484100000002</v>
      </c>
    </row>
    <row r="1125" spans="1:7" ht="15.75" customHeight="1" x14ac:dyDescent="0.25">
      <c r="A1125" s="8" t="s">
        <v>6268</v>
      </c>
      <c r="B1125" s="8" t="s">
        <v>6269</v>
      </c>
      <c r="C1125" s="8" t="s">
        <v>6270</v>
      </c>
      <c r="D1125" s="8" t="s">
        <v>631</v>
      </c>
      <c r="E1125" s="8">
        <v>78572</v>
      </c>
      <c r="F1125" s="8">
        <v>26.2159066</v>
      </c>
      <c r="G1125" s="8">
        <v>-98.325293200000004</v>
      </c>
    </row>
    <row r="1126" spans="1:7" ht="15.75" customHeight="1" x14ac:dyDescent="0.25">
      <c r="A1126" s="8" t="s">
        <v>6271</v>
      </c>
      <c r="B1126" s="8" t="s">
        <v>6272</v>
      </c>
      <c r="C1126" s="8" t="s">
        <v>6273</v>
      </c>
      <c r="D1126" s="8" t="s">
        <v>631</v>
      </c>
      <c r="E1126" s="8">
        <v>77388</v>
      </c>
      <c r="F1126" s="8">
        <v>30.079882600000001</v>
      </c>
      <c r="G1126" s="8">
        <v>-95.417254900000003</v>
      </c>
    </row>
    <row r="1127" spans="1:7" ht="15.75" customHeight="1" x14ac:dyDescent="0.25">
      <c r="A1127" s="8" t="s">
        <v>6274</v>
      </c>
      <c r="B1127" s="8" t="s">
        <v>4048</v>
      </c>
      <c r="C1127" s="8" t="s">
        <v>4048</v>
      </c>
      <c r="D1127" s="8" t="s">
        <v>631</v>
      </c>
      <c r="E1127" s="8">
        <v>77630</v>
      </c>
      <c r="F1127" s="8">
        <v>30.092987900000001</v>
      </c>
      <c r="G1127" s="8">
        <v>-93.736554900000002</v>
      </c>
    </row>
    <row r="1128" spans="1:7" ht="15.75" customHeight="1" x14ac:dyDescent="0.25">
      <c r="A1128" s="8" t="s">
        <v>6275</v>
      </c>
      <c r="B1128" s="8" t="s">
        <v>3899</v>
      </c>
      <c r="C1128" s="8" t="s">
        <v>4863</v>
      </c>
      <c r="D1128" s="8" t="s">
        <v>631</v>
      </c>
      <c r="E1128" s="8">
        <v>75861</v>
      </c>
      <c r="F1128" s="8">
        <v>30.7235263</v>
      </c>
      <c r="G1128" s="8">
        <v>-95.550777100000005</v>
      </c>
    </row>
    <row r="1129" spans="1:7" ht="15.75" customHeight="1" x14ac:dyDescent="0.25">
      <c r="A1129" s="8" t="s">
        <v>6276</v>
      </c>
      <c r="B1129" s="8" t="s">
        <v>6277</v>
      </c>
      <c r="C1129" s="8" t="s">
        <v>6278</v>
      </c>
      <c r="D1129" s="8" t="s">
        <v>631</v>
      </c>
      <c r="E1129" s="8">
        <v>77446</v>
      </c>
      <c r="F1129" s="8">
        <v>30.093273700000001</v>
      </c>
      <c r="G1129" s="8">
        <v>-95.987733899999995</v>
      </c>
    </row>
    <row r="1130" spans="1:7" ht="15.75" customHeight="1" x14ac:dyDescent="0.25">
      <c r="A1130" s="8" t="s">
        <v>6279</v>
      </c>
      <c r="B1130" s="8" t="s">
        <v>3550</v>
      </c>
      <c r="C1130" s="8" t="s">
        <v>3551</v>
      </c>
      <c r="D1130" s="8" t="s">
        <v>631</v>
      </c>
      <c r="E1130" s="8">
        <v>78725</v>
      </c>
      <c r="F1130" s="8">
        <v>30.271128600000001</v>
      </c>
      <c r="G1130" s="8">
        <v>-97.743699500000005</v>
      </c>
    </row>
    <row r="1131" spans="1:7" ht="15.75" customHeight="1" x14ac:dyDescent="0.25">
      <c r="A1131" s="8" t="s">
        <v>6280</v>
      </c>
      <c r="B1131" s="8" t="s">
        <v>6281</v>
      </c>
      <c r="C1131" s="8" t="s">
        <v>6282</v>
      </c>
      <c r="D1131" s="8" t="s">
        <v>1714</v>
      </c>
      <c r="E1131" s="8">
        <v>84119</v>
      </c>
      <c r="F1131" s="8">
        <v>40.718835400000003</v>
      </c>
      <c r="G1131" s="8">
        <v>-111.8882691</v>
      </c>
    </row>
    <row r="1132" spans="1:7" ht="15.75" customHeight="1" x14ac:dyDescent="0.25">
      <c r="A1132" s="8" t="s">
        <v>6283</v>
      </c>
      <c r="B1132" s="8" t="s">
        <v>6284</v>
      </c>
      <c r="C1132" s="8" t="s">
        <v>6282</v>
      </c>
      <c r="D1132" s="8" t="s">
        <v>1714</v>
      </c>
      <c r="E1132" s="8">
        <v>84116</v>
      </c>
      <c r="F1132" s="8">
        <v>40.771270999999999</v>
      </c>
      <c r="G1132" s="8">
        <v>-111.926479</v>
      </c>
    </row>
    <row r="1133" spans="1:7" ht="15.75" customHeight="1" x14ac:dyDescent="0.25">
      <c r="A1133" s="8" t="s">
        <v>6285</v>
      </c>
      <c r="B1133" s="8" t="s">
        <v>6286</v>
      </c>
      <c r="C1133" s="8" t="s">
        <v>6287</v>
      </c>
      <c r="D1133" s="8" t="s">
        <v>1714</v>
      </c>
      <c r="E1133" s="8">
        <v>84404</v>
      </c>
      <c r="F1133" s="8">
        <v>41.223004799999998</v>
      </c>
      <c r="G1133" s="8">
        <v>-111.97384289999999</v>
      </c>
    </row>
    <row r="1134" spans="1:7" ht="15.75" customHeight="1" x14ac:dyDescent="0.25">
      <c r="A1134" s="8" t="s">
        <v>6288</v>
      </c>
      <c r="B1134" s="8" t="s">
        <v>5502</v>
      </c>
      <c r="C1134" s="8" t="s">
        <v>4102</v>
      </c>
      <c r="D1134" s="8" t="s">
        <v>1714</v>
      </c>
      <c r="E1134" s="8">
        <v>84075</v>
      </c>
      <c r="F1134" s="8">
        <v>41.089593800000003</v>
      </c>
      <c r="G1134" s="8">
        <v>-112.0638903</v>
      </c>
    </row>
    <row r="1135" spans="1:7" ht="15.75" customHeight="1" x14ac:dyDescent="0.25">
      <c r="A1135" s="8" t="s">
        <v>6289</v>
      </c>
      <c r="B1135" s="8" t="s">
        <v>6290</v>
      </c>
      <c r="C1135" s="8" t="s">
        <v>721</v>
      </c>
      <c r="D1135" s="8" t="s">
        <v>1714</v>
      </c>
      <c r="E1135" s="8">
        <v>84603</v>
      </c>
      <c r="F1135" s="8">
        <v>40.233843800000002</v>
      </c>
      <c r="G1135" s="8">
        <v>-111.65853370000001</v>
      </c>
    </row>
    <row r="1136" spans="1:7" ht="15.75" customHeight="1" x14ac:dyDescent="0.25">
      <c r="A1136" s="8" t="s">
        <v>6291</v>
      </c>
      <c r="B1136" s="8" t="s">
        <v>6291</v>
      </c>
      <c r="C1136" s="8" t="s">
        <v>721</v>
      </c>
      <c r="D1136" s="8" t="s">
        <v>1714</v>
      </c>
      <c r="E1136" s="8">
        <v>84058</v>
      </c>
      <c r="F1136" s="8">
        <v>40.297182499999998</v>
      </c>
      <c r="G1136" s="8">
        <v>-111.69494299999999</v>
      </c>
    </row>
    <row r="1137" spans="1:7" ht="15.75" customHeight="1" x14ac:dyDescent="0.25">
      <c r="A1137" s="8" t="s">
        <v>6292</v>
      </c>
      <c r="B1137" s="8" t="s">
        <v>6293</v>
      </c>
      <c r="C1137" s="8" t="s">
        <v>4102</v>
      </c>
      <c r="D1137" s="8" t="s">
        <v>1714</v>
      </c>
      <c r="E1137" s="8">
        <v>84087</v>
      </c>
      <c r="F1137" s="8">
        <v>40.889461099999998</v>
      </c>
      <c r="G1137" s="8">
        <v>-111.8804817</v>
      </c>
    </row>
    <row r="1138" spans="1:7" ht="15.75" customHeight="1" x14ac:dyDescent="0.25">
      <c r="A1138" s="8" t="s">
        <v>6294</v>
      </c>
      <c r="B1138" s="8" t="s">
        <v>6295</v>
      </c>
      <c r="C1138" s="8" t="s">
        <v>4102</v>
      </c>
      <c r="D1138" s="8" t="s">
        <v>1714</v>
      </c>
      <c r="E1138" s="8">
        <v>84037</v>
      </c>
      <c r="F1138" s="8">
        <v>41.034984700000003</v>
      </c>
      <c r="G1138" s="8">
        <v>-111.9383931</v>
      </c>
    </row>
    <row r="1139" spans="1:7" ht="15.75" customHeight="1" x14ac:dyDescent="0.25">
      <c r="A1139" s="8" t="s">
        <v>6296</v>
      </c>
      <c r="B1139" s="8" t="s">
        <v>6297</v>
      </c>
      <c r="C1139" s="8" t="s">
        <v>4102</v>
      </c>
      <c r="D1139" s="8" t="s">
        <v>1714</v>
      </c>
      <c r="E1139" s="8">
        <v>84054</v>
      </c>
      <c r="F1139" s="8">
        <v>40.846431882399997</v>
      </c>
      <c r="G1139" s="8">
        <v>-111.906976598</v>
      </c>
    </row>
    <row r="1140" spans="1:7" ht="15.75" customHeight="1" x14ac:dyDescent="0.25">
      <c r="A1140" s="8" t="s">
        <v>6298</v>
      </c>
      <c r="B1140" s="8" t="s">
        <v>6299</v>
      </c>
      <c r="C1140" s="8" t="s">
        <v>6300</v>
      </c>
      <c r="D1140" s="8" t="s">
        <v>1714</v>
      </c>
      <c r="E1140" s="8">
        <v>84721</v>
      </c>
      <c r="F1140" s="8">
        <v>37.702845997799997</v>
      </c>
      <c r="G1140" s="8">
        <v>-113.067738702</v>
      </c>
    </row>
    <row r="1141" spans="1:7" ht="15.75" customHeight="1" x14ac:dyDescent="0.25">
      <c r="A1141" s="8" t="s">
        <v>6301</v>
      </c>
      <c r="B1141" s="8" t="s">
        <v>6302</v>
      </c>
      <c r="C1141" s="8" t="s">
        <v>6303</v>
      </c>
      <c r="D1141" s="8" t="s">
        <v>1714</v>
      </c>
      <c r="E1141" s="8">
        <v>85442</v>
      </c>
      <c r="F1141" s="8">
        <v>39.542465900000003</v>
      </c>
      <c r="G1141" s="8">
        <v>-110.7354344</v>
      </c>
    </row>
    <row r="1142" spans="1:7" ht="15.75" customHeight="1" x14ac:dyDescent="0.25">
      <c r="A1142" s="8" t="s">
        <v>6304</v>
      </c>
      <c r="B1142" s="8" t="s">
        <v>6305</v>
      </c>
      <c r="C1142" s="8" t="s">
        <v>6306</v>
      </c>
      <c r="D1142" s="8" t="s">
        <v>1714</v>
      </c>
      <c r="E1142" s="8">
        <v>84532</v>
      </c>
      <c r="F1142" s="8">
        <v>38.573809599999997</v>
      </c>
      <c r="G1142" s="8">
        <v>-109.5462146</v>
      </c>
    </row>
    <row r="1143" spans="1:7" ht="15.75" customHeight="1" x14ac:dyDescent="0.25">
      <c r="A1143" s="8" t="s">
        <v>6307</v>
      </c>
      <c r="B1143" s="8" t="s">
        <v>6308</v>
      </c>
      <c r="C1143" s="8" t="s">
        <v>721</v>
      </c>
      <c r="D1143" s="8" t="s">
        <v>1714</v>
      </c>
      <c r="E1143" s="8">
        <v>84660</v>
      </c>
      <c r="F1143" s="8">
        <v>40.109491388800002</v>
      </c>
      <c r="G1143" s="8">
        <v>-111.640337409</v>
      </c>
    </row>
    <row r="1144" spans="1:7" ht="15.75" customHeight="1" x14ac:dyDescent="0.25">
      <c r="A1144" s="8" t="s">
        <v>6309</v>
      </c>
      <c r="B1144" s="8" t="s">
        <v>6310</v>
      </c>
      <c r="C1144" s="8" t="s">
        <v>6311</v>
      </c>
      <c r="D1144" s="8" t="s">
        <v>1714</v>
      </c>
      <c r="E1144" s="8">
        <v>84651</v>
      </c>
      <c r="F1144" s="8">
        <v>40.044398899999997</v>
      </c>
      <c r="G1144" s="8">
        <v>-111.7321518</v>
      </c>
    </row>
    <row r="1145" spans="1:7" ht="15.75" customHeight="1" x14ac:dyDescent="0.25">
      <c r="A1145" s="8" t="s">
        <v>6312</v>
      </c>
      <c r="B1145" s="8" t="s">
        <v>5655</v>
      </c>
      <c r="C1145" s="8" t="s">
        <v>721</v>
      </c>
      <c r="D1145" s="8" t="s">
        <v>1714</v>
      </c>
      <c r="E1145" s="8">
        <v>84663</v>
      </c>
      <c r="F1145" s="8">
        <v>40.166857200000003</v>
      </c>
      <c r="G1145" s="8">
        <v>-111.6109221</v>
      </c>
    </row>
    <row r="1146" spans="1:7" ht="15.75" customHeight="1" x14ac:dyDescent="0.25">
      <c r="A1146" s="8" t="s">
        <v>6313</v>
      </c>
      <c r="B1146" s="8" t="s">
        <v>4435</v>
      </c>
      <c r="C1146" s="8" t="s">
        <v>6314</v>
      </c>
      <c r="D1146" s="8" t="s">
        <v>1168</v>
      </c>
      <c r="E1146" s="8" t="s">
        <v>6315</v>
      </c>
      <c r="F1146" s="8">
        <v>37.538508700000001</v>
      </c>
      <c r="G1146" s="8">
        <v>-77.434280000000001</v>
      </c>
    </row>
    <row r="1147" spans="1:7" ht="15.75" customHeight="1" x14ac:dyDescent="0.25">
      <c r="A1147" s="8" t="s">
        <v>6316</v>
      </c>
      <c r="B1147" s="8" t="s">
        <v>284</v>
      </c>
      <c r="C1147" s="8" t="s">
        <v>6317</v>
      </c>
      <c r="D1147" s="8" t="s">
        <v>1168</v>
      </c>
      <c r="E1147" s="8" t="s">
        <v>6318</v>
      </c>
      <c r="F1147" s="8">
        <v>38.8051095</v>
      </c>
      <c r="G1147" s="8">
        <v>-77.047022900000002</v>
      </c>
    </row>
    <row r="1148" spans="1:7" ht="15.75" customHeight="1" x14ac:dyDescent="0.25">
      <c r="A1148" s="8" t="s">
        <v>6319</v>
      </c>
      <c r="B1148" s="8" t="s">
        <v>4630</v>
      </c>
      <c r="C1148" s="8" t="s">
        <v>6320</v>
      </c>
      <c r="D1148" s="8" t="s">
        <v>1168</v>
      </c>
      <c r="E1148" s="8">
        <v>20121</v>
      </c>
      <c r="F1148" s="8">
        <v>38.840390900000003</v>
      </c>
      <c r="G1148" s="8">
        <v>-77.428876900000006</v>
      </c>
    </row>
    <row r="1149" spans="1:7" ht="15.75" customHeight="1" x14ac:dyDescent="0.25">
      <c r="A1149" s="8" t="s">
        <v>6321</v>
      </c>
      <c r="B1149" s="8" t="s">
        <v>6322</v>
      </c>
      <c r="C1149" s="8" t="s">
        <v>6323</v>
      </c>
      <c r="D1149" s="8" t="s">
        <v>1168</v>
      </c>
      <c r="E1149" s="8">
        <v>24014</v>
      </c>
      <c r="F1149" s="8">
        <v>37.270972999999998</v>
      </c>
      <c r="G1149" s="8">
        <v>-79.941431300000005</v>
      </c>
    </row>
    <row r="1150" spans="1:7" ht="15.75" customHeight="1" x14ac:dyDescent="0.25">
      <c r="A1150" s="8" t="s">
        <v>6324</v>
      </c>
      <c r="B1150" s="8" t="s">
        <v>6325</v>
      </c>
      <c r="C1150" s="8" t="s">
        <v>6325</v>
      </c>
      <c r="D1150" s="8" t="s">
        <v>1168</v>
      </c>
      <c r="E1150" s="8">
        <v>23454</v>
      </c>
      <c r="F1150" s="8">
        <v>36.891675999999997</v>
      </c>
      <c r="G1150" s="8">
        <v>-76.027390999999994</v>
      </c>
    </row>
    <row r="1151" spans="1:7" ht="15.75" customHeight="1" x14ac:dyDescent="0.25">
      <c r="A1151" s="8" t="s">
        <v>6326</v>
      </c>
      <c r="B1151" s="8" t="s">
        <v>1143</v>
      </c>
      <c r="C1151" s="8" t="s">
        <v>6327</v>
      </c>
      <c r="D1151" s="8" t="s">
        <v>1168</v>
      </c>
      <c r="E1151" s="8">
        <v>23435</v>
      </c>
      <c r="F1151" s="8">
        <v>36.7282096</v>
      </c>
      <c r="G1151" s="8">
        <v>-76.583570300000005</v>
      </c>
    </row>
    <row r="1152" spans="1:7" ht="15.75" customHeight="1" x14ac:dyDescent="0.25">
      <c r="A1152" s="8" t="s">
        <v>6328</v>
      </c>
      <c r="B1152" s="8" t="s">
        <v>6325</v>
      </c>
      <c r="C1152" s="8" t="s">
        <v>6325</v>
      </c>
      <c r="D1152" s="8" t="s">
        <v>1168</v>
      </c>
      <c r="E1152" s="8">
        <v>23455</v>
      </c>
      <c r="F1152" s="8">
        <v>36.896853999999998</v>
      </c>
      <c r="G1152" s="8">
        <v>-76.127380000000002</v>
      </c>
    </row>
    <row r="1153" spans="1:7" ht="15.75" customHeight="1" x14ac:dyDescent="0.25">
      <c r="A1153" s="8" t="s">
        <v>6329</v>
      </c>
      <c r="B1153" s="8" t="s">
        <v>6330</v>
      </c>
      <c r="C1153" s="8" t="s">
        <v>6331</v>
      </c>
      <c r="D1153" s="8" t="s">
        <v>1168</v>
      </c>
      <c r="E1153" s="8">
        <v>22841</v>
      </c>
      <c r="F1153" s="8">
        <v>38.357071300000001</v>
      </c>
      <c r="G1153" s="8">
        <v>-78.940861499999997</v>
      </c>
    </row>
    <row r="1154" spans="1:7" ht="15.75" customHeight="1" x14ac:dyDescent="0.25">
      <c r="A1154" s="8" t="s">
        <v>6332</v>
      </c>
      <c r="B1154" s="8" t="s">
        <v>3667</v>
      </c>
      <c r="C1154" s="8" t="s">
        <v>6333</v>
      </c>
      <c r="D1154" s="8" t="s">
        <v>1168</v>
      </c>
      <c r="E1154" s="8">
        <v>23602</v>
      </c>
      <c r="F1154" s="8">
        <v>38.578732600000002</v>
      </c>
      <c r="G1154" s="8">
        <v>-78.596402800000007</v>
      </c>
    </row>
    <row r="1155" spans="1:7" ht="15.75" customHeight="1" x14ac:dyDescent="0.25">
      <c r="A1155" s="8" t="s">
        <v>6334</v>
      </c>
      <c r="B1155" s="8" t="s">
        <v>6335</v>
      </c>
      <c r="C1155" s="8" t="s">
        <v>6336</v>
      </c>
      <c r="D1155" s="8" t="s">
        <v>1168</v>
      </c>
      <c r="E1155" s="8">
        <v>22902</v>
      </c>
      <c r="F1155" s="8">
        <v>38.029305999999998</v>
      </c>
      <c r="G1155" s="8">
        <v>-78.476678100000001</v>
      </c>
    </row>
    <row r="1156" spans="1:7" ht="15.75" customHeight="1" x14ac:dyDescent="0.25">
      <c r="A1156" s="8" t="s">
        <v>6337</v>
      </c>
      <c r="B1156" s="8" t="s">
        <v>1629</v>
      </c>
      <c r="C1156" s="8" t="s">
        <v>6338</v>
      </c>
      <c r="D1156" s="8" t="s">
        <v>1168</v>
      </c>
      <c r="E1156" s="8">
        <v>23836</v>
      </c>
      <c r="F1156" s="8">
        <v>37.356908599999997</v>
      </c>
      <c r="G1156" s="8">
        <v>-77.4421818</v>
      </c>
    </row>
    <row r="1157" spans="1:7" ht="15.75" customHeight="1" x14ac:dyDescent="0.25">
      <c r="A1157" s="8" t="s">
        <v>6339</v>
      </c>
      <c r="B1157" s="8"/>
      <c r="C1157" s="8" t="s">
        <v>5964</v>
      </c>
      <c r="D1157" s="8" t="s">
        <v>1168</v>
      </c>
      <c r="E1157" s="8">
        <v>23696</v>
      </c>
      <c r="F1157" s="8">
        <v>37.1903516466</v>
      </c>
      <c r="G1157" s="8">
        <v>-76.430035470600004</v>
      </c>
    </row>
    <row r="1158" spans="1:7" ht="15.75" customHeight="1" x14ac:dyDescent="0.25">
      <c r="A1158" s="8" t="s">
        <v>6340</v>
      </c>
      <c r="B1158" s="8" t="s">
        <v>3754</v>
      </c>
      <c r="C1158" s="8" t="s">
        <v>6338</v>
      </c>
      <c r="D1158" s="8" t="s">
        <v>1168</v>
      </c>
      <c r="E1158" s="8">
        <v>23237</v>
      </c>
      <c r="F1158" s="8">
        <v>37.377093500000001</v>
      </c>
      <c r="G1158" s="8">
        <v>-77.505819599999995</v>
      </c>
    </row>
    <row r="1159" spans="1:7" ht="15.75" customHeight="1" x14ac:dyDescent="0.25">
      <c r="A1159" s="8" t="s">
        <v>6341</v>
      </c>
      <c r="B1159" s="8" t="s">
        <v>6342</v>
      </c>
      <c r="C1159" s="8" t="s">
        <v>3948</v>
      </c>
      <c r="D1159" s="8" t="s">
        <v>1168</v>
      </c>
      <c r="E1159" s="8">
        <v>24143</v>
      </c>
      <c r="F1159" s="8">
        <v>37.131792400000002</v>
      </c>
      <c r="G1159" s="8">
        <v>-80.576447700000003</v>
      </c>
    </row>
    <row r="1160" spans="1:7" ht="15.75" customHeight="1" x14ac:dyDescent="0.25">
      <c r="A1160" s="8" t="s">
        <v>6343</v>
      </c>
      <c r="B1160" s="8" t="s">
        <v>6030</v>
      </c>
      <c r="C1160" s="8" t="s">
        <v>6030</v>
      </c>
      <c r="D1160" s="8" t="s">
        <v>1168</v>
      </c>
      <c r="E1160" s="8">
        <v>22980</v>
      </c>
      <c r="F1160" s="8">
        <v>38.068666800000003</v>
      </c>
      <c r="G1160" s="8">
        <v>-78.889399900000001</v>
      </c>
    </row>
    <row r="1161" spans="1:7" ht="15.75" customHeight="1" x14ac:dyDescent="0.25">
      <c r="A1161" s="8" t="s">
        <v>6344</v>
      </c>
      <c r="B1161" s="8" t="s">
        <v>6345</v>
      </c>
      <c r="C1161" s="8" t="s">
        <v>3905</v>
      </c>
      <c r="D1161" s="8" t="s">
        <v>1168</v>
      </c>
      <c r="E1161" s="8">
        <v>24073</v>
      </c>
      <c r="F1161" s="8">
        <v>37.129851700000003</v>
      </c>
      <c r="G1161" s="8">
        <v>-80.408938899999995</v>
      </c>
    </row>
    <row r="1162" spans="1:7" ht="15.75" customHeight="1" x14ac:dyDescent="0.25">
      <c r="A1162" s="8" t="s">
        <v>6346</v>
      </c>
      <c r="B1162" s="8" t="s">
        <v>6317</v>
      </c>
      <c r="C1162" s="8" t="s">
        <v>6317</v>
      </c>
      <c r="D1162" s="8" t="s">
        <v>1168</v>
      </c>
      <c r="E1162" s="8">
        <v>22301</v>
      </c>
      <c r="F1162" s="8">
        <v>38.814759600000002</v>
      </c>
      <c r="G1162" s="8">
        <v>-77.0902476527</v>
      </c>
    </row>
    <row r="1163" spans="1:7" ht="15.75" customHeight="1" x14ac:dyDescent="0.25">
      <c r="A1163" s="8" t="s">
        <v>6347</v>
      </c>
      <c r="B1163" s="8" t="s">
        <v>6348</v>
      </c>
      <c r="C1163" s="8" t="s">
        <v>6349</v>
      </c>
      <c r="D1163" s="8" t="s">
        <v>1168</v>
      </c>
      <c r="E1163" s="8">
        <v>20176</v>
      </c>
      <c r="F1163" s="8">
        <v>39.123027999999998</v>
      </c>
      <c r="G1163" s="8">
        <v>-77.534318799999994</v>
      </c>
    </row>
    <row r="1164" spans="1:7" ht="15.75" customHeight="1" x14ac:dyDescent="0.25">
      <c r="A1164" s="8" t="s">
        <v>6350</v>
      </c>
      <c r="B1164" s="8" t="s">
        <v>6351</v>
      </c>
      <c r="C1164" s="8" t="s">
        <v>6352</v>
      </c>
      <c r="D1164" s="8" t="s">
        <v>1728</v>
      </c>
      <c r="E1164" s="8">
        <v>5702</v>
      </c>
      <c r="F1164" s="8">
        <v>44.558802800000002</v>
      </c>
      <c r="G1164" s="8">
        <v>-72.577841500000005</v>
      </c>
    </row>
    <row r="1165" spans="1:7" ht="15.75" customHeight="1" x14ac:dyDescent="0.25">
      <c r="A1165" s="8" t="s">
        <v>6353</v>
      </c>
      <c r="B1165" s="8" t="s">
        <v>6354</v>
      </c>
      <c r="C1165" s="8" t="s">
        <v>724</v>
      </c>
      <c r="D1165" s="8" t="s">
        <v>1728</v>
      </c>
      <c r="E1165" s="8">
        <v>5641</v>
      </c>
      <c r="F1165" s="8">
        <v>44.197467000000003</v>
      </c>
      <c r="G1165" s="8">
        <v>-72.502212999999998</v>
      </c>
    </row>
    <row r="1166" spans="1:7" ht="15.75" customHeight="1" x14ac:dyDescent="0.25">
      <c r="A1166" s="8" t="s">
        <v>6355</v>
      </c>
      <c r="B1166" s="8" t="s">
        <v>6356</v>
      </c>
      <c r="C1166" s="8" t="s">
        <v>4774</v>
      </c>
      <c r="D1166" s="8" t="s">
        <v>1728</v>
      </c>
      <c r="E1166" s="8">
        <v>5478</v>
      </c>
      <c r="F1166" s="8">
        <v>44.810879100000001</v>
      </c>
      <c r="G1166" s="8">
        <v>-73.083192400000001</v>
      </c>
    </row>
    <row r="1167" spans="1:7" ht="15.75" customHeight="1" x14ac:dyDescent="0.25">
      <c r="A1167" s="8" t="s">
        <v>6357</v>
      </c>
      <c r="B1167" s="8" t="s">
        <v>6358</v>
      </c>
      <c r="C1167" s="8" t="s">
        <v>724</v>
      </c>
      <c r="D1167" s="8" t="s">
        <v>1728</v>
      </c>
      <c r="E1167" s="8">
        <v>5602</v>
      </c>
      <c r="F1167" s="8">
        <v>44.2589969</v>
      </c>
      <c r="G1167" s="8">
        <v>-72.574916200000004</v>
      </c>
    </row>
    <row r="1168" spans="1:7" ht="15.75" customHeight="1" x14ac:dyDescent="0.25">
      <c r="A1168" s="8" t="s">
        <v>6359</v>
      </c>
      <c r="B1168" s="8" t="s">
        <v>6360</v>
      </c>
      <c r="C1168" s="8" t="s">
        <v>6361</v>
      </c>
      <c r="D1168" s="8" t="s">
        <v>1728</v>
      </c>
      <c r="E1168" s="8">
        <v>5452</v>
      </c>
      <c r="F1168" s="8">
        <v>44.490628000000001</v>
      </c>
      <c r="G1168" s="8">
        <v>-73.111266999999998</v>
      </c>
    </row>
    <row r="1169" spans="1:7" ht="15.75" customHeight="1" x14ac:dyDescent="0.25">
      <c r="A1169" s="8" t="s">
        <v>6362</v>
      </c>
      <c r="B1169" s="8" t="s">
        <v>6363</v>
      </c>
      <c r="C1169" s="8" t="s">
        <v>6364</v>
      </c>
      <c r="D1169" s="8" t="s">
        <v>1728</v>
      </c>
      <c r="E1169" s="8">
        <v>5301</v>
      </c>
      <c r="F1169" s="8">
        <v>42.850915200000003</v>
      </c>
      <c r="G1169" s="8">
        <v>-72.557867799999997</v>
      </c>
    </row>
    <row r="1170" spans="1:7" ht="15.75" customHeight="1" x14ac:dyDescent="0.25">
      <c r="A1170" s="8" t="s">
        <v>6365</v>
      </c>
      <c r="B1170" s="8" t="s">
        <v>6366</v>
      </c>
      <c r="C1170" s="8" t="s">
        <v>6361</v>
      </c>
      <c r="D1170" s="8" t="s">
        <v>1728</v>
      </c>
      <c r="E1170" s="8">
        <v>5403</v>
      </c>
      <c r="F1170" s="8">
        <v>44.449348899999997</v>
      </c>
      <c r="G1170" s="8">
        <v>-73.160780599999995</v>
      </c>
    </row>
    <row r="1171" spans="1:7" ht="15.75" customHeight="1" x14ac:dyDescent="0.25">
      <c r="A1171" s="8" t="s">
        <v>6367</v>
      </c>
      <c r="B1171" s="8" t="s">
        <v>6368</v>
      </c>
      <c r="C1171" s="8" t="s">
        <v>6361</v>
      </c>
      <c r="D1171" s="8" t="s">
        <v>1728</v>
      </c>
      <c r="E1171" s="8">
        <v>5402</v>
      </c>
      <c r="F1171" s="8">
        <v>44.472398900000002</v>
      </c>
      <c r="G1171" s="8">
        <v>-73.211494099999996</v>
      </c>
    </row>
    <row r="1172" spans="1:7" ht="15.75" customHeight="1" x14ac:dyDescent="0.25">
      <c r="A1172" s="8" t="s">
        <v>6369</v>
      </c>
      <c r="B1172" s="8" t="s">
        <v>6370</v>
      </c>
      <c r="C1172" s="8" t="s">
        <v>6371</v>
      </c>
      <c r="D1172" s="8" t="s">
        <v>1728</v>
      </c>
      <c r="E1172" s="8">
        <v>5819</v>
      </c>
      <c r="F1172" s="8">
        <v>44.429903299999999</v>
      </c>
      <c r="G1172" s="8">
        <v>-71.962965199999999</v>
      </c>
    </row>
    <row r="1173" spans="1:7" ht="15.75" customHeight="1" x14ac:dyDescent="0.25">
      <c r="A1173" s="8" t="s">
        <v>6372</v>
      </c>
      <c r="B1173" s="8" t="s">
        <v>4526</v>
      </c>
      <c r="C1173" s="8" t="s">
        <v>6361</v>
      </c>
      <c r="D1173" s="8" t="s">
        <v>1728</v>
      </c>
      <c r="E1173" s="8">
        <v>5401</v>
      </c>
      <c r="F1173" s="8">
        <v>44.472398900000002</v>
      </c>
      <c r="G1173" s="8">
        <v>-73.211494099999996</v>
      </c>
    </row>
    <row r="1174" spans="1:7" ht="15.75" customHeight="1" x14ac:dyDescent="0.25">
      <c r="A1174" s="8" t="s">
        <v>6373</v>
      </c>
      <c r="B1174" s="8" t="s">
        <v>3667</v>
      </c>
      <c r="C1174" s="8" t="s">
        <v>6374</v>
      </c>
      <c r="D1174" s="8" t="s">
        <v>1728</v>
      </c>
      <c r="E1174" s="8">
        <v>5855</v>
      </c>
      <c r="F1174" s="8">
        <v>44.936126999999999</v>
      </c>
      <c r="G1174" s="8">
        <v>-72.204894999999993</v>
      </c>
    </row>
    <row r="1175" spans="1:7" ht="15.75" customHeight="1" x14ac:dyDescent="0.25">
      <c r="A1175" s="8" t="s">
        <v>6375</v>
      </c>
      <c r="B1175" s="8" t="s">
        <v>83</v>
      </c>
      <c r="C1175" s="8" t="s">
        <v>6376</v>
      </c>
      <c r="D1175" s="8" t="s">
        <v>1728</v>
      </c>
      <c r="E1175" s="8">
        <v>5089</v>
      </c>
      <c r="F1175" s="8">
        <v>43.480826</v>
      </c>
      <c r="G1175" s="8">
        <v>-72.385482999999994</v>
      </c>
    </row>
    <row r="1176" spans="1:7" ht="15.75" customHeight="1" x14ac:dyDescent="0.25">
      <c r="A1176" s="8" t="s">
        <v>6377</v>
      </c>
      <c r="B1176" s="8" t="s">
        <v>2923</v>
      </c>
      <c r="C1176" s="8" t="s">
        <v>83</v>
      </c>
      <c r="D1176" s="8" t="s">
        <v>1728</v>
      </c>
      <c r="E1176" s="8">
        <v>5156</v>
      </c>
      <c r="F1176" s="8">
        <v>43.298698000000002</v>
      </c>
      <c r="G1176" s="8">
        <v>-72.482985999999997</v>
      </c>
    </row>
    <row r="1177" spans="1:7" ht="15.75" customHeight="1" x14ac:dyDescent="0.25">
      <c r="A1177" s="8" t="s">
        <v>6378</v>
      </c>
      <c r="B1177" s="8" t="s">
        <v>6379</v>
      </c>
      <c r="C1177" s="8" t="s">
        <v>1767</v>
      </c>
      <c r="D1177" s="8" t="s">
        <v>1175</v>
      </c>
      <c r="E1177" s="8">
        <v>98057</v>
      </c>
      <c r="F1177" s="8">
        <v>47.479907799999999</v>
      </c>
      <c r="G1177" s="8">
        <v>-122.2034496</v>
      </c>
    </row>
    <row r="1178" spans="1:7" ht="15.75" customHeight="1" x14ac:dyDescent="0.25">
      <c r="A1178" s="8" t="s">
        <v>6380</v>
      </c>
      <c r="B1178" s="8" t="s">
        <v>6381</v>
      </c>
      <c r="C1178" s="8" t="s">
        <v>3785</v>
      </c>
      <c r="D1178" s="8" t="s">
        <v>1175</v>
      </c>
      <c r="E1178" s="8">
        <v>98421</v>
      </c>
      <c r="F1178" s="8">
        <v>47.242006799999999</v>
      </c>
      <c r="G1178" s="8">
        <v>-122.4205999</v>
      </c>
    </row>
    <row r="1179" spans="1:7" ht="15.75" customHeight="1" x14ac:dyDescent="0.25">
      <c r="A1179" s="8" t="s">
        <v>6382</v>
      </c>
      <c r="B1179" s="8" t="s">
        <v>1176</v>
      </c>
      <c r="C1179" s="8" t="s">
        <v>1176</v>
      </c>
      <c r="D1179" s="8" t="s">
        <v>1175</v>
      </c>
      <c r="E1179" s="8">
        <v>99208</v>
      </c>
      <c r="F1179" s="8">
        <v>47.657942499999997</v>
      </c>
      <c r="G1179" s="8">
        <v>-117.4212265</v>
      </c>
    </row>
    <row r="1180" spans="1:7" ht="15.75" customHeight="1" x14ac:dyDescent="0.25">
      <c r="A1180" s="8" t="s">
        <v>6383</v>
      </c>
      <c r="B1180" s="8" t="s">
        <v>1762</v>
      </c>
      <c r="C1180" s="8" t="s">
        <v>1762</v>
      </c>
      <c r="D1180" s="8" t="s">
        <v>1175</v>
      </c>
      <c r="E1180" s="8">
        <v>98901</v>
      </c>
      <c r="F1180" s="8">
        <v>46.601557</v>
      </c>
      <c r="G1180" s="8">
        <v>-120.5108421</v>
      </c>
    </row>
    <row r="1181" spans="1:7" ht="15.75" customHeight="1" x14ac:dyDescent="0.25">
      <c r="A1181" s="8" t="s">
        <v>6384</v>
      </c>
      <c r="B1181" s="8" t="s">
        <v>6385</v>
      </c>
      <c r="C1181" s="8" t="s">
        <v>3785</v>
      </c>
      <c r="D1181" s="8" t="s">
        <v>1175</v>
      </c>
      <c r="E1181" s="8">
        <v>98467</v>
      </c>
      <c r="F1181" s="8">
        <v>47.202454906699998</v>
      </c>
      <c r="G1181" s="8">
        <v>-122.534631711</v>
      </c>
    </row>
    <row r="1182" spans="1:7" ht="15.75" customHeight="1" x14ac:dyDescent="0.25">
      <c r="A1182" s="8" t="s">
        <v>6386</v>
      </c>
      <c r="B1182" s="8" t="s">
        <v>3233</v>
      </c>
      <c r="C1182" s="8" t="s">
        <v>3281</v>
      </c>
      <c r="D1182" s="8" t="s">
        <v>1175</v>
      </c>
      <c r="E1182" s="8">
        <v>99352</v>
      </c>
      <c r="F1182" s="8">
        <v>46.277840599999998</v>
      </c>
      <c r="G1182" s="8">
        <v>-119.2769067</v>
      </c>
    </row>
    <row r="1183" spans="1:7" ht="15.75" customHeight="1" x14ac:dyDescent="0.25">
      <c r="A1183" s="8" t="s">
        <v>6387</v>
      </c>
      <c r="B1183" s="8" t="s">
        <v>6388</v>
      </c>
      <c r="C1183" s="8" t="s">
        <v>1772</v>
      </c>
      <c r="D1183" s="8" t="s">
        <v>1175</v>
      </c>
      <c r="E1183" s="8">
        <v>98685</v>
      </c>
      <c r="F1183" s="8">
        <v>45.6306954</v>
      </c>
      <c r="G1183" s="8">
        <v>-122.6744557</v>
      </c>
    </row>
    <row r="1184" spans="1:7" ht="15.75" customHeight="1" x14ac:dyDescent="0.25">
      <c r="A1184" s="8" t="s">
        <v>6389</v>
      </c>
      <c r="B1184" s="8" t="s">
        <v>6390</v>
      </c>
      <c r="C1184" s="8" t="s">
        <v>6391</v>
      </c>
      <c r="D1184" s="8" t="s">
        <v>1175</v>
      </c>
      <c r="E1184" s="8">
        <v>98312</v>
      </c>
      <c r="F1184" s="8">
        <v>47.560101299999999</v>
      </c>
      <c r="G1184" s="8">
        <v>-122.6550515</v>
      </c>
    </row>
    <row r="1185" spans="1:7" ht="15.75" customHeight="1" x14ac:dyDescent="0.25">
      <c r="A1185" s="8" t="s">
        <v>6392</v>
      </c>
      <c r="B1185" s="8" t="s">
        <v>6393</v>
      </c>
      <c r="C1185" s="8" t="s">
        <v>6394</v>
      </c>
      <c r="D1185" s="8" t="s">
        <v>1175</v>
      </c>
      <c r="E1185" s="8">
        <v>98023</v>
      </c>
      <c r="F1185" s="8">
        <v>47.312649276099997</v>
      </c>
      <c r="G1185" s="8">
        <v>-122.36986145500001</v>
      </c>
    </row>
    <row r="1186" spans="1:7" ht="15.75" customHeight="1" x14ac:dyDescent="0.25">
      <c r="A1186" s="8" t="s">
        <v>6395</v>
      </c>
      <c r="B1186" s="8" t="s">
        <v>6396</v>
      </c>
      <c r="C1186" s="8" t="s">
        <v>6396</v>
      </c>
      <c r="D1186" s="8" t="s">
        <v>1175</v>
      </c>
      <c r="E1186" s="8">
        <v>99362</v>
      </c>
      <c r="F1186" s="8">
        <v>46.0646907024</v>
      </c>
      <c r="G1186" s="8">
        <v>-118.31763308399999</v>
      </c>
    </row>
    <row r="1187" spans="1:7" ht="15.75" customHeight="1" x14ac:dyDescent="0.25">
      <c r="A1187" s="8" t="s">
        <v>6397</v>
      </c>
      <c r="B1187" s="8" t="s">
        <v>2464</v>
      </c>
      <c r="C1187" s="8" t="s">
        <v>1767</v>
      </c>
      <c r="D1187" s="8" t="s">
        <v>1175</v>
      </c>
      <c r="E1187" s="8">
        <v>98198</v>
      </c>
      <c r="F1187" s="8">
        <v>47.396800110999997</v>
      </c>
      <c r="G1187" s="8">
        <v>-122.306919912</v>
      </c>
    </row>
    <row r="1188" spans="1:7" ht="15.75" customHeight="1" x14ac:dyDescent="0.25">
      <c r="A1188" s="8" t="s">
        <v>6398</v>
      </c>
      <c r="B1188" s="8" t="s">
        <v>6399</v>
      </c>
      <c r="C1188" s="8" t="s">
        <v>6400</v>
      </c>
      <c r="D1188" s="8" t="s">
        <v>1175</v>
      </c>
      <c r="E1188" s="8">
        <v>98926</v>
      </c>
      <c r="F1188" s="8">
        <v>47.004815350000001</v>
      </c>
      <c r="G1188" s="8">
        <v>-120.548819294</v>
      </c>
    </row>
    <row r="1189" spans="1:7" ht="15.75" customHeight="1" x14ac:dyDescent="0.25">
      <c r="A1189" s="8" t="s">
        <v>6401</v>
      </c>
      <c r="B1189" s="8" t="s">
        <v>6402</v>
      </c>
      <c r="C1189" s="8" t="s">
        <v>6394</v>
      </c>
      <c r="D1189" s="8" t="s">
        <v>1175</v>
      </c>
      <c r="E1189" s="8">
        <v>98166</v>
      </c>
      <c r="F1189" s="8">
        <v>47.435152799999997</v>
      </c>
      <c r="G1189" s="8">
        <v>-122.339601</v>
      </c>
    </row>
    <row r="1190" spans="1:7" ht="15.75" customHeight="1" x14ac:dyDescent="0.25">
      <c r="A1190" s="8" t="s">
        <v>6403</v>
      </c>
      <c r="B1190" s="8" t="s">
        <v>6404</v>
      </c>
      <c r="C1190" s="8" t="s">
        <v>6405</v>
      </c>
      <c r="D1190" s="8" t="s">
        <v>1175</v>
      </c>
      <c r="E1190" s="8">
        <v>98407</v>
      </c>
      <c r="F1190" s="8">
        <v>47.288735199999998</v>
      </c>
      <c r="G1190" s="8">
        <v>-122.51344779999999</v>
      </c>
    </row>
    <row r="1191" spans="1:7" ht="15.75" customHeight="1" x14ac:dyDescent="0.25">
      <c r="A1191" s="8" t="s">
        <v>6406</v>
      </c>
      <c r="B1191" s="8" t="s">
        <v>6407</v>
      </c>
      <c r="C1191" s="8" t="s">
        <v>6394</v>
      </c>
      <c r="D1191" s="8" t="s">
        <v>1175</v>
      </c>
      <c r="E1191" s="8">
        <v>98146</v>
      </c>
      <c r="F1191" s="8">
        <v>47.469918</v>
      </c>
      <c r="G1191" s="8">
        <v>-122.34852739999999</v>
      </c>
    </row>
    <row r="1192" spans="1:7" ht="15.75" customHeight="1" x14ac:dyDescent="0.25">
      <c r="A1192" s="8" t="s">
        <v>6408</v>
      </c>
      <c r="B1192" s="8" t="s">
        <v>6409</v>
      </c>
      <c r="C1192" s="8" t="s">
        <v>6410</v>
      </c>
      <c r="D1192" s="8" t="s">
        <v>1175</v>
      </c>
      <c r="E1192" s="8">
        <v>98026</v>
      </c>
      <c r="F1192" s="8">
        <v>47.8105738</v>
      </c>
      <c r="G1192" s="8">
        <v>-122.3774952</v>
      </c>
    </row>
    <row r="1193" spans="1:7" ht="15.75" customHeight="1" x14ac:dyDescent="0.25">
      <c r="A1193" s="8" t="s">
        <v>6411</v>
      </c>
      <c r="B1193" s="8" t="s">
        <v>1758</v>
      </c>
      <c r="C1193" s="8" t="s">
        <v>1759</v>
      </c>
      <c r="D1193" s="8" t="s">
        <v>1175</v>
      </c>
      <c r="E1193" s="8">
        <v>98273</v>
      </c>
      <c r="F1193" s="8">
        <v>48.484456700000003</v>
      </c>
      <c r="G1193" s="8">
        <v>-122.47883090000001</v>
      </c>
    </row>
    <row r="1194" spans="1:7" ht="15.75" customHeight="1" x14ac:dyDescent="0.25">
      <c r="A1194" s="8" t="s">
        <v>6412</v>
      </c>
      <c r="B1194" s="8" t="s">
        <v>6413</v>
      </c>
      <c r="C1194" s="8" t="s">
        <v>6391</v>
      </c>
      <c r="D1194" s="8" t="s">
        <v>1175</v>
      </c>
      <c r="E1194" s="8">
        <v>98370</v>
      </c>
      <c r="F1194" s="8">
        <v>47.739136600000002</v>
      </c>
      <c r="G1194" s="8">
        <v>-122.63928</v>
      </c>
    </row>
    <row r="1195" spans="1:7" ht="15.75" customHeight="1" x14ac:dyDescent="0.25">
      <c r="A1195" s="8" t="s">
        <v>6414</v>
      </c>
      <c r="B1195" s="8" t="s">
        <v>2464</v>
      </c>
      <c r="C1195" s="8" t="s">
        <v>1767</v>
      </c>
      <c r="D1195" s="8" t="s">
        <v>1175</v>
      </c>
      <c r="E1195" s="8">
        <v>98198</v>
      </c>
      <c r="F1195" s="8">
        <v>47.396800110999997</v>
      </c>
      <c r="G1195" s="8">
        <v>-122.306919912</v>
      </c>
    </row>
    <row r="1196" spans="1:7" ht="15.75" customHeight="1" x14ac:dyDescent="0.25">
      <c r="A1196" s="8" t="s">
        <v>6415</v>
      </c>
      <c r="B1196" s="8" t="s">
        <v>6416</v>
      </c>
      <c r="C1196" s="8" t="s">
        <v>6417</v>
      </c>
      <c r="D1196" s="8" t="s">
        <v>1175</v>
      </c>
      <c r="E1196" s="8">
        <v>98532</v>
      </c>
      <c r="F1196" s="8">
        <v>46.659965300000003</v>
      </c>
      <c r="G1196" s="8">
        <v>-122.9634322</v>
      </c>
    </row>
    <row r="1197" spans="1:7" ht="15.75" customHeight="1" x14ac:dyDescent="0.25">
      <c r="A1197" s="8" t="s">
        <v>6418</v>
      </c>
      <c r="B1197" s="8" t="s">
        <v>6419</v>
      </c>
      <c r="C1197" s="8" t="s">
        <v>6420</v>
      </c>
      <c r="D1197" s="8" t="s">
        <v>1175</v>
      </c>
      <c r="E1197" s="8">
        <v>98807</v>
      </c>
      <c r="F1197" s="8">
        <v>47.423459899999997</v>
      </c>
      <c r="G1197" s="8">
        <v>-120.31034940000001</v>
      </c>
    </row>
    <row r="1198" spans="1:7" ht="15.75" customHeight="1" x14ac:dyDescent="0.25">
      <c r="A1198" s="8" t="s">
        <v>6421</v>
      </c>
      <c r="B1198" s="8" t="s">
        <v>6422</v>
      </c>
      <c r="C1198" s="8" t="s">
        <v>6405</v>
      </c>
      <c r="D1198" s="8" t="s">
        <v>1175</v>
      </c>
      <c r="E1198" s="8">
        <v>98371</v>
      </c>
      <c r="F1198" s="8">
        <v>47.184900900000002</v>
      </c>
      <c r="G1198" s="8">
        <v>-122.2921406</v>
      </c>
    </row>
    <row r="1199" spans="1:7" ht="15.75" customHeight="1" x14ac:dyDescent="0.25">
      <c r="A1199" s="8" t="s">
        <v>6658</v>
      </c>
      <c r="B1199" s="8" t="s">
        <v>6424</v>
      </c>
      <c r="C1199" s="8"/>
      <c r="D1199" s="8" t="s">
        <v>1175</v>
      </c>
      <c r="E1199" s="8"/>
      <c r="F1199" s="8">
        <v>47.49</v>
      </c>
      <c r="G1199" s="8">
        <v>-122.36</v>
      </c>
    </row>
    <row r="1200" spans="1:7" ht="15.75" customHeight="1" x14ac:dyDescent="0.25">
      <c r="A1200" s="8" t="s">
        <v>6423</v>
      </c>
      <c r="B1200" s="8" t="s">
        <v>6424</v>
      </c>
      <c r="C1200" s="8" t="s">
        <v>1767</v>
      </c>
      <c r="D1200" s="8" t="s">
        <v>1175</v>
      </c>
      <c r="E1200" s="8">
        <v>98104</v>
      </c>
      <c r="F1200" s="8">
        <v>47.603832099999998</v>
      </c>
      <c r="G1200" s="8">
        <v>-122.3300624</v>
      </c>
    </row>
    <row r="1201" spans="1:7" ht="15.75" customHeight="1" x14ac:dyDescent="0.25">
      <c r="A1201" s="8" t="s">
        <v>6425</v>
      </c>
      <c r="B1201" s="8" t="s">
        <v>6426</v>
      </c>
      <c r="C1201" s="8" t="s">
        <v>4774</v>
      </c>
      <c r="D1201" s="8" t="s">
        <v>1175</v>
      </c>
      <c r="E1201" s="8">
        <v>99301</v>
      </c>
      <c r="F1201" s="8">
        <v>46.239579300000003</v>
      </c>
      <c r="G1201" s="8">
        <v>-119.1005657</v>
      </c>
    </row>
    <row r="1202" spans="1:7" ht="15.75" customHeight="1" x14ac:dyDescent="0.25">
      <c r="A1202" s="8" t="s">
        <v>6427</v>
      </c>
      <c r="B1202" s="8" t="s">
        <v>6428</v>
      </c>
      <c r="C1202" s="8" t="s">
        <v>6429</v>
      </c>
      <c r="D1202" s="8" t="s">
        <v>1175</v>
      </c>
      <c r="E1202" s="8">
        <v>99163</v>
      </c>
      <c r="F1202" s="8">
        <v>46.7297771</v>
      </c>
      <c r="G1202" s="8">
        <v>-117.1817377</v>
      </c>
    </row>
    <row r="1203" spans="1:7" ht="15.75" customHeight="1" x14ac:dyDescent="0.25">
      <c r="A1203" s="8" t="s">
        <v>6430</v>
      </c>
      <c r="B1203" s="8" t="s">
        <v>6431</v>
      </c>
      <c r="C1203" s="8" t="s">
        <v>3785</v>
      </c>
      <c r="D1203" s="8" t="s">
        <v>1175</v>
      </c>
      <c r="E1203" s="8">
        <v>98372</v>
      </c>
      <c r="F1203" s="8">
        <v>47.201074200000001</v>
      </c>
      <c r="G1203" s="8">
        <v>-122.245060098</v>
      </c>
    </row>
    <row r="1204" spans="1:7" ht="15.75" customHeight="1" x14ac:dyDescent="0.25">
      <c r="A1204" s="8" t="s">
        <v>6432</v>
      </c>
      <c r="B1204" s="8" t="s">
        <v>6433</v>
      </c>
      <c r="C1204" s="8" t="s">
        <v>1772</v>
      </c>
      <c r="D1204" s="8" t="s">
        <v>1175</v>
      </c>
      <c r="E1204" s="8">
        <v>98607</v>
      </c>
      <c r="F1204" s="8">
        <v>45.581844449999998</v>
      </c>
      <c r="G1204" s="8">
        <v>-122.39075395899999</v>
      </c>
    </row>
    <row r="1205" spans="1:7" ht="15.75" customHeight="1" x14ac:dyDescent="0.25">
      <c r="A1205" s="8" t="s">
        <v>6434</v>
      </c>
      <c r="B1205" s="8" t="s">
        <v>6435</v>
      </c>
      <c r="C1205" s="8" t="s">
        <v>6391</v>
      </c>
      <c r="D1205" s="8" t="s">
        <v>1175</v>
      </c>
      <c r="E1205" s="8">
        <v>98366</v>
      </c>
      <c r="F1205" s="8">
        <v>47.5315625</v>
      </c>
      <c r="G1205" s="8">
        <v>-122.6384056</v>
      </c>
    </row>
    <row r="1206" spans="1:7" ht="15.75" customHeight="1" x14ac:dyDescent="0.25">
      <c r="A1206" s="8" t="s">
        <v>6436</v>
      </c>
      <c r="B1206" s="8" t="s">
        <v>6437</v>
      </c>
      <c r="C1206" s="8" t="s">
        <v>6438</v>
      </c>
      <c r="D1206" s="8" t="s">
        <v>1175</v>
      </c>
      <c r="E1206" s="8" t="s">
        <v>6439</v>
      </c>
      <c r="F1206" s="8">
        <v>48.179627699999998</v>
      </c>
      <c r="G1206" s="8">
        <v>-117.04325830000001</v>
      </c>
    </row>
    <row r="1207" spans="1:7" ht="15.75" customHeight="1" x14ac:dyDescent="0.25">
      <c r="A1207" s="8" t="s">
        <v>6440</v>
      </c>
      <c r="B1207" s="8" t="s">
        <v>6441</v>
      </c>
      <c r="C1207" s="8" t="s">
        <v>1176</v>
      </c>
      <c r="D1207" s="8" t="s">
        <v>1175</v>
      </c>
      <c r="E1207" s="8" t="s">
        <v>6442</v>
      </c>
      <c r="F1207" s="8">
        <v>47.657942499999997</v>
      </c>
      <c r="G1207" s="8">
        <v>-117.4212265</v>
      </c>
    </row>
    <row r="1208" spans="1:7" ht="15.75" customHeight="1" x14ac:dyDescent="0.25">
      <c r="A1208" s="8" t="s">
        <v>6443</v>
      </c>
      <c r="B1208" s="8" t="s">
        <v>6444</v>
      </c>
      <c r="C1208" s="8" t="s">
        <v>1767</v>
      </c>
      <c r="D1208" s="8" t="s">
        <v>1175</v>
      </c>
      <c r="E1208" s="8">
        <v>98072</v>
      </c>
      <c r="F1208" s="8">
        <v>47.7545827</v>
      </c>
      <c r="G1208" s="8">
        <v>-122.1588902</v>
      </c>
    </row>
    <row r="1209" spans="1:7" ht="15.75" customHeight="1" x14ac:dyDescent="0.25">
      <c r="A1209" s="8" t="s">
        <v>6445</v>
      </c>
      <c r="B1209" s="8" t="s">
        <v>6446</v>
      </c>
      <c r="C1209" s="8" t="s">
        <v>6447</v>
      </c>
      <c r="D1209" s="8" t="s">
        <v>1175</v>
      </c>
      <c r="E1209" s="8">
        <v>98501</v>
      </c>
      <c r="F1209" s="8">
        <v>47.041099699999997</v>
      </c>
      <c r="G1209" s="8">
        <v>-122.89549751200001</v>
      </c>
    </row>
    <row r="1210" spans="1:7" ht="15.75" customHeight="1" x14ac:dyDescent="0.25">
      <c r="A1210" s="8" t="s">
        <v>6448</v>
      </c>
      <c r="B1210" s="8" t="s">
        <v>1081</v>
      </c>
      <c r="C1210" s="8" t="s">
        <v>1411</v>
      </c>
      <c r="D1210" s="8" t="s">
        <v>1175</v>
      </c>
      <c r="E1210" s="8">
        <v>99301</v>
      </c>
      <c r="F1210" s="8">
        <v>46.239579300000003</v>
      </c>
      <c r="G1210" s="8">
        <v>-119.1005657</v>
      </c>
    </row>
    <row r="1211" spans="1:7" ht="15.75" customHeight="1" x14ac:dyDescent="0.25">
      <c r="A1211" s="8" t="s">
        <v>6449</v>
      </c>
      <c r="B1211" s="8" t="s">
        <v>6450</v>
      </c>
      <c r="C1211" s="8" t="s">
        <v>3853</v>
      </c>
      <c r="D1211" s="8" t="s">
        <v>643</v>
      </c>
      <c r="E1211" s="8">
        <v>53207</v>
      </c>
      <c r="F1211" s="8">
        <v>42.905288599999999</v>
      </c>
      <c r="G1211" s="8">
        <v>-87.889001300000004</v>
      </c>
    </row>
    <row r="1212" spans="1:7" ht="15.75" customHeight="1" x14ac:dyDescent="0.25">
      <c r="A1212" s="8" t="s">
        <v>6451</v>
      </c>
      <c r="B1212" s="8" t="s">
        <v>256</v>
      </c>
      <c r="C1212" s="8" t="s">
        <v>1795</v>
      </c>
      <c r="D1212" s="8" t="s">
        <v>643</v>
      </c>
      <c r="E1212" s="8">
        <v>53713</v>
      </c>
      <c r="F1212" s="8">
        <v>43.043607899999998</v>
      </c>
      <c r="G1212" s="8">
        <v>-89.390069999999994</v>
      </c>
    </row>
    <row r="1213" spans="1:7" ht="15.75" customHeight="1" x14ac:dyDescent="0.25">
      <c r="A1213" s="8" t="s">
        <v>6452</v>
      </c>
      <c r="B1213" s="8" t="s">
        <v>3840</v>
      </c>
      <c r="C1213" s="8" t="s">
        <v>3840</v>
      </c>
      <c r="D1213" s="8" t="s">
        <v>643</v>
      </c>
      <c r="E1213" s="8">
        <v>53403</v>
      </c>
      <c r="F1213" s="8">
        <v>42.711022</v>
      </c>
      <c r="G1213" s="8">
        <v>-87.799778000000003</v>
      </c>
    </row>
    <row r="1214" spans="1:7" ht="15.75" customHeight="1" x14ac:dyDescent="0.25">
      <c r="A1214" s="8" t="s">
        <v>6453</v>
      </c>
      <c r="B1214" s="8" t="s">
        <v>3865</v>
      </c>
      <c r="C1214" s="8" t="s">
        <v>3865</v>
      </c>
      <c r="D1214" s="8" t="s">
        <v>643</v>
      </c>
      <c r="E1214" s="8">
        <v>53143</v>
      </c>
      <c r="F1214" s="8">
        <v>42.585957100000002</v>
      </c>
      <c r="G1214" s="8">
        <v>-87.826084100000003</v>
      </c>
    </row>
    <row r="1215" spans="1:7" ht="15.75" customHeight="1" x14ac:dyDescent="0.25">
      <c r="A1215" s="8" t="s">
        <v>6454</v>
      </c>
      <c r="B1215" s="8" t="s">
        <v>6455</v>
      </c>
      <c r="C1215" s="8" t="s">
        <v>6456</v>
      </c>
      <c r="D1215" s="8" t="s">
        <v>643</v>
      </c>
      <c r="E1215" s="8">
        <v>54601</v>
      </c>
      <c r="F1215" s="8">
        <v>43.743584200000001</v>
      </c>
      <c r="G1215" s="8">
        <v>-91.182822000000002</v>
      </c>
    </row>
    <row r="1216" spans="1:7" ht="15.75" customHeight="1" x14ac:dyDescent="0.25">
      <c r="A1216" s="8" t="s">
        <v>6457</v>
      </c>
      <c r="B1216" s="8" t="s">
        <v>658</v>
      </c>
      <c r="C1216" s="8" t="s">
        <v>405</v>
      </c>
      <c r="D1216" s="8" t="s">
        <v>643</v>
      </c>
      <c r="E1216" s="8">
        <v>54901</v>
      </c>
      <c r="F1216" s="8">
        <v>44.020691900000003</v>
      </c>
      <c r="G1216" s="8">
        <v>-88.540857399999993</v>
      </c>
    </row>
    <row r="1217" spans="1:7" ht="15.75" customHeight="1" x14ac:dyDescent="0.25">
      <c r="A1217" s="8" t="s">
        <v>6458</v>
      </c>
      <c r="B1217" s="8" t="s">
        <v>1821</v>
      </c>
      <c r="C1217" s="8" t="s">
        <v>1821</v>
      </c>
      <c r="D1217" s="8" t="s">
        <v>643</v>
      </c>
      <c r="E1217" s="8">
        <v>53081</v>
      </c>
      <c r="F1217" s="8">
        <v>43.750828400000003</v>
      </c>
      <c r="G1217" s="8">
        <v>-87.714529999999996</v>
      </c>
    </row>
    <row r="1218" spans="1:7" ht="15.75" customHeight="1" x14ac:dyDescent="0.25">
      <c r="A1218" s="8" t="s">
        <v>6459</v>
      </c>
      <c r="B1218" s="8" t="s">
        <v>3835</v>
      </c>
      <c r="C1218" s="8" t="s">
        <v>3836</v>
      </c>
      <c r="D1218" s="8" t="s">
        <v>643</v>
      </c>
      <c r="E1218" s="8">
        <v>53546</v>
      </c>
      <c r="F1218" s="8">
        <v>42.682976500000002</v>
      </c>
      <c r="G1218" s="8">
        <v>-89.022679299999993</v>
      </c>
    </row>
    <row r="1219" spans="1:7" ht="15.75" customHeight="1" x14ac:dyDescent="0.25">
      <c r="A1219" s="8" t="s">
        <v>6460</v>
      </c>
      <c r="B1219" s="8" t="s">
        <v>3861</v>
      </c>
      <c r="C1219" s="8" t="s">
        <v>3862</v>
      </c>
      <c r="D1219" s="8" t="s">
        <v>643</v>
      </c>
      <c r="E1219" s="8">
        <v>54915</v>
      </c>
      <c r="F1219" s="8">
        <v>44.265730400000002</v>
      </c>
      <c r="G1219" s="8">
        <v>-88.373708800000003</v>
      </c>
    </row>
    <row r="1220" spans="1:7" ht="15.75" customHeight="1" x14ac:dyDescent="0.25">
      <c r="A1220" s="8" t="s">
        <v>6659</v>
      </c>
      <c r="B1220" s="8" t="s">
        <v>1824</v>
      </c>
      <c r="C1220" s="8" t="s">
        <v>1824</v>
      </c>
      <c r="D1220" s="8" t="s">
        <v>643</v>
      </c>
      <c r="E1220" s="8">
        <v>54221</v>
      </c>
      <c r="F1220" s="8">
        <v>44.088605899999997</v>
      </c>
      <c r="G1220" s="8">
        <v>-87.657584099999994</v>
      </c>
    </row>
    <row r="1221" spans="1:7" ht="15.75" customHeight="1" x14ac:dyDescent="0.25">
      <c r="A1221" s="8" t="s">
        <v>6461</v>
      </c>
      <c r="B1221" s="8" t="s">
        <v>3824</v>
      </c>
      <c r="C1221" s="8" t="s">
        <v>3824</v>
      </c>
      <c r="D1221" s="8" t="s">
        <v>643</v>
      </c>
      <c r="E1221" s="8">
        <v>53186</v>
      </c>
      <c r="F1221" s="8">
        <v>43.011678400000001</v>
      </c>
      <c r="G1221" s="8">
        <v>-88.231481299999999</v>
      </c>
    </row>
    <row r="1222" spans="1:7" ht="15.75" customHeight="1" x14ac:dyDescent="0.25">
      <c r="A1222" s="8" t="s">
        <v>6462</v>
      </c>
      <c r="B1222" s="8" t="s">
        <v>6463</v>
      </c>
      <c r="C1222" s="8" t="s">
        <v>405</v>
      </c>
      <c r="D1222" s="8" t="s">
        <v>643</v>
      </c>
      <c r="E1222" s="8">
        <v>54952</v>
      </c>
      <c r="F1222" s="8">
        <v>44.202229299999999</v>
      </c>
      <c r="G1222" s="8">
        <v>-88.446536100000003</v>
      </c>
    </row>
    <row r="1223" spans="1:7" ht="15.75" customHeight="1" x14ac:dyDescent="0.25">
      <c r="A1223" s="8" t="s">
        <v>6464</v>
      </c>
      <c r="B1223" s="8" t="s">
        <v>6465</v>
      </c>
      <c r="C1223" s="8" t="s">
        <v>3824</v>
      </c>
      <c r="D1223" s="8" t="s">
        <v>643</v>
      </c>
      <c r="E1223" s="8">
        <v>53005</v>
      </c>
      <c r="F1223" s="8">
        <v>43.035795</v>
      </c>
      <c r="G1223" s="8">
        <v>-88.106691999999995</v>
      </c>
    </row>
    <row r="1224" spans="1:7" ht="15.75" customHeight="1" x14ac:dyDescent="0.25">
      <c r="A1224" s="8" t="s">
        <v>6466</v>
      </c>
      <c r="B1224" s="8" t="s">
        <v>6467</v>
      </c>
      <c r="C1224" s="8" t="s">
        <v>6468</v>
      </c>
      <c r="D1224" s="8" t="s">
        <v>643</v>
      </c>
      <c r="E1224" s="8">
        <v>54703</v>
      </c>
      <c r="F1224" s="8">
        <v>44.859419199999998</v>
      </c>
      <c r="G1224" s="8">
        <v>-91.501500899999996</v>
      </c>
    </row>
    <row r="1225" spans="1:7" ht="15.75" customHeight="1" x14ac:dyDescent="0.25">
      <c r="A1225" s="8" t="s">
        <v>6469</v>
      </c>
      <c r="B1225" s="8" t="s">
        <v>6470</v>
      </c>
      <c r="C1225" s="8" t="s">
        <v>3836</v>
      </c>
      <c r="D1225" s="8" t="s">
        <v>643</v>
      </c>
      <c r="E1225" s="8">
        <v>53511</v>
      </c>
      <c r="F1225" s="8">
        <v>42.508204800000001</v>
      </c>
      <c r="G1225" s="8">
        <v>-88.977001200000004</v>
      </c>
    </row>
    <row r="1226" spans="1:7" ht="15.75" customHeight="1" x14ac:dyDescent="0.25">
      <c r="A1226" s="8" t="s">
        <v>6471</v>
      </c>
      <c r="B1226" s="8" t="s">
        <v>1785</v>
      </c>
      <c r="C1226" s="8" t="s">
        <v>1785</v>
      </c>
      <c r="D1226" s="8" t="s">
        <v>643</v>
      </c>
      <c r="E1226" s="8">
        <v>54936</v>
      </c>
      <c r="F1226" s="8">
        <v>43.776361747800003</v>
      </c>
      <c r="G1226" s="8">
        <v>-88.398099614700001</v>
      </c>
    </row>
    <row r="1227" spans="1:7" ht="15.75" customHeight="1" x14ac:dyDescent="0.25">
      <c r="A1227" s="8" t="s">
        <v>6472</v>
      </c>
      <c r="B1227" s="8" t="s">
        <v>6473</v>
      </c>
      <c r="C1227" s="8" t="s">
        <v>1137</v>
      </c>
      <c r="D1227" s="8" t="s">
        <v>643</v>
      </c>
      <c r="E1227" s="8">
        <v>53095</v>
      </c>
      <c r="F1227" s="8">
        <v>43.427116900000001</v>
      </c>
      <c r="G1227" s="8">
        <v>-88.183041099999997</v>
      </c>
    </row>
    <row r="1228" spans="1:7" ht="15.75" customHeight="1" x14ac:dyDescent="0.25">
      <c r="A1228" s="8" t="s">
        <v>6474</v>
      </c>
      <c r="B1228" s="8" t="s">
        <v>6475</v>
      </c>
      <c r="C1228" s="8" t="s">
        <v>3849</v>
      </c>
      <c r="D1228" s="8" t="s">
        <v>643</v>
      </c>
      <c r="E1228" s="8">
        <v>54401</v>
      </c>
      <c r="F1228" s="8">
        <v>44.9596017</v>
      </c>
      <c r="G1228" s="8">
        <v>-89.629823900000005</v>
      </c>
    </row>
    <row r="1229" spans="1:7" ht="15.75" customHeight="1" x14ac:dyDescent="0.25">
      <c r="A1229" s="8" t="s">
        <v>6476</v>
      </c>
      <c r="B1229" s="8" t="s">
        <v>6477</v>
      </c>
      <c r="C1229" s="8" t="s">
        <v>4934</v>
      </c>
      <c r="D1229" s="8" t="s">
        <v>643</v>
      </c>
      <c r="E1229" s="8">
        <v>54880</v>
      </c>
      <c r="F1229" s="8">
        <v>46.706307500000001</v>
      </c>
      <c r="G1229" s="8">
        <v>-92.045220299999997</v>
      </c>
    </row>
    <row r="1230" spans="1:7" ht="15.75" customHeight="1" x14ac:dyDescent="0.25">
      <c r="A1230" s="8" t="s">
        <v>6478</v>
      </c>
      <c r="B1230" s="8" t="s">
        <v>6479</v>
      </c>
      <c r="C1230" s="8" t="s">
        <v>3853</v>
      </c>
      <c r="D1230" s="8" t="s">
        <v>643</v>
      </c>
      <c r="E1230" s="8">
        <v>53172</v>
      </c>
      <c r="F1230" s="8">
        <v>42.910572199999997</v>
      </c>
      <c r="G1230" s="8">
        <v>-87.860636700000001</v>
      </c>
    </row>
    <row r="1231" spans="1:7" ht="15.75" customHeight="1" x14ac:dyDescent="0.25">
      <c r="A1231" s="8" t="s">
        <v>6660</v>
      </c>
      <c r="B1231" s="8" t="s">
        <v>6661</v>
      </c>
      <c r="C1231" s="8" t="s">
        <v>6661</v>
      </c>
      <c r="D1231" s="8" t="s">
        <v>643</v>
      </c>
      <c r="E1231" s="8"/>
      <c r="F1231" s="8">
        <v>43.03</v>
      </c>
      <c r="G1231" s="8">
        <v>-87.91</v>
      </c>
    </row>
    <row r="1232" spans="1:7" ht="15.75" customHeight="1" x14ac:dyDescent="0.25">
      <c r="A1232" s="8" t="s">
        <v>6480</v>
      </c>
      <c r="B1232" s="8" t="s">
        <v>6481</v>
      </c>
      <c r="C1232" s="8" t="s">
        <v>6482</v>
      </c>
      <c r="D1232" s="8" t="s">
        <v>643</v>
      </c>
      <c r="E1232" s="8">
        <v>53115</v>
      </c>
      <c r="F1232" s="8">
        <v>42.6330703</v>
      </c>
      <c r="G1232" s="8">
        <v>-88.6437138</v>
      </c>
    </row>
    <row r="1233" spans="1:7" ht="15.75" customHeight="1" x14ac:dyDescent="0.25">
      <c r="A1233" s="8" t="s">
        <v>6483</v>
      </c>
      <c r="B1233" s="8" t="s">
        <v>6484</v>
      </c>
      <c r="C1233" s="8" t="s">
        <v>6485</v>
      </c>
      <c r="D1233" s="8" t="s">
        <v>643</v>
      </c>
      <c r="E1233" s="8">
        <v>54729</v>
      </c>
      <c r="F1233" s="8">
        <v>44.936905400000001</v>
      </c>
      <c r="G1233" s="8">
        <v>-91.392934800000006</v>
      </c>
    </row>
    <row r="1234" spans="1:7" ht="15.75" customHeight="1" x14ac:dyDescent="0.25">
      <c r="A1234" s="8" t="s">
        <v>6486</v>
      </c>
      <c r="B1234" s="8" t="s">
        <v>5526</v>
      </c>
      <c r="C1234" s="8" t="s">
        <v>3895</v>
      </c>
      <c r="D1234" s="8" t="s">
        <v>643</v>
      </c>
      <c r="E1234" s="8">
        <v>53094</v>
      </c>
      <c r="F1234" s="8">
        <v>43.194848100000002</v>
      </c>
      <c r="G1234" s="8">
        <v>-88.728635199999999</v>
      </c>
    </row>
    <row r="1235" spans="1:7" ht="15.75" customHeight="1" x14ac:dyDescent="0.25">
      <c r="A1235" s="8" t="s">
        <v>6487</v>
      </c>
      <c r="B1235" s="8" t="s">
        <v>6488</v>
      </c>
      <c r="C1235" s="8" t="s">
        <v>6488</v>
      </c>
      <c r="D1235" s="8" t="s">
        <v>643</v>
      </c>
      <c r="E1235" s="8">
        <v>54143</v>
      </c>
      <c r="F1235" s="8">
        <v>45.099959400000003</v>
      </c>
      <c r="G1235" s="8">
        <v>-87.630726499999994</v>
      </c>
    </row>
    <row r="1236" spans="1:7" ht="15.75" customHeight="1" x14ac:dyDescent="0.25">
      <c r="A1236" s="8" t="s">
        <v>6489</v>
      </c>
      <c r="B1236" s="8" t="s">
        <v>6490</v>
      </c>
      <c r="C1236" s="8" t="s">
        <v>1807</v>
      </c>
      <c r="D1236" s="8" t="s">
        <v>643</v>
      </c>
      <c r="E1236" s="8">
        <v>54481</v>
      </c>
      <c r="F1236" s="8">
        <v>44.522922299999998</v>
      </c>
      <c r="G1236" s="8">
        <v>-89.574111000000002</v>
      </c>
    </row>
    <row r="1237" spans="1:7" ht="15.75" customHeight="1" x14ac:dyDescent="0.25">
      <c r="A1237" s="8" t="s">
        <v>6491</v>
      </c>
      <c r="B1237" s="8" t="s">
        <v>6492</v>
      </c>
      <c r="C1237" s="8" t="s">
        <v>6493</v>
      </c>
      <c r="D1237" s="8" t="s">
        <v>643</v>
      </c>
      <c r="E1237" s="8">
        <v>53066</v>
      </c>
      <c r="F1237" s="8">
        <v>43.143105499999997</v>
      </c>
      <c r="G1237" s="8">
        <v>-88.461563600000005</v>
      </c>
    </row>
    <row r="1238" spans="1:7" ht="15.75" customHeight="1" x14ac:dyDescent="0.25">
      <c r="A1238" s="8" t="s">
        <v>6494</v>
      </c>
      <c r="B1238" s="8" t="s">
        <v>4347</v>
      </c>
      <c r="C1238" s="8" t="s">
        <v>724</v>
      </c>
      <c r="D1238" s="8" t="s">
        <v>643</v>
      </c>
      <c r="E1238" s="8">
        <v>53027</v>
      </c>
      <c r="F1238" s="8">
        <v>43.317777599999999</v>
      </c>
      <c r="G1238" s="8">
        <v>-88.378856999999996</v>
      </c>
    </row>
    <row r="1239" spans="1:7" ht="15.75" customHeight="1" x14ac:dyDescent="0.25">
      <c r="A1239" s="8" t="s">
        <v>6495</v>
      </c>
      <c r="B1239" s="8" t="s">
        <v>6496</v>
      </c>
      <c r="C1239" s="8" t="s">
        <v>6497</v>
      </c>
      <c r="D1239" s="8" t="s">
        <v>643</v>
      </c>
      <c r="E1239" s="8">
        <v>53105</v>
      </c>
      <c r="F1239" s="8">
        <v>42.685051199999997</v>
      </c>
      <c r="G1239" s="8">
        <v>-88.252930300000003</v>
      </c>
    </row>
    <row r="1240" spans="1:7" ht="15.75" customHeight="1" x14ac:dyDescent="0.25">
      <c r="A1240" s="8" t="s">
        <v>6498</v>
      </c>
      <c r="B1240" s="8" t="s">
        <v>6499</v>
      </c>
      <c r="C1240" s="8" t="s">
        <v>5371</v>
      </c>
      <c r="D1240" s="8" t="s">
        <v>643</v>
      </c>
      <c r="E1240" s="8">
        <v>53916</v>
      </c>
      <c r="F1240" s="8">
        <v>43.457769200000001</v>
      </c>
      <c r="G1240" s="8">
        <v>-88.837328999999997</v>
      </c>
    </row>
    <row r="1241" spans="1:7" ht="15.75" customHeight="1" x14ac:dyDescent="0.25">
      <c r="A1241" s="8" t="s">
        <v>6500</v>
      </c>
      <c r="B1241" s="8" t="s">
        <v>6501</v>
      </c>
      <c r="C1241" s="8" t="s">
        <v>6502</v>
      </c>
      <c r="D1241" s="8" t="s">
        <v>643</v>
      </c>
      <c r="E1241" s="8">
        <v>53074</v>
      </c>
      <c r="F1241" s="8">
        <v>43.387224699999997</v>
      </c>
      <c r="G1241" s="8">
        <v>-87.875643999999994</v>
      </c>
    </row>
    <row r="1242" spans="1:7" ht="15.75" customHeight="1" x14ac:dyDescent="0.25">
      <c r="A1242" s="8" t="s">
        <v>6503</v>
      </c>
      <c r="B1242" s="8" t="s">
        <v>6504</v>
      </c>
      <c r="C1242" s="8" t="s">
        <v>1824</v>
      </c>
      <c r="D1242" s="8" t="s">
        <v>643</v>
      </c>
      <c r="E1242" s="8">
        <v>54241</v>
      </c>
      <c r="F1242" s="8">
        <v>44.140687100000001</v>
      </c>
      <c r="G1242" s="8">
        <v>-87.581811200000004</v>
      </c>
    </row>
    <row r="1243" spans="1:7" ht="15.75" customHeight="1" x14ac:dyDescent="0.25">
      <c r="A1243" s="8" t="s">
        <v>6505</v>
      </c>
      <c r="B1243" s="8" t="s">
        <v>1827</v>
      </c>
      <c r="C1243" s="8" t="s">
        <v>1795</v>
      </c>
      <c r="D1243" s="8" t="s">
        <v>643</v>
      </c>
      <c r="E1243" s="8">
        <v>53590</v>
      </c>
      <c r="F1243" s="8">
        <v>43.204768000000001</v>
      </c>
      <c r="G1243" s="8">
        <v>-89.208372999999995</v>
      </c>
    </row>
    <row r="1244" spans="1:7" ht="15.75" customHeight="1" x14ac:dyDescent="0.25">
      <c r="A1244" s="8" t="s">
        <v>6506</v>
      </c>
      <c r="B1244" s="8" t="s">
        <v>609</v>
      </c>
      <c r="C1244" s="8" t="s">
        <v>1776</v>
      </c>
      <c r="D1244" s="8" t="s">
        <v>643</v>
      </c>
      <c r="E1244" s="8">
        <v>54016</v>
      </c>
      <c r="F1244" s="8">
        <v>44.974689599999998</v>
      </c>
      <c r="G1244" s="8">
        <v>-92.756870300000003</v>
      </c>
    </row>
    <row r="1245" spans="1:7" ht="15.75" customHeight="1" x14ac:dyDescent="0.25">
      <c r="A1245" s="8" t="s">
        <v>6507</v>
      </c>
      <c r="B1245" s="8" t="s">
        <v>6508</v>
      </c>
      <c r="C1245" s="8" t="s">
        <v>4883</v>
      </c>
      <c r="D1245" s="8" t="s">
        <v>643</v>
      </c>
      <c r="E1245" s="8">
        <v>53818</v>
      </c>
      <c r="F1245" s="8">
        <v>42.734294200000001</v>
      </c>
      <c r="G1245" s="8">
        <v>-90.478445100000002</v>
      </c>
    </row>
    <row r="1246" spans="1:7" ht="15.75" customHeight="1" x14ac:dyDescent="0.25">
      <c r="A1246" s="8" t="s">
        <v>6509</v>
      </c>
      <c r="B1246" s="8" t="s">
        <v>6510</v>
      </c>
      <c r="C1246" s="8" t="s">
        <v>5591</v>
      </c>
      <c r="D1246" s="8" t="s">
        <v>643</v>
      </c>
      <c r="E1246" s="8">
        <v>54501</v>
      </c>
      <c r="F1246" s="8">
        <v>45.636623</v>
      </c>
      <c r="G1246" s="8">
        <v>-89.412075000000002</v>
      </c>
    </row>
    <row r="1247" spans="1:7" ht="15.75" customHeight="1" x14ac:dyDescent="0.25">
      <c r="A1247" s="8" t="s">
        <v>6511</v>
      </c>
      <c r="B1247" s="8" t="s">
        <v>6512</v>
      </c>
      <c r="C1247" s="8" t="s">
        <v>6513</v>
      </c>
      <c r="D1247" s="8" t="s">
        <v>643</v>
      </c>
      <c r="E1247" s="8">
        <v>54868</v>
      </c>
      <c r="F1247" s="8">
        <v>45.533302300000003</v>
      </c>
      <c r="G1247" s="8">
        <v>-91.733405200000007</v>
      </c>
    </row>
    <row r="1248" spans="1:7" ht="15.75" customHeight="1" x14ac:dyDescent="0.25">
      <c r="A1248" s="8" t="s">
        <v>6514</v>
      </c>
      <c r="B1248" s="8" t="s">
        <v>530</v>
      </c>
      <c r="C1248" s="8" t="s">
        <v>1137</v>
      </c>
      <c r="D1248" s="8" t="s">
        <v>643</v>
      </c>
      <c r="E1248" s="8">
        <v>53037</v>
      </c>
      <c r="F1248" s="8">
        <v>43.3238919</v>
      </c>
      <c r="G1248" s="8">
        <v>-88.166759900000002</v>
      </c>
    </row>
    <row r="1249" spans="1:7" ht="15.75" customHeight="1" x14ac:dyDescent="0.25">
      <c r="A1249" s="8" t="s">
        <v>6515</v>
      </c>
      <c r="B1249" s="8" t="s">
        <v>1642</v>
      </c>
      <c r="C1249" s="8" t="s">
        <v>3883</v>
      </c>
      <c r="D1249" s="8" t="s">
        <v>643</v>
      </c>
      <c r="E1249" s="8">
        <v>54923</v>
      </c>
      <c r="F1249" s="8">
        <v>43.968036499999997</v>
      </c>
      <c r="G1249" s="8">
        <v>-88.943447699999993</v>
      </c>
    </row>
    <row r="1250" spans="1:7" ht="15.75" customHeight="1" x14ac:dyDescent="0.25">
      <c r="A1250" s="8" t="s">
        <v>6516</v>
      </c>
      <c r="B1250" s="8" t="s">
        <v>4573</v>
      </c>
      <c r="C1250" s="8" t="s">
        <v>6517</v>
      </c>
      <c r="D1250" s="8" t="s">
        <v>643</v>
      </c>
      <c r="E1250" s="8">
        <v>53073</v>
      </c>
      <c r="F1250" s="8">
        <v>43.748605400000002</v>
      </c>
      <c r="G1250" s="8">
        <v>-87.977037999999993</v>
      </c>
    </row>
    <row r="1251" spans="1:7" ht="15.75" customHeight="1" x14ac:dyDescent="0.25">
      <c r="A1251" s="8" t="s">
        <v>6518</v>
      </c>
      <c r="B1251" s="8" t="s">
        <v>6519</v>
      </c>
      <c r="C1251" s="8" t="s">
        <v>6519</v>
      </c>
      <c r="D1251" s="8" t="s">
        <v>643</v>
      </c>
      <c r="E1251" s="8">
        <v>54981</v>
      </c>
      <c r="F1251" s="8">
        <v>44.492788900000001</v>
      </c>
      <c r="G1251" s="8">
        <v>-88.965041900000003</v>
      </c>
    </row>
    <row r="1252" spans="1:7" ht="15.75" customHeight="1" x14ac:dyDescent="0.25">
      <c r="A1252" s="8" t="s">
        <v>6520</v>
      </c>
      <c r="B1252" s="8" t="s">
        <v>6521</v>
      </c>
      <c r="C1252" s="8" t="s">
        <v>6522</v>
      </c>
      <c r="D1252" s="8" t="s">
        <v>643</v>
      </c>
      <c r="E1252" s="8">
        <v>54201</v>
      </c>
      <c r="F1252" s="8">
        <v>44.610784099999996</v>
      </c>
      <c r="G1252" s="8">
        <v>-87.438735800000003</v>
      </c>
    </row>
    <row r="1253" spans="1:7" ht="15.75" customHeight="1" x14ac:dyDescent="0.25">
      <c r="A1253" s="8" t="s">
        <v>6523</v>
      </c>
      <c r="B1253" s="8" t="s">
        <v>6524</v>
      </c>
      <c r="C1253" s="8" t="s">
        <v>1375</v>
      </c>
      <c r="D1253" s="8" t="s">
        <v>643</v>
      </c>
      <c r="E1253" s="8">
        <v>53190</v>
      </c>
      <c r="F1253" s="8">
        <v>42.8336422</v>
      </c>
      <c r="G1253" s="8">
        <v>-88.729267899999996</v>
      </c>
    </row>
    <row r="1254" spans="1:7" ht="15.75" customHeight="1" x14ac:dyDescent="0.25">
      <c r="A1254" s="8" t="s">
        <v>6525</v>
      </c>
      <c r="B1254" s="8" t="s">
        <v>6526</v>
      </c>
      <c r="C1254" s="8" t="s">
        <v>6527</v>
      </c>
      <c r="D1254" s="8" t="s">
        <v>643</v>
      </c>
      <c r="E1254" s="8">
        <v>53589</v>
      </c>
      <c r="F1254" s="8">
        <v>42.916738899999999</v>
      </c>
      <c r="G1254" s="8">
        <v>-89.217899700000004</v>
      </c>
    </row>
    <row r="1255" spans="1:7" ht="15.75" customHeight="1" x14ac:dyDescent="0.25">
      <c r="A1255" s="8" t="s">
        <v>6528</v>
      </c>
      <c r="B1255" s="8" t="s">
        <v>4472</v>
      </c>
      <c r="C1255" s="8" t="s">
        <v>6529</v>
      </c>
      <c r="D1255" s="8" t="s">
        <v>643</v>
      </c>
      <c r="E1255" s="8">
        <v>53566</v>
      </c>
      <c r="F1255" s="8">
        <v>42.601829799999997</v>
      </c>
      <c r="G1255" s="8">
        <v>-89.639239599999996</v>
      </c>
    </row>
    <row r="1256" spans="1:7" ht="15.75" customHeight="1" x14ac:dyDescent="0.25">
      <c r="A1256" s="8" t="s">
        <v>6530</v>
      </c>
      <c r="B1256" s="8" t="s">
        <v>6531</v>
      </c>
      <c r="C1256" s="8" t="s">
        <v>649</v>
      </c>
      <c r="D1256" s="8" t="s">
        <v>643</v>
      </c>
      <c r="E1256" s="8">
        <v>54656</v>
      </c>
      <c r="F1256" s="8">
        <v>43.944132799999998</v>
      </c>
      <c r="G1256" s="8">
        <v>-90.812911799999995</v>
      </c>
    </row>
    <row r="1257" spans="1:7" ht="15.75" customHeight="1" x14ac:dyDescent="0.25">
      <c r="A1257" s="8" t="s">
        <v>6532</v>
      </c>
      <c r="B1257" s="8" t="s">
        <v>1375</v>
      </c>
      <c r="C1257" s="8" t="s">
        <v>1375</v>
      </c>
      <c r="D1257" s="8" t="s">
        <v>643</v>
      </c>
      <c r="E1257" s="8">
        <v>53549</v>
      </c>
      <c r="F1257" s="8">
        <v>43.005559400000003</v>
      </c>
      <c r="G1257" s="8">
        <v>-88.807327299999997</v>
      </c>
    </row>
    <row r="1258" spans="1:7" ht="15.75" customHeight="1" x14ac:dyDescent="0.25">
      <c r="A1258" s="8" t="s">
        <v>6533</v>
      </c>
      <c r="B1258" s="8" t="s">
        <v>6534</v>
      </c>
      <c r="C1258" s="8" t="s">
        <v>1801</v>
      </c>
      <c r="D1258" s="8" t="s">
        <v>643</v>
      </c>
      <c r="E1258" s="8">
        <v>54751</v>
      </c>
      <c r="F1258" s="8">
        <v>44.875518300000003</v>
      </c>
      <c r="G1258" s="8">
        <v>-91.919342200000003</v>
      </c>
    </row>
    <row r="1259" spans="1:7" ht="15.75" customHeight="1" x14ac:dyDescent="0.25">
      <c r="A1259" s="8" t="s">
        <v>6535</v>
      </c>
      <c r="B1259" s="8" t="s">
        <v>1067</v>
      </c>
      <c r="C1259" s="8" t="s">
        <v>6536</v>
      </c>
      <c r="D1259" s="8" t="s">
        <v>643</v>
      </c>
      <c r="E1259" s="8">
        <v>54961</v>
      </c>
      <c r="F1259" s="8">
        <v>44.392758100000002</v>
      </c>
      <c r="G1259" s="8">
        <v>-88.739825499999995</v>
      </c>
    </row>
    <row r="1260" spans="1:7" ht="15.75" customHeight="1" x14ac:dyDescent="0.25">
      <c r="A1260" s="8" t="s">
        <v>6537</v>
      </c>
      <c r="B1260" s="8" t="s">
        <v>6538</v>
      </c>
      <c r="C1260" s="8" t="s">
        <v>5796</v>
      </c>
      <c r="D1260" s="8" t="s">
        <v>643</v>
      </c>
      <c r="E1260" s="8">
        <v>54494</v>
      </c>
      <c r="F1260" s="8">
        <v>44.401563299999999</v>
      </c>
      <c r="G1260" s="8">
        <v>-89.801243999999997</v>
      </c>
    </row>
    <row r="1261" spans="1:7" ht="15.75" customHeight="1" x14ac:dyDescent="0.25">
      <c r="A1261" s="8" t="s">
        <v>6539</v>
      </c>
      <c r="B1261" s="8" t="s">
        <v>6540</v>
      </c>
      <c r="C1261" s="8" t="s">
        <v>6540</v>
      </c>
      <c r="D1261" s="8" t="s">
        <v>643</v>
      </c>
      <c r="E1261" s="8">
        <v>54806</v>
      </c>
      <c r="F1261" s="8">
        <v>46.592757400000004</v>
      </c>
      <c r="G1261" s="8">
        <v>-90.883916999999997</v>
      </c>
    </row>
    <row r="1262" spans="1:7" ht="15.75" customHeight="1" x14ac:dyDescent="0.25">
      <c r="A1262" s="8" t="s">
        <v>6541</v>
      </c>
      <c r="B1262" s="8" t="s">
        <v>6542</v>
      </c>
      <c r="C1262" s="8" t="s">
        <v>3824</v>
      </c>
      <c r="D1262" s="8" t="s">
        <v>643</v>
      </c>
      <c r="E1262" s="8">
        <v>53018</v>
      </c>
      <c r="F1262" s="8">
        <v>43.061027500000002</v>
      </c>
      <c r="G1262" s="8">
        <v>-88.404069199999995</v>
      </c>
    </row>
    <row r="1263" spans="1:7" ht="15.75" customHeight="1" x14ac:dyDescent="0.25">
      <c r="A1263" s="8" t="s">
        <v>6543</v>
      </c>
      <c r="B1263" s="8" t="s">
        <v>6544</v>
      </c>
      <c r="C1263" s="8" t="s">
        <v>6545</v>
      </c>
      <c r="D1263" s="8" t="s">
        <v>643</v>
      </c>
      <c r="E1263" s="8">
        <v>54401</v>
      </c>
      <c r="F1263" s="8">
        <v>44.9596017</v>
      </c>
      <c r="G1263" s="8">
        <v>-89.629823900000005</v>
      </c>
    </row>
    <row r="1264" spans="1:7" ht="15.75" customHeight="1" x14ac:dyDescent="0.25">
      <c r="A1264" s="8" t="s">
        <v>6546</v>
      </c>
      <c r="B1264" s="8" t="s">
        <v>6547</v>
      </c>
      <c r="C1264" s="8" t="s">
        <v>5327</v>
      </c>
      <c r="D1264" s="8" t="s">
        <v>643</v>
      </c>
      <c r="E1264" s="8">
        <v>54452</v>
      </c>
      <c r="F1264" s="8">
        <v>45.180522000000003</v>
      </c>
      <c r="G1264" s="8">
        <v>-89.683458999999999</v>
      </c>
    </row>
    <row r="1265" spans="1:7" ht="15.75" customHeight="1" x14ac:dyDescent="0.25">
      <c r="A1265" s="8" t="s">
        <v>6548</v>
      </c>
      <c r="B1265" s="8" t="s">
        <v>5379</v>
      </c>
      <c r="C1265" s="8" t="s">
        <v>6549</v>
      </c>
      <c r="D1265" s="8" t="s">
        <v>643</v>
      </c>
      <c r="E1265" s="8">
        <v>53024</v>
      </c>
      <c r="F1265" s="8">
        <v>43.319726500000002</v>
      </c>
      <c r="G1265" s="8">
        <v>-87.953422599999996</v>
      </c>
    </row>
    <row r="1266" spans="1:7" ht="15.75" customHeight="1" x14ac:dyDescent="0.25">
      <c r="A1266" s="8" t="s">
        <v>6550</v>
      </c>
      <c r="B1266" s="8" t="s">
        <v>6551</v>
      </c>
      <c r="C1266" s="8" t="s">
        <v>3824</v>
      </c>
      <c r="D1266" s="8" t="s">
        <v>643</v>
      </c>
      <c r="E1266" s="8">
        <v>53149</v>
      </c>
      <c r="F1266" s="8">
        <v>42.866680299999999</v>
      </c>
      <c r="G1266" s="8">
        <v>-88.333427400000005</v>
      </c>
    </row>
    <row r="1267" spans="1:7" ht="15.75" customHeight="1" x14ac:dyDescent="0.25">
      <c r="A1267" s="8" t="s">
        <v>6552</v>
      </c>
      <c r="B1267" s="8" t="s">
        <v>6553</v>
      </c>
      <c r="C1267" s="8" t="s">
        <v>6554</v>
      </c>
      <c r="D1267" s="8" t="s">
        <v>643</v>
      </c>
      <c r="E1267" s="8">
        <v>53179</v>
      </c>
      <c r="F1267" s="8">
        <v>42.512509100000003</v>
      </c>
      <c r="G1267" s="8">
        <v>-88.120918799999998</v>
      </c>
    </row>
    <row r="1268" spans="1:7" ht="15.75" customHeight="1" x14ac:dyDescent="0.25">
      <c r="A1268" s="8" t="s">
        <v>6555</v>
      </c>
      <c r="B1268" s="8" t="s">
        <v>6556</v>
      </c>
      <c r="C1268" s="8" t="s">
        <v>1833</v>
      </c>
      <c r="D1268" s="8" t="s">
        <v>643</v>
      </c>
      <c r="E1268" s="8">
        <v>54235</v>
      </c>
      <c r="F1268" s="8">
        <v>44.800978000000001</v>
      </c>
      <c r="G1268" s="8">
        <v>-87.382161699999997</v>
      </c>
    </row>
    <row r="1269" spans="1:7" ht="15.75" customHeight="1" x14ac:dyDescent="0.25">
      <c r="A1269" s="8" t="s">
        <v>6557</v>
      </c>
      <c r="B1269" s="8" t="s">
        <v>6558</v>
      </c>
      <c r="C1269" s="8" t="s">
        <v>1785</v>
      </c>
      <c r="D1269" s="8" t="s">
        <v>643</v>
      </c>
      <c r="E1269" s="8">
        <v>53963</v>
      </c>
      <c r="F1269" s="8">
        <v>43.633215999999997</v>
      </c>
      <c r="G1269" s="8">
        <v>-88.729635200000004</v>
      </c>
    </row>
    <row r="1270" spans="1:7" ht="15" customHeight="1" x14ac:dyDescent="0.25">
      <c r="A1270" s="8" t="s">
        <v>6559</v>
      </c>
      <c r="B1270" s="8" t="s">
        <v>6560</v>
      </c>
      <c r="C1270" s="8" t="s">
        <v>2082</v>
      </c>
      <c r="D1270" s="8" t="s">
        <v>643</v>
      </c>
      <c r="E1270" s="8">
        <v>54487</v>
      </c>
      <c r="F1270" s="8">
        <v>45.471079000000003</v>
      </c>
      <c r="G1270" s="8">
        <v>-89.729859000000005</v>
      </c>
    </row>
    <row r="1271" spans="1:7" ht="15" customHeight="1" x14ac:dyDescent="0.25">
      <c r="A1271" s="8" t="s">
        <v>6561</v>
      </c>
      <c r="B1271" s="8" t="s">
        <v>6562</v>
      </c>
      <c r="C1271" s="8" t="s">
        <v>2473</v>
      </c>
      <c r="D1271" s="8" t="s">
        <v>643</v>
      </c>
      <c r="E1271" s="8">
        <v>54005</v>
      </c>
      <c r="F1271" s="8">
        <v>45.247038400000001</v>
      </c>
      <c r="G1271" s="8">
        <v>-92.271764300000001</v>
      </c>
    </row>
    <row r="1272" spans="1:7" ht="15" customHeight="1" x14ac:dyDescent="0.25">
      <c r="A1272" s="8" t="s">
        <v>6563</v>
      </c>
      <c r="B1272" s="8" t="s">
        <v>2584</v>
      </c>
      <c r="C1272" s="8" t="s">
        <v>6564</v>
      </c>
      <c r="D1272" s="8" t="s">
        <v>643</v>
      </c>
      <c r="E1272" s="8">
        <v>54722</v>
      </c>
      <c r="F1272" s="8">
        <v>44.680238600000003</v>
      </c>
      <c r="G1272" s="8">
        <v>-91.119875500000006</v>
      </c>
    </row>
    <row r="1273" spans="1:7" ht="15" customHeight="1" x14ac:dyDescent="0.25">
      <c r="A1273" s="8" t="s">
        <v>6565</v>
      </c>
      <c r="B1273" s="8" t="s">
        <v>6566</v>
      </c>
      <c r="C1273" s="8" t="s">
        <v>3233</v>
      </c>
      <c r="D1273" s="8" t="s">
        <v>643</v>
      </c>
      <c r="E1273" s="8">
        <v>53581</v>
      </c>
      <c r="F1273" s="8">
        <v>43.335556699999998</v>
      </c>
      <c r="G1273" s="8">
        <v>-90.3903313</v>
      </c>
    </row>
    <row r="1274" spans="1:7" ht="15" customHeight="1" x14ac:dyDescent="0.25">
      <c r="A1274" s="8" t="s">
        <v>6567</v>
      </c>
      <c r="B1274" s="8" t="s">
        <v>3795</v>
      </c>
      <c r="C1274" s="8" t="s">
        <v>6568</v>
      </c>
      <c r="D1274" s="8" t="s">
        <v>3793</v>
      </c>
      <c r="E1274" s="8">
        <v>25387</v>
      </c>
      <c r="F1274" s="8">
        <v>38.350599500000001</v>
      </c>
      <c r="G1274" s="8">
        <v>-81.633281199999999</v>
      </c>
    </row>
    <row r="1275" spans="1:7" ht="15" customHeight="1" x14ac:dyDescent="0.25">
      <c r="A1275" s="8" t="s">
        <v>6569</v>
      </c>
      <c r="B1275" s="8" t="s">
        <v>6570</v>
      </c>
      <c r="C1275" s="8" t="s">
        <v>6571</v>
      </c>
      <c r="D1275" s="8" t="s">
        <v>3793</v>
      </c>
      <c r="E1275" s="8">
        <v>26505</v>
      </c>
      <c r="F1275" s="8">
        <v>39.658352299999997</v>
      </c>
      <c r="G1275" s="8">
        <v>-79.986468900000006</v>
      </c>
    </row>
    <row r="1276" spans="1:7" ht="15" customHeight="1" x14ac:dyDescent="0.25">
      <c r="A1276" s="8" t="s">
        <v>6572</v>
      </c>
      <c r="B1276" s="8" t="s">
        <v>6573</v>
      </c>
      <c r="C1276" s="8" t="s">
        <v>712</v>
      </c>
      <c r="D1276" s="8" t="s">
        <v>3793</v>
      </c>
      <c r="E1276" s="8">
        <v>26003</v>
      </c>
      <c r="F1276" s="8">
        <v>40.063961599999999</v>
      </c>
      <c r="G1276" s="8">
        <v>-80.720914899999997</v>
      </c>
    </row>
    <row r="1277" spans="1:7" ht="15" customHeight="1" x14ac:dyDescent="0.25">
      <c r="A1277" s="8" t="s">
        <v>6574</v>
      </c>
      <c r="B1277" s="8" t="s">
        <v>402</v>
      </c>
      <c r="C1277" s="8" t="s">
        <v>1156</v>
      </c>
      <c r="D1277" s="8" t="s">
        <v>3793</v>
      </c>
      <c r="E1277" s="8" t="s">
        <v>6575</v>
      </c>
      <c r="F1277" s="8">
        <v>39.485084800000003</v>
      </c>
      <c r="G1277" s="8">
        <v>-80.142578099999994</v>
      </c>
    </row>
    <row r="1278" spans="1:7" ht="15" customHeight="1" x14ac:dyDescent="0.25">
      <c r="A1278" s="8" t="s">
        <v>6576</v>
      </c>
      <c r="B1278" s="8" t="s">
        <v>6577</v>
      </c>
      <c r="C1278" s="8" t="s">
        <v>1156</v>
      </c>
      <c r="D1278" s="8" t="s">
        <v>3793</v>
      </c>
      <c r="E1278" s="8">
        <v>26554</v>
      </c>
      <c r="F1278" s="8">
        <v>39.485084800000003</v>
      </c>
      <c r="G1278" s="8">
        <v>-80.142578099999994</v>
      </c>
    </row>
    <row r="1279" spans="1:7" ht="15" customHeight="1" x14ac:dyDescent="0.25">
      <c r="A1279" s="8" t="s">
        <v>6578</v>
      </c>
      <c r="B1279" s="8" t="s">
        <v>3800</v>
      </c>
      <c r="C1279" s="8" t="s">
        <v>6579</v>
      </c>
      <c r="D1279" s="8" t="s">
        <v>3793</v>
      </c>
      <c r="E1279" s="8">
        <v>25802</v>
      </c>
      <c r="F1279" s="8">
        <v>37.778170199999998</v>
      </c>
      <c r="G1279" s="8">
        <v>-81.188155699999996</v>
      </c>
    </row>
    <row r="1280" spans="1:7" ht="15" customHeight="1" x14ac:dyDescent="0.25">
      <c r="A1280" s="8" t="s">
        <v>6580</v>
      </c>
      <c r="B1280" s="8" t="s">
        <v>6581</v>
      </c>
      <c r="C1280" s="8" t="s">
        <v>6582</v>
      </c>
      <c r="D1280" s="8" t="s">
        <v>1852</v>
      </c>
      <c r="E1280" s="8">
        <v>82717</v>
      </c>
      <c r="F1280" s="8">
        <v>44.290635000000002</v>
      </c>
      <c r="G1280" s="8">
        <v>-105.501876</v>
      </c>
    </row>
    <row r="1281" spans="1:7" ht="15" customHeight="1" x14ac:dyDescent="0.25">
      <c r="A1281" s="8" t="s">
        <v>6583</v>
      </c>
      <c r="B1281" s="8" t="s">
        <v>6584</v>
      </c>
      <c r="C1281" s="8" t="s">
        <v>6585</v>
      </c>
      <c r="D1281" s="8" t="s">
        <v>1852</v>
      </c>
      <c r="E1281" s="8">
        <v>82609</v>
      </c>
      <c r="F1281" s="8">
        <v>42.866632000000003</v>
      </c>
      <c r="G1281" s="8">
        <v>-106.313081</v>
      </c>
    </row>
    <row r="1282" spans="1:7" ht="15" customHeight="1" x14ac:dyDescent="0.25">
      <c r="A1282" s="8" t="s">
        <v>6586</v>
      </c>
      <c r="B1282" s="8" t="s">
        <v>6587</v>
      </c>
      <c r="C1282" s="8" t="s">
        <v>6588</v>
      </c>
      <c r="D1282" s="8" t="s">
        <v>1852</v>
      </c>
      <c r="E1282" s="8">
        <v>82007</v>
      </c>
      <c r="F1282" s="8">
        <v>41.139980999999999</v>
      </c>
      <c r="G1282" s="8">
        <v>-104.820246</v>
      </c>
    </row>
  </sheetData>
  <autoFilter ref="A1:G1" xr:uid="{00000000-0001-0000-0900-000000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306C"/>
  </sheetPr>
  <dimension ref="A1:Z1000"/>
  <sheetViews>
    <sheetView workbookViewId="0">
      <selection activeCell="M34" sqref="M34"/>
    </sheetView>
  </sheetViews>
  <sheetFormatPr defaultColWidth="14.42578125" defaultRowHeight="15" customHeight="1" x14ac:dyDescent="0.25"/>
  <cols>
    <col min="1" max="1" width="22.85546875" customWidth="1"/>
    <col min="2" max="2" width="8.7109375" customWidth="1"/>
    <col min="3" max="3" width="13.140625" customWidth="1"/>
    <col min="4" max="4" width="14.7109375" customWidth="1"/>
    <col min="5" max="6" width="8.7109375" customWidth="1"/>
    <col min="7" max="7" width="11.85546875" customWidth="1"/>
    <col min="8" max="8" width="10.28515625" customWidth="1"/>
    <col min="9" max="14" width="8.7109375" customWidth="1"/>
    <col min="15" max="15" width="8.5703125" customWidth="1"/>
    <col min="16" max="16" width="11.7109375" customWidth="1"/>
    <col min="17" max="17" width="12.140625" customWidth="1"/>
    <col min="18" max="18" width="10.7109375" customWidth="1"/>
    <col min="19" max="26" width="8.7109375" customWidth="1"/>
  </cols>
  <sheetData>
    <row r="1" spans="1:26" x14ac:dyDescent="0.25">
      <c r="A1" s="57"/>
      <c r="B1" s="58"/>
      <c r="C1" s="59"/>
      <c r="D1" s="87" t="s">
        <v>6589</v>
      </c>
      <c r="E1" s="88"/>
      <c r="F1" s="88"/>
      <c r="G1" s="89"/>
      <c r="H1" s="87" t="s">
        <v>6590</v>
      </c>
      <c r="I1" s="88"/>
      <c r="J1" s="88"/>
      <c r="K1" s="89"/>
      <c r="L1" s="87" t="s">
        <v>6591</v>
      </c>
      <c r="M1" s="88"/>
      <c r="N1" s="88"/>
      <c r="O1" s="89"/>
      <c r="P1" s="87" t="s">
        <v>6592</v>
      </c>
      <c r="Q1" s="88"/>
      <c r="R1" s="89"/>
      <c r="S1" s="57"/>
      <c r="T1" s="57"/>
      <c r="U1" s="57"/>
      <c r="V1" s="57"/>
      <c r="W1" s="57"/>
      <c r="X1" s="57"/>
      <c r="Y1" s="57"/>
      <c r="Z1" s="57"/>
    </row>
    <row r="2" spans="1:26" ht="45" x14ac:dyDescent="0.25">
      <c r="A2" s="57"/>
      <c r="B2" s="58" t="s">
        <v>6593</v>
      </c>
      <c r="C2" s="59" t="s">
        <v>6594</v>
      </c>
      <c r="D2" s="58" t="s">
        <v>6595</v>
      </c>
      <c r="E2" s="58" t="s">
        <v>6596</v>
      </c>
      <c r="F2" s="58" t="s">
        <v>6597</v>
      </c>
      <c r="G2" s="58" t="s">
        <v>6598</v>
      </c>
      <c r="H2" s="58" t="s">
        <v>6595</v>
      </c>
      <c r="I2" s="58" t="s">
        <v>6596</v>
      </c>
      <c r="J2" s="58" t="s">
        <v>6597</v>
      </c>
      <c r="K2" s="58" t="s">
        <v>6598</v>
      </c>
      <c r="L2" s="58" t="s">
        <v>6595</v>
      </c>
      <c r="M2" s="58" t="s">
        <v>6596</v>
      </c>
      <c r="N2" s="58" t="s">
        <v>6597</v>
      </c>
      <c r="O2" s="58" t="s">
        <v>6598</v>
      </c>
      <c r="P2" s="58" t="s">
        <v>6589</v>
      </c>
      <c r="Q2" s="58" t="s">
        <v>6590</v>
      </c>
      <c r="R2" s="58" t="s">
        <v>6599</v>
      </c>
      <c r="S2" s="57"/>
      <c r="T2" s="57"/>
      <c r="U2" s="57"/>
      <c r="V2" s="57"/>
      <c r="W2" s="57"/>
      <c r="X2" s="57"/>
      <c r="Y2" s="57"/>
      <c r="Z2" s="57"/>
    </row>
    <row r="3" spans="1:26" x14ac:dyDescent="0.25">
      <c r="A3" s="60" t="s">
        <v>682</v>
      </c>
      <c r="B3" s="5">
        <v>1</v>
      </c>
      <c r="C3" s="31">
        <v>116.22</v>
      </c>
      <c r="D3" s="31">
        <v>38</v>
      </c>
      <c r="E3" s="31">
        <v>30</v>
      </c>
      <c r="F3" s="31">
        <v>77</v>
      </c>
      <c r="G3" s="31">
        <v>156</v>
      </c>
      <c r="H3" s="31">
        <v>901</v>
      </c>
      <c r="I3" s="31">
        <v>246</v>
      </c>
      <c r="J3" s="31">
        <v>27</v>
      </c>
      <c r="K3" s="31">
        <v>120</v>
      </c>
      <c r="L3" s="31">
        <v>95.6</v>
      </c>
      <c r="M3" s="31">
        <v>67.23</v>
      </c>
      <c r="N3" s="31">
        <v>47.932778200000001</v>
      </c>
      <c r="O3" s="31">
        <v>18.7</v>
      </c>
      <c r="P3" s="31">
        <f t="shared" ref="P3:P52" si="0">+SUM(D3:G3)</f>
        <v>301</v>
      </c>
      <c r="Q3" s="31">
        <f t="shared" ref="Q3:Q52" si="1">+SUM(H3:K3)</f>
        <v>1294</v>
      </c>
      <c r="R3" s="31">
        <f t="shared" ref="R3:R52" si="2">+SUM(L3:O3)</f>
        <v>229.46277819999997</v>
      </c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60" t="s">
        <v>692</v>
      </c>
      <c r="B4" s="5">
        <v>5</v>
      </c>
      <c r="C4" s="31">
        <v>54.61</v>
      </c>
      <c r="D4" s="31">
        <v>5</v>
      </c>
      <c r="E4" s="31">
        <v>7</v>
      </c>
      <c r="F4" s="31">
        <v>5</v>
      </c>
      <c r="G4" s="31">
        <v>53</v>
      </c>
      <c r="H4" s="31">
        <v>1212</v>
      </c>
      <c r="I4" s="31">
        <v>20</v>
      </c>
      <c r="J4" s="31">
        <v>18</v>
      </c>
      <c r="K4" s="31">
        <v>52</v>
      </c>
      <c r="L4" s="31">
        <v>78.5</v>
      </c>
      <c r="M4" s="31">
        <v>5.36</v>
      </c>
      <c r="N4" s="31">
        <v>2.4214099999999998</v>
      </c>
      <c r="O4" s="31">
        <v>1.48</v>
      </c>
      <c r="P4" s="31">
        <f t="shared" si="0"/>
        <v>70</v>
      </c>
      <c r="Q4" s="31">
        <f t="shared" si="1"/>
        <v>1302</v>
      </c>
      <c r="R4" s="31">
        <f t="shared" si="2"/>
        <v>87.761409999999998</v>
      </c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60" t="s">
        <v>710</v>
      </c>
      <c r="B5" s="5">
        <v>3</v>
      </c>
      <c r="C5" s="31">
        <v>62</v>
      </c>
      <c r="D5" s="31">
        <v>14</v>
      </c>
      <c r="E5" s="31">
        <v>1</v>
      </c>
      <c r="F5" s="31">
        <v>41</v>
      </c>
      <c r="G5" s="31">
        <v>26</v>
      </c>
      <c r="H5" s="31">
        <v>797</v>
      </c>
      <c r="I5" s="31">
        <v>65</v>
      </c>
      <c r="J5" s="31">
        <v>12</v>
      </c>
      <c r="K5" s="31">
        <v>145</v>
      </c>
      <c r="L5" s="31">
        <v>76.400000000000006</v>
      </c>
      <c r="M5" s="31">
        <v>17.760000000000002</v>
      </c>
      <c r="N5" s="31">
        <v>10.839405000000001</v>
      </c>
      <c r="O5" s="31">
        <v>2.73</v>
      </c>
      <c r="P5" s="31">
        <f t="shared" si="0"/>
        <v>82</v>
      </c>
      <c r="Q5" s="31">
        <f t="shared" si="1"/>
        <v>1019</v>
      </c>
      <c r="R5" s="31">
        <f t="shared" si="2"/>
        <v>107.72940500000001</v>
      </c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60" t="s">
        <v>726</v>
      </c>
      <c r="B6" s="5">
        <v>6</v>
      </c>
      <c r="C6" s="31">
        <v>53.73</v>
      </c>
      <c r="D6" s="31">
        <v>40</v>
      </c>
      <c r="E6" s="31">
        <v>17</v>
      </c>
      <c r="F6" s="31">
        <v>34</v>
      </c>
      <c r="G6" s="31">
        <v>62</v>
      </c>
      <c r="H6" s="31">
        <v>476</v>
      </c>
      <c r="I6" s="31">
        <v>36</v>
      </c>
      <c r="J6" s="31">
        <v>3</v>
      </c>
      <c r="K6" s="31">
        <v>31</v>
      </c>
      <c r="L6" s="31">
        <v>71.599999999999994</v>
      </c>
      <c r="M6" s="31">
        <v>9.8699999999999992</v>
      </c>
      <c r="N6" s="31">
        <v>13.406814999999998</v>
      </c>
      <c r="O6" s="31">
        <v>2.5</v>
      </c>
      <c r="P6" s="31">
        <f t="shared" si="0"/>
        <v>153</v>
      </c>
      <c r="Q6" s="31">
        <f t="shared" si="1"/>
        <v>546</v>
      </c>
      <c r="R6" s="31">
        <f t="shared" si="2"/>
        <v>97.376814999999993</v>
      </c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60" t="s">
        <v>687</v>
      </c>
      <c r="B7" s="5">
        <v>4</v>
      </c>
      <c r="C7" s="31">
        <v>57.44</v>
      </c>
      <c r="D7" s="31">
        <v>2</v>
      </c>
      <c r="E7" s="31">
        <v>4</v>
      </c>
      <c r="F7" s="31">
        <v>24</v>
      </c>
      <c r="G7" s="31">
        <v>20</v>
      </c>
      <c r="H7" s="31">
        <v>241</v>
      </c>
      <c r="I7" s="31">
        <v>66</v>
      </c>
      <c r="J7" s="31">
        <v>20</v>
      </c>
      <c r="K7" s="31">
        <v>116</v>
      </c>
      <c r="L7" s="31">
        <v>69.099999999999994</v>
      </c>
      <c r="M7" s="31">
        <v>17.98</v>
      </c>
      <c r="N7" s="31">
        <v>10.531345000000002</v>
      </c>
      <c r="O7" s="31">
        <v>2.64</v>
      </c>
      <c r="P7" s="31">
        <f t="shared" si="0"/>
        <v>50</v>
      </c>
      <c r="Q7" s="31">
        <f t="shared" si="1"/>
        <v>443</v>
      </c>
      <c r="R7" s="31">
        <f t="shared" si="2"/>
        <v>100.251345</v>
      </c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60" t="s">
        <v>700</v>
      </c>
      <c r="B8" s="5">
        <v>8</v>
      </c>
      <c r="C8" s="31">
        <v>46.91</v>
      </c>
      <c r="D8" s="31">
        <v>3</v>
      </c>
      <c r="E8" s="31">
        <v>3</v>
      </c>
      <c r="F8" s="31">
        <v>7</v>
      </c>
      <c r="G8" s="31">
        <v>25</v>
      </c>
      <c r="H8" s="31">
        <v>640</v>
      </c>
      <c r="I8" s="31">
        <v>35</v>
      </c>
      <c r="J8" s="31">
        <v>5</v>
      </c>
      <c r="K8" s="31">
        <v>50</v>
      </c>
      <c r="L8" s="31">
        <v>61.6</v>
      </c>
      <c r="M8" s="31">
        <v>9.57</v>
      </c>
      <c r="N8" s="31">
        <v>1.6351999999999998</v>
      </c>
      <c r="O8" s="31">
        <v>2.15</v>
      </c>
      <c r="P8" s="31">
        <f t="shared" si="0"/>
        <v>38</v>
      </c>
      <c r="Q8" s="31">
        <f t="shared" si="1"/>
        <v>730</v>
      </c>
      <c r="R8" s="31">
        <f t="shared" si="2"/>
        <v>74.955200000000005</v>
      </c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60" t="s">
        <v>720</v>
      </c>
      <c r="B9" s="5">
        <v>2</v>
      </c>
      <c r="C9" s="31">
        <v>78.510000000000005</v>
      </c>
      <c r="D9" s="31">
        <v>2</v>
      </c>
      <c r="E9" s="31">
        <v>3</v>
      </c>
      <c r="F9" s="31">
        <v>36</v>
      </c>
      <c r="G9" s="31">
        <v>45</v>
      </c>
      <c r="H9" s="31">
        <v>287</v>
      </c>
      <c r="I9" s="31">
        <v>180</v>
      </c>
      <c r="J9" s="31">
        <v>53</v>
      </c>
      <c r="K9" s="31">
        <v>381</v>
      </c>
      <c r="L9" s="31">
        <v>60</v>
      </c>
      <c r="M9" s="31">
        <v>49.2</v>
      </c>
      <c r="N9" s="31">
        <v>29.061664999999998</v>
      </c>
      <c r="O9" s="31">
        <v>10.199999999999999</v>
      </c>
      <c r="P9" s="31">
        <f t="shared" si="0"/>
        <v>86</v>
      </c>
      <c r="Q9" s="31">
        <f t="shared" si="1"/>
        <v>901</v>
      </c>
      <c r="R9" s="31">
        <f t="shared" si="2"/>
        <v>148.46166499999998</v>
      </c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60" t="s">
        <v>681</v>
      </c>
      <c r="B10" s="5">
        <v>10</v>
      </c>
      <c r="C10" s="31">
        <v>42.29</v>
      </c>
      <c r="D10" s="31">
        <v>1</v>
      </c>
      <c r="E10" s="31">
        <v>1</v>
      </c>
      <c r="F10" s="31">
        <v>4</v>
      </c>
      <c r="G10" s="31">
        <v>5</v>
      </c>
      <c r="H10" s="31">
        <v>207</v>
      </c>
      <c r="I10" s="31">
        <v>19</v>
      </c>
      <c r="J10" s="31">
        <v>12</v>
      </c>
      <c r="K10" s="31">
        <v>62</v>
      </c>
      <c r="L10" s="31">
        <v>60</v>
      </c>
      <c r="M10" s="31">
        <v>5.12</v>
      </c>
      <c r="N10" s="31">
        <v>2.2542400000000002</v>
      </c>
      <c r="O10" s="31">
        <v>0.83</v>
      </c>
      <c r="P10" s="31">
        <f t="shared" si="0"/>
        <v>11</v>
      </c>
      <c r="Q10" s="31">
        <f t="shared" si="1"/>
        <v>300</v>
      </c>
      <c r="R10" s="31">
        <f t="shared" si="2"/>
        <v>68.204239999999999</v>
      </c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60" t="s">
        <v>678</v>
      </c>
      <c r="B11" s="5">
        <v>11</v>
      </c>
      <c r="C11" s="31">
        <v>40.76</v>
      </c>
      <c r="D11" s="31">
        <v>0</v>
      </c>
      <c r="E11" s="31">
        <v>1</v>
      </c>
      <c r="F11" s="31">
        <v>5</v>
      </c>
      <c r="G11" s="31">
        <v>24</v>
      </c>
      <c r="H11" s="31">
        <v>164</v>
      </c>
      <c r="I11" s="31">
        <v>30</v>
      </c>
      <c r="J11" s="31">
        <v>21</v>
      </c>
      <c r="K11" s="31">
        <v>105</v>
      </c>
      <c r="L11" s="31">
        <v>54</v>
      </c>
      <c r="M11" s="31">
        <v>8.2899999999999991</v>
      </c>
      <c r="N11" s="31">
        <v>0.27010000000000001</v>
      </c>
      <c r="O11" s="31">
        <v>1.66</v>
      </c>
      <c r="P11" s="31">
        <f t="shared" si="0"/>
        <v>30</v>
      </c>
      <c r="Q11" s="31">
        <f t="shared" si="1"/>
        <v>320</v>
      </c>
      <c r="R11" s="31">
        <f t="shared" si="2"/>
        <v>64.220100000000002</v>
      </c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60" t="s">
        <v>715</v>
      </c>
      <c r="B12" s="5">
        <v>9</v>
      </c>
      <c r="C12" s="31">
        <v>45.54</v>
      </c>
      <c r="D12" s="31">
        <v>33</v>
      </c>
      <c r="E12" s="31">
        <v>9</v>
      </c>
      <c r="F12" s="31">
        <v>58</v>
      </c>
      <c r="G12" s="31">
        <v>81</v>
      </c>
      <c r="H12" s="31">
        <v>184</v>
      </c>
      <c r="I12" s="31">
        <v>79</v>
      </c>
      <c r="J12" s="31">
        <v>9</v>
      </c>
      <c r="K12" s="31">
        <v>220</v>
      </c>
      <c r="L12" s="31">
        <v>41.8</v>
      </c>
      <c r="M12" s="31">
        <v>21.68</v>
      </c>
      <c r="N12" s="31">
        <v>33.390565000000016</v>
      </c>
      <c r="O12" s="31">
        <v>7.66</v>
      </c>
      <c r="P12" s="31">
        <f t="shared" si="0"/>
        <v>181</v>
      </c>
      <c r="Q12" s="31">
        <f t="shared" si="1"/>
        <v>492</v>
      </c>
      <c r="R12" s="31">
        <f t="shared" si="2"/>
        <v>104.53056500000001</v>
      </c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60" t="s">
        <v>701</v>
      </c>
      <c r="B13" s="5">
        <v>17</v>
      </c>
      <c r="C13" s="31">
        <v>27.49</v>
      </c>
      <c r="D13" s="31">
        <v>4</v>
      </c>
      <c r="E13" s="31">
        <v>0</v>
      </c>
      <c r="F13" s="31">
        <v>6</v>
      </c>
      <c r="G13" s="31">
        <v>2</v>
      </c>
      <c r="H13" s="31">
        <v>134</v>
      </c>
      <c r="I13" s="31">
        <v>18</v>
      </c>
      <c r="J13" s="31">
        <v>11</v>
      </c>
      <c r="K13" s="31">
        <v>72</v>
      </c>
      <c r="L13" s="31">
        <v>37.5</v>
      </c>
      <c r="M13" s="31">
        <v>5.05</v>
      </c>
      <c r="N13" s="31">
        <v>1.8031000000000001</v>
      </c>
      <c r="O13" s="31">
        <v>0.42</v>
      </c>
      <c r="P13" s="31">
        <f t="shared" si="0"/>
        <v>12</v>
      </c>
      <c r="Q13" s="31">
        <f t="shared" si="1"/>
        <v>235</v>
      </c>
      <c r="R13" s="31">
        <f t="shared" si="2"/>
        <v>44.773099999999999</v>
      </c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60" t="s">
        <v>6600</v>
      </c>
      <c r="B14" s="5">
        <v>7</v>
      </c>
      <c r="C14" s="31">
        <v>52.3</v>
      </c>
      <c r="D14" s="31">
        <v>30</v>
      </c>
      <c r="E14" s="31">
        <v>13</v>
      </c>
      <c r="F14" s="31">
        <v>49</v>
      </c>
      <c r="G14" s="31">
        <v>118</v>
      </c>
      <c r="H14" s="31">
        <v>285</v>
      </c>
      <c r="I14" s="31">
        <v>121</v>
      </c>
      <c r="J14" s="31">
        <v>4</v>
      </c>
      <c r="K14" s="31">
        <v>122</v>
      </c>
      <c r="L14" s="31">
        <v>33.6</v>
      </c>
      <c r="M14" s="31">
        <v>32.97</v>
      </c>
      <c r="N14" s="31">
        <v>17.490434999999998</v>
      </c>
      <c r="O14" s="31">
        <v>15.1</v>
      </c>
      <c r="P14" s="31">
        <f t="shared" si="0"/>
        <v>210</v>
      </c>
      <c r="Q14" s="31">
        <f t="shared" si="1"/>
        <v>532</v>
      </c>
      <c r="R14" s="31">
        <f t="shared" si="2"/>
        <v>99.160434999999978</v>
      </c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60" t="s">
        <v>689</v>
      </c>
      <c r="B15" s="5">
        <v>20</v>
      </c>
      <c r="C15" s="31">
        <v>23.4</v>
      </c>
      <c r="D15" s="31">
        <v>8</v>
      </c>
      <c r="E15" s="31">
        <v>1</v>
      </c>
      <c r="F15" s="31">
        <v>5</v>
      </c>
      <c r="G15" s="31">
        <v>13</v>
      </c>
      <c r="H15" s="31">
        <v>182</v>
      </c>
      <c r="I15" s="31">
        <v>11</v>
      </c>
      <c r="J15" s="31">
        <v>1</v>
      </c>
      <c r="K15" s="31">
        <v>12</v>
      </c>
      <c r="L15" s="31">
        <v>33</v>
      </c>
      <c r="M15" s="31">
        <v>3.03</v>
      </c>
      <c r="N15" s="31">
        <v>0.77380000000000004</v>
      </c>
      <c r="O15" s="31">
        <v>0.55000000000000004</v>
      </c>
      <c r="P15" s="31">
        <f t="shared" si="0"/>
        <v>27</v>
      </c>
      <c r="Q15" s="31">
        <f t="shared" si="1"/>
        <v>206</v>
      </c>
      <c r="R15" s="31">
        <f t="shared" si="2"/>
        <v>37.3538</v>
      </c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60" t="s">
        <v>702</v>
      </c>
      <c r="B16" s="5">
        <v>16</v>
      </c>
      <c r="C16" s="31">
        <v>29.91</v>
      </c>
      <c r="D16" s="31">
        <v>12</v>
      </c>
      <c r="E16" s="31">
        <v>1</v>
      </c>
      <c r="F16" s="31">
        <v>22</v>
      </c>
      <c r="G16" s="31">
        <v>11</v>
      </c>
      <c r="H16" s="31">
        <v>225</v>
      </c>
      <c r="I16" s="31">
        <v>38</v>
      </c>
      <c r="J16" s="31">
        <v>7</v>
      </c>
      <c r="K16" s="31">
        <v>116</v>
      </c>
      <c r="L16" s="31">
        <v>32.700000000000003</v>
      </c>
      <c r="M16" s="31">
        <v>10.4</v>
      </c>
      <c r="N16" s="31">
        <v>5.6615150000000014</v>
      </c>
      <c r="O16" s="31">
        <v>3.68</v>
      </c>
      <c r="P16" s="31">
        <f t="shared" si="0"/>
        <v>46</v>
      </c>
      <c r="Q16" s="31">
        <f t="shared" si="1"/>
        <v>386</v>
      </c>
      <c r="R16" s="31">
        <f t="shared" si="2"/>
        <v>52.441515000000003</v>
      </c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60" t="s">
        <v>712</v>
      </c>
      <c r="B17" s="5">
        <v>12</v>
      </c>
      <c r="C17" s="31">
        <v>35.79</v>
      </c>
      <c r="D17" s="31">
        <v>7</v>
      </c>
      <c r="E17" s="31">
        <v>13</v>
      </c>
      <c r="F17" s="31">
        <v>31</v>
      </c>
      <c r="G17" s="31">
        <v>58</v>
      </c>
      <c r="H17" s="31">
        <v>201</v>
      </c>
      <c r="I17" s="31">
        <v>73</v>
      </c>
      <c r="J17" s="31">
        <v>16</v>
      </c>
      <c r="K17" s="31">
        <v>155</v>
      </c>
      <c r="L17" s="31">
        <v>27.2</v>
      </c>
      <c r="M17" s="31">
        <v>19.82</v>
      </c>
      <c r="N17" s="31">
        <v>17.092585</v>
      </c>
      <c r="O17" s="31">
        <v>8.9</v>
      </c>
      <c r="P17" s="31">
        <f t="shared" si="0"/>
        <v>109</v>
      </c>
      <c r="Q17" s="31">
        <f t="shared" si="1"/>
        <v>445</v>
      </c>
      <c r="R17" s="31">
        <f t="shared" si="2"/>
        <v>73.012585000000001</v>
      </c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60" t="s">
        <v>699</v>
      </c>
      <c r="B18" s="5">
        <v>15</v>
      </c>
      <c r="C18" s="31">
        <v>32.369999999999997</v>
      </c>
      <c r="D18" s="31">
        <v>8</v>
      </c>
      <c r="E18" s="31">
        <v>2</v>
      </c>
      <c r="F18" s="31">
        <v>72</v>
      </c>
      <c r="G18" s="31">
        <v>65</v>
      </c>
      <c r="H18" s="31">
        <v>253</v>
      </c>
      <c r="I18" s="31">
        <v>62</v>
      </c>
      <c r="J18" s="31">
        <v>13</v>
      </c>
      <c r="K18" s="31">
        <v>95</v>
      </c>
      <c r="L18" s="31">
        <v>27.1</v>
      </c>
      <c r="M18" s="31">
        <v>16.95</v>
      </c>
      <c r="N18" s="31">
        <v>23.411538</v>
      </c>
      <c r="O18" s="31">
        <v>6.5</v>
      </c>
      <c r="P18" s="31">
        <f t="shared" si="0"/>
        <v>147</v>
      </c>
      <c r="Q18" s="31">
        <f t="shared" si="1"/>
        <v>423</v>
      </c>
      <c r="R18" s="31">
        <f t="shared" si="2"/>
        <v>73.96153799999999</v>
      </c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60" t="s">
        <v>691</v>
      </c>
      <c r="B19" s="5">
        <v>18</v>
      </c>
      <c r="C19" s="31">
        <v>26.57</v>
      </c>
      <c r="D19" s="31">
        <v>10</v>
      </c>
      <c r="E19" s="31">
        <v>2</v>
      </c>
      <c r="F19" s="31">
        <v>29</v>
      </c>
      <c r="G19" s="31">
        <v>37</v>
      </c>
      <c r="H19" s="31">
        <v>317</v>
      </c>
      <c r="I19" s="31">
        <v>42</v>
      </c>
      <c r="J19" s="31">
        <v>9</v>
      </c>
      <c r="K19" s="31">
        <v>104</v>
      </c>
      <c r="L19" s="31">
        <v>26</v>
      </c>
      <c r="M19" s="31">
        <v>11.36</v>
      </c>
      <c r="N19" s="31">
        <v>11.504799999999999</v>
      </c>
      <c r="O19" s="31">
        <v>4.17</v>
      </c>
      <c r="P19" s="31">
        <f t="shared" si="0"/>
        <v>78</v>
      </c>
      <c r="Q19" s="31">
        <f t="shared" si="1"/>
        <v>472</v>
      </c>
      <c r="R19" s="31">
        <f t="shared" si="2"/>
        <v>53.034800000000004</v>
      </c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60" t="s">
        <v>723</v>
      </c>
      <c r="B20" s="5">
        <v>19</v>
      </c>
      <c r="C20" s="31">
        <v>26</v>
      </c>
      <c r="D20" s="31">
        <v>1</v>
      </c>
      <c r="E20" s="31">
        <v>2</v>
      </c>
      <c r="F20" s="31">
        <v>42</v>
      </c>
      <c r="G20" s="31">
        <v>18</v>
      </c>
      <c r="H20" s="31">
        <v>91</v>
      </c>
      <c r="I20" s="31">
        <v>53</v>
      </c>
      <c r="J20" s="31">
        <v>1</v>
      </c>
      <c r="K20" s="31">
        <v>88</v>
      </c>
      <c r="L20" s="31">
        <v>22.5</v>
      </c>
      <c r="M20" s="31">
        <v>14.5</v>
      </c>
      <c r="N20" s="31">
        <v>14.007604999999998</v>
      </c>
      <c r="O20" s="31">
        <v>3.61</v>
      </c>
      <c r="P20" s="31">
        <f t="shared" si="0"/>
        <v>63</v>
      </c>
      <c r="Q20" s="31">
        <f t="shared" si="1"/>
        <v>233</v>
      </c>
      <c r="R20" s="31">
        <f t="shared" si="2"/>
        <v>54.617604999999998</v>
      </c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5">
      <c r="A21" s="60" t="s">
        <v>713</v>
      </c>
      <c r="B21" s="5">
        <v>26</v>
      </c>
      <c r="C21" s="31">
        <v>16.25</v>
      </c>
      <c r="D21" s="31">
        <v>1</v>
      </c>
      <c r="E21" s="31">
        <v>0</v>
      </c>
      <c r="F21" s="31">
        <v>8</v>
      </c>
      <c r="G21" s="31">
        <v>16</v>
      </c>
      <c r="H21" s="31">
        <v>70</v>
      </c>
      <c r="I21" s="31">
        <v>24</v>
      </c>
      <c r="J21" s="31">
        <v>15</v>
      </c>
      <c r="K21" s="31">
        <v>48</v>
      </c>
      <c r="L21" s="31">
        <v>20</v>
      </c>
      <c r="M21" s="31">
        <v>6.68</v>
      </c>
      <c r="N21" s="31">
        <v>3.0659999999999998</v>
      </c>
      <c r="O21" s="31">
        <v>1</v>
      </c>
      <c r="P21" s="31">
        <f t="shared" si="0"/>
        <v>25</v>
      </c>
      <c r="Q21" s="31">
        <f t="shared" si="1"/>
        <v>157</v>
      </c>
      <c r="R21" s="31">
        <f t="shared" si="2"/>
        <v>30.745999999999999</v>
      </c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60" t="s">
        <v>690</v>
      </c>
      <c r="B22" s="5">
        <v>14</v>
      </c>
      <c r="C22" s="31">
        <v>33.18</v>
      </c>
      <c r="D22" s="31">
        <v>3</v>
      </c>
      <c r="E22" s="31">
        <v>3</v>
      </c>
      <c r="F22" s="31">
        <v>27</v>
      </c>
      <c r="G22" s="31">
        <v>87</v>
      </c>
      <c r="H22" s="31">
        <v>362</v>
      </c>
      <c r="I22" s="31">
        <v>79</v>
      </c>
      <c r="J22" s="31">
        <v>19</v>
      </c>
      <c r="K22" s="31">
        <v>145</v>
      </c>
      <c r="L22" s="31">
        <v>19.100000000000001</v>
      </c>
      <c r="M22" s="31">
        <v>21.48</v>
      </c>
      <c r="N22" s="31">
        <v>9.0184200000000008</v>
      </c>
      <c r="O22" s="31">
        <v>11.3</v>
      </c>
      <c r="P22" s="31">
        <f t="shared" si="0"/>
        <v>120</v>
      </c>
      <c r="Q22" s="31">
        <f t="shared" si="1"/>
        <v>605</v>
      </c>
      <c r="R22" s="31">
        <f t="shared" si="2"/>
        <v>60.898420000000002</v>
      </c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60" t="s">
        <v>694</v>
      </c>
      <c r="B23" s="5">
        <v>23</v>
      </c>
      <c r="C23" s="31">
        <v>17.22</v>
      </c>
      <c r="D23" s="31">
        <v>1</v>
      </c>
      <c r="E23" s="31">
        <v>0</v>
      </c>
      <c r="F23" s="31">
        <v>11</v>
      </c>
      <c r="G23" s="31">
        <v>7</v>
      </c>
      <c r="H23" s="31">
        <v>65</v>
      </c>
      <c r="I23" s="31">
        <v>28</v>
      </c>
      <c r="J23" s="31">
        <v>13</v>
      </c>
      <c r="K23" s="31">
        <v>86</v>
      </c>
      <c r="L23" s="31">
        <v>18</v>
      </c>
      <c r="M23" s="31">
        <v>7.58</v>
      </c>
      <c r="N23" s="31">
        <v>4.8344250000000013</v>
      </c>
      <c r="O23" s="31">
        <v>1.32</v>
      </c>
      <c r="P23" s="31">
        <f t="shared" si="0"/>
        <v>19</v>
      </c>
      <c r="Q23" s="31">
        <f t="shared" si="1"/>
        <v>192</v>
      </c>
      <c r="R23" s="31">
        <f t="shared" si="2"/>
        <v>31.734425000000002</v>
      </c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60" t="s">
        <v>708</v>
      </c>
      <c r="B24" s="5">
        <v>29</v>
      </c>
      <c r="C24" s="31">
        <v>13.73</v>
      </c>
      <c r="D24" s="31">
        <v>1</v>
      </c>
      <c r="E24" s="31">
        <v>0</v>
      </c>
      <c r="F24" s="31">
        <v>3</v>
      </c>
      <c r="G24" s="31">
        <v>8</v>
      </c>
      <c r="H24" s="31">
        <v>110</v>
      </c>
      <c r="I24" s="31">
        <v>13</v>
      </c>
      <c r="J24" s="31">
        <v>9</v>
      </c>
      <c r="K24" s="31">
        <v>12</v>
      </c>
      <c r="L24" s="31">
        <v>17.399999999999999</v>
      </c>
      <c r="M24" s="31">
        <v>3.55</v>
      </c>
      <c r="N24" s="31">
        <v>0.37522000000000005</v>
      </c>
      <c r="O24" s="31">
        <v>0.49</v>
      </c>
      <c r="P24" s="31">
        <f t="shared" si="0"/>
        <v>12</v>
      </c>
      <c r="Q24" s="31">
        <f t="shared" si="1"/>
        <v>144</v>
      </c>
      <c r="R24" s="31">
        <f t="shared" si="2"/>
        <v>21.815219999999997</v>
      </c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60" t="s">
        <v>697</v>
      </c>
      <c r="B25" s="5">
        <v>21</v>
      </c>
      <c r="C25" s="31">
        <v>18.88</v>
      </c>
      <c r="D25" s="31">
        <v>2</v>
      </c>
      <c r="E25" s="31">
        <v>1</v>
      </c>
      <c r="F25" s="31">
        <v>10</v>
      </c>
      <c r="G25" s="31">
        <v>11</v>
      </c>
      <c r="H25" s="31">
        <v>53</v>
      </c>
      <c r="I25" s="31">
        <v>38</v>
      </c>
      <c r="J25" s="31">
        <v>8</v>
      </c>
      <c r="K25" s="31">
        <v>70</v>
      </c>
      <c r="L25" s="31">
        <v>16.100000000000001</v>
      </c>
      <c r="M25" s="31">
        <v>10.26</v>
      </c>
      <c r="N25" s="31">
        <v>3.5671450000000005</v>
      </c>
      <c r="O25" s="31">
        <v>3.1</v>
      </c>
      <c r="P25" s="31">
        <f t="shared" si="0"/>
        <v>24</v>
      </c>
      <c r="Q25" s="31">
        <f t="shared" si="1"/>
        <v>169</v>
      </c>
      <c r="R25" s="31">
        <f t="shared" si="2"/>
        <v>33.027144999999997</v>
      </c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60" t="s">
        <v>724</v>
      </c>
      <c r="B26" s="5">
        <v>22</v>
      </c>
      <c r="C26" s="31">
        <v>18.54</v>
      </c>
      <c r="D26" s="31">
        <v>9</v>
      </c>
      <c r="E26" s="31">
        <v>1</v>
      </c>
      <c r="F26" s="31">
        <v>6</v>
      </c>
      <c r="G26" s="31">
        <v>33</v>
      </c>
      <c r="H26" s="31">
        <v>131</v>
      </c>
      <c r="I26" s="31">
        <v>47</v>
      </c>
      <c r="J26" s="31">
        <v>7</v>
      </c>
      <c r="K26" s="31">
        <v>46</v>
      </c>
      <c r="L26" s="31">
        <v>15</v>
      </c>
      <c r="M26" s="31">
        <v>12.97</v>
      </c>
      <c r="N26" s="31">
        <v>8.3574049999999982</v>
      </c>
      <c r="O26" s="31">
        <v>0.94</v>
      </c>
      <c r="P26" s="31">
        <f t="shared" si="0"/>
        <v>49</v>
      </c>
      <c r="Q26" s="31">
        <f t="shared" si="1"/>
        <v>231</v>
      </c>
      <c r="R26" s="31">
        <f t="shared" si="2"/>
        <v>37.267404999999997</v>
      </c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60" t="s">
        <v>693</v>
      </c>
      <c r="B27" s="5">
        <v>31</v>
      </c>
      <c r="C27" s="31">
        <v>12.94</v>
      </c>
      <c r="D27" s="31">
        <v>1</v>
      </c>
      <c r="E27" s="31">
        <v>1</v>
      </c>
      <c r="F27" s="31">
        <v>8</v>
      </c>
      <c r="G27" s="31">
        <v>18</v>
      </c>
      <c r="H27" s="31">
        <v>66</v>
      </c>
      <c r="I27" s="31">
        <v>18</v>
      </c>
      <c r="J27" s="31">
        <v>7</v>
      </c>
      <c r="K27" s="31">
        <v>40</v>
      </c>
      <c r="L27" s="31">
        <v>14.2</v>
      </c>
      <c r="M27" s="31">
        <v>4.92</v>
      </c>
      <c r="N27" s="31">
        <v>4.6374709999999997</v>
      </c>
      <c r="O27" s="31">
        <v>1.1399999999999999</v>
      </c>
      <c r="P27" s="31">
        <f t="shared" si="0"/>
        <v>28</v>
      </c>
      <c r="Q27" s="31">
        <f t="shared" si="1"/>
        <v>131</v>
      </c>
      <c r="R27" s="31">
        <f t="shared" si="2"/>
        <v>24.897470999999996</v>
      </c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60" t="s">
        <v>685</v>
      </c>
      <c r="B28" s="5">
        <v>35</v>
      </c>
      <c r="C28" s="31">
        <v>9.5299999999999994</v>
      </c>
      <c r="D28" s="31">
        <v>1</v>
      </c>
      <c r="E28" s="31">
        <v>1</v>
      </c>
      <c r="F28" s="31">
        <v>2</v>
      </c>
      <c r="G28" s="31">
        <v>10</v>
      </c>
      <c r="H28" s="31">
        <v>39</v>
      </c>
      <c r="I28" s="31">
        <v>6</v>
      </c>
      <c r="J28" s="31">
        <v>0</v>
      </c>
      <c r="K28" s="31">
        <v>9</v>
      </c>
      <c r="L28" s="31">
        <v>12.8</v>
      </c>
      <c r="M28" s="31">
        <v>1.65</v>
      </c>
      <c r="N28" s="31">
        <v>2.70465</v>
      </c>
      <c r="O28" s="31">
        <v>0.48</v>
      </c>
      <c r="P28" s="31">
        <f t="shared" si="0"/>
        <v>14</v>
      </c>
      <c r="Q28" s="31">
        <f t="shared" si="1"/>
        <v>54</v>
      </c>
      <c r="R28" s="31">
        <f t="shared" si="2"/>
        <v>17.634650000000001</v>
      </c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60" t="s">
        <v>704</v>
      </c>
      <c r="B29" s="5">
        <v>32</v>
      </c>
      <c r="C29" s="31">
        <v>10.72</v>
      </c>
      <c r="D29" s="31">
        <v>1</v>
      </c>
      <c r="E29" s="31">
        <v>1</v>
      </c>
      <c r="F29" s="31">
        <v>8</v>
      </c>
      <c r="G29" s="31">
        <v>7</v>
      </c>
      <c r="H29" s="31">
        <v>153</v>
      </c>
      <c r="I29" s="31">
        <v>12</v>
      </c>
      <c r="J29" s="31">
        <v>6</v>
      </c>
      <c r="K29" s="31">
        <v>28</v>
      </c>
      <c r="L29" s="31">
        <v>12.7</v>
      </c>
      <c r="M29" s="31">
        <v>3.28</v>
      </c>
      <c r="N29" s="31">
        <v>2.3849100000000005</v>
      </c>
      <c r="O29" s="31">
        <v>0.8</v>
      </c>
      <c r="P29" s="31">
        <f t="shared" si="0"/>
        <v>17</v>
      </c>
      <c r="Q29" s="31">
        <f t="shared" si="1"/>
        <v>199</v>
      </c>
      <c r="R29" s="31">
        <f t="shared" si="2"/>
        <v>19.164909999999999</v>
      </c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60" t="s">
        <v>717</v>
      </c>
      <c r="B30" s="5">
        <v>28</v>
      </c>
      <c r="C30" s="31">
        <v>14.27</v>
      </c>
      <c r="D30" s="31">
        <v>2</v>
      </c>
      <c r="E30" s="31">
        <v>1</v>
      </c>
      <c r="F30" s="31">
        <v>19</v>
      </c>
      <c r="G30" s="31">
        <v>11</v>
      </c>
      <c r="H30" s="31">
        <v>54</v>
      </c>
      <c r="I30" s="31">
        <v>32</v>
      </c>
      <c r="J30" s="31">
        <v>3</v>
      </c>
      <c r="K30" s="31">
        <v>94</v>
      </c>
      <c r="L30" s="31">
        <v>12.6</v>
      </c>
      <c r="M30" s="31">
        <v>8.7100000000000009</v>
      </c>
      <c r="N30" s="31">
        <v>5.0680249999999996</v>
      </c>
      <c r="O30" s="31">
        <v>0.98</v>
      </c>
      <c r="P30" s="31">
        <f t="shared" si="0"/>
        <v>33</v>
      </c>
      <c r="Q30" s="31">
        <f t="shared" si="1"/>
        <v>183</v>
      </c>
      <c r="R30" s="31">
        <f t="shared" si="2"/>
        <v>27.358025000000001</v>
      </c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60" t="s">
        <v>718</v>
      </c>
      <c r="B31" s="5">
        <v>36</v>
      </c>
      <c r="C31" s="31">
        <v>9.11</v>
      </c>
      <c r="D31" s="31">
        <v>1</v>
      </c>
      <c r="E31" s="31">
        <v>0</v>
      </c>
      <c r="F31" s="31">
        <v>2</v>
      </c>
      <c r="G31" s="31">
        <v>9</v>
      </c>
      <c r="H31" s="31">
        <v>154</v>
      </c>
      <c r="I31" s="31">
        <v>6</v>
      </c>
      <c r="J31" s="31">
        <v>1</v>
      </c>
      <c r="K31" s="31">
        <v>28</v>
      </c>
      <c r="L31" s="31">
        <v>12.3</v>
      </c>
      <c r="M31" s="31">
        <v>1.51</v>
      </c>
      <c r="N31" s="31">
        <v>0.13140000000000002</v>
      </c>
      <c r="O31" s="31">
        <v>0.43</v>
      </c>
      <c r="P31" s="31">
        <f t="shared" si="0"/>
        <v>12</v>
      </c>
      <c r="Q31" s="31">
        <f t="shared" si="1"/>
        <v>189</v>
      </c>
      <c r="R31" s="31">
        <f t="shared" si="2"/>
        <v>14.3714</v>
      </c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60" t="s">
        <v>683</v>
      </c>
      <c r="B32" s="5">
        <v>27</v>
      </c>
      <c r="C32" s="31">
        <v>14.73</v>
      </c>
      <c r="D32" s="31">
        <v>1</v>
      </c>
      <c r="E32" s="31">
        <v>1</v>
      </c>
      <c r="F32" s="31">
        <v>4</v>
      </c>
      <c r="G32" s="31">
        <v>20</v>
      </c>
      <c r="H32" s="31">
        <v>77</v>
      </c>
      <c r="I32" s="31">
        <v>36</v>
      </c>
      <c r="J32" s="31">
        <v>15</v>
      </c>
      <c r="K32" s="31">
        <v>294</v>
      </c>
      <c r="L32" s="31">
        <v>11.6</v>
      </c>
      <c r="M32" s="31">
        <v>9.76</v>
      </c>
      <c r="N32" s="31">
        <v>2.8579499999999998</v>
      </c>
      <c r="O32" s="31">
        <v>1.68</v>
      </c>
      <c r="P32" s="31">
        <f t="shared" si="0"/>
        <v>26</v>
      </c>
      <c r="Q32" s="31">
        <f t="shared" si="1"/>
        <v>422</v>
      </c>
      <c r="R32" s="31">
        <f t="shared" si="2"/>
        <v>25.897949999999998</v>
      </c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60" t="s">
        <v>680</v>
      </c>
      <c r="B33" s="5">
        <v>25</v>
      </c>
      <c r="C33" s="31">
        <v>16.25</v>
      </c>
      <c r="D33" s="31">
        <v>2</v>
      </c>
      <c r="E33" s="31">
        <v>1</v>
      </c>
      <c r="F33" s="31">
        <v>3</v>
      </c>
      <c r="G33" s="31">
        <v>10</v>
      </c>
      <c r="H33" s="31">
        <v>62</v>
      </c>
      <c r="I33" s="31">
        <v>45</v>
      </c>
      <c r="J33" s="31">
        <v>14</v>
      </c>
      <c r="K33" s="31">
        <v>59</v>
      </c>
      <c r="L33" s="31">
        <v>11.4</v>
      </c>
      <c r="M33" s="31">
        <v>12.31</v>
      </c>
      <c r="N33" s="31">
        <v>0.4526</v>
      </c>
      <c r="O33" s="31">
        <v>1.64</v>
      </c>
      <c r="P33" s="31">
        <f t="shared" si="0"/>
        <v>16</v>
      </c>
      <c r="Q33" s="31">
        <f t="shared" si="1"/>
        <v>180</v>
      </c>
      <c r="R33" s="31">
        <f t="shared" si="2"/>
        <v>25.802600000000002</v>
      </c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60" t="s">
        <v>719</v>
      </c>
      <c r="B34" s="5">
        <v>24</v>
      </c>
      <c r="C34" s="31">
        <v>16.440000000000001</v>
      </c>
      <c r="D34" s="31">
        <v>0</v>
      </c>
      <c r="E34" s="31">
        <v>0</v>
      </c>
      <c r="F34" s="31">
        <v>13</v>
      </c>
      <c r="G34" s="31">
        <v>14</v>
      </c>
      <c r="H34" s="31">
        <v>47</v>
      </c>
      <c r="I34" s="31">
        <v>42</v>
      </c>
      <c r="J34" s="31">
        <v>14</v>
      </c>
      <c r="K34" s="31">
        <v>98</v>
      </c>
      <c r="L34" s="31">
        <v>11</v>
      </c>
      <c r="M34" s="31">
        <v>11.56</v>
      </c>
      <c r="N34" s="31">
        <v>6.9130999999999991</v>
      </c>
      <c r="O34" s="31">
        <v>3.17</v>
      </c>
      <c r="P34" s="31">
        <f t="shared" si="0"/>
        <v>27</v>
      </c>
      <c r="Q34" s="31">
        <f t="shared" si="1"/>
        <v>201</v>
      </c>
      <c r="R34" s="31">
        <f t="shared" si="2"/>
        <v>32.643100000000004</v>
      </c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60" t="s">
        <v>686</v>
      </c>
      <c r="B35" s="5">
        <v>13</v>
      </c>
      <c r="C35" s="31">
        <v>33.299999999999997</v>
      </c>
      <c r="D35" s="31">
        <v>4</v>
      </c>
      <c r="E35" s="31">
        <v>5</v>
      </c>
      <c r="F35" s="31">
        <v>21</v>
      </c>
      <c r="G35" s="31">
        <v>40</v>
      </c>
      <c r="H35" s="31">
        <v>73</v>
      </c>
      <c r="I35" s="31">
        <v>134</v>
      </c>
      <c r="J35" s="31">
        <v>17</v>
      </c>
      <c r="K35" s="31">
        <v>151</v>
      </c>
      <c r="L35" s="31">
        <v>9.3000000000000007</v>
      </c>
      <c r="M35" s="31">
        <v>36.619999999999997</v>
      </c>
      <c r="N35" s="31">
        <v>10.8916</v>
      </c>
      <c r="O35" s="31">
        <v>6.1</v>
      </c>
      <c r="P35" s="31">
        <f t="shared" si="0"/>
        <v>70</v>
      </c>
      <c r="Q35" s="31">
        <f t="shared" si="1"/>
        <v>375</v>
      </c>
      <c r="R35" s="31">
        <f t="shared" si="2"/>
        <v>62.9116</v>
      </c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60" t="s">
        <v>721</v>
      </c>
      <c r="B36" s="5">
        <v>37</v>
      </c>
      <c r="C36" s="31">
        <v>9.09</v>
      </c>
      <c r="D36" s="31">
        <v>4</v>
      </c>
      <c r="E36" s="31">
        <v>0</v>
      </c>
      <c r="F36" s="31">
        <v>5</v>
      </c>
      <c r="G36" s="31">
        <v>15</v>
      </c>
      <c r="H36" s="31">
        <v>51</v>
      </c>
      <c r="I36" s="31">
        <v>20</v>
      </c>
      <c r="J36" s="31">
        <v>7</v>
      </c>
      <c r="K36" s="31">
        <v>24</v>
      </c>
      <c r="L36" s="31">
        <v>7.3</v>
      </c>
      <c r="M36" s="31">
        <v>5.45</v>
      </c>
      <c r="N36" s="31">
        <v>2.0830549999999999</v>
      </c>
      <c r="O36" s="31">
        <v>1.47</v>
      </c>
      <c r="P36" s="31">
        <f t="shared" si="0"/>
        <v>24</v>
      </c>
      <c r="Q36" s="31">
        <f t="shared" si="1"/>
        <v>102</v>
      </c>
      <c r="R36" s="31">
        <f t="shared" si="2"/>
        <v>16.303055000000001</v>
      </c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60" t="s">
        <v>722</v>
      </c>
      <c r="B37" s="5">
        <v>42</v>
      </c>
      <c r="C37" s="31">
        <v>5.1100000000000003</v>
      </c>
      <c r="D37" s="31">
        <v>17</v>
      </c>
      <c r="E37" s="31">
        <v>5</v>
      </c>
      <c r="F37" s="31">
        <v>5</v>
      </c>
      <c r="G37" s="31">
        <v>13</v>
      </c>
      <c r="H37" s="31">
        <v>59</v>
      </c>
      <c r="I37" s="31">
        <v>4</v>
      </c>
      <c r="J37" s="31">
        <v>15</v>
      </c>
      <c r="K37" s="31">
        <v>13</v>
      </c>
      <c r="L37" s="31">
        <v>6.8</v>
      </c>
      <c r="M37" s="31">
        <v>1.06</v>
      </c>
      <c r="N37" s="31">
        <v>1.6899500000000001</v>
      </c>
      <c r="O37" s="31">
        <v>0.16</v>
      </c>
      <c r="P37" s="31">
        <f t="shared" si="0"/>
        <v>40</v>
      </c>
      <c r="Q37" s="31">
        <f t="shared" si="1"/>
        <v>91</v>
      </c>
      <c r="R37" s="31">
        <f t="shared" si="2"/>
        <v>9.7099499999999992</v>
      </c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60" t="s">
        <v>714</v>
      </c>
      <c r="B38" s="5">
        <v>33</v>
      </c>
      <c r="C38" s="31">
        <v>10.23</v>
      </c>
      <c r="D38" s="31">
        <v>6</v>
      </c>
      <c r="E38" s="31">
        <v>4</v>
      </c>
      <c r="F38" s="31">
        <v>11</v>
      </c>
      <c r="G38" s="31">
        <v>34</v>
      </c>
      <c r="H38" s="31">
        <v>51</v>
      </c>
      <c r="I38" s="31">
        <v>26</v>
      </c>
      <c r="J38" s="31">
        <v>3</v>
      </c>
      <c r="K38" s="31">
        <v>33</v>
      </c>
      <c r="L38" s="31">
        <v>6.7</v>
      </c>
      <c r="M38" s="31">
        <v>7.18</v>
      </c>
      <c r="N38" s="31">
        <v>5.7487499999999994</v>
      </c>
      <c r="O38" s="31">
        <v>2.08</v>
      </c>
      <c r="P38" s="31">
        <f t="shared" si="0"/>
        <v>55</v>
      </c>
      <c r="Q38" s="31">
        <f t="shared" si="1"/>
        <v>113</v>
      </c>
      <c r="R38" s="31">
        <f t="shared" si="2"/>
        <v>21.708749999999995</v>
      </c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60" t="s">
        <v>725</v>
      </c>
      <c r="B39" s="5">
        <v>39</v>
      </c>
      <c r="C39" s="31">
        <v>5.4</v>
      </c>
      <c r="D39" s="31">
        <v>0</v>
      </c>
      <c r="E39" s="31">
        <v>0</v>
      </c>
      <c r="F39" s="31">
        <v>3</v>
      </c>
      <c r="G39" s="31">
        <v>6</v>
      </c>
      <c r="H39" s="31">
        <v>16</v>
      </c>
      <c r="I39" s="31">
        <v>11</v>
      </c>
      <c r="J39" s="31">
        <v>10</v>
      </c>
      <c r="K39" s="31">
        <v>48</v>
      </c>
      <c r="L39" s="31">
        <v>5.0999999999999996</v>
      </c>
      <c r="M39" s="31">
        <v>3.03</v>
      </c>
      <c r="N39" s="31">
        <v>0.24710500000000002</v>
      </c>
      <c r="O39" s="31">
        <v>0.31</v>
      </c>
      <c r="P39" s="31">
        <f t="shared" si="0"/>
        <v>9</v>
      </c>
      <c r="Q39" s="31">
        <f t="shared" si="1"/>
        <v>85</v>
      </c>
      <c r="R39" s="31">
        <f t="shared" si="2"/>
        <v>8.687104999999999</v>
      </c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60" t="s">
        <v>705</v>
      </c>
      <c r="B40" s="5">
        <v>41</v>
      </c>
      <c r="C40" s="31">
        <v>5.18</v>
      </c>
      <c r="D40" s="31">
        <v>0</v>
      </c>
      <c r="E40" s="31">
        <v>0</v>
      </c>
      <c r="F40" s="31">
        <v>2</v>
      </c>
      <c r="G40" s="31">
        <v>5</v>
      </c>
      <c r="H40" s="31">
        <v>11</v>
      </c>
      <c r="I40" s="31">
        <v>19</v>
      </c>
      <c r="J40" s="31">
        <v>4</v>
      </c>
      <c r="K40" s="31">
        <v>14</v>
      </c>
      <c r="L40" s="31">
        <v>1.8</v>
      </c>
      <c r="M40" s="31">
        <v>5.22</v>
      </c>
      <c r="N40" s="31">
        <v>1.55125</v>
      </c>
      <c r="O40" s="31">
        <v>1.08</v>
      </c>
      <c r="P40" s="31">
        <f t="shared" si="0"/>
        <v>7</v>
      </c>
      <c r="Q40" s="31">
        <f t="shared" si="1"/>
        <v>48</v>
      </c>
      <c r="R40" s="31">
        <f t="shared" si="2"/>
        <v>9.6512499999999992</v>
      </c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60" t="s">
        <v>696</v>
      </c>
      <c r="B41" s="5">
        <v>43</v>
      </c>
      <c r="C41" s="31">
        <v>2.69</v>
      </c>
      <c r="D41" s="31">
        <v>1</v>
      </c>
      <c r="E41" s="31">
        <v>3</v>
      </c>
      <c r="F41" s="31">
        <v>2</v>
      </c>
      <c r="G41" s="31">
        <v>1</v>
      </c>
      <c r="H41" s="31">
        <v>15</v>
      </c>
      <c r="I41" s="31">
        <v>8</v>
      </c>
      <c r="J41" s="31">
        <v>1</v>
      </c>
      <c r="K41" s="31">
        <v>51</v>
      </c>
      <c r="L41" s="31">
        <v>1.6</v>
      </c>
      <c r="M41" s="31">
        <v>2.27</v>
      </c>
      <c r="N41" s="31">
        <v>0</v>
      </c>
      <c r="O41" s="31">
        <v>0.4</v>
      </c>
      <c r="P41" s="31">
        <f t="shared" si="0"/>
        <v>7</v>
      </c>
      <c r="Q41" s="31">
        <f t="shared" si="1"/>
        <v>75</v>
      </c>
      <c r="R41" s="31">
        <f t="shared" si="2"/>
        <v>4.2700000000000005</v>
      </c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60" t="s">
        <v>711</v>
      </c>
      <c r="B42" s="5">
        <v>47</v>
      </c>
      <c r="C42" s="31">
        <v>1.66</v>
      </c>
      <c r="D42" s="31">
        <v>0</v>
      </c>
      <c r="E42" s="31">
        <v>2</v>
      </c>
      <c r="F42" s="31">
        <v>2</v>
      </c>
      <c r="G42" s="31">
        <v>2</v>
      </c>
      <c r="H42" s="31">
        <v>20</v>
      </c>
      <c r="I42" s="31">
        <v>5</v>
      </c>
      <c r="J42" s="31">
        <v>2</v>
      </c>
      <c r="K42" s="31">
        <v>20</v>
      </c>
      <c r="L42" s="31">
        <v>1.1973</v>
      </c>
      <c r="M42" s="31">
        <v>1.29</v>
      </c>
      <c r="N42" s="31">
        <v>0.20075000000000004</v>
      </c>
      <c r="O42" s="31">
        <v>0.11</v>
      </c>
      <c r="P42" s="31">
        <f t="shared" si="0"/>
        <v>6</v>
      </c>
      <c r="Q42" s="31">
        <f t="shared" si="1"/>
        <v>47</v>
      </c>
      <c r="R42" s="31">
        <f t="shared" si="2"/>
        <v>2.7980500000000004</v>
      </c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60" t="s">
        <v>703</v>
      </c>
      <c r="B43" s="5">
        <v>45</v>
      </c>
      <c r="C43" s="31">
        <v>2.08</v>
      </c>
      <c r="D43" s="31">
        <v>1</v>
      </c>
      <c r="E43" s="31">
        <v>0</v>
      </c>
      <c r="F43" s="31">
        <v>3</v>
      </c>
      <c r="G43" s="31">
        <v>8</v>
      </c>
      <c r="H43" s="31">
        <v>21</v>
      </c>
      <c r="I43" s="31">
        <v>7</v>
      </c>
      <c r="J43" s="31">
        <v>3</v>
      </c>
      <c r="K43" s="31">
        <v>24</v>
      </c>
      <c r="L43" s="31">
        <v>1.1639999999999999</v>
      </c>
      <c r="M43" s="31">
        <v>1.82</v>
      </c>
      <c r="N43" s="31">
        <v>0.58947499999999997</v>
      </c>
      <c r="O43" s="31">
        <v>0.27</v>
      </c>
      <c r="P43" s="31">
        <f t="shared" si="0"/>
        <v>12</v>
      </c>
      <c r="Q43" s="31">
        <f t="shared" si="1"/>
        <v>55</v>
      </c>
      <c r="R43" s="31">
        <f t="shared" si="2"/>
        <v>3.8434750000000002</v>
      </c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60" t="s">
        <v>684</v>
      </c>
      <c r="B44" s="5">
        <v>40</v>
      </c>
      <c r="C44" s="31">
        <v>5.25</v>
      </c>
      <c r="D44" s="31">
        <v>1</v>
      </c>
      <c r="E44" s="31">
        <v>1</v>
      </c>
      <c r="F44" s="31">
        <v>2</v>
      </c>
      <c r="G44" s="31">
        <v>10</v>
      </c>
      <c r="H44" s="31">
        <v>6</v>
      </c>
      <c r="I44" s="31">
        <v>22</v>
      </c>
      <c r="J44" s="31">
        <v>2</v>
      </c>
      <c r="K44" s="31">
        <v>57</v>
      </c>
      <c r="L44" s="31">
        <v>1.05</v>
      </c>
      <c r="M44" s="31">
        <v>6.04</v>
      </c>
      <c r="N44" s="31">
        <v>0</v>
      </c>
      <c r="O44" s="31">
        <v>1.1100000000000001</v>
      </c>
      <c r="P44" s="31">
        <f t="shared" si="0"/>
        <v>14</v>
      </c>
      <c r="Q44" s="31">
        <f t="shared" si="1"/>
        <v>87</v>
      </c>
      <c r="R44" s="31">
        <f t="shared" si="2"/>
        <v>8.1999999999999993</v>
      </c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60" t="s">
        <v>706</v>
      </c>
      <c r="B45" s="5">
        <v>46</v>
      </c>
      <c r="C45" s="31">
        <v>2.0299999999999998</v>
      </c>
      <c r="D45" s="31">
        <v>0</v>
      </c>
      <c r="E45" s="31">
        <v>1</v>
      </c>
      <c r="F45" s="31">
        <v>8</v>
      </c>
      <c r="G45" s="31">
        <v>3</v>
      </c>
      <c r="H45" s="31">
        <v>1</v>
      </c>
      <c r="I45" s="31">
        <v>8</v>
      </c>
      <c r="J45" s="31">
        <v>1</v>
      </c>
      <c r="K45" s="31">
        <v>33</v>
      </c>
      <c r="L45" s="31">
        <v>0.65200000000000002</v>
      </c>
      <c r="M45" s="31">
        <v>2.31</v>
      </c>
      <c r="N45" s="31">
        <v>1.9016500000000001</v>
      </c>
      <c r="O45" s="31">
        <v>0.21</v>
      </c>
      <c r="P45" s="31">
        <f t="shared" si="0"/>
        <v>12</v>
      </c>
      <c r="Q45" s="31">
        <f t="shared" si="1"/>
        <v>43</v>
      </c>
      <c r="R45" s="31">
        <f t="shared" si="2"/>
        <v>5.0736499999999998</v>
      </c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60" t="s">
        <v>695</v>
      </c>
      <c r="B46" s="5">
        <v>38</v>
      </c>
      <c r="C46" s="31">
        <v>6.46</v>
      </c>
      <c r="D46" s="31">
        <v>0</v>
      </c>
      <c r="E46" s="31">
        <v>0</v>
      </c>
      <c r="F46" s="31">
        <v>9</v>
      </c>
      <c r="G46" s="31">
        <v>8</v>
      </c>
      <c r="H46" s="31">
        <v>1</v>
      </c>
      <c r="I46" s="31">
        <v>29</v>
      </c>
      <c r="J46" s="31">
        <v>16</v>
      </c>
      <c r="K46" s="31">
        <v>77</v>
      </c>
      <c r="L46" s="31">
        <v>0.60560000000000003</v>
      </c>
      <c r="M46" s="31">
        <v>7.87</v>
      </c>
      <c r="N46" s="31">
        <v>6.2703350000000011</v>
      </c>
      <c r="O46" s="31">
        <v>1.62</v>
      </c>
      <c r="P46" s="31">
        <f t="shared" si="0"/>
        <v>17</v>
      </c>
      <c r="Q46" s="31">
        <f t="shared" si="1"/>
        <v>123</v>
      </c>
      <c r="R46" s="31">
        <f t="shared" si="2"/>
        <v>16.365935</v>
      </c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60" t="s">
        <v>698</v>
      </c>
      <c r="B47" s="5">
        <v>34</v>
      </c>
      <c r="C47" s="31">
        <v>10</v>
      </c>
      <c r="D47" s="31">
        <v>8</v>
      </c>
      <c r="E47" s="31">
        <v>8</v>
      </c>
      <c r="F47" s="31">
        <v>15</v>
      </c>
      <c r="G47" s="31">
        <v>6</v>
      </c>
      <c r="H47" s="31">
        <v>1</v>
      </c>
      <c r="I47" s="31">
        <v>43</v>
      </c>
      <c r="J47" s="31">
        <v>4</v>
      </c>
      <c r="K47" s="31">
        <v>75</v>
      </c>
      <c r="L47" s="31">
        <v>0.6</v>
      </c>
      <c r="M47" s="31">
        <v>11.74</v>
      </c>
      <c r="N47" s="31">
        <v>2.2922000000000002</v>
      </c>
      <c r="O47" s="31">
        <v>3.3</v>
      </c>
      <c r="P47" s="31">
        <f t="shared" si="0"/>
        <v>37</v>
      </c>
      <c r="Q47" s="31">
        <f t="shared" si="1"/>
        <v>123</v>
      </c>
      <c r="R47" s="31">
        <f t="shared" si="2"/>
        <v>17.932200000000002</v>
      </c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60" t="s">
        <v>727</v>
      </c>
      <c r="B48" s="5">
        <v>49</v>
      </c>
      <c r="C48" s="31">
        <v>1.1000000000000001</v>
      </c>
      <c r="D48" s="31">
        <v>1</v>
      </c>
      <c r="E48" s="31">
        <v>0</v>
      </c>
      <c r="F48" s="31">
        <v>0</v>
      </c>
      <c r="G48" s="31">
        <v>3</v>
      </c>
      <c r="H48" s="31">
        <v>5</v>
      </c>
      <c r="I48" s="31">
        <v>4</v>
      </c>
      <c r="J48" s="31">
        <v>2</v>
      </c>
      <c r="K48" s="31">
        <v>26</v>
      </c>
      <c r="L48" s="31">
        <v>0.56000000000000005</v>
      </c>
      <c r="M48" s="31">
        <v>0.97</v>
      </c>
      <c r="N48" s="31">
        <v>0</v>
      </c>
      <c r="O48" s="31">
        <v>0.17</v>
      </c>
      <c r="P48" s="31">
        <f t="shared" si="0"/>
        <v>4</v>
      </c>
      <c r="Q48" s="31">
        <f t="shared" si="1"/>
        <v>37</v>
      </c>
      <c r="R48" s="31">
        <f t="shared" si="2"/>
        <v>1.7</v>
      </c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60" t="s">
        <v>707</v>
      </c>
      <c r="B49" s="5">
        <v>30</v>
      </c>
      <c r="C49" s="31">
        <v>13.55</v>
      </c>
      <c r="D49" s="31">
        <v>0</v>
      </c>
      <c r="E49" s="31">
        <v>5</v>
      </c>
      <c r="F49" s="31">
        <v>22</v>
      </c>
      <c r="G49" s="31">
        <v>32</v>
      </c>
      <c r="H49" s="31">
        <v>1</v>
      </c>
      <c r="I49" s="31">
        <v>55</v>
      </c>
      <c r="J49" s="31">
        <v>1</v>
      </c>
      <c r="K49" s="31">
        <v>87</v>
      </c>
      <c r="L49" s="31">
        <v>0.318</v>
      </c>
      <c r="M49" s="31">
        <v>15.09</v>
      </c>
      <c r="N49" s="31">
        <v>11.641674999999999</v>
      </c>
      <c r="O49" s="31">
        <v>5.76</v>
      </c>
      <c r="P49" s="31">
        <f t="shared" si="0"/>
        <v>59</v>
      </c>
      <c r="Q49" s="31">
        <f t="shared" si="1"/>
        <v>144</v>
      </c>
      <c r="R49" s="31">
        <f t="shared" si="2"/>
        <v>32.809674999999999</v>
      </c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60" t="s">
        <v>688</v>
      </c>
      <c r="B50" s="5">
        <v>44</v>
      </c>
      <c r="C50" s="31">
        <v>2.11</v>
      </c>
      <c r="D50" s="31">
        <v>0</v>
      </c>
      <c r="E50" s="31">
        <v>0</v>
      </c>
      <c r="F50" s="31">
        <v>0</v>
      </c>
      <c r="G50" s="31">
        <v>9</v>
      </c>
      <c r="H50" s="31">
        <v>2</v>
      </c>
      <c r="I50" s="31">
        <v>9</v>
      </c>
      <c r="J50" s="31">
        <v>5</v>
      </c>
      <c r="K50" s="31">
        <v>14</v>
      </c>
      <c r="L50" s="31">
        <v>0.1048</v>
      </c>
      <c r="M50" s="31">
        <v>2.4</v>
      </c>
      <c r="N50" s="31">
        <v>0</v>
      </c>
      <c r="O50" s="31">
        <v>0.79</v>
      </c>
      <c r="P50" s="31">
        <f t="shared" si="0"/>
        <v>9</v>
      </c>
      <c r="Q50" s="31">
        <f t="shared" si="1"/>
        <v>30</v>
      </c>
      <c r="R50" s="31">
        <f t="shared" si="2"/>
        <v>3.2948</v>
      </c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60" t="s">
        <v>716</v>
      </c>
      <c r="B51" s="5">
        <v>48</v>
      </c>
      <c r="C51" s="31">
        <v>1.26</v>
      </c>
      <c r="D51" s="31">
        <v>0</v>
      </c>
      <c r="E51" s="31">
        <v>0</v>
      </c>
      <c r="F51" s="31">
        <v>3</v>
      </c>
      <c r="G51" s="31">
        <v>1</v>
      </c>
      <c r="H51" s="31">
        <v>0</v>
      </c>
      <c r="I51" s="31">
        <v>7</v>
      </c>
      <c r="J51" s="31">
        <v>0</v>
      </c>
      <c r="K51" s="31">
        <v>16</v>
      </c>
      <c r="L51" s="31">
        <v>4.2099999999999999E-2</v>
      </c>
      <c r="M51" s="31">
        <v>1.79</v>
      </c>
      <c r="N51" s="31">
        <v>0</v>
      </c>
      <c r="O51" s="31">
        <v>0.15</v>
      </c>
      <c r="P51" s="31">
        <f t="shared" si="0"/>
        <v>4</v>
      </c>
      <c r="Q51" s="31">
        <f t="shared" si="1"/>
        <v>23</v>
      </c>
      <c r="R51" s="31">
        <f t="shared" si="2"/>
        <v>1.9821</v>
      </c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60" t="s">
        <v>679</v>
      </c>
      <c r="B52" s="5">
        <v>50</v>
      </c>
      <c r="C52" s="31">
        <v>0.83</v>
      </c>
      <c r="D52" s="31">
        <v>0</v>
      </c>
      <c r="E52" s="31">
        <v>0</v>
      </c>
      <c r="F52" s="31">
        <v>2</v>
      </c>
      <c r="G52" s="31">
        <v>1</v>
      </c>
      <c r="H52" s="31">
        <v>0</v>
      </c>
      <c r="I52" s="31">
        <v>5</v>
      </c>
      <c r="J52" s="31">
        <v>3</v>
      </c>
      <c r="K52" s="31">
        <v>12</v>
      </c>
      <c r="L52" s="31">
        <v>1.5900000000000001E-2</v>
      </c>
      <c r="M52" s="31">
        <v>1.24</v>
      </c>
      <c r="N52" s="31">
        <v>0.94534999999999991</v>
      </c>
      <c r="O52" s="31">
        <v>0.04</v>
      </c>
      <c r="P52" s="31">
        <f t="shared" si="0"/>
        <v>3</v>
      </c>
      <c r="Q52" s="31">
        <f t="shared" si="1"/>
        <v>20</v>
      </c>
      <c r="R52" s="31">
        <f t="shared" si="2"/>
        <v>2.24125</v>
      </c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55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D1:G1"/>
    <mergeCell ref="H1:K1"/>
    <mergeCell ref="L1:O1"/>
    <mergeCell ref="P1:R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of Contents</vt:lpstr>
      <vt:lpstr>Ethanol</vt:lpstr>
      <vt:lpstr>Biobutanol</vt:lpstr>
      <vt:lpstr>Biodiesel</vt:lpstr>
      <vt:lpstr>Renewable Diesel</vt:lpstr>
      <vt:lpstr>Renewable Jet Fuel</vt:lpstr>
      <vt:lpstr>US Wood Pellets</vt:lpstr>
      <vt:lpstr>World Wood Pellets</vt:lpstr>
      <vt:lpstr>WTE</vt:lpstr>
      <vt:lpstr>Biogas AD</vt:lpstr>
      <vt:lpstr>Biogas Landfill</vt:lpstr>
      <vt:lpstr>Biogas WWT</vt:lpstr>
      <vt:lpstr>Biomethane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Myers, Christopher James</dc:creator>
  <cp:lastModifiedBy>Janire Pascual Gonzalez</cp:lastModifiedBy>
  <dcterms:created xsi:type="dcterms:W3CDTF">2018-01-31T00:20:32Z</dcterms:created>
  <dcterms:modified xsi:type="dcterms:W3CDTF">2025-03-10T17:38:27Z</dcterms:modified>
</cp:coreProperties>
</file>