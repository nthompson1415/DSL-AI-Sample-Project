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Gantt" sheetId="1" r:id="rId4"/>
    <sheet state="visible" name="About" sheetId="2" r:id="rId5"/>
  </sheets>
  <definedNames>
    <definedName name="valuevx">42.314159</definedName>
    <definedName localSheetId="0" name="today">'Sample Gantt'!$E$3</definedName>
    <definedName localSheetId="0" name="task_progress">'Sample Gantt'!$D$1</definedName>
    <definedName localSheetId="0" name="task_end">'Sample Gantt'!$F$1</definedName>
    <definedName localSheetId="0" name="task_start">'Sample Gantt'!$E$1</definedName>
  </definedNames>
  <calcPr/>
  <extLst>
    <ext uri="GoogleSheetsCustomDataVersion2">
      <go:sheetsCustomData xmlns:go="http://customooxmlschemas.google.com/" r:id="rId6" roundtripDataChecksum="GJTZEV46yTP7zaC4G+2G16yhpgiEDFG4NtqPcVHf1g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
ID#AAABtw2m5k0
DAYS    (2025-10-15 23:35:04)
This column calculates the duration of the task in calendar days. The duration includes both the Start and End dates.</t>
      </text>
    </comment>
  </commentList>
  <extLst>
    <ext uri="GoogleSheetsCustomDataVersion2">
      <go:sheetsCustomData xmlns:go="http://customooxmlschemas.google.com/" r:id="rId1" roundtripDataSignature="AMtx7mhlcXu01KLZPG7FvnrsOq6mEq/PMw=="/>
    </ext>
  </extLst>
</comments>
</file>

<file path=xl/sharedStrings.xml><?xml version="1.0" encoding="utf-8"?>
<sst xmlns="http://schemas.openxmlformats.org/spreadsheetml/2006/main" count="222" uniqueCount="89">
  <si>
    <t>2025 Bioindicators Report</t>
  </si>
  <si>
    <t>Note: This document is formatted to allow inputs of dates, progress percentages, and display.</t>
  </si>
  <si>
    <t>Dynamic Sustainability Lab</t>
  </si>
  <si>
    <t>Project Start:</t>
  </si>
  <si>
    <t>To add additional tasks, simply add a row and copy and existing formatted row in the newly formed.</t>
  </si>
  <si>
    <t>Today:</t>
  </si>
  <si>
    <t>Display Week:</t>
  </si>
  <si>
    <t>TASK</t>
  </si>
  <si>
    <t>ASSIGNED
TO</t>
  </si>
  <si>
    <t>PROGRESS</t>
  </si>
  <si>
    <t>START</t>
  </si>
  <si>
    <t>END</t>
  </si>
  <si>
    <t>DAYS</t>
  </si>
  <si>
    <t>M</t>
  </si>
  <si>
    <t>T</t>
  </si>
  <si>
    <t>W</t>
  </si>
  <si>
    <t>F</t>
  </si>
  <si>
    <t>S</t>
  </si>
  <si>
    <t>Data Collection</t>
  </si>
  <si>
    <t xml:space="preserve">Ethanol </t>
  </si>
  <si>
    <t>Blythe</t>
  </si>
  <si>
    <t xml:space="preserve"> </t>
  </si>
  <si>
    <t>Biobutanol</t>
  </si>
  <si>
    <t xml:space="preserve">Biodiesel </t>
  </si>
  <si>
    <t xml:space="preserve">Renewable Diesel </t>
  </si>
  <si>
    <t xml:space="preserve">Agriculture Summary </t>
  </si>
  <si>
    <t xml:space="preserve">Barley </t>
  </si>
  <si>
    <t xml:space="preserve">Wheat </t>
  </si>
  <si>
    <t xml:space="preserve">Corn </t>
  </si>
  <si>
    <r>
      <rPr>
        <rFont val="Calibri"/>
        <color rgb="FF000000"/>
        <sz val="11.0"/>
      </rPr>
      <t>Renewable Jet Fuel</t>
    </r>
    <r>
      <rPr>
        <rFont val="Calibri"/>
        <color rgb="FF000000"/>
        <sz val="11.0"/>
      </rPr>
      <t xml:space="preserve"> </t>
    </r>
  </si>
  <si>
    <t>Donough</t>
  </si>
  <si>
    <t xml:space="preserve">Wood Pellets data </t>
  </si>
  <si>
    <r>
      <rPr>
        <rFont val="Calibri"/>
        <color rgb="FF000000"/>
        <sz val="11.0"/>
      </rPr>
      <t>Waste to Energy</t>
    </r>
    <r>
      <rPr>
        <rFont val="Calibri"/>
        <color rgb="FF000000"/>
        <sz val="11.0"/>
      </rPr>
      <t xml:space="preserve"> </t>
    </r>
  </si>
  <si>
    <r>
      <rPr>
        <rFont val="Calibri"/>
        <color rgb="FF000000"/>
        <sz val="11.0"/>
      </rPr>
      <t>Biogas</t>
    </r>
    <r>
      <rPr>
        <rFont val="Calibri"/>
        <color rgb="FF000000"/>
        <sz val="11.0"/>
      </rPr>
      <t xml:space="preserve"> </t>
    </r>
  </si>
  <si>
    <r>
      <rPr>
        <rFont val="Calibri"/>
        <color rgb="FF000000"/>
        <sz val="11.0"/>
      </rPr>
      <t>Trade</t>
    </r>
    <r>
      <rPr>
        <rFont val="Calibri"/>
        <color rgb="FF000000"/>
        <sz val="11.0"/>
      </rPr>
      <t xml:space="preserve"> </t>
    </r>
  </si>
  <si>
    <r>
      <rPr>
        <rFont val="Calibri"/>
        <color rgb="FF000000"/>
        <sz val="11.0"/>
      </rPr>
      <t>CSC</t>
    </r>
    <r>
      <rPr>
        <rFont val="Calibri"/>
        <color rgb="FF000000"/>
        <sz val="11.0"/>
      </rPr>
      <t xml:space="preserve"> </t>
    </r>
  </si>
  <si>
    <r>
      <rPr>
        <rFont val="Calibri"/>
        <color rgb="FF000000"/>
        <sz val="11.0"/>
      </rPr>
      <t>Sorghum</t>
    </r>
    <r>
      <rPr>
        <rFont val="Calibri"/>
        <color rgb="FF000000"/>
        <sz val="11.0"/>
      </rPr>
      <t xml:space="preserve"> </t>
    </r>
  </si>
  <si>
    <r>
      <rPr>
        <rFont val="Calibri"/>
        <color rgb="FF000000"/>
        <sz val="11.0"/>
      </rPr>
      <t>Soy data</t>
    </r>
    <r>
      <rPr>
        <rFont val="Calibri"/>
        <color rgb="FF000000"/>
        <sz val="11.0"/>
      </rPr>
      <t xml:space="preserve"> </t>
    </r>
  </si>
  <si>
    <r>
      <rPr>
        <rFont val="Calibri"/>
        <color rgb="FF000000"/>
        <sz val="11.0"/>
      </rPr>
      <t>Cotton</t>
    </r>
    <r>
      <rPr>
        <rFont val="Calibri"/>
        <color rgb="FF000000"/>
        <sz val="11.0"/>
      </rPr>
      <t xml:space="preserve"> </t>
    </r>
  </si>
  <si>
    <t xml:space="preserve">Bioproducts </t>
  </si>
  <si>
    <t>Rebecca</t>
  </si>
  <si>
    <r>
      <rPr>
        <rFont val="Calibri"/>
        <color rgb="FF000000"/>
        <sz val="11.0"/>
      </rPr>
      <t>Bioplastics</t>
    </r>
    <r>
      <rPr>
        <rFont val="Calibri"/>
        <color rgb="FF000000"/>
        <sz val="11.0"/>
      </rPr>
      <t xml:space="preserve"> </t>
    </r>
  </si>
  <si>
    <r>
      <rPr>
        <rFont val="Calibri"/>
        <color rgb="FF000000"/>
        <sz val="11.0"/>
      </rPr>
      <t>Enzymes</t>
    </r>
    <r>
      <rPr>
        <rFont val="Calibri"/>
        <color rgb="FF000000"/>
        <sz val="11.0"/>
      </rPr>
      <t xml:space="preserve"> </t>
    </r>
  </si>
  <si>
    <r>
      <rPr>
        <rFont val="Calibri"/>
        <color rgb="FF000000"/>
        <sz val="11.0"/>
      </rPr>
      <t>Forest Products</t>
    </r>
    <r>
      <rPr>
        <rFont val="Calibri"/>
        <color rgb="FF000000"/>
        <sz val="11.0"/>
      </rPr>
      <t xml:space="preserve"> </t>
    </r>
  </si>
  <si>
    <t xml:space="preserve">Apparel &amp; Textiles </t>
  </si>
  <si>
    <t xml:space="preserve">Funding </t>
  </si>
  <si>
    <t>Peanuts</t>
  </si>
  <si>
    <r>
      <rPr>
        <rFont val="Calibri"/>
        <color rgb="FF000000"/>
        <sz val="11.0"/>
      </rPr>
      <t>Sunflowers</t>
    </r>
    <r>
      <rPr>
        <rFont val="Calibri"/>
        <color rgb="FF000000"/>
        <sz val="11.0"/>
      </rPr>
      <t xml:space="preserve"> </t>
    </r>
  </si>
  <si>
    <t xml:space="preserve">Canola </t>
  </si>
  <si>
    <t>Data Cleaning &amp; Visualization</t>
  </si>
  <si>
    <r>
      <rPr>
        <rFont val="Calibri"/>
        <color rgb="FF000000"/>
        <sz val="11.0"/>
      </rPr>
      <t>Renewable Jet Fuel</t>
    </r>
    <r>
      <rPr>
        <rFont val="Calibri"/>
        <color rgb="FF000000"/>
        <sz val="11.0"/>
      </rPr>
      <t xml:space="preserve"> </t>
    </r>
  </si>
  <si>
    <r>
      <rPr>
        <rFont val="Calibri"/>
        <color rgb="FF000000"/>
        <sz val="11.0"/>
      </rPr>
      <t>Waste to Energy</t>
    </r>
    <r>
      <rPr>
        <rFont val="Calibri"/>
        <color rgb="FF000000"/>
        <sz val="11.0"/>
      </rPr>
      <t xml:space="preserve"> </t>
    </r>
  </si>
  <si>
    <r>
      <rPr>
        <rFont val="Calibri"/>
        <color rgb="FF000000"/>
        <sz val="11.0"/>
      </rPr>
      <t>Biogas</t>
    </r>
    <r>
      <rPr>
        <rFont val="Calibri"/>
        <color rgb="FF000000"/>
        <sz val="11.0"/>
      </rPr>
      <t xml:space="preserve"> </t>
    </r>
  </si>
  <si>
    <r>
      <rPr>
        <rFont val="Calibri"/>
        <color rgb="FF000000"/>
        <sz val="11.0"/>
      </rPr>
      <t>Trade</t>
    </r>
    <r>
      <rPr>
        <rFont val="Calibri"/>
        <color rgb="FF000000"/>
        <sz val="11.0"/>
      </rPr>
      <t xml:space="preserve"> </t>
    </r>
  </si>
  <si>
    <r>
      <rPr>
        <rFont val="Calibri"/>
        <color rgb="FF000000"/>
        <sz val="11.0"/>
      </rPr>
      <t>CSC</t>
    </r>
    <r>
      <rPr>
        <rFont val="Calibri"/>
        <color rgb="FF000000"/>
        <sz val="11.0"/>
      </rPr>
      <t xml:space="preserve"> </t>
    </r>
  </si>
  <si>
    <r>
      <rPr>
        <rFont val="Calibri"/>
        <color rgb="FF000000"/>
        <sz val="11.0"/>
      </rPr>
      <t>Sorghum</t>
    </r>
    <r>
      <rPr>
        <rFont val="Calibri"/>
        <color rgb="FF000000"/>
        <sz val="11.0"/>
      </rPr>
      <t xml:space="preserve"> </t>
    </r>
  </si>
  <si>
    <r>
      <rPr>
        <rFont val="Calibri"/>
        <color rgb="FF000000"/>
        <sz val="11.0"/>
      </rPr>
      <t>Soy data</t>
    </r>
    <r>
      <rPr>
        <rFont val="Calibri"/>
        <color rgb="FF000000"/>
        <sz val="11.0"/>
      </rPr>
      <t xml:space="preserve"> </t>
    </r>
  </si>
  <si>
    <r>
      <rPr>
        <rFont val="Calibri"/>
        <color rgb="FF000000"/>
        <sz val="11.0"/>
      </rPr>
      <t>Cotton</t>
    </r>
    <r>
      <rPr>
        <rFont val="Calibri"/>
        <color rgb="FF000000"/>
        <sz val="11.0"/>
      </rPr>
      <t xml:space="preserve"> </t>
    </r>
  </si>
  <si>
    <r>
      <rPr>
        <rFont val="Calibri"/>
        <color rgb="FF000000"/>
        <sz val="11.0"/>
      </rPr>
      <t>Bioplastics</t>
    </r>
    <r>
      <rPr>
        <rFont val="Calibri"/>
        <color rgb="FF000000"/>
        <sz val="11.0"/>
      </rPr>
      <t xml:space="preserve"> </t>
    </r>
  </si>
  <si>
    <r>
      <rPr>
        <rFont val="Calibri"/>
        <color rgb="FF000000"/>
        <sz val="11.0"/>
      </rPr>
      <t>Enzymes</t>
    </r>
    <r>
      <rPr>
        <rFont val="Calibri"/>
        <color rgb="FF000000"/>
        <sz val="11.0"/>
      </rPr>
      <t xml:space="preserve"> </t>
    </r>
  </si>
  <si>
    <r>
      <rPr>
        <rFont val="Calibri"/>
        <color rgb="FF000000"/>
        <sz val="11.0"/>
      </rPr>
      <t>Forest Products</t>
    </r>
    <r>
      <rPr>
        <rFont val="Calibri"/>
        <color rgb="FF000000"/>
        <sz val="11.0"/>
      </rPr>
      <t xml:space="preserve"> </t>
    </r>
  </si>
  <si>
    <r>
      <rPr>
        <rFont val="Calibri"/>
        <color rgb="FF000000"/>
        <sz val="11.0"/>
      </rPr>
      <t>Sunflowers</t>
    </r>
    <r>
      <rPr>
        <rFont val="Calibri"/>
        <color rgb="FF000000"/>
        <sz val="11.0"/>
      </rPr>
      <t xml:space="preserve"> </t>
    </r>
  </si>
  <si>
    <t>Report Update</t>
  </si>
  <si>
    <r>
      <rPr>
        <rFont val="Calibri"/>
        <color rgb="FF000000"/>
        <sz val="11.0"/>
      </rPr>
      <t>Renewable Jet Fuel</t>
    </r>
    <r>
      <rPr>
        <rFont val="Calibri"/>
        <color rgb="FF000000"/>
        <sz val="11.0"/>
      </rPr>
      <t xml:space="preserve"> </t>
    </r>
  </si>
  <si>
    <r>
      <rPr>
        <rFont val="Calibri"/>
        <color rgb="FF000000"/>
        <sz val="11.0"/>
      </rPr>
      <t>Waste to Energy</t>
    </r>
    <r>
      <rPr>
        <rFont val="Calibri"/>
        <color rgb="FF000000"/>
        <sz val="11.0"/>
      </rPr>
      <t xml:space="preserve"> </t>
    </r>
  </si>
  <si>
    <r>
      <rPr>
        <rFont val="Calibri"/>
        <color rgb="FF000000"/>
        <sz val="11.0"/>
      </rPr>
      <t>Biogas</t>
    </r>
    <r>
      <rPr>
        <rFont val="Calibri"/>
        <color rgb="FF000000"/>
        <sz val="11.0"/>
      </rPr>
      <t xml:space="preserve"> </t>
    </r>
  </si>
  <si>
    <r>
      <rPr>
        <rFont val="Calibri"/>
        <color rgb="FF000000"/>
        <sz val="11.0"/>
      </rPr>
      <t>Trade</t>
    </r>
    <r>
      <rPr>
        <rFont val="Calibri"/>
        <color rgb="FF000000"/>
        <sz val="11.0"/>
      </rPr>
      <t xml:space="preserve"> </t>
    </r>
  </si>
  <si>
    <r>
      <rPr>
        <rFont val="Calibri"/>
        <color rgb="FF000000"/>
        <sz val="11.0"/>
      </rPr>
      <t>CSC</t>
    </r>
    <r>
      <rPr>
        <rFont val="Calibri"/>
        <color rgb="FF000000"/>
        <sz val="11.0"/>
      </rPr>
      <t xml:space="preserve"> </t>
    </r>
  </si>
  <si>
    <r>
      <rPr>
        <rFont val="Calibri"/>
        <color rgb="FF000000"/>
        <sz val="11.0"/>
      </rPr>
      <t>Sorghum</t>
    </r>
    <r>
      <rPr>
        <rFont val="Calibri"/>
        <color rgb="FF000000"/>
        <sz val="11.0"/>
      </rPr>
      <t xml:space="preserve"> </t>
    </r>
  </si>
  <si>
    <r>
      <rPr>
        <rFont val="Calibri"/>
        <color rgb="FF000000"/>
        <sz val="11.0"/>
      </rPr>
      <t>Soy data</t>
    </r>
    <r>
      <rPr>
        <rFont val="Calibri"/>
        <color rgb="FF000000"/>
        <sz val="11.0"/>
      </rPr>
      <t xml:space="preserve"> </t>
    </r>
  </si>
  <si>
    <r>
      <rPr>
        <rFont val="Calibri"/>
        <color rgb="FF000000"/>
        <sz val="11.0"/>
      </rPr>
      <t>Cotton</t>
    </r>
    <r>
      <rPr>
        <rFont val="Calibri"/>
        <color rgb="FF000000"/>
        <sz val="11.0"/>
      </rPr>
      <t xml:space="preserve"> </t>
    </r>
  </si>
  <si>
    <r>
      <rPr>
        <rFont val="Calibri"/>
        <color rgb="FF000000"/>
        <sz val="11.0"/>
      </rPr>
      <t>Bioplastics</t>
    </r>
    <r>
      <rPr>
        <rFont val="Calibri"/>
        <color rgb="FF000000"/>
        <sz val="11.0"/>
      </rPr>
      <t xml:space="preserve"> </t>
    </r>
  </si>
  <si>
    <r>
      <rPr>
        <rFont val="Calibri"/>
        <color rgb="FF000000"/>
        <sz val="11.0"/>
      </rPr>
      <t>Enzymes</t>
    </r>
    <r>
      <rPr>
        <rFont val="Calibri"/>
        <color rgb="FF000000"/>
        <sz val="11.0"/>
      </rPr>
      <t xml:space="preserve"> </t>
    </r>
  </si>
  <si>
    <r>
      <rPr>
        <rFont val="Calibri"/>
        <color rgb="FF000000"/>
        <sz val="11.0"/>
      </rPr>
      <t>Forest Products</t>
    </r>
    <r>
      <rPr>
        <rFont val="Calibri"/>
        <color rgb="FF000000"/>
        <sz val="11.0"/>
      </rPr>
      <t xml:space="preserve"> </t>
    </r>
  </si>
  <si>
    <r>
      <rPr>
        <rFont val="Calibri"/>
        <color rgb="FF000000"/>
        <sz val="11.0"/>
      </rPr>
      <t>Sunflowers</t>
    </r>
    <r>
      <rPr>
        <rFont val="Calibri"/>
        <color rgb="FF000000"/>
        <sz val="11.0"/>
      </rPr>
      <t xml:space="preserve"> </t>
    </r>
  </si>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</sst>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m/d/yyyy"/>
    <numFmt numFmtId="165" formatCode="mmm\ d\,\ yyyy"/>
    <numFmt numFmtId="166" formatCode="d"/>
    <numFmt numFmtId="167" formatCode="m/d/yy"/>
  </numFmts>
  <fonts count="28">
    <font>
      <sz val="11.0"/>
      <color theme="1"/>
      <name val="Calibri"/>
      <scheme val="minor"/>
    </font>
    <font>
      <b/>
      <sz val="22.0"/>
      <color rgb="FF595959"/>
      <name val="Calibri"/>
    </font>
    <font>
      <b/>
      <sz val="20.0"/>
      <color rgb="FF366092"/>
      <name val="Calibri"/>
    </font>
    <font>
      <sz val="10.0"/>
      <color theme="1"/>
      <name val="Calibri"/>
    </font>
    <font>
      <sz val="10.0"/>
      <color rgb="FF7F7F7F"/>
      <name val="Calibri"/>
    </font>
    <font>
      <color theme="1"/>
      <name val="Calibri"/>
      <scheme val="minor"/>
    </font>
    <font>
      <sz val="14.0"/>
      <color theme="1"/>
      <name val="Calibri"/>
    </font>
    <font>
      <sz val="11.0"/>
      <color theme="1"/>
      <name val="Calibri"/>
    </font>
    <font/>
    <font>
      <i/>
      <sz val="14.0"/>
      <color theme="1"/>
      <name val="Calibri"/>
    </font>
    <font>
      <sz val="9.0"/>
      <color theme="1"/>
      <name val="Calibri"/>
    </font>
    <font>
      <sz val="16.0"/>
      <color theme="1"/>
      <name val="Calibri"/>
    </font>
    <font>
      <b/>
      <sz val="9.0"/>
      <color theme="0"/>
      <name val="Calibri"/>
    </font>
    <font>
      <sz val="8.0"/>
      <color theme="0"/>
      <name val="Calibri"/>
    </font>
    <font>
      <b/>
      <sz val="11.0"/>
      <color theme="1"/>
      <name val="Calibri"/>
    </font>
    <font>
      <sz val="11.0"/>
      <color rgb="FF000000"/>
      <name val="Calibri"/>
    </font>
    <font>
      <b/>
      <sz val="11.0"/>
      <color rgb="FF000000"/>
      <name val="Calibri"/>
    </font>
    <font>
      <color rgb="FFFF0000"/>
      <name val="Calibri"/>
      <scheme val="minor"/>
    </font>
    <font>
      <b/>
      <sz val="10.0"/>
      <color theme="1"/>
      <name val="Calibri"/>
    </font>
    <font>
      <b/>
      <u/>
      <sz val="12.0"/>
      <color rgb="FF595959"/>
      <name val="Calibri"/>
    </font>
    <font>
      <b/>
      <sz val="12.0"/>
      <color rgb="FF595959"/>
      <name val="Calibri"/>
    </font>
    <font>
      <u/>
      <sz val="11.0"/>
      <color rgb="FF7F7F7F"/>
      <name val="Calibri"/>
    </font>
    <font>
      <sz val="11.0"/>
      <color rgb="FF7F7F7F"/>
      <name val="Calibri"/>
    </font>
    <font>
      <sz val="10.0"/>
      <color rgb="FF595959"/>
      <name val="Calibri"/>
    </font>
    <font>
      <sz val="20.0"/>
      <color theme="1"/>
      <name val="Calibri"/>
    </font>
    <font>
      <b/>
      <sz val="16.0"/>
      <color rgb="FF366092"/>
      <name val="Calibri"/>
    </font>
    <font>
      <sz val="11.0"/>
      <color rgb="FF1D2129"/>
      <name val="Calibri"/>
    </font>
    <font>
      <u/>
      <sz val="11.0"/>
      <color rgb="FF0000FF"/>
      <name val="Arial"/>
    </font>
  </fonts>
  <fills count="12">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FF0000"/>
        <bgColor rgb="FFFF0000"/>
      </patternFill>
    </fill>
    <fill>
      <patternFill patternType="solid">
        <fgColor rgb="FFC9DAF8"/>
        <bgColor rgb="FFC9DAF8"/>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s>
  <borders count="25">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A5A5A5"/>
      </left>
      <right style="thin">
        <color rgb="FFA5A5A5"/>
      </right>
      <top/>
    </border>
    <border>
      <top style="medium">
        <color rgb="FFD8D8D8"/>
      </top>
      <bottom style="medium">
        <color rgb="FFD8D8D8"/>
      </bottom>
    </border>
    <border>
      <left style="thin">
        <color rgb="FFD8D8D8"/>
      </left>
      <right style="thin">
        <color rgb="FFD8D8D8"/>
      </right>
      <top style="medium">
        <color rgb="FFD8D8D8"/>
      </top>
      <bottom style="medium">
        <color rgb="FFD8D8D8"/>
      </bottom>
    </border>
    <border>
      <left style="thin">
        <color rgb="FFD8D8D8"/>
      </left>
      <top style="medium">
        <color rgb="FFD8D8D8"/>
      </top>
      <bottom style="medium">
        <color rgb="FFD8D8D8"/>
      </bottom>
    </border>
    <border>
      <left style="thin">
        <color rgb="FFCCCCCC"/>
      </left>
      <right style="thin">
        <color rgb="FFCCCCCC"/>
      </right>
      <top style="thin">
        <color rgb="FFCCCCCC"/>
      </top>
      <bottom style="thin">
        <color rgb="FFCCCCCC"/>
      </bottom>
    </border>
    <border>
      <left/>
      <right/>
      <top style="medium">
        <color rgb="FFD8D8D8"/>
      </top>
    </border>
    <border>
      <left/>
      <right/>
      <top style="medium">
        <color rgb="FFD8D8D8"/>
      </top>
      <bottom style="medium">
        <color rgb="FFD8D8D8"/>
      </bottom>
    </border>
    <border>
      <bottom style="thin">
        <color rgb="FFCCCCCC"/>
      </bottom>
    </border>
    <border>
      <right/>
      <top style="medium">
        <color rgb="FFD8D8D8"/>
      </top>
      <bottom style="medium">
        <color rgb="FFD8D8D8"/>
      </bottom>
    </border>
    <border>
      <top style="thin">
        <color rgb="FFCCCCCC"/>
      </top>
      <bottom style="thin">
        <color rgb="FFCCCCCC"/>
      </bottom>
    </border>
    <border>
      <top style="thin">
        <color rgb="FFCCCCCC"/>
      </top>
    </border>
    <border>
      <left style="thin">
        <color rgb="FFD8D8D8"/>
      </left>
      <top style="medium">
        <color rgb="FFD8D8D8"/>
      </top>
    </border>
    <border>
      <left style="thin">
        <color rgb="FFD8D8D8"/>
      </left>
      <right style="thin">
        <color rgb="FFD8D8D8"/>
      </right>
      <top style="medium">
        <color rgb="FFD8D8D8"/>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xf>
    <xf borderId="0" fillId="0" fontId="3" numFmtId="0" xfId="0" applyFont="1"/>
    <xf borderId="0" fillId="0" fontId="3" numFmtId="0" xfId="0" applyAlignment="1" applyFont="1">
      <alignment horizontal="center"/>
    </xf>
    <xf borderId="0" fillId="0" fontId="3" numFmtId="0" xfId="0" applyAlignment="1" applyFont="1">
      <alignment horizontal="right" vertical="center"/>
    </xf>
    <xf borderId="0" fillId="0" fontId="4" numFmtId="0" xfId="0" applyAlignment="1" applyFont="1">
      <alignment vertical="center"/>
    </xf>
    <xf borderId="0" fillId="0" fontId="5" numFmtId="0" xfId="0" applyFont="1"/>
    <xf borderId="0" fillId="0" fontId="6" numFmtId="0" xfId="0" applyFont="1"/>
    <xf borderId="0" fillId="0" fontId="7" numFmtId="0" xfId="0" applyAlignment="1" applyFont="1">
      <alignment horizontal="right" vertical="center"/>
    </xf>
    <xf borderId="1" fillId="0" fontId="7" numFmtId="164" xfId="0" applyAlignment="1" applyBorder="1" applyFont="1" applyNumberFormat="1">
      <alignment horizontal="center" readingOrder="0" vertical="center"/>
    </xf>
    <xf borderId="2" fillId="0" fontId="8" numFmtId="0" xfId="0" applyBorder="1" applyFont="1"/>
    <xf borderId="0" fillId="0" fontId="9" numFmtId="0" xfId="0" applyFont="1"/>
    <xf borderId="3" fillId="0" fontId="7" numFmtId="0" xfId="0" applyAlignment="1" applyBorder="1" applyFont="1">
      <alignment horizontal="center" vertical="center"/>
    </xf>
    <xf borderId="4" fillId="2" fontId="7" numFmtId="165" xfId="0" applyAlignment="1" applyBorder="1" applyFill="1" applyFont="1" applyNumberFormat="1">
      <alignment horizontal="left" shrinkToFit="0" vertical="center" wrapText="1"/>
    </xf>
    <xf borderId="5" fillId="0" fontId="8" numFmtId="0" xfId="0" applyBorder="1" applyFont="1"/>
    <xf borderId="6" fillId="0" fontId="8" numFmtId="0" xfId="0" applyBorder="1" applyFont="1"/>
    <xf borderId="4" fillId="2" fontId="7" numFmtId="165" xfId="0" applyAlignment="1" applyBorder="1" applyFont="1" applyNumberFormat="1">
      <alignment horizontal="left" readingOrder="0" shrinkToFit="0" vertical="center" wrapText="1"/>
    </xf>
    <xf borderId="0" fillId="0" fontId="7" numFmtId="0" xfId="0" applyAlignment="1" applyFont="1">
      <alignment horizontal="center"/>
    </xf>
    <xf borderId="7" fillId="2" fontId="10" numFmtId="166" xfId="0" applyAlignment="1" applyBorder="1" applyFont="1" applyNumberFormat="1">
      <alignment horizontal="center" vertical="center"/>
    </xf>
    <xf borderId="8" fillId="2" fontId="10" numFmtId="166" xfId="0" applyAlignment="1" applyBorder="1" applyFont="1" applyNumberFormat="1">
      <alignment horizontal="center" vertical="center"/>
    </xf>
    <xf borderId="9" fillId="2" fontId="10" numFmtId="166" xfId="0" applyAlignment="1" applyBorder="1" applyFont="1" applyNumberFormat="1">
      <alignment horizontal="center" vertical="center"/>
    </xf>
    <xf borderId="0" fillId="2" fontId="10" numFmtId="0" xfId="0" applyAlignment="1" applyFont="1">
      <alignment horizontal="center" readingOrder="0" vertical="center"/>
    </xf>
    <xf borderId="0" fillId="2" fontId="10" numFmtId="166" xfId="0" applyAlignment="1" applyFont="1" applyNumberFormat="1">
      <alignment horizontal="center" vertical="center"/>
    </xf>
    <xf borderId="0" fillId="0" fontId="11" numFmtId="0" xfId="0" applyAlignment="1" applyFont="1">
      <alignment horizontal="right" vertical="center"/>
    </xf>
    <xf borderId="10" fillId="3" fontId="12" numFmtId="0" xfId="0" applyAlignment="1" applyBorder="1" applyFill="1" applyFont="1">
      <alignment horizontal="left" vertical="center"/>
    </xf>
    <xf borderId="10" fillId="3" fontId="12" numFmtId="0" xfId="0" applyAlignment="1" applyBorder="1" applyFont="1">
      <alignment horizontal="center" shrinkToFit="0" vertical="center" wrapText="1"/>
    </xf>
    <xf borderId="11" fillId="3" fontId="13" numFmtId="0" xfId="0" applyAlignment="1" applyBorder="1" applyFont="1">
      <alignment horizontal="center" shrinkToFit="1" vertical="center" wrapText="0"/>
    </xf>
    <xf borderId="12" fillId="3" fontId="13" numFmtId="0" xfId="0" applyAlignment="1" applyBorder="1" applyFont="1">
      <alignment horizontal="center" shrinkToFit="1" vertical="center" wrapText="0"/>
    </xf>
    <xf borderId="0" fillId="3" fontId="13" numFmtId="0" xfId="0" applyAlignment="1" applyFont="1">
      <alignment horizontal="center" shrinkToFit="1" vertical="center" wrapText="0"/>
    </xf>
    <xf borderId="13" fillId="0" fontId="7" numFmtId="0" xfId="0" applyAlignment="1" applyBorder="1" applyFont="1">
      <alignment horizontal="left" vertical="center"/>
    </xf>
    <xf borderId="13" fillId="0" fontId="7" numFmtId="0" xfId="0" applyAlignment="1" applyBorder="1" applyFont="1">
      <alignment horizontal="center" vertical="center"/>
    </xf>
    <xf borderId="13" fillId="0" fontId="7" numFmtId="9" xfId="0" applyAlignment="1" applyBorder="1" applyFont="1" applyNumberFormat="1">
      <alignment horizontal="center" vertical="center"/>
    </xf>
    <xf borderId="13" fillId="0" fontId="7" numFmtId="167" xfId="0" applyAlignment="1" applyBorder="1" applyFont="1" applyNumberFormat="1">
      <alignment horizontal="center" vertical="center"/>
    </xf>
    <xf borderId="14" fillId="0" fontId="7" numFmtId="0" xfId="0" applyAlignment="1" applyBorder="1" applyFont="1">
      <alignment vertical="center"/>
    </xf>
    <xf borderId="15" fillId="0" fontId="7" numFmtId="0" xfId="0" applyAlignment="1" applyBorder="1" applyFont="1">
      <alignment vertical="center"/>
    </xf>
    <xf borderId="16" fillId="0" fontId="7" numFmtId="0" xfId="0" applyAlignment="1" applyBorder="1" applyFont="1">
      <alignment vertical="center"/>
    </xf>
    <xf borderId="0" fillId="0" fontId="7" numFmtId="0" xfId="0" applyAlignment="1" applyFont="1">
      <alignment vertical="center"/>
    </xf>
    <xf borderId="0" fillId="4" fontId="11" numFmtId="0" xfId="0" applyAlignment="1" applyFill="1" applyFont="1">
      <alignment horizontal="right" vertical="center"/>
    </xf>
    <xf borderId="17" fillId="4" fontId="14" numFmtId="0" xfId="0" applyAlignment="1" applyBorder="1" applyFont="1">
      <alignment horizontal="left" readingOrder="0" vertical="center"/>
    </xf>
    <xf borderId="18" fillId="4" fontId="14" numFmtId="0" xfId="0" applyAlignment="1" applyBorder="1" applyFont="1">
      <alignment horizontal="center" vertical="center"/>
    </xf>
    <xf borderId="18" fillId="4" fontId="7" numFmtId="9" xfId="0" applyAlignment="1" applyBorder="1" applyFont="1" applyNumberFormat="1">
      <alignment horizontal="center" vertical="center"/>
    </xf>
    <xf borderId="18" fillId="4" fontId="7" numFmtId="167" xfId="0" applyAlignment="1" applyBorder="1" applyFont="1" applyNumberFormat="1">
      <alignment horizontal="center" vertical="center"/>
    </xf>
    <xf borderId="0" fillId="5" fontId="11" numFmtId="0" xfId="0" applyAlignment="1" applyFill="1" applyFont="1">
      <alignment horizontal="right" vertical="center"/>
    </xf>
    <xf borderId="19" fillId="5" fontId="15" numFmtId="0" xfId="0" applyAlignment="1" applyBorder="1" applyFont="1">
      <alignment readingOrder="0" vertical="bottom"/>
    </xf>
    <xf borderId="20" fillId="5" fontId="7" numFmtId="0" xfId="0" applyAlignment="1" applyBorder="1" applyFont="1">
      <alignment horizontal="center" readingOrder="0" vertical="center"/>
    </xf>
    <xf borderId="18" fillId="5" fontId="7" numFmtId="9" xfId="0" applyAlignment="1" applyBorder="1" applyFont="1" applyNumberFormat="1">
      <alignment horizontal="center" readingOrder="0" vertical="center"/>
    </xf>
    <xf borderId="18" fillId="5" fontId="7" numFmtId="167" xfId="0" applyAlignment="1" applyBorder="1" applyFont="1" applyNumberFormat="1">
      <alignment horizontal="center" readingOrder="0" vertical="center"/>
    </xf>
    <xf borderId="14" fillId="4" fontId="7" numFmtId="0" xfId="0" applyAlignment="1" applyBorder="1" applyFont="1">
      <alignment vertical="center"/>
    </xf>
    <xf borderId="14" fillId="6" fontId="7" numFmtId="0" xfId="0" applyAlignment="1" applyBorder="1" applyFill="1" applyFont="1">
      <alignment vertical="center"/>
    </xf>
    <xf borderId="21" fillId="5" fontId="15" numFmtId="0" xfId="0" applyAlignment="1" applyBorder="1" applyFont="1">
      <alignment readingOrder="0" vertical="bottom"/>
    </xf>
    <xf borderId="14" fillId="0" fontId="7" numFmtId="0" xfId="0" applyAlignment="1" applyBorder="1" applyFont="1">
      <alignment horizontal="right" vertical="center"/>
    </xf>
    <xf borderId="18" fillId="5" fontId="7" numFmtId="9" xfId="0" applyAlignment="1" applyBorder="1" applyFont="1" applyNumberFormat="1">
      <alignment horizontal="center" vertical="center"/>
    </xf>
    <xf borderId="18" fillId="5" fontId="7" numFmtId="167" xfId="0" applyAlignment="1" applyBorder="1" applyFont="1" applyNumberFormat="1">
      <alignment horizontal="center" vertical="center"/>
    </xf>
    <xf borderId="14" fillId="7" fontId="7" numFmtId="0" xfId="0" applyAlignment="1" applyBorder="1" applyFill="1" applyFont="1">
      <alignment vertical="center"/>
    </xf>
    <xf borderId="22" fillId="5" fontId="15" numFmtId="0" xfId="0" applyAlignment="1" applyBorder="1" applyFont="1">
      <alignment readingOrder="0" vertical="bottom"/>
    </xf>
    <xf borderId="0" fillId="8" fontId="11" numFmtId="0" xfId="0" applyAlignment="1" applyFill="1" applyFont="1">
      <alignment horizontal="right" vertical="center"/>
    </xf>
    <xf borderId="3" fillId="8" fontId="16" numFmtId="0" xfId="0" applyAlignment="1" applyBorder="1" applyFont="1">
      <alignment readingOrder="0" vertical="bottom"/>
    </xf>
    <xf borderId="20" fillId="8" fontId="7" numFmtId="0" xfId="0" applyAlignment="1" applyBorder="1" applyFont="1">
      <alignment horizontal="center" vertical="center"/>
    </xf>
    <xf borderId="18" fillId="8" fontId="7" numFmtId="9" xfId="0" applyAlignment="1" applyBorder="1" applyFont="1" applyNumberFormat="1">
      <alignment horizontal="center" vertical="center"/>
    </xf>
    <xf borderId="18" fillId="8" fontId="7" numFmtId="167" xfId="0" applyAlignment="1" applyBorder="1" applyFont="1" applyNumberFormat="1">
      <alignment horizontal="center" vertical="center"/>
    </xf>
    <xf borderId="0" fillId="9" fontId="11" numFmtId="0" xfId="0" applyAlignment="1" applyFill="1" applyFont="1">
      <alignment horizontal="right" vertical="center"/>
    </xf>
    <xf borderId="19" fillId="9" fontId="15" numFmtId="0" xfId="0" applyAlignment="1" applyBorder="1" applyFont="1">
      <alignment readingOrder="0" vertical="bottom"/>
    </xf>
    <xf borderId="20" fillId="9" fontId="7" numFmtId="0" xfId="0" applyAlignment="1" applyBorder="1" applyFont="1">
      <alignment horizontal="center" readingOrder="0" vertical="center"/>
    </xf>
    <xf borderId="18" fillId="9" fontId="7" numFmtId="9" xfId="0" applyAlignment="1" applyBorder="1" applyFont="1" applyNumberFormat="1">
      <alignment horizontal="center" vertical="center"/>
    </xf>
    <xf borderId="18" fillId="9" fontId="7" numFmtId="167" xfId="0" applyAlignment="1" applyBorder="1" applyFont="1" applyNumberFormat="1">
      <alignment horizontal="center" vertical="center"/>
    </xf>
    <xf borderId="23" fillId="8" fontId="7" numFmtId="0" xfId="0" applyAlignment="1" applyBorder="1" applyFont="1">
      <alignment vertical="center"/>
    </xf>
    <xf borderId="16" fillId="8" fontId="7" numFmtId="0" xfId="0" applyAlignment="1" applyBorder="1" applyFont="1">
      <alignment vertical="center"/>
    </xf>
    <xf borderId="16" fillId="6" fontId="7" numFmtId="0" xfId="0" applyAlignment="1" applyBorder="1" applyFont="1">
      <alignment vertical="center"/>
    </xf>
    <xf borderId="21" fillId="9" fontId="15" numFmtId="0" xfId="0" applyAlignment="1" applyBorder="1" applyFont="1">
      <alignment readingOrder="0" vertical="bottom"/>
    </xf>
    <xf borderId="13" fillId="9" fontId="7" numFmtId="9" xfId="0" applyAlignment="1" applyBorder="1" applyFont="1" applyNumberFormat="1">
      <alignment horizontal="center" vertical="center"/>
    </xf>
    <xf borderId="13" fillId="9" fontId="7" numFmtId="167" xfId="0" applyAlignment="1" applyBorder="1" applyFont="1" applyNumberFormat="1">
      <alignment horizontal="center" vertical="center"/>
    </xf>
    <xf borderId="18" fillId="9" fontId="4" numFmtId="167" xfId="0" applyAlignment="1" applyBorder="1" applyFont="1" applyNumberFormat="1">
      <alignment horizontal="left" vertical="center"/>
    </xf>
    <xf borderId="17" fillId="0" fontId="7" numFmtId="0" xfId="0" applyAlignment="1" applyBorder="1" applyFont="1">
      <alignment horizontal="center" vertical="center"/>
    </xf>
    <xf borderId="24" fillId="0" fontId="7" numFmtId="0" xfId="0" applyAlignment="1" applyBorder="1" applyFont="1">
      <alignment vertical="center"/>
    </xf>
    <xf borderId="23" fillId="0" fontId="7" numFmtId="0" xfId="0" applyAlignment="1" applyBorder="1" applyFont="1">
      <alignment vertical="center"/>
    </xf>
    <xf borderId="0" fillId="9" fontId="7" numFmtId="0" xfId="0" applyAlignment="1" applyFont="1">
      <alignment horizontal="right" vertical="center"/>
    </xf>
    <xf borderId="19" fillId="9" fontId="5" numFmtId="0" xfId="0" applyBorder="1" applyFont="1"/>
    <xf borderId="16" fillId="0" fontId="5" numFmtId="0" xfId="0" applyBorder="1" applyFont="1"/>
    <xf borderId="16" fillId="8" fontId="5" numFmtId="0" xfId="0" applyBorder="1" applyFont="1"/>
    <xf borderId="16" fillId="6" fontId="5" numFmtId="0" xfId="0" applyBorder="1" applyFont="1"/>
    <xf borderId="0" fillId="9" fontId="5" numFmtId="0" xfId="0" applyFont="1"/>
    <xf borderId="21" fillId="9" fontId="5" numFmtId="0" xfId="0" applyBorder="1" applyFont="1"/>
    <xf borderId="22" fillId="9" fontId="15" numFmtId="0" xfId="0" applyAlignment="1" applyBorder="1" applyFont="1">
      <alignment readingOrder="0" vertical="bottom"/>
    </xf>
    <xf borderId="0" fillId="10" fontId="5" numFmtId="0" xfId="0" applyFill="1" applyFont="1"/>
    <xf borderId="0" fillId="10" fontId="16" numFmtId="0" xfId="0" applyAlignment="1" applyFont="1">
      <alignment readingOrder="0" vertical="bottom"/>
    </xf>
    <xf borderId="20" fillId="10" fontId="7" numFmtId="0" xfId="0" applyAlignment="1" applyBorder="1" applyFont="1">
      <alignment horizontal="center" readingOrder="0" vertical="center"/>
    </xf>
    <xf borderId="21" fillId="10" fontId="5" numFmtId="0" xfId="0" applyBorder="1" applyFont="1"/>
    <xf borderId="0" fillId="11" fontId="5" numFmtId="0" xfId="0" applyFill="1" applyFont="1"/>
    <xf borderId="19" fillId="11" fontId="15" numFmtId="0" xfId="0" applyAlignment="1" applyBorder="1" applyFont="1">
      <alignment readingOrder="0" vertical="bottom"/>
    </xf>
    <xf borderId="20" fillId="11" fontId="7" numFmtId="0" xfId="0" applyAlignment="1" applyBorder="1" applyFont="1">
      <alignment horizontal="center" readingOrder="0" vertical="center"/>
    </xf>
    <xf borderId="21" fillId="11" fontId="5" numFmtId="0" xfId="0" applyBorder="1" applyFont="1"/>
    <xf borderId="16" fillId="10" fontId="5" numFmtId="0" xfId="0" applyBorder="1" applyFont="1"/>
    <xf borderId="21" fillId="11" fontId="15" numFmtId="0" xfId="0" applyAlignment="1" applyBorder="1" applyFont="1">
      <alignment readingOrder="0" vertical="bottom"/>
    </xf>
    <xf borderId="22" fillId="11" fontId="15" numFmtId="0" xfId="0" applyAlignment="1" applyBorder="1" applyFont="1">
      <alignment readingOrder="0" vertical="bottom"/>
    </xf>
    <xf borderId="22" fillId="11" fontId="5" numFmtId="0" xfId="0" applyBorder="1" applyFont="1"/>
    <xf borderId="16" fillId="6" fontId="17" numFmtId="0" xfId="0" applyBorder="1" applyFont="1"/>
    <xf borderId="0" fillId="0" fontId="3" numFmtId="0" xfId="0" applyAlignment="1" applyFont="1">
      <alignment vertical="top"/>
    </xf>
    <xf borderId="0" fillId="0" fontId="18" numFmtId="0" xfId="0" applyAlignment="1" applyFont="1">
      <alignment horizontal="left" vertical="center"/>
    </xf>
    <xf borderId="0" fillId="0" fontId="19" numFmtId="0" xfId="0" applyAlignment="1" applyFont="1">
      <alignment horizontal="left" vertical="center"/>
    </xf>
    <xf borderId="0" fillId="0" fontId="20" numFmtId="0" xfId="0" applyAlignment="1" applyFont="1">
      <alignment horizontal="left" vertical="center"/>
    </xf>
    <xf borderId="0" fillId="0" fontId="3" numFmtId="0" xfId="0" applyAlignment="1" applyFont="1">
      <alignment horizontal="left" vertical="center"/>
    </xf>
    <xf borderId="0" fillId="0" fontId="21" numFmtId="0" xfId="0" applyAlignment="1" applyFont="1">
      <alignment vertical="center"/>
    </xf>
    <xf borderId="0" fillId="0" fontId="22" numFmtId="0" xfId="0" applyAlignment="1" applyFont="1">
      <alignment vertical="center"/>
    </xf>
    <xf borderId="0" fillId="0" fontId="23" numFmtId="0" xfId="0" applyAlignment="1" applyFont="1">
      <alignment vertical="top"/>
    </xf>
    <xf borderId="0" fillId="0" fontId="24" numFmtId="0" xfId="0" applyFont="1"/>
    <xf borderId="0" fillId="0" fontId="25" numFmtId="0" xfId="0" applyAlignment="1" applyFont="1">
      <alignment vertical="center"/>
    </xf>
    <xf borderId="0" fillId="0" fontId="26" numFmtId="0" xfId="0" applyAlignment="1" applyFont="1">
      <alignment horizontal="left" shrinkToFit="0" vertical="top" wrapText="1"/>
    </xf>
    <xf borderId="0" fillId="0" fontId="26" numFmtId="0" xfId="0" applyAlignment="1" applyFont="1">
      <alignment shrinkToFit="0" vertical="top" wrapText="1"/>
    </xf>
    <xf borderId="0" fillId="0" fontId="27"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95250</xdr:rowOff>
    </xdr:from>
    <xdr:ext cx="1905000"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28.29"/>
    <col customWidth="1" min="3" max="3" width="13.71"/>
    <col customWidth="1" min="4" max="4" width="10.71"/>
    <col customWidth="1" min="5" max="6" width="10.43"/>
    <col customWidth="1" min="7" max="7" width="2.71"/>
    <col customWidth="1" hidden="1" min="8" max="8" width="6.14"/>
    <col customWidth="1" min="9" max="113" width="2.57"/>
  </cols>
  <sheetData>
    <row r="1">
      <c r="B1" s="1" t="s">
        <v>0</v>
      </c>
      <c r="C1" s="2"/>
      <c r="D1" s="3"/>
      <c r="E1" s="4"/>
      <c r="F1" s="5"/>
      <c r="H1" s="3"/>
      <c r="I1" s="6"/>
      <c r="K1" s="7" t="s">
        <v>1</v>
      </c>
    </row>
    <row r="2" ht="19.5" customHeight="1">
      <c r="B2" s="8" t="s">
        <v>2</v>
      </c>
      <c r="D2" s="9" t="s">
        <v>3</v>
      </c>
      <c r="E2" s="10">
        <v>45915.0</v>
      </c>
      <c r="F2" s="11"/>
      <c r="K2" s="7" t="s">
        <v>4</v>
      </c>
    </row>
    <row r="3" ht="19.5" customHeight="1">
      <c r="B3" s="8"/>
      <c r="D3" s="9" t="s">
        <v>5</v>
      </c>
      <c r="E3" s="10">
        <v>46005.0</v>
      </c>
      <c r="F3" s="11"/>
    </row>
    <row r="4" ht="19.5" customHeight="1">
      <c r="B4" s="12"/>
      <c r="D4" s="9" t="s">
        <v>6</v>
      </c>
      <c r="E4" s="13">
        <v>1.0</v>
      </c>
      <c r="I4" s="14">
        <f>I5</f>
        <v>45915</v>
      </c>
      <c r="J4" s="15"/>
      <c r="K4" s="15"/>
      <c r="L4" s="15"/>
      <c r="M4" s="15"/>
      <c r="N4" s="15"/>
      <c r="O4" s="16"/>
      <c r="P4" s="14">
        <f>P5</f>
        <v>45922</v>
      </c>
      <c r="Q4" s="15"/>
      <c r="R4" s="15"/>
      <c r="S4" s="15"/>
      <c r="T4" s="15"/>
      <c r="U4" s="15"/>
      <c r="V4" s="16"/>
      <c r="W4" s="14">
        <f>W5</f>
        <v>45929</v>
      </c>
      <c r="X4" s="15"/>
      <c r="Y4" s="15"/>
      <c r="Z4" s="15"/>
      <c r="AA4" s="15"/>
      <c r="AB4" s="15"/>
      <c r="AC4" s="16"/>
      <c r="AD4" s="14">
        <f>AD5</f>
        <v>45936</v>
      </c>
      <c r="AE4" s="15"/>
      <c r="AF4" s="15"/>
      <c r="AG4" s="15"/>
      <c r="AH4" s="15"/>
      <c r="AI4" s="15"/>
      <c r="AJ4" s="16"/>
      <c r="AK4" s="14">
        <f>AK5</f>
        <v>45943</v>
      </c>
      <c r="AL4" s="15"/>
      <c r="AM4" s="15"/>
      <c r="AN4" s="15"/>
      <c r="AO4" s="15"/>
      <c r="AP4" s="15"/>
      <c r="AQ4" s="16"/>
      <c r="AR4" s="14">
        <f>AR5</f>
        <v>45950</v>
      </c>
      <c r="AS4" s="15"/>
      <c r="AT4" s="15"/>
      <c r="AU4" s="15"/>
      <c r="AV4" s="15"/>
      <c r="AW4" s="15"/>
      <c r="AX4" s="16"/>
      <c r="AY4" s="14">
        <f>AY5</f>
        <v>45957</v>
      </c>
      <c r="AZ4" s="15"/>
      <c r="BA4" s="15"/>
      <c r="BB4" s="15"/>
      <c r="BC4" s="15"/>
      <c r="BD4" s="15"/>
      <c r="BE4" s="16"/>
      <c r="BF4" s="14">
        <f>BF5</f>
        <v>45964</v>
      </c>
      <c r="BG4" s="15"/>
      <c r="BH4" s="15"/>
      <c r="BI4" s="15"/>
      <c r="BJ4" s="15"/>
      <c r="BK4" s="15"/>
      <c r="BL4" s="16"/>
      <c r="BM4" s="14">
        <f>BM5</f>
        <v>45971</v>
      </c>
      <c r="BN4" s="15"/>
      <c r="BO4" s="15"/>
      <c r="BP4" s="15"/>
      <c r="BQ4" s="15"/>
      <c r="BR4" s="15"/>
      <c r="BS4" s="16"/>
      <c r="BT4" s="14">
        <f>BT5</f>
        <v>45978</v>
      </c>
      <c r="BU4" s="15"/>
      <c r="BV4" s="15"/>
      <c r="BW4" s="15"/>
      <c r="BX4" s="15"/>
      <c r="BY4" s="15"/>
      <c r="BZ4" s="16"/>
      <c r="CA4" s="17">
        <v>45985.0</v>
      </c>
      <c r="CB4" s="15"/>
      <c r="CC4" s="15"/>
      <c r="CD4" s="15"/>
      <c r="CE4" s="15"/>
      <c r="CF4" s="15"/>
      <c r="CG4" s="16"/>
      <c r="CH4" s="17">
        <v>45992.0</v>
      </c>
      <c r="CI4" s="15"/>
      <c r="CJ4" s="15"/>
      <c r="CK4" s="15"/>
      <c r="CL4" s="15"/>
      <c r="CM4" s="15"/>
      <c r="CN4" s="16"/>
      <c r="CO4" s="17">
        <v>45999.0</v>
      </c>
      <c r="CP4" s="15"/>
      <c r="CQ4" s="15"/>
      <c r="CR4" s="15"/>
      <c r="CS4" s="15"/>
      <c r="CT4" s="15"/>
      <c r="CU4" s="16"/>
      <c r="CV4" s="14" t="str">
        <f>CV5</f>
        <v/>
      </c>
      <c r="CW4" s="15"/>
      <c r="CX4" s="15"/>
      <c r="CY4" s="15"/>
      <c r="CZ4" s="15"/>
      <c r="DA4" s="15"/>
      <c r="DB4" s="16"/>
      <c r="DC4" s="14" t="str">
        <f>DC5</f>
        <v/>
      </c>
      <c r="DD4" s="15"/>
      <c r="DE4" s="15"/>
      <c r="DF4" s="15"/>
      <c r="DG4" s="15"/>
      <c r="DH4" s="15"/>
      <c r="DI4" s="16"/>
    </row>
    <row r="5">
      <c r="A5" s="9"/>
      <c r="E5" s="18"/>
      <c r="G5" s="9"/>
      <c r="I5" s="19">
        <f>E2-WEEKDAY(E2,1)+2+7*(E4-1)</f>
        <v>45915</v>
      </c>
      <c r="J5" s="20">
        <f t="shared" ref="J5:BZ5" si="1">I5+1</f>
        <v>45916</v>
      </c>
      <c r="K5" s="20">
        <f t="shared" si="1"/>
        <v>45917</v>
      </c>
      <c r="L5" s="20">
        <f t="shared" si="1"/>
        <v>45918</v>
      </c>
      <c r="M5" s="20">
        <f t="shared" si="1"/>
        <v>45919</v>
      </c>
      <c r="N5" s="20">
        <f t="shared" si="1"/>
        <v>45920</v>
      </c>
      <c r="O5" s="21">
        <f t="shared" si="1"/>
        <v>45921</v>
      </c>
      <c r="P5" s="19">
        <f t="shared" si="1"/>
        <v>45922</v>
      </c>
      <c r="Q5" s="20">
        <f t="shared" si="1"/>
        <v>45923</v>
      </c>
      <c r="R5" s="20">
        <f t="shared" si="1"/>
        <v>45924</v>
      </c>
      <c r="S5" s="20">
        <f t="shared" si="1"/>
        <v>45925</v>
      </c>
      <c r="T5" s="20">
        <f t="shared" si="1"/>
        <v>45926</v>
      </c>
      <c r="U5" s="20">
        <f t="shared" si="1"/>
        <v>45927</v>
      </c>
      <c r="V5" s="21">
        <f t="shared" si="1"/>
        <v>45928</v>
      </c>
      <c r="W5" s="19">
        <f t="shared" si="1"/>
        <v>45929</v>
      </c>
      <c r="X5" s="20">
        <f t="shared" si="1"/>
        <v>45930</v>
      </c>
      <c r="Y5" s="20">
        <f t="shared" si="1"/>
        <v>45931</v>
      </c>
      <c r="Z5" s="20">
        <f t="shared" si="1"/>
        <v>45932</v>
      </c>
      <c r="AA5" s="20">
        <f t="shared" si="1"/>
        <v>45933</v>
      </c>
      <c r="AB5" s="20">
        <f t="shared" si="1"/>
        <v>45934</v>
      </c>
      <c r="AC5" s="21">
        <f t="shared" si="1"/>
        <v>45935</v>
      </c>
      <c r="AD5" s="19">
        <f t="shared" si="1"/>
        <v>45936</v>
      </c>
      <c r="AE5" s="20">
        <f t="shared" si="1"/>
        <v>45937</v>
      </c>
      <c r="AF5" s="20">
        <f t="shared" si="1"/>
        <v>45938</v>
      </c>
      <c r="AG5" s="20">
        <f t="shared" si="1"/>
        <v>45939</v>
      </c>
      <c r="AH5" s="20">
        <f t="shared" si="1"/>
        <v>45940</v>
      </c>
      <c r="AI5" s="20">
        <f t="shared" si="1"/>
        <v>45941</v>
      </c>
      <c r="AJ5" s="21">
        <f t="shared" si="1"/>
        <v>45942</v>
      </c>
      <c r="AK5" s="19">
        <f t="shared" si="1"/>
        <v>45943</v>
      </c>
      <c r="AL5" s="20">
        <f t="shared" si="1"/>
        <v>45944</v>
      </c>
      <c r="AM5" s="20">
        <f t="shared" si="1"/>
        <v>45945</v>
      </c>
      <c r="AN5" s="20">
        <f t="shared" si="1"/>
        <v>45946</v>
      </c>
      <c r="AO5" s="20">
        <f t="shared" si="1"/>
        <v>45947</v>
      </c>
      <c r="AP5" s="20">
        <f t="shared" si="1"/>
        <v>45948</v>
      </c>
      <c r="AQ5" s="21">
        <f t="shared" si="1"/>
        <v>45949</v>
      </c>
      <c r="AR5" s="19">
        <f t="shared" si="1"/>
        <v>45950</v>
      </c>
      <c r="AS5" s="20">
        <f t="shared" si="1"/>
        <v>45951</v>
      </c>
      <c r="AT5" s="20">
        <f t="shared" si="1"/>
        <v>45952</v>
      </c>
      <c r="AU5" s="20">
        <f t="shared" si="1"/>
        <v>45953</v>
      </c>
      <c r="AV5" s="20">
        <f t="shared" si="1"/>
        <v>45954</v>
      </c>
      <c r="AW5" s="20">
        <f t="shared" si="1"/>
        <v>45955</v>
      </c>
      <c r="AX5" s="21">
        <f t="shared" si="1"/>
        <v>45956</v>
      </c>
      <c r="AY5" s="19">
        <f t="shared" si="1"/>
        <v>45957</v>
      </c>
      <c r="AZ5" s="20">
        <f t="shared" si="1"/>
        <v>45958</v>
      </c>
      <c r="BA5" s="20">
        <f t="shared" si="1"/>
        <v>45959</v>
      </c>
      <c r="BB5" s="20">
        <f t="shared" si="1"/>
        <v>45960</v>
      </c>
      <c r="BC5" s="20">
        <f t="shared" si="1"/>
        <v>45961</v>
      </c>
      <c r="BD5" s="20">
        <f t="shared" si="1"/>
        <v>45962</v>
      </c>
      <c r="BE5" s="21">
        <f t="shared" si="1"/>
        <v>45963</v>
      </c>
      <c r="BF5" s="19">
        <f t="shared" si="1"/>
        <v>45964</v>
      </c>
      <c r="BG5" s="20">
        <f t="shared" si="1"/>
        <v>45965</v>
      </c>
      <c r="BH5" s="20">
        <f t="shared" si="1"/>
        <v>45966</v>
      </c>
      <c r="BI5" s="20">
        <f t="shared" si="1"/>
        <v>45967</v>
      </c>
      <c r="BJ5" s="20">
        <f t="shared" si="1"/>
        <v>45968</v>
      </c>
      <c r="BK5" s="20">
        <f t="shared" si="1"/>
        <v>45969</v>
      </c>
      <c r="BL5" s="21">
        <f t="shared" si="1"/>
        <v>45970</v>
      </c>
      <c r="BM5" s="19">
        <f t="shared" si="1"/>
        <v>45971</v>
      </c>
      <c r="BN5" s="20">
        <f t="shared" si="1"/>
        <v>45972</v>
      </c>
      <c r="BO5" s="20">
        <f t="shared" si="1"/>
        <v>45973</v>
      </c>
      <c r="BP5" s="20">
        <f t="shared" si="1"/>
        <v>45974</v>
      </c>
      <c r="BQ5" s="20">
        <f t="shared" si="1"/>
        <v>45975</v>
      </c>
      <c r="BR5" s="20">
        <f t="shared" si="1"/>
        <v>45976</v>
      </c>
      <c r="BS5" s="21">
        <f t="shared" si="1"/>
        <v>45977</v>
      </c>
      <c r="BT5" s="19">
        <f t="shared" si="1"/>
        <v>45978</v>
      </c>
      <c r="BU5" s="20">
        <f t="shared" si="1"/>
        <v>45979</v>
      </c>
      <c r="BV5" s="20">
        <f t="shared" si="1"/>
        <v>45980</v>
      </c>
      <c r="BW5" s="20">
        <f t="shared" si="1"/>
        <v>45981</v>
      </c>
      <c r="BX5" s="20">
        <f t="shared" si="1"/>
        <v>45982</v>
      </c>
      <c r="BY5" s="20">
        <f t="shared" si="1"/>
        <v>45983</v>
      </c>
      <c r="BZ5" s="21">
        <f t="shared" si="1"/>
        <v>45984</v>
      </c>
      <c r="CA5" s="22">
        <v>24.0</v>
      </c>
      <c r="CB5" s="22">
        <v>25.0</v>
      </c>
      <c r="CC5" s="22">
        <v>26.0</v>
      </c>
      <c r="CD5" s="22">
        <v>27.0</v>
      </c>
      <c r="CE5" s="22">
        <v>28.0</v>
      </c>
      <c r="CF5" s="22">
        <v>29.0</v>
      </c>
      <c r="CG5" s="22">
        <v>30.0</v>
      </c>
      <c r="CH5" s="22">
        <v>1.0</v>
      </c>
      <c r="CI5" s="22">
        <v>2.0</v>
      </c>
      <c r="CJ5" s="22">
        <v>3.0</v>
      </c>
      <c r="CK5" s="22">
        <v>4.0</v>
      </c>
      <c r="CL5" s="22">
        <v>5.0</v>
      </c>
      <c r="CM5" s="22">
        <v>6.0</v>
      </c>
      <c r="CN5" s="22">
        <v>7.0</v>
      </c>
      <c r="CO5" s="22">
        <v>8.0</v>
      </c>
      <c r="CP5" s="22">
        <v>9.0</v>
      </c>
      <c r="CQ5" s="22">
        <v>10.0</v>
      </c>
      <c r="CR5" s="22">
        <v>11.0</v>
      </c>
      <c r="CS5" s="22">
        <v>12.0</v>
      </c>
      <c r="CT5" s="22">
        <v>13.0</v>
      </c>
      <c r="CU5" s="22">
        <v>14.0</v>
      </c>
      <c r="CV5" s="23"/>
      <c r="CW5" s="23"/>
      <c r="CX5" s="23"/>
      <c r="CY5" s="23"/>
      <c r="CZ5" s="23"/>
      <c r="DA5" s="23"/>
      <c r="DB5" s="23"/>
      <c r="DC5" s="23"/>
      <c r="DD5" s="23"/>
      <c r="DE5" s="23"/>
      <c r="DF5" s="23"/>
      <c r="DG5" s="23"/>
      <c r="DH5" s="23"/>
      <c r="DI5" s="23"/>
    </row>
    <row r="6" ht="29.25" customHeight="1">
      <c r="A6" s="24"/>
      <c r="B6" s="25" t="s">
        <v>7</v>
      </c>
      <c r="C6" s="26" t="s">
        <v>8</v>
      </c>
      <c r="D6" s="26" t="s">
        <v>9</v>
      </c>
      <c r="E6" s="26" t="s">
        <v>10</v>
      </c>
      <c r="F6" s="26" t="s">
        <v>11</v>
      </c>
      <c r="G6" s="26"/>
      <c r="H6" s="26" t="s">
        <v>12</v>
      </c>
      <c r="I6" s="27" t="str">
        <f t="shared" ref="I6:BZ6" si="2">LEFT(TEXT(I5,"ddd"),1)</f>
        <v>M</v>
      </c>
      <c r="J6" s="27" t="str">
        <f t="shared" si="2"/>
        <v>T</v>
      </c>
      <c r="K6" s="27" t="str">
        <f t="shared" si="2"/>
        <v>W</v>
      </c>
      <c r="L6" s="27" t="str">
        <f t="shared" si="2"/>
        <v>T</v>
      </c>
      <c r="M6" s="27" t="str">
        <f t="shared" si="2"/>
        <v>F</v>
      </c>
      <c r="N6" s="27" t="str">
        <f t="shared" si="2"/>
        <v>S</v>
      </c>
      <c r="O6" s="27" t="str">
        <f t="shared" si="2"/>
        <v>S</v>
      </c>
      <c r="P6" s="27" t="str">
        <f t="shared" si="2"/>
        <v>M</v>
      </c>
      <c r="Q6" s="27" t="str">
        <f t="shared" si="2"/>
        <v>T</v>
      </c>
      <c r="R6" s="27" t="str">
        <f t="shared" si="2"/>
        <v>W</v>
      </c>
      <c r="S6" s="27" t="str">
        <f t="shared" si="2"/>
        <v>T</v>
      </c>
      <c r="T6" s="27" t="str">
        <f t="shared" si="2"/>
        <v>F</v>
      </c>
      <c r="U6" s="27" t="str">
        <f t="shared" si="2"/>
        <v>S</v>
      </c>
      <c r="V6" s="27" t="str">
        <f t="shared" si="2"/>
        <v>S</v>
      </c>
      <c r="W6" s="27" t="str">
        <f t="shared" si="2"/>
        <v>M</v>
      </c>
      <c r="X6" s="27" t="str">
        <f t="shared" si="2"/>
        <v>T</v>
      </c>
      <c r="Y6" s="27" t="str">
        <f t="shared" si="2"/>
        <v>W</v>
      </c>
      <c r="Z6" s="27" t="str">
        <f t="shared" si="2"/>
        <v>T</v>
      </c>
      <c r="AA6" s="27" t="str">
        <f t="shared" si="2"/>
        <v>F</v>
      </c>
      <c r="AB6" s="27" t="str">
        <f t="shared" si="2"/>
        <v>S</v>
      </c>
      <c r="AC6" s="27" t="str">
        <f t="shared" si="2"/>
        <v>S</v>
      </c>
      <c r="AD6" s="27" t="str">
        <f t="shared" si="2"/>
        <v>M</v>
      </c>
      <c r="AE6" s="27" t="str">
        <f t="shared" si="2"/>
        <v>T</v>
      </c>
      <c r="AF6" s="27" t="str">
        <f t="shared" si="2"/>
        <v>W</v>
      </c>
      <c r="AG6" s="27" t="str">
        <f t="shared" si="2"/>
        <v>T</v>
      </c>
      <c r="AH6" s="27" t="str">
        <f t="shared" si="2"/>
        <v>F</v>
      </c>
      <c r="AI6" s="27" t="str">
        <f t="shared" si="2"/>
        <v>S</v>
      </c>
      <c r="AJ6" s="27" t="str">
        <f t="shared" si="2"/>
        <v>S</v>
      </c>
      <c r="AK6" s="27" t="str">
        <f t="shared" si="2"/>
        <v>M</v>
      </c>
      <c r="AL6" s="27" t="str">
        <f t="shared" si="2"/>
        <v>T</v>
      </c>
      <c r="AM6" s="27" t="str">
        <f t="shared" si="2"/>
        <v>W</v>
      </c>
      <c r="AN6" s="27" t="str">
        <f t="shared" si="2"/>
        <v>T</v>
      </c>
      <c r="AO6" s="27" t="str">
        <f t="shared" si="2"/>
        <v>F</v>
      </c>
      <c r="AP6" s="27" t="str">
        <f t="shared" si="2"/>
        <v>S</v>
      </c>
      <c r="AQ6" s="27" t="str">
        <f t="shared" si="2"/>
        <v>S</v>
      </c>
      <c r="AR6" s="27" t="str">
        <f t="shared" si="2"/>
        <v>M</v>
      </c>
      <c r="AS6" s="27" t="str">
        <f t="shared" si="2"/>
        <v>T</v>
      </c>
      <c r="AT6" s="27" t="str">
        <f t="shared" si="2"/>
        <v>W</v>
      </c>
      <c r="AU6" s="27" t="str">
        <f t="shared" si="2"/>
        <v>T</v>
      </c>
      <c r="AV6" s="27" t="str">
        <f t="shared" si="2"/>
        <v>F</v>
      </c>
      <c r="AW6" s="27" t="str">
        <f t="shared" si="2"/>
        <v>S</v>
      </c>
      <c r="AX6" s="27" t="str">
        <f t="shared" si="2"/>
        <v>S</v>
      </c>
      <c r="AY6" s="27" t="str">
        <f t="shared" si="2"/>
        <v>M</v>
      </c>
      <c r="AZ6" s="27" t="str">
        <f t="shared" si="2"/>
        <v>T</v>
      </c>
      <c r="BA6" s="27" t="str">
        <f t="shared" si="2"/>
        <v>W</v>
      </c>
      <c r="BB6" s="27" t="str">
        <f t="shared" si="2"/>
        <v>T</v>
      </c>
      <c r="BC6" s="27" t="str">
        <f t="shared" si="2"/>
        <v>F</v>
      </c>
      <c r="BD6" s="27" t="str">
        <f t="shared" si="2"/>
        <v>S</v>
      </c>
      <c r="BE6" s="27" t="str">
        <f t="shared" si="2"/>
        <v>S</v>
      </c>
      <c r="BF6" s="27" t="str">
        <f t="shared" si="2"/>
        <v>M</v>
      </c>
      <c r="BG6" s="27" t="str">
        <f t="shared" si="2"/>
        <v>T</v>
      </c>
      <c r="BH6" s="27" t="str">
        <f t="shared" si="2"/>
        <v>W</v>
      </c>
      <c r="BI6" s="27" t="str">
        <f t="shared" si="2"/>
        <v>T</v>
      </c>
      <c r="BJ6" s="27" t="str">
        <f t="shared" si="2"/>
        <v>F</v>
      </c>
      <c r="BK6" s="27" t="str">
        <f t="shared" si="2"/>
        <v>S</v>
      </c>
      <c r="BL6" s="27" t="str">
        <f t="shared" si="2"/>
        <v>S</v>
      </c>
      <c r="BM6" s="27" t="str">
        <f t="shared" si="2"/>
        <v>M</v>
      </c>
      <c r="BN6" s="27" t="str">
        <f t="shared" si="2"/>
        <v>T</v>
      </c>
      <c r="BO6" s="27" t="str">
        <f t="shared" si="2"/>
        <v>W</v>
      </c>
      <c r="BP6" s="27" t="str">
        <f t="shared" si="2"/>
        <v>T</v>
      </c>
      <c r="BQ6" s="27" t="str">
        <f t="shared" si="2"/>
        <v>F</v>
      </c>
      <c r="BR6" s="27" t="str">
        <f t="shared" si="2"/>
        <v>S</v>
      </c>
      <c r="BS6" s="27" t="str">
        <f t="shared" si="2"/>
        <v>S</v>
      </c>
      <c r="BT6" s="27" t="str">
        <f t="shared" si="2"/>
        <v>M</v>
      </c>
      <c r="BU6" s="27" t="str">
        <f t="shared" si="2"/>
        <v>T</v>
      </c>
      <c r="BV6" s="27" t="str">
        <f t="shared" si="2"/>
        <v>W</v>
      </c>
      <c r="BW6" s="27" t="str">
        <f t="shared" si="2"/>
        <v>T</v>
      </c>
      <c r="BX6" s="27" t="str">
        <f t="shared" si="2"/>
        <v>F</v>
      </c>
      <c r="BY6" s="27" t="str">
        <f t="shared" si="2"/>
        <v>S</v>
      </c>
      <c r="BZ6" s="27" t="str">
        <f t="shared" si="2"/>
        <v>S</v>
      </c>
      <c r="CA6" s="28" t="s">
        <v>13</v>
      </c>
      <c r="CB6" s="28" t="s">
        <v>14</v>
      </c>
      <c r="CC6" s="28" t="s">
        <v>15</v>
      </c>
      <c r="CD6" s="28" t="s">
        <v>14</v>
      </c>
      <c r="CE6" s="28" t="s">
        <v>16</v>
      </c>
      <c r="CF6" s="28" t="s">
        <v>17</v>
      </c>
      <c r="CG6" s="28" t="s">
        <v>17</v>
      </c>
      <c r="CH6" s="29" t="s">
        <v>13</v>
      </c>
      <c r="CI6" s="29" t="s">
        <v>14</v>
      </c>
      <c r="CJ6" s="29" t="s">
        <v>15</v>
      </c>
      <c r="CK6" s="29" t="s">
        <v>14</v>
      </c>
      <c r="CL6" s="29" t="s">
        <v>16</v>
      </c>
      <c r="CM6" s="29" t="s">
        <v>17</v>
      </c>
      <c r="CN6" s="29" t="s">
        <v>17</v>
      </c>
      <c r="CO6" s="29" t="s">
        <v>13</v>
      </c>
      <c r="CP6" s="29" t="s">
        <v>14</v>
      </c>
      <c r="CQ6" s="29" t="s">
        <v>15</v>
      </c>
      <c r="CR6" s="29" t="s">
        <v>14</v>
      </c>
      <c r="CS6" s="29" t="s">
        <v>16</v>
      </c>
      <c r="CT6" s="29" t="s">
        <v>17</v>
      </c>
      <c r="CU6" s="29" t="s">
        <v>17</v>
      </c>
      <c r="CV6" s="29" t="s">
        <v>13</v>
      </c>
      <c r="CW6" s="29" t="s">
        <v>14</v>
      </c>
      <c r="CX6" s="29" t="s">
        <v>15</v>
      </c>
      <c r="CY6" s="29" t="s">
        <v>14</v>
      </c>
      <c r="CZ6" s="29" t="s">
        <v>16</v>
      </c>
      <c r="DA6" s="29" t="s">
        <v>17</v>
      </c>
      <c r="DB6" s="29" t="s">
        <v>17</v>
      </c>
      <c r="DC6" s="29" t="s">
        <v>13</v>
      </c>
      <c r="DD6" s="29" t="s">
        <v>14</v>
      </c>
      <c r="DE6" s="29" t="s">
        <v>15</v>
      </c>
      <c r="DF6" s="29" t="s">
        <v>14</v>
      </c>
      <c r="DG6" s="29" t="s">
        <v>16</v>
      </c>
      <c r="DH6" s="29" t="s">
        <v>17</v>
      </c>
      <c r="DI6" s="29" t="s">
        <v>17</v>
      </c>
    </row>
    <row r="7">
      <c r="A7" s="24"/>
      <c r="B7" s="30"/>
      <c r="C7" s="31"/>
      <c r="D7" s="32"/>
      <c r="E7" s="33"/>
      <c r="F7" s="33"/>
      <c r="G7" s="31"/>
      <c r="H7" s="31" t="str">
        <f>IF(OR(ISBLANK('Sample Gantt'!task_start),ISBLANK('Sample Gantt'!task_end)),"",'Sample Gantt'!task_end-'Sample Gantt'!task_start+1)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5"/>
      <c r="CA7" s="36"/>
      <c r="CB7" s="36"/>
      <c r="CC7" s="36"/>
      <c r="CD7" s="36"/>
      <c r="CE7" s="36"/>
      <c r="CF7" s="36"/>
      <c r="CG7" s="36"/>
      <c r="CH7" s="36"/>
      <c r="CI7" s="36"/>
      <c r="CJ7" s="36"/>
      <c r="CK7" s="36"/>
      <c r="CL7" s="36"/>
      <c r="CM7" s="36"/>
      <c r="CN7" s="36"/>
      <c r="CO7" s="36"/>
      <c r="CP7" s="36"/>
      <c r="CQ7" s="36"/>
      <c r="CR7" s="36"/>
      <c r="CS7" s="36"/>
      <c r="CT7" s="36"/>
      <c r="CU7" s="36"/>
      <c r="CV7" s="37"/>
      <c r="CW7" s="37"/>
      <c r="CX7" s="37"/>
      <c r="CY7" s="37"/>
      <c r="CZ7" s="37"/>
      <c r="DA7" s="37"/>
      <c r="DB7" s="37"/>
      <c r="DC7" s="37"/>
      <c r="DD7" s="37"/>
      <c r="DE7" s="37"/>
      <c r="DF7" s="37"/>
      <c r="DG7" s="37"/>
      <c r="DH7" s="37"/>
      <c r="DI7" s="37"/>
    </row>
    <row r="8">
      <c r="A8" s="38"/>
      <c r="B8" s="39" t="s">
        <v>18</v>
      </c>
      <c r="C8" s="40"/>
      <c r="D8" s="41"/>
      <c r="E8" s="42"/>
      <c r="F8" s="42"/>
      <c r="G8" s="31"/>
      <c r="H8" s="31" t="str">
        <f>IF(OR(ISBLANK('Sample Gantt'!task_start),ISBLANK('Sample Gantt'!task_end)),"",'Sample Gantt'!task_end-'Sample Gantt'!task_start+1)</f>
        <v/>
      </c>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5"/>
      <c r="CA8" s="36"/>
      <c r="CB8" s="36"/>
      <c r="CC8" s="36"/>
      <c r="CD8" s="36"/>
      <c r="CE8" s="36"/>
      <c r="CF8" s="36"/>
      <c r="CG8" s="36"/>
      <c r="CH8" s="36"/>
      <c r="CI8" s="36"/>
      <c r="CJ8" s="36"/>
      <c r="CK8" s="36"/>
      <c r="CL8" s="36"/>
      <c r="CM8" s="36"/>
      <c r="CN8" s="36"/>
      <c r="CO8" s="36"/>
      <c r="CP8" s="36"/>
      <c r="CQ8" s="36"/>
      <c r="CR8" s="36"/>
      <c r="CS8" s="36"/>
      <c r="CT8" s="36"/>
      <c r="CU8" s="36"/>
      <c r="CV8" s="37"/>
      <c r="CW8" s="37"/>
      <c r="CX8" s="37"/>
      <c r="CY8" s="37"/>
      <c r="CZ8" s="37"/>
      <c r="DA8" s="37"/>
      <c r="DB8" s="37"/>
      <c r="DC8" s="37"/>
      <c r="DD8" s="37"/>
      <c r="DE8" s="37"/>
      <c r="DF8" s="37"/>
      <c r="DG8" s="37"/>
      <c r="DH8" s="37"/>
      <c r="DI8" s="37"/>
    </row>
    <row r="9">
      <c r="A9" s="43"/>
      <c r="B9" s="44" t="s">
        <v>19</v>
      </c>
      <c r="C9" s="45" t="s">
        <v>20</v>
      </c>
      <c r="D9" s="46">
        <v>1.0</v>
      </c>
      <c r="E9" s="47">
        <v>46006.0</v>
      </c>
      <c r="F9" s="47">
        <v>46010.0</v>
      </c>
      <c r="G9" s="31"/>
      <c r="H9" s="31" t="str">
        <f>IF(OR(ISBLANK('Sample Gantt'!task_start),ISBLANK('Sample Gantt'!task_end)),"",'Sample Gantt'!task_end-'Sample Gantt'!task_start+1)</f>
        <v/>
      </c>
      <c r="I9" s="48" t="s">
        <v>21</v>
      </c>
      <c r="J9" s="48"/>
      <c r="K9" s="48"/>
      <c r="L9" s="48"/>
      <c r="M9" s="49"/>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5"/>
      <c r="CA9" s="36"/>
      <c r="CB9" s="36"/>
      <c r="CC9" s="36"/>
      <c r="CD9" s="36"/>
      <c r="CE9" s="36"/>
      <c r="CF9" s="36"/>
      <c r="CG9" s="36"/>
      <c r="CH9" s="36"/>
      <c r="CI9" s="36"/>
      <c r="CJ9" s="36"/>
      <c r="CK9" s="36"/>
      <c r="CL9" s="36"/>
      <c r="CM9" s="36"/>
      <c r="CN9" s="36"/>
      <c r="CO9" s="36"/>
      <c r="CP9" s="36"/>
      <c r="CQ9" s="36"/>
      <c r="CR9" s="36"/>
      <c r="CS9" s="36"/>
      <c r="CT9" s="36"/>
      <c r="CU9" s="36"/>
      <c r="CV9" s="37"/>
      <c r="CW9" s="37"/>
      <c r="CX9" s="37"/>
      <c r="CY9" s="37"/>
      <c r="CZ9" s="37"/>
      <c r="DA9" s="37"/>
      <c r="DB9" s="37"/>
      <c r="DC9" s="37"/>
      <c r="DD9" s="37"/>
      <c r="DE9" s="37"/>
      <c r="DF9" s="37"/>
      <c r="DG9" s="37"/>
      <c r="DH9" s="37"/>
      <c r="DI9" s="37"/>
    </row>
    <row r="10">
      <c r="A10" s="43"/>
      <c r="B10" s="50" t="s">
        <v>22</v>
      </c>
      <c r="C10" s="45" t="s">
        <v>20</v>
      </c>
      <c r="D10" s="46">
        <v>1.0</v>
      </c>
      <c r="E10" s="47">
        <v>46013.0</v>
      </c>
      <c r="F10" s="47">
        <v>46017.0</v>
      </c>
      <c r="G10" s="31"/>
      <c r="H10" s="31" t="str">
        <f>IF(OR(ISBLANK('Sample Gantt'!task_start),ISBLANK('Sample Gantt'!task_end)),"",'Sample Gantt'!task_end-'Sample Gantt'!task_start+1)</f>
        <v/>
      </c>
      <c r="I10" s="34"/>
      <c r="J10" s="34"/>
      <c r="K10" s="34"/>
      <c r="L10" s="34"/>
      <c r="M10" s="34"/>
      <c r="N10" s="34"/>
      <c r="O10" s="34"/>
      <c r="P10" s="48"/>
      <c r="Q10" s="48"/>
      <c r="R10" s="48"/>
      <c r="S10" s="48"/>
      <c r="T10" s="49"/>
      <c r="U10" s="51"/>
      <c r="V10" s="51"/>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5"/>
      <c r="CA10" s="36"/>
      <c r="CB10" s="36"/>
      <c r="CC10" s="36"/>
      <c r="CD10" s="36"/>
      <c r="CE10" s="36"/>
      <c r="CF10" s="36"/>
      <c r="CG10" s="36"/>
      <c r="CH10" s="36"/>
      <c r="CI10" s="36"/>
      <c r="CJ10" s="36"/>
      <c r="CK10" s="36"/>
      <c r="CL10" s="36"/>
      <c r="CM10" s="36"/>
      <c r="CN10" s="36"/>
      <c r="CO10" s="36"/>
      <c r="CP10" s="36"/>
      <c r="CQ10" s="36"/>
      <c r="CR10" s="36"/>
      <c r="CS10" s="36"/>
      <c r="CT10" s="36"/>
      <c r="CU10" s="36"/>
      <c r="CV10" s="37"/>
      <c r="CW10" s="37"/>
      <c r="CX10" s="37"/>
      <c r="CY10" s="37"/>
      <c r="CZ10" s="37"/>
      <c r="DA10" s="37"/>
      <c r="DB10" s="37"/>
      <c r="DC10" s="37"/>
      <c r="DD10" s="37"/>
      <c r="DE10" s="37"/>
      <c r="DF10" s="37"/>
      <c r="DG10" s="37"/>
      <c r="DH10" s="37"/>
      <c r="DI10" s="37"/>
    </row>
    <row r="11">
      <c r="A11" s="43"/>
      <c r="B11" s="50" t="s">
        <v>23</v>
      </c>
      <c r="C11" s="45" t="s">
        <v>20</v>
      </c>
      <c r="D11" s="46">
        <v>1.0</v>
      </c>
      <c r="E11" s="47">
        <v>45950.0</v>
      </c>
      <c r="F11" s="47">
        <v>45958.0</v>
      </c>
      <c r="G11" s="31"/>
      <c r="H11" s="31" t="str">
        <f>IF(OR(ISBLANK('Sample Gantt'!task_start),ISBLANK('Sample Gantt'!task_end)),"",'Sample Gantt'!task_end-'Sample Gantt'!task_start+1)</f>
        <v/>
      </c>
      <c r="I11" s="34"/>
      <c r="J11" s="34"/>
      <c r="K11" s="34"/>
      <c r="L11" s="34"/>
      <c r="M11" s="34"/>
      <c r="N11" s="34"/>
      <c r="O11" s="34"/>
      <c r="P11" s="34"/>
      <c r="Q11" s="34"/>
      <c r="R11" s="34"/>
      <c r="S11" s="34"/>
      <c r="T11" s="34"/>
      <c r="U11" s="34"/>
      <c r="V11" s="34"/>
      <c r="W11" s="48"/>
      <c r="X11" s="48"/>
      <c r="Y11" s="48"/>
      <c r="Z11" s="48"/>
      <c r="AA11" s="49"/>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5"/>
      <c r="CA11" s="36"/>
      <c r="CB11" s="36"/>
      <c r="CC11" s="36"/>
      <c r="CD11" s="36"/>
      <c r="CE11" s="36"/>
      <c r="CF11" s="36"/>
      <c r="CG11" s="36"/>
      <c r="CH11" s="36"/>
      <c r="CI11" s="36"/>
      <c r="CJ11" s="36"/>
      <c r="CK11" s="36"/>
      <c r="CL11" s="36"/>
      <c r="CM11" s="36"/>
      <c r="CN11" s="36"/>
      <c r="CO11" s="36"/>
      <c r="CP11" s="36"/>
      <c r="CQ11" s="36"/>
      <c r="CR11" s="36"/>
      <c r="CS11" s="36"/>
      <c r="CT11" s="36"/>
      <c r="CU11" s="36"/>
      <c r="CV11" s="37"/>
      <c r="CW11" s="37"/>
      <c r="CX11" s="37"/>
      <c r="CY11" s="37"/>
      <c r="CZ11" s="37"/>
      <c r="DA11" s="37"/>
      <c r="DB11" s="37"/>
      <c r="DC11" s="37"/>
      <c r="DD11" s="37"/>
      <c r="DE11" s="37"/>
      <c r="DF11" s="37"/>
      <c r="DG11" s="37"/>
      <c r="DH11" s="37"/>
      <c r="DI11" s="37"/>
    </row>
    <row r="12">
      <c r="A12" s="43"/>
      <c r="B12" s="50" t="s">
        <v>24</v>
      </c>
      <c r="C12" s="45" t="s">
        <v>20</v>
      </c>
      <c r="D12" s="46">
        <v>1.0</v>
      </c>
      <c r="E12" s="47">
        <v>45958.0</v>
      </c>
      <c r="F12" s="47">
        <v>45958.0</v>
      </c>
      <c r="G12" s="31"/>
      <c r="H12" s="31" t="str">
        <f>IF(OR(ISBLANK('Sample Gantt'!task_start),ISBLANK('Sample Gantt'!task_end)),"",'Sample Gantt'!task_end-'Sample Gantt'!task_start+1)</f>
        <v/>
      </c>
      <c r="I12" s="34"/>
      <c r="J12" s="34"/>
      <c r="K12" s="34"/>
      <c r="L12" s="34"/>
      <c r="M12" s="34"/>
      <c r="N12" s="34"/>
      <c r="O12" s="34"/>
      <c r="P12" s="34"/>
      <c r="Q12" s="34"/>
      <c r="R12" s="34"/>
      <c r="S12" s="34"/>
      <c r="T12" s="34"/>
      <c r="U12" s="34"/>
      <c r="V12" s="34"/>
      <c r="W12" s="34"/>
      <c r="X12" s="34"/>
      <c r="Y12" s="51"/>
      <c r="Z12" s="34"/>
      <c r="AA12" s="34"/>
      <c r="AB12" s="34"/>
      <c r="AC12" s="48"/>
      <c r="AD12" s="48"/>
      <c r="AE12" s="48"/>
      <c r="AF12" s="48"/>
      <c r="AG12" s="49"/>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5"/>
      <c r="CA12" s="36"/>
      <c r="CB12" s="36"/>
      <c r="CC12" s="36"/>
      <c r="CD12" s="36"/>
      <c r="CE12" s="36"/>
      <c r="CF12" s="36"/>
      <c r="CG12" s="36"/>
      <c r="CH12" s="36"/>
      <c r="CI12" s="36"/>
      <c r="CJ12" s="36"/>
      <c r="CK12" s="36"/>
      <c r="CL12" s="36"/>
      <c r="CM12" s="36"/>
      <c r="CN12" s="36"/>
      <c r="CO12" s="36"/>
      <c r="CP12" s="36"/>
      <c r="CQ12" s="36"/>
      <c r="CR12" s="36"/>
      <c r="CS12" s="36"/>
      <c r="CT12" s="36"/>
      <c r="CU12" s="36"/>
      <c r="CV12" s="37"/>
      <c r="CW12" s="37"/>
      <c r="CX12" s="37"/>
      <c r="CY12" s="37"/>
      <c r="CZ12" s="37"/>
      <c r="DA12" s="37"/>
      <c r="DB12" s="37"/>
      <c r="DC12" s="37"/>
      <c r="DD12" s="37"/>
      <c r="DE12" s="37"/>
      <c r="DF12" s="37"/>
      <c r="DG12" s="37"/>
      <c r="DH12" s="37"/>
      <c r="DI12" s="37"/>
    </row>
    <row r="13">
      <c r="A13" s="43"/>
      <c r="B13" s="50" t="s">
        <v>25</v>
      </c>
      <c r="C13" s="45" t="s">
        <v>20</v>
      </c>
      <c r="D13" s="52"/>
      <c r="E13" s="53"/>
      <c r="F13" s="53"/>
      <c r="G13" s="31"/>
      <c r="H13" s="31" t="str">
        <f>IF(OR(ISBLANK('Sample Gantt'!task_start),ISBLANK('Sample Gantt'!task_end)),"",'Sample Gantt'!task_end-'Sample Gantt'!task_start+1)</f>
        <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48"/>
      <c r="AH13" s="48"/>
      <c r="AI13" s="48"/>
      <c r="AJ13" s="48"/>
      <c r="AK13" s="49"/>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5"/>
      <c r="CA13" s="36"/>
      <c r="CB13" s="36"/>
      <c r="CC13" s="36"/>
      <c r="CD13" s="36"/>
      <c r="CE13" s="36"/>
      <c r="CF13" s="36"/>
      <c r="CG13" s="36"/>
      <c r="CH13" s="36"/>
      <c r="CI13" s="36"/>
      <c r="CJ13" s="36"/>
      <c r="CK13" s="36"/>
      <c r="CL13" s="36"/>
      <c r="CM13" s="36"/>
      <c r="CN13" s="36"/>
      <c r="CO13" s="36"/>
      <c r="CP13" s="36"/>
      <c r="CQ13" s="36"/>
      <c r="CR13" s="36"/>
      <c r="CS13" s="36"/>
      <c r="CT13" s="36"/>
      <c r="CU13" s="36"/>
      <c r="CV13" s="37"/>
      <c r="CW13" s="37"/>
      <c r="CX13" s="37"/>
      <c r="CY13" s="37"/>
      <c r="CZ13" s="37"/>
      <c r="DA13" s="37"/>
      <c r="DB13" s="37"/>
      <c r="DC13" s="37"/>
      <c r="DD13" s="37"/>
      <c r="DE13" s="37"/>
      <c r="DF13" s="37"/>
      <c r="DG13" s="37"/>
      <c r="DH13" s="37"/>
      <c r="DI13" s="37"/>
    </row>
    <row r="14">
      <c r="A14" s="43"/>
      <c r="B14" s="50" t="s">
        <v>26</v>
      </c>
      <c r="C14" s="45" t="s">
        <v>20</v>
      </c>
      <c r="D14" s="52"/>
      <c r="E14" s="47">
        <v>45958.0</v>
      </c>
      <c r="F14" s="53"/>
      <c r="G14" s="31"/>
      <c r="H14" s="31" t="str">
        <f>IF(OR(ISBLANK('Sample Gantt'!task_start),ISBLANK('Sample Gantt'!task_end)),"",'Sample Gantt'!task_end-'Sample Gantt'!task_start+1)</f>
        <v/>
      </c>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48"/>
      <c r="AL14" s="48"/>
      <c r="AM14" s="48"/>
      <c r="AN14" s="48"/>
      <c r="AO14" s="49"/>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5"/>
      <c r="CA14" s="36"/>
      <c r="CB14" s="36"/>
      <c r="CC14" s="36"/>
      <c r="CD14" s="36"/>
      <c r="CE14" s="36"/>
      <c r="CF14" s="36"/>
      <c r="CG14" s="36"/>
      <c r="CH14" s="36"/>
      <c r="CI14" s="36"/>
      <c r="CJ14" s="36"/>
      <c r="CK14" s="36"/>
      <c r="CL14" s="36"/>
      <c r="CM14" s="36"/>
      <c r="CN14" s="36"/>
      <c r="CO14" s="36"/>
      <c r="CP14" s="36"/>
      <c r="CQ14" s="36"/>
      <c r="CR14" s="36"/>
      <c r="CS14" s="36"/>
      <c r="CT14" s="36"/>
      <c r="CU14" s="36"/>
      <c r="CV14" s="37"/>
      <c r="CW14" s="37"/>
      <c r="CX14" s="37"/>
      <c r="CY14" s="37"/>
      <c r="CZ14" s="37"/>
      <c r="DA14" s="37"/>
      <c r="DB14" s="37"/>
      <c r="DC14" s="37"/>
      <c r="DD14" s="37"/>
      <c r="DE14" s="37"/>
      <c r="DF14" s="37"/>
      <c r="DG14" s="37"/>
      <c r="DH14" s="37"/>
      <c r="DI14" s="37"/>
    </row>
    <row r="15">
      <c r="A15" s="43"/>
      <c r="B15" s="50" t="s">
        <v>27</v>
      </c>
      <c r="C15" s="45" t="s">
        <v>20</v>
      </c>
      <c r="D15" s="52"/>
      <c r="E15" s="53"/>
      <c r="F15" s="53"/>
      <c r="G15" s="31"/>
      <c r="H15" s="31" t="str">
        <f>IF(OR(ISBLANK('Sample Gantt'!task_start),ISBLANK('Sample Gantt'!task_end)),"",'Sample Gantt'!task_end-'Sample Gantt'!task_start+1)</f>
        <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48"/>
      <c r="AP15" s="48"/>
      <c r="AQ15" s="48"/>
      <c r="AR15" s="48"/>
      <c r="AS15" s="49"/>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5"/>
      <c r="CA15" s="36"/>
      <c r="CB15" s="36"/>
      <c r="CC15" s="36"/>
      <c r="CD15" s="36"/>
      <c r="CE15" s="36"/>
      <c r="CF15" s="36"/>
      <c r="CG15" s="36"/>
      <c r="CH15" s="36"/>
      <c r="CI15" s="36"/>
      <c r="CJ15" s="36"/>
      <c r="CK15" s="36"/>
      <c r="CL15" s="36"/>
      <c r="CM15" s="36"/>
      <c r="CN15" s="36"/>
      <c r="CO15" s="36"/>
      <c r="CP15" s="36"/>
      <c r="CQ15" s="36"/>
      <c r="CR15" s="36"/>
      <c r="CS15" s="36"/>
      <c r="CT15" s="36"/>
      <c r="CU15" s="36"/>
      <c r="CV15" s="37"/>
      <c r="CW15" s="37"/>
      <c r="CX15" s="37"/>
      <c r="CY15" s="37"/>
      <c r="CZ15" s="37"/>
      <c r="DA15" s="37"/>
      <c r="DB15" s="37"/>
      <c r="DC15" s="37"/>
      <c r="DD15" s="37"/>
      <c r="DE15" s="37"/>
      <c r="DF15" s="37"/>
      <c r="DG15" s="37"/>
      <c r="DH15" s="37"/>
      <c r="DI15" s="37"/>
    </row>
    <row r="16">
      <c r="A16" s="43"/>
      <c r="B16" s="50" t="s">
        <v>28</v>
      </c>
      <c r="C16" s="45" t="s">
        <v>20</v>
      </c>
      <c r="D16" s="52"/>
      <c r="E16" s="53"/>
      <c r="F16" s="53"/>
      <c r="G16" s="31"/>
      <c r="H16" s="31" t="str">
        <f>IF(OR(ISBLANK('Sample Gantt'!task_start),ISBLANK('Sample Gantt'!task_end)),"",'Sample Gantt'!task_end-'Sample Gantt'!task_start+1)</f>
        <v/>
      </c>
      <c r="I16" s="34"/>
      <c r="J16" s="34"/>
      <c r="K16" s="34"/>
      <c r="L16" s="34"/>
      <c r="M16" s="34"/>
      <c r="N16" s="34"/>
      <c r="O16" s="34"/>
      <c r="P16" s="34"/>
      <c r="Q16" s="34"/>
      <c r="R16" s="34"/>
      <c r="S16" s="34"/>
      <c r="T16" s="34"/>
      <c r="U16" s="51"/>
      <c r="V16" s="51"/>
      <c r="W16" s="34"/>
      <c r="X16" s="34"/>
      <c r="Y16" s="34"/>
      <c r="Z16" s="34"/>
      <c r="AA16" s="34"/>
      <c r="AB16" s="34"/>
      <c r="AC16" s="34"/>
      <c r="AD16" s="34"/>
      <c r="AE16" s="34"/>
      <c r="AF16" s="34"/>
      <c r="AG16" s="34"/>
      <c r="AH16" s="34"/>
      <c r="AI16" s="34"/>
      <c r="AJ16" s="34"/>
      <c r="AK16" s="34"/>
      <c r="AL16" s="34"/>
      <c r="AM16" s="34"/>
      <c r="AN16" s="34"/>
      <c r="AO16" s="34"/>
      <c r="AP16" s="34"/>
      <c r="AQ16" s="34"/>
      <c r="AR16" s="34"/>
      <c r="AS16" s="48"/>
      <c r="AT16" s="48"/>
      <c r="AU16" s="48"/>
      <c r="AV16" s="48"/>
      <c r="AW16" s="49"/>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5"/>
      <c r="CA16" s="36"/>
      <c r="CB16" s="36"/>
      <c r="CC16" s="36"/>
      <c r="CD16" s="36"/>
      <c r="CE16" s="36"/>
      <c r="CF16" s="36"/>
      <c r="CG16" s="36"/>
      <c r="CH16" s="36"/>
      <c r="CI16" s="36"/>
      <c r="CJ16" s="36"/>
      <c r="CK16" s="36"/>
      <c r="CL16" s="36"/>
      <c r="CM16" s="36"/>
      <c r="CN16" s="36"/>
      <c r="CO16" s="36"/>
      <c r="CP16" s="36"/>
      <c r="CQ16" s="36"/>
      <c r="CR16" s="36"/>
      <c r="CS16" s="36"/>
      <c r="CT16" s="36"/>
      <c r="CU16" s="36"/>
      <c r="CV16" s="37"/>
      <c r="CW16" s="37"/>
      <c r="CX16" s="37"/>
      <c r="CY16" s="37"/>
      <c r="CZ16" s="37"/>
      <c r="DA16" s="37"/>
      <c r="DB16" s="37"/>
      <c r="DC16" s="37"/>
      <c r="DD16" s="37"/>
      <c r="DE16" s="37"/>
      <c r="DF16" s="37"/>
      <c r="DG16" s="37"/>
      <c r="DH16" s="37"/>
      <c r="DI16" s="37"/>
    </row>
    <row r="17">
      <c r="A17" s="43"/>
      <c r="B17" s="50" t="s">
        <v>29</v>
      </c>
      <c r="C17" s="45" t="s">
        <v>30</v>
      </c>
      <c r="D17" s="52"/>
      <c r="E17" s="47">
        <v>46006.0</v>
      </c>
      <c r="F17" s="47">
        <v>46010.0</v>
      </c>
      <c r="G17" s="31"/>
      <c r="H17" s="31" t="str">
        <f>IF(OR(ISBLANK('Sample Gantt'!task_start),ISBLANK('Sample Gantt'!task_end)),"",'Sample Gantt'!task_end-'Sample Gantt'!task_start+1)</f>
        <v/>
      </c>
      <c r="I17" s="48"/>
      <c r="J17" s="48"/>
      <c r="K17" s="48"/>
      <c r="L17" s="48"/>
      <c r="M17" s="49"/>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48"/>
      <c r="AX17" s="48"/>
      <c r="AY17" s="48"/>
      <c r="AZ17" s="48"/>
      <c r="BA17" s="49"/>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5"/>
      <c r="CA17" s="36"/>
      <c r="CB17" s="36"/>
      <c r="CC17" s="36"/>
      <c r="CD17" s="36"/>
      <c r="CE17" s="36"/>
      <c r="CF17" s="36"/>
      <c r="CG17" s="36"/>
      <c r="CH17" s="36"/>
      <c r="CI17" s="36"/>
      <c r="CJ17" s="36"/>
      <c r="CK17" s="36"/>
      <c r="CL17" s="36"/>
      <c r="CM17" s="36"/>
      <c r="CN17" s="36"/>
      <c r="CO17" s="36"/>
      <c r="CP17" s="36"/>
      <c r="CQ17" s="36"/>
      <c r="CR17" s="36"/>
      <c r="CS17" s="36"/>
      <c r="CT17" s="36"/>
      <c r="CU17" s="36"/>
      <c r="CV17" s="37"/>
      <c r="CW17" s="37"/>
      <c r="CX17" s="37"/>
      <c r="CY17" s="37"/>
      <c r="CZ17" s="37"/>
      <c r="DA17" s="37"/>
      <c r="DB17" s="37"/>
      <c r="DC17" s="37"/>
      <c r="DD17" s="37"/>
      <c r="DE17" s="37"/>
      <c r="DF17" s="37"/>
      <c r="DG17" s="37"/>
      <c r="DH17" s="37"/>
      <c r="DI17" s="37"/>
    </row>
    <row r="18">
      <c r="A18" s="43"/>
      <c r="B18" s="50" t="s">
        <v>31</v>
      </c>
      <c r="C18" s="45" t="s">
        <v>30</v>
      </c>
      <c r="D18" s="52"/>
      <c r="E18" s="47">
        <v>46013.0</v>
      </c>
      <c r="F18" s="47">
        <v>46017.0</v>
      </c>
      <c r="G18" s="31"/>
      <c r="H18" s="31" t="str">
        <f>IF(OR(ISBLANK('Sample Gantt'!task_start),ISBLANK('Sample Gantt'!task_end)),"",'Sample Gantt'!task_end-'Sample Gantt'!task_start+1)</f>
        <v/>
      </c>
      <c r="I18" s="34"/>
      <c r="J18" s="34"/>
      <c r="K18" s="34"/>
      <c r="L18" s="34"/>
      <c r="M18" s="34"/>
      <c r="N18" s="34"/>
      <c r="O18" s="34"/>
      <c r="P18" s="48"/>
      <c r="Q18" s="48"/>
      <c r="R18" s="48"/>
      <c r="S18" s="48"/>
      <c r="T18" s="49"/>
      <c r="U18" s="34"/>
      <c r="V18" s="34"/>
      <c r="W18" s="34"/>
      <c r="X18" s="34"/>
      <c r="Y18" s="51"/>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5"/>
      <c r="CA18" s="36"/>
      <c r="CB18" s="36"/>
      <c r="CC18" s="36"/>
      <c r="CD18" s="36"/>
      <c r="CE18" s="36"/>
      <c r="CF18" s="36"/>
      <c r="CG18" s="36"/>
      <c r="CH18" s="36"/>
      <c r="CI18" s="36"/>
      <c r="CJ18" s="36"/>
      <c r="CK18" s="36"/>
      <c r="CL18" s="36"/>
      <c r="CM18" s="36"/>
      <c r="CN18" s="36"/>
      <c r="CO18" s="36"/>
      <c r="CP18" s="36"/>
      <c r="CQ18" s="36"/>
      <c r="CR18" s="36"/>
      <c r="CS18" s="36"/>
      <c r="CT18" s="36"/>
      <c r="CU18" s="36"/>
      <c r="CV18" s="37"/>
      <c r="CW18" s="37"/>
      <c r="CX18" s="37"/>
      <c r="CY18" s="37"/>
      <c r="CZ18" s="37"/>
      <c r="DA18" s="37"/>
      <c r="DB18" s="37"/>
      <c r="DC18" s="37"/>
      <c r="DD18" s="37"/>
      <c r="DE18" s="37"/>
      <c r="DF18" s="37"/>
      <c r="DG18" s="37"/>
      <c r="DH18" s="37"/>
      <c r="DI18" s="37"/>
    </row>
    <row r="19">
      <c r="A19" s="43"/>
      <c r="B19" s="50" t="s">
        <v>32</v>
      </c>
      <c r="C19" s="45" t="s">
        <v>30</v>
      </c>
      <c r="D19" s="52"/>
      <c r="E19" s="53"/>
      <c r="F19" s="53"/>
      <c r="G19" s="31"/>
      <c r="H19" s="31" t="str">
        <f>IF(OR(ISBLANK('Sample Gantt'!task_start),ISBLANK('Sample Gantt'!task_end)),"",'Sample Gantt'!task_end-'Sample Gantt'!task_start+1)</f>
        <v/>
      </c>
      <c r="I19" s="34"/>
      <c r="J19" s="34"/>
      <c r="K19" s="34"/>
      <c r="L19" s="34"/>
      <c r="M19" s="34"/>
      <c r="N19" s="34"/>
      <c r="O19" s="34"/>
      <c r="P19" s="34"/>
      <c r="Q19" s="34"/>
      <c r="R19" s="34"/>
      <c r="S19" s="34"/>
      <c r="T19" s="34"/>
      <c r="U19" s="34"/>
      <c r="V19" s="34"/>
      <c r="W19" s="48"/>
      <c r="X19" s="48"/>
      <c r="Y19" s="48"/>
      <c r="Z19" s="48"/>
      <c r="AA19" s="49"/>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5"/>
      <c r="CA19" s="36"/>
      <c r="CB19" s="36"/>
      <c r="CC19" s="36"/>
      <c r="CD19" s="36"/>
      <c r="CE19" s="36"/>
      <c r="CF19" s="36"/>
      <c r="CG19" s="36"/>
      <c r="CH19" s="36"/>
      <c r="CI19" s="36"/>
      <c r="CJ19" s="36"/>
      <c r="CK19" s="36"/>
      <c r="CL19" s="36"/>
      <c r="CM19" s="36"/>
      <c r="CN19" s="36"/>
      <c r="CO19" s="36"/>
      <c r="CP19" s="36"/>
      <c r="CQ19" s="36"/>
      <c r="CR19" s="36"/>
      <c r="CS19" s="36"/>
      <c r="CT19" s="36"/>
      <c r="CU19" s="36"/>
      <c r="CV19" s="37"/>
      <c r="CW19" s="37"/>
      <c r="CX19" s="37"/>
      <c r="CY19" s="37"/>
      <c r="CZ19" s="37"/>
      <c r="DA19" s="37"/>
      <c r="DB19" s="37"/>
      <c r="DC19" s="37"/>
      <c r="DD19" s="37"/>
      <c r="DE19" s="37"/>
      <c r="DF19" s="37"/>
      <c r="DG19" s="37"/>
      <c r="DH19" s="37"/>
      <c r="DI19" s="37"/>
    </row>
    <row r="20">
      <c r="A20" s="43"/>
      <c r="B20" s="50" t="s">
        <v>33</v>
      </c>
      <c r="C20" s="45" t="s">
        <v>30</v>
      </c>
      <c r="D20" s="52"/>
      <c r="E20" s="53"/>
      <c r="F20" s="53"/>
      <c r="G20" s="31"/>
      <c r="H20" s="31" t="str">
        <f>IF(OR(ISBLANK('Sample Gantt'!task_start),ISBLANK('Sample Gantt'!task_end)),"",'Sample Gantt'!task_end-'Sample Gantt'!task_start+1)</f>
        <v/>
      </c>
      <c r="I20" s="34"/>
      <c r="J20" s="34"/>
      <c r="K20" s="34"/>
      <c r="L20" s="34"/>
      <c r="M20" s="34"/>
      <c r="N20" s="34"/>
      <c r="O20" s="34"/>
      <c r="P20" s="34"/>
      <c r="Q20" s="34"/>
      <c r="R20" s="34"/>
      <c r="S20" s="34"/>
      <c r="T20" s="34"/>
      <c r="U20" s="34"/>
      <c r="V20" s="34"/>
      <c r="W20" s="34"/>
      <c r="X20" s="34"/>
      <c r="Y20" s="34"/>
      <c r="Z20" s="34"/>
      <c r="AA20" s="34"/>
      <c r="AB20" s="34"/>
      <c r="AC20" s="48"/>
      <c r="AD20" s="48"/>
      <c r="AE20" s="48"/>
      <c r="AF20" s="48"/>
      <c r="AG20" s="49"/>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5"/>
      <c r="CA20" s="36"/>
      <c r="CB20" s="36"/>
      <c r="CC20" s="36"/>
      <c r="CD20" s="36"/>
      <c r="CE20" s="36"/>
      <c r="CF20" s="36"/>
      <c r="CG20" s="36"/>
      <c r="CH20" s="36"/>
      <c r="CI20" s="36"/>
      <c r="CJ20" s="36"/>
      <c r="CK20" s="36"/>
      <c r="CL20" s="36"/>
      <c r="CM20" s="36"/>
      <c r="CN20" s="36"/>
      <c r="CO20" s="36"/>
      <c r="CP20" s="36"/>
      <c r="CQ20" s="36"/>
      <c r="CR20" s="36"/>
      <c r="CS20" s="36"/>
      <c r="CT20" s="36"/>
      <c r="CU20" s="36"/>
      <c r="CV20" s="37"/>
      <c r="CW20" s="37"/>
      <c r="CX20" s="37"/>
      <c r="CY20" s="37"/>
      <c r="CZ20" s="37"/>
      <c r="DA20" s="37"/>
      <c r="DB20" s="37"/>
      <c r="DC20" s="37"/>
      <c r="DD20" s="37"/>
      <c r="DE20" s="37"/>
      <c r="DF20" s="37"/>
      <c r="DG20" s="37"/>
      <c r="DH20" s="37"/>
      <c r="DI20" s="37"/>
    </row>
    <row r="21" ht="15.75" customHeight="1">
      <c r="A21" s="43"/>
      <c r="B21" s="50" t="s">
        <v>34</v>
      </c>
      <c r="C21" s="45" t="s">
        <v>30</v>
      </c>
      <c r="D21" s="52"/>
      <c r="E21" s="53"/>
      <c r="F21" s="53"/>
      <c r="G21" s="31"/>
      <c r="H21" s="31" t="str">
        <f>IF(OR(ISBLANK('Sample Gantt'!task_start),ISBLANK('Sample Gantt'!task_end)),"",'Sample Gantt'!task_end-'Sample Gantt'!task_start+1)</f>
        <v/>
      </c>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48"/>
      <c r="AH21" s="48"/>
      <c r="AI21" s="48"/>
      <c r="AJ21" s="48"/>
      <c r="AK21" s="49"/>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5"/>
      <c r="CA21" s="36"/>
      <c r="CB21" s="36"/>
      <c r="CC21" s="36"/>
      <c r="CD21" s="36"/>
      <c r="CE21" s="36"/>
      <c r="CF21" s="36"/>
      <c r="CG21" s="36"/>
      <c r="CH21" s="36"/>
      <c r="CI21" s="36"/>
      <c r="CJ21" s="36"/>
      <c r="CK21" s="36"/>
      <c r="CL21" s="36"/>
      <c r="CM21" s="36"/>
      <c r="CN21" s="36"/>
      <c r="CO21" s="36"/>
      <c r="CP21" s="36"/>
      <c r="CQ21" s="36"/>
      <c r="CR21" s="36"/>
      <c r="CS21" s="36"/>
      <c r="CT21" s="36"/>
      <c r="CU21" s="36"/>
      <c r="CV21" s="37"/>
      <c r="CW21" s="37"/>
      <c r="CX21" s="37"/>
      <c r="CY21" s="37"/>
      <c r="CZ21" s="37"/>
      <c r="DA21" s="37"/>
      <c r="DB21" s="37"/>
      <c r="DC21" s="37"/>
      <c r="DD21" s="37"/>
      <c r="DE21" s="37"/>
      <c r="DF21" s="37"/>
      <c r="DG21" s="37"/>
      <c r="DH21" s="37"/>
      <c r="DI21" s="37"/>
    </row>
    <row r="22" ht="15.75" customHeight="1">
      <c r="A22" s="43"/>
      <c r="B22" s="50" t="s">
        <v>35</v>
      </c>
      <c r="C22" s="45" t="s">
        <v>30</v>
      </c>
      <c r="D22" s="52"/>
      <c r="E22" s="53"/>
      <c r="F22" s="53"/>
      <c r="G22" s="31"/>
      <c r="H22" s="31" t="str">
        <f>IF(OR(ISBLANK('Sample Gantt'!task_start),ISBLANK('Sample Gantt'!task_end)),"",'Sample Gantt'!task_end-'Sample Gantt'!task_start+1)</f>
        <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48"/>
      <c r="AL22" s="48"/>
      <c r="AM22" s="48"/>
      <c r="AN22" s="48"/>
      <c r="AO22" s="49"/>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5"/>
      <c r="CA22" s="36"/>
      <c r="CB22" s="36"/>
      <c r="CC22" s="36"/>
      <c r="CD22" s="36"/>
      <c r="CE22" s="36"/>
      <c r="CF22" s="36"/>
      <c r="CG22" s="36"/>
      <c r="CH22" s="36"/>
      <c r="CI22" s="36"/>
      <c r="CJ22" s="36"/>
      <c r="CK22" s="36"/>
      <c r="CL22" s="36"/>
      <c r="CM22" s="36"/>
      <c r="CN22" s="36"/>
      <c r="CO22" s="36"/>
      <c r="CP22" s="36"/>
      <c r="CQ22" s="36"/>
      <c r="CR22" s="36"/>
      <c r="CS22" s="36"/>
      <c r="CT22" s="36"/>
      <c r="CU22" s="36"/>
      <c r="CV22" s="37"/>
      <c r="CW22" s="37"/>
      <c r="CX22" s="37"/>
      <c r="CY22" s="37"/>
      <c r="CZ22" s="37"/>
      <c r="DA22" s="37"/>
      <c r="DB22" s="37"/>
      <c r="DC22" s="37"/>
      <c r="DD22" s="37"/>
      <c r="DE22" s="37"/>
      <c r="DF22" s="37"/>
      <c r="DG22" s="37"/>
      <c r="DH22" s="37"/>
      <c r="DI22" s="37"/>
    </row>
    <row r="23" ht="15.75" customHeight="1">
      <c r="A23" s="43"/>
      <c r="B23" s="50" t="s">
        <v>36</v>
      </c>
      <c r="C23" s="45" t="s">
        <v>30</v>
      </c>
      <c r="D23" s="52"/>
      <c r="E23" s="47">
        <v>45915.0</v>
      </c>
      <c r="F23" s="47">
        <v>45921.0</v>
      </c>
      <c r="G23" s="31"/>
      <c r="H23" s="31" t="str">
        <f>IF(OR(ISBLANK('Sample Gantt'!task_start),ISBLANK('Sample Gantt'!task_end)),"",'Sample Gantt'!task_end-'Sample Gantt'!task_start+1)</f>
        <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48"/>
      <c r="AP23" s="48"/>
      <c r="AQ23" s="48"/>
      <c r="AR23" s="48"/>
      <c r="AS23" s="49"/>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5"/>
      <c r="CA23" s="36"/>
      <c r="CB23" s="36"/>
      <c r="CC23" s="36"/>
      <c r="CD23" s="36"/>
      <c r="CE23" s="36"/>
      <c r="CF23" s="36"/>
      <c r="CG23" s="36"/>
      <c r="CH23" s="36"/>
      <c r="CI23" s="36"/>
      <c r="CJ23" s="36"/>
      <c r="CK23" s="36"/>
      <c r="CL23" s="36"/>
      <c r="CM23" s="36"/>
      <c r="CN23" s="36"/>
      <c r="CO23" s="36"/>
      <c r="CP23" s="36"/>
      <c r="CQ23" s="36"/>
      <c r="CR23" s="36"/>
      <c r="CS23" s="36"/>
      <c r="CT23" s="36"/>
      <c r="CU23" s="36"/>
      <c r="CV23" s="37"/>
      <c r="CW23" s="37"/>
      <c r="CX23" s="37"/>
      <c r="CY23" s="37"/>
      <c r="CZ23" s="37"/>
      <c r="DA23" s="37"/>
      <c r="DB23" s="37"/>
      <c r="DC23" s="37"/>
      <c r="DD23" s="37"/>
      <c r="DE23" s="37"/>
      <c r="DF23" s="37"/>
      <c r="DG23" s="37"/>
      <c r="DH23" s="37"/>
      <c r="DI23" s="37"/>
    </row>
    <row r="24" ht="15.75" customHeight="1">
      <c r="A24" s="43"/>
      <c r="B24" s="50" t="s">
        <v>37</v>
      </c>
      <c r="C24" s="45" t="s">
        <v>30</v>
      </c>
      <c r="D24" s="52"/>
      <c r="E24" s="53"/>
      <c r="F24" s="53"/>
      <c r="G24" s="31"/>
      <c r="H24" s="31" t="str">
        <f>IF(OR(ISBLANK('Sample Gantt'!task_start),ISBLANK('Sample Gantt'!task_end)),"",'Sample Gantt'!task_end-'Sample Gantt'!task_start+1)</f>
        <v/>
      </c>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48"/>
      <c r="AT24" s="48"/>
      <c r="AU24" s="48"/>
      <c r="AV24" s="48"/>
      <c r="AW24" s="49"/>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5"/>
      <c r="CA24" s="36"/>
      <c r="CB24" s="36"/>
      <c r="CC24" s="36"/>
      <c r="CD24" s="36"/>
      <c r="CE24" s="36"/>
      <c r="CF24" s="36"/>
      <c r="CG24" s="36"/>
      <c r="CH24" s="36"/>
      <c r="CI24" s="36"/>
      <c r="CJ24" s="36"/>
      <c r="CK24" s="36"/>
      <c r="CL24" s="36"/>
      <c r="CM24" s="36"/>
      <c r="CN24" s="36"/>
      <c r="CO24" s="36"/>
      <c r="CP24" s="36"/>
      <c r="CQ24" s="36"/>
      <c r="CR24" s="36"/>
      <c r="CS24" s="36"/>
      <c r="CT24" s="36"/>
      <c r="CU24" s="36"/>
      <c r="CV24" s="37"/>
      <c r="CW24" s="37"/>
      <c r="CX24" s="37"/>
      <c r="CY24" s="37"/>
      <c r="CZ24" s="37"/>
      <c r="DA24" s="37"/>
      <c r="DB24" s="37"/>
      <c r="DC24" s="37"/>
      <c r="DD24" s="37"/>
      <c r="DE24" s="37"/>
      <c r="DF24" s="37"/>
      <c r="DG24" s="37"/>
      <c r="DH24" s="37"/>
      <c r="DI24" s="37"/>
    </row>
    <row r="25" ht="15.75" customHeight="1">
      <c r="A25" s="43"/>
      <c r="B25" s="50" t="s">
        <v>38</v>
      </c>
      <c r="C25" s="45" t="s">
        <v>30</v>
      </c>
      <c r="D25" s="52"/>
      <c r="E25" s="53"/>
      <c r="F25" s="53"/>
      <c r="G25" s="31"/>
      <c r="H25" s="31" t="str">
        <f>IF(OR(ISBLANK('Sample Gantt'!task_start),ISBLANK('Sample Gantt'!task_end)),"",'Sample Gantt'!task_end-'Sample Gantt'!task_start+1)</f>
        <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48"/>
      <c r="AX25" s="48"/>
      <c r="AY25" s="48"/>
      <c r="AZ25" s="48"/>
      <c r="BA25" s="49"/>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5"/>
      <c r="CA25" s="36"/>
      <c r="CB25" s="36"/>
      <c r="CC25" s="36"/>
      <c r="CD25" s="36"/>
      <c r="CE25" s="36"/>
      <c r="CF25" s="36"/>
      <c r="CG25" s="36"/>
      <c r="CH25" s="36"/>
      <c r="CI25" s="36"/>
      <c r="CJ25" s="36"/>
      <c r="CK25" s="36"/>
      <c r="CL25" s="36"/>
      <c r="CM25" s="36"/>
      <c r="CN25" s="36"/>
      <c r="CO25" s="36"/>
      <c r="CP25" s="36"/>
      <c r="CQ25" s="36"/>
      <c r="CR25" s="36"/>
      <c r="CS25" s="36"/>
      <c r="CT25" s="36"/>
      <c r="CU25" s="36"/>
      <c r="CV25" s="37"/>
      <c r="CW25" s="37"/>
      <c r="CX25" s="37"/>
      <c r="CY25" s="37"/>
      <c r="CZ25" s="37"/>
      <c r="DA25" s="37"/>
      <c r="DB25" s="37"/>
      <c r="DC25" s="37"/>
      <c r="DD25" s="37"/>
      <c r="DE25" s="37"/>
      <c r="DF25" s="37"/>
      <c r="DG25" s="37"/>
      <c r="DH25" s="37"/>
      <c r="DI25" s="37"/>
    </row>
    <row r="26" ht="15.75" customHeight="1">
      <c r="A26" s="43"/>
      <c r="B26" s="50" t="s">
        <v>39</v>
      </c>
      <c r="C26" s="45" t="s">
        <v>40</v>
      </c>
      <c r="D26" s="52"/>
      <c r="E26" s="47">
        <v>46006.0</v>
      </c>
      <c r="F26" s="47">
        <v>46010.0</v>
      </c>
      <c r="G26" s="31"/>
      <c r="H26" s="31" t="str">
        <f>IF(OR(ISBLANK('Sample Gantt'!task_start),ISBLANK('Sample Gantt'!task_end)),"",'Sample Gantt'!task_end-'Sample Gantt'!task_start+1)</f>
        <v/>
      </c>
      <c r="I26" s="54"/>
      <c r="J26" s="54"/>
      <c r="K26" s="54"/>
      <c r="L26" s="54"/>
      <c r="M26" s="49"/>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5"/>
      <c r="CA26" s="36"/>
      <c r="CB26" s="36"/>
      <c r="CC26" s="36"/>
      <c r="CD26" s="36"/>
      <c r="CE26" s="36"/>
      <c r="CF26" s="36"/>
      <c r="CG26" s="36"/>
      <c r="CH26" s="36"/>
      <c r="CI26" s="36"/>
      <c r="CJ26" s="36"/>
      <c r="CK26" s="36"/>
      <c r="CL26" s="36"/>
      <c r="CM26" s="36"/>
      <c r="CN26" s="36"/>
      <c r="CO26" s="36"/>
      <c r="CP26" s="36"/>
      <c r="CQ26" s="36"/>
      <c r="CR26" s="36"/>
      <c r="CS26" s="36"/>
      <c r="CT26" s="36"/>
      <c r="CU26" s="36"/>
      <c r="CV26" s="37"/>
      <c r="CW26" s="37"/>
      <c r="CX26" s="37"/>
      <c r="CY26" s="37"/>
      <c r="CZ26" s="37"/>
      <c r="DA26" s="37"/>
      <c r="DB26" s="37"/>
      <c r="DC26" s="37"/>
      <c r="DD26" s="37"/>
      <c r="DE26" s="37"/>
      <c r="DF26" s="37"/>
      <c r="DG26" s="37"/>
      <c r="DH26" s="37"/>
      <c r="DI26" s="37"/>
    </row>
    <row r="27" ht="15.75" customHeight="1">
      <c r="A27" s="43"/>
      <c r="B27" s="50" t="s">
        <v>41</v>
      </c>
      <c r="C27" s="45" t="s">
        <v>40</v>
      </c>
      <c r="D27" s="52"/>
      <c r="E27" s="47">
        <v>46013.0</v>
      </c>
      <c r="F27" s="47">
        <v>46017.0</v>
      </c>
      <c r="G27" s="31"/>
      <c r="H27" s="31" t="str">
        <f>IF(OR(ISBLANK('Sample Gantt'!task_start),ISBLANK('Sample Gantt'!task_end)),"",'Sample Gantt'!task_end-'Sample Gantt'!task_start+1)</f>
        <v/>
      </c>
      <c r="I27" s="34"/>
      <c r="J27" s="34"/>
      <c r="K27" s="34"/>
      <c r="L27" s="34"/>
      <c r="M27" s="34"/>
      <c r="N27" s="34"/>
      <c r="O27" s="34"/>
      <c r="P27" s="48"/>
      <c r="Q27" s="48"/>
      <c r="R27" s="48"/>
      <c r="S27" s="48"/>
      <c r="T27" s="49"/>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5"/>
      <c r="CA27" s="36"/>
      <c r="CB27" s="36"/>
      <c r="CC27" s="36"/>
      <c r="CD27" s="36"/>
      <c r="CE27" s="36"/>
      <c r="CF27" s="36"/>
      <c r="CG27" s="36"/>
      <c r="CH27" s="36"/>
      <c r="CI27" s="36"/>
      <c r="CJ27" s="36"/>
      <c r="CK27" s="36"/>
      <c r="CL27" s="36"/>
      <c r="CM27" s="36"/>
      <c r="CN27" s="36"/>
      <c r="CO27" s="36"/>
      <c r="CP27" s="36"/>
      <c r="CQ27" s="36"/>
      <c r="CR27" s="36"/>
      <c r="CS27" s="36"/>
      <c r="CT27" s="36"/>
      <c r="CU27" s="36"/>
      <c r="CV27" s="37"/>
      <c r="CW27" s="37"/>
      <c r="CX27" s="37"/>
      <c r="CY27" s="37"/>
      <c r="CZ27" s="37"/>
      <c r="DA27" s="37"/>
      <c r="DB27" s="37"/>
      <c r="DC27" s="37"/>
      <c r="DD27" s="37"/>
      <c r="DE27" s="37"/>
      <c r="DF27" s="37"/>
      <c r="DG27" s="37"/>
      <c r="DH27" s="37"/>
      <c r="DI27" s="37"/>
    </row>
    <row r="28" ht="15.75" customHeight="1">
      <c r="A28" s="43"/>
      <c r="B28" s="50" t="s">
        <v>42</v>
      </c>
      <c r="C28" s="45" t="s">
        <v>40</v>
      </c>
      <c r="D28" s="52"/>
      <c r="E28" s="53"/>
      <c r="F28" s="53"/>
      <c r="G28" s="31"/>
      <c r="H28" s="31" t="str">
        <f>IF(OR(ISBLANK('Sample Gantt'!task_start),ISBLANK('Sample Gantt'!task_end)),"",'Sample Gantt'!task_end-'Sample Gantt'!task_start+1)</f>
        <v/>
      </c>
      <c r="I28" s="34"/>
      <c r="J28" s="34"/>
      <c r="K28" s="34"/>
      <c r="L28" s="34"/>
      <c r="M28" s="34"/>
      <c r="N28" s="34"/>
      <c r="O28" s="34"/>
      <c r="P28" s="34"/>
      <c r="Q28" s="34"/>
      <c r="R28" s="34"/>
      <c r="S28" s="34"/>
      <c r="T28" s="34"/>
      <c r="U28" s="34"/>
      <c r="V28" s="34"/>
      <c r="W28" s="48"/>
      <c r="X28" s="48"/>
      <c r="Y28" s="48"/>
      <c r="Z28" s="48"/>
      <c r="AA28" s="49"/>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5"/>
      <c r="CA28" s="36"/>
      <c r="CB28" s="36"/>
      <c r="CC28" s="36"/>
      <c r="CD28" s="36"/>
      <c r="CE28" s="36"/>
      <c r="CF28" s="36"/>
      <c r="CG28" s="36"/>
      <c r="CH28" s="36"/>
      <c r="CI28" s="36"/>
      <c r="CJ28" s="36"/>
      <c r="CK28" s="36"/>
      <c r="CL28" s="36"/>
      <c r="CM28" s="36"/>
      <c r="CN28" s="36"/>
      <c r="CO28" s="36"/>
      <c r="CP28" s="36"/>
      <c r="CQ28" s="36"/>
      <c r="CR28" s="36"/>
      <c r="CS28" s="36"/>
      <c r="CT28" s="36"/>
      <c r="CU28" s="36"/>
      <c r="CV28" s="37"/>
      <c r="CW28" s="37"/>
      <c r="CX28" s="37"/>
      <c r="CY28" s="37"/>
      <c r="CZ28" s="37"/>
      <c r="DA28" s="37"/>
      <c r="DB28" s="37"/>
      <c r="DC28" s="37"/>
      <c r="DD28" s="37"/>
      <c r="DE28" s="37"/>
      <c r="DF28" s="37"/>
      <c r="DG28" s="37"/>
      <c r="DH28" s="37"/>
      <c r="DI28" s="37"/>
    </row>
    <row r="29" ht="15.75" customHeight="1">
      <c r="A29" s="43"/>
      <c r="B29" s="50" t="s">
        <v>43</v>
      </c>
      <c r="C29" s="45" t="s">
        <v>40</v>
      </c>
      <c r="D29" s="52"/>
      <c r="E29" s="53"/>
      <c r="F29" s="53"/>
      <c r="G29" s="31"/>
      <c r="H29" s="31" t="str">
        <f>IF(OR(ISBLANK('Sample Gantt'!task_start),ISBLANK('Sample Gantt'!task_end)),"",'Sample Gantt'!task_end-'Sample Gantt'!task_start+1)</f>
        <v/>
      </c>
      <c r="I29" s="34"/>
      <c r="J29" s="34"/>
      <c r="K29" s="34"/>
      <c r="L29" s="34"/>
      <c r="M29" s="34"/>
      <c r="N29" s="34"/>
      <c r="O29" s="34"/>
      <c r="P29" s="34"/>
      <c r="Q29" s="34"/>
      <c r="R29" s="34"/>
      <c r="S29" s="34"/>
      <c r="T29" s="34"/>
      <c r="U29" s="34"/>
      <c r="V29" s="34"/>
      <c r="W29" s="34"/>
      <c r="X29" s="34"/>
      <c r="Y29" s="34"/>
      <c r="Z29" s="34"/>
      <c r="AA29" s="34"/>
      <c r="AB29" s="34"/>
      <c r="AC29" s="48"/>
      <c r="AD29" s="48"/>
      <c r="AE29" s="48"/>
      <c r="AF29" s="48"/>
      <c r="AG29" s="49"/>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5"/>
      <c r="CA29" s="36"/>
      <c r="CB29" s="36"/>
      <c r="CC29" s="36"/>
      <c r="CD29" s="36"/>
      <c r="CE29" s="36"/>
      <c r="CF29" s="36"/>
      <c r="CG29" s="36"/>
      <c r="CH29" s="36"/>
      <c r="CI29" s="36"/>
      <c r="CJ29" s="36"/>
      <c r="CK29" s="36"/>
      <c r="CL29" s="36"/>
      <c r="CM29" s="36"/>
      <c r="CN29" s="36"/>
      <c r="CO29" s="36"/>
      <c r="CP29" s="36"/>
      <c r="CQ29" s="36"/>
      <c r="CR29" s="36"/>
      <c r="CS29" s="36"/>
      <c r="CT29" s="36"/>
      <c r="CU29" s="36"/>
      <c r="CV29" s="37"/>
      <c r="CW29" s="37"/>
      <c r="CX29" s="37"/>
      <c r="CY29" s="37"/>
      <c r="CZ29" s="37"/>
      <c r="DA29" s="37"/>
      <c r="DB29" s="37"/>
      <c r="DC29" s="37"/>
      <c r="DD29" s="37"/>
      <c r="DE29" s="37"/>
      <c r="DF29" s="37"/>
      <c r="DG29" s="37"/>
      <c r="DH29" s="37"/>
      <c r="DI29" s="37"/>
    </row>
    <row r="30" ht="15.75" customHeight="1">
      <c r="A30" s="43"/>
      <c r="B30" s="50" t="s">
        <v>44</v>
      </c>
      <c r="C30" s="45" t="s">
        <v>40</v>
      </c>
      <c r="D30" s="52"/>
      <c r="E30" s="53"/>
      <c r="F30" s="53"/>
      <c r="G30" s="31"/>
      <c r="H30" s="31" t="str">
        <f>IF(OR(ISBLANK('Sample Gantt'!task_start),ISBLANK('Sample Gantt'!task_end)),"",'Sample Gantt'!task_end-'Sample Gantt'!task_start+1)</f>
        <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48"/>
      <c r="AH30" s="48"/>
      <c r="AI30" s="48"/>
      <c r="AJ30" s="48"/>
      <c r="AK30" s="49"/>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5"/>
      <c r="CA30" s="36"/>
      <c r="CB30" s="36"/>
      <c r="CC30" s="36"/>
      <c r="CD30" s="36"/>
      <c r="CE30" s="36"/>
      <c r="CF30" s="36"/>
      <c r="CG30" s="36"/>
      <c r="CH30" s="36"/>
      <c r="CI30" s="36"/>
      <c r="CJ30" s="36"/>
      <c r="CK30" s="36"/>
      <c r="CL30" s="36"/>
      <c r="CM30" s="36"/>
      <c r="CN30" s="36"/>
      <c r="CO30" s="36"/>
      <c r="CP30" s="36"/>
      <c r="CQ30" s="36"/>
      <c r="CR30" s="36"/>
      <c r="CS30" s="36"/>
      <c r="CT30" s="36"/>
      <c r="CU30" s="36"/>
      <c r="CV30" s="37"/>
      <c r="CW30" s="37"/>
      <c r="CX30" s="37"/>
      <c r="CY30" s="37"/>
      <c r="CZ30" s="37"/>
      <c r="DA30" s="37"/>
      <c r="DB30" s="37"/>
      <c r="DC30" s="37"/>
      <c r="DD30" s="37"/>
      <c r="DE30" s="37"/>
      <c r="DF30" s="37"/>
      <c r="DG30" s="37"/>
      <c r="DH30" s="37"/>
      <c r="DI30" s="37"/>
    </row>
    <row r="31" ht="15.75" customHeight="1">
      <c r="A31" s="43"/>
      <c r="B31" s="50" t="s">
        <v>45</v>
      </c>
      <c r="C31" s="45" t="s">
        <v>40</v>
      </c>
      <c r="D31" s="52"/>
      <c r="E31" s="53"/>
      <c r="F31" s="53"/>
      <c r="G31" s="31"/>
      <c r="H31" s="31" t="str">
        <f>IF(OR(ISBLANK('Sample Gantt'!task_start),ISBLANK('Sample Gantt'!task_end)),"",'Sample Gantt'!task_end-'Sample Gantt'!task_start+1)</f>
        <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48"/>
      <c r="AL31" s="48"/>
      <c r="AM31" s="48"/>
      <c r="AN31" s="48"/>
      <c r="AO31" s="49"/>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5"/>
      <c r="CA31" s="36"/>
      <c r="CB31" s="36"/>
      <c r="CC31" s="36"/>
      <c r="CD31" s="36"/>
      <c r="CE31" s="36"/>
      <c r="CF31" s="36"/>
      <c r="CG31" s="36"/>
      <c r="CH31" s="36"/>
      <c r="CI31" s="36"/>
      <c r="CJ31" s="36"/>
      <c r="CK31" s="36"/>
      <c r="CL31" s="36"/>
      <c r="CM31" s="36"/>
      <c r="CN31" s="36"/>
      <c r="CO31" s="36"/>
      <c r="CP31" s="36"/>
      <c r="CQ31" s="36"/>
      <c r="CR31" s="36"/>
      <c r="CS31" s="36"/>
      <c r="CT31" s="36"/>
      <c r="CU31" s="36"/>
      <c r="CV31" s="37"/>
      <c r="CW31" s="37"/>
      <c r="CX31" s="37"/>
      <c r="CY31" s="37"/>
      <c r="CZ31" s="37"/>
      <c r="DA31" s="37"/>
      <c r="DB31" s="37"/>
      <c r="DC31" s="37"/>
      <c r="DD31" s="37"/>
      <c r="DE31" s="37"/>
      <c r="DF31" s="37"/>
      <c r="DG31" s="37"/>
      <c r="DH31" s="37"/>
      <c r="DI31" s="37"/>
    </row>
    <row r="32" ht="15.75" customHeight="1">
      <c r="A32" s="43"/>
      <c r="B32" s="50" t="s">
        <v>46</v>
      </c>
      <c r="C32" s="45" t="s">
        <v>40</v>
      </c>
      <c r="D32" s="52"/>
      <c r="E32" s="53"/>
      <c r="F32" s="53"/>
      <c r="G32" s="31"/>
      <c r="H32" s="31" t="str">
        <f>IF(OR(ISBLANK('Sample Gantt'!task_start),ISBLANK('Sample Gantt'!task_end)),"",'Sample Gantt'!task_end-'Sample Gantt'!task_start+1)</f>
        <v/>
      </c>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48"/>
      <c r="AP32" s="48"/>
      <c r="AQ32" s="48"/>
      <c r="AR32" s="48"/>
      <c r="AS32" s="49"/>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5"/>
      <c r="CA32" s="36"/>
      <c r="CB32" s="36"/>
      <c r="CC32" s="36"/>
      <c r="CD32" s="36"/>
      <c r="CE32" s="36"/>
      <c r="CF32" s="36"/>
      <c r="CG32" s="36"/>
      <c r="CH32" s="36"/>
      <c r="CI32" s="36"/>
      <c r="CJ32" s="36"/>
      <c r="CK32" s="36"/>
      <c r="CL32" s="36"/>
      <c r="CM32" s="36"/>
      <c r="CN32" s="36"/>
      <c r="CO32" s="36"/>
      <c r="CP32" s="36"/>
      <c r="CQ32" s="36"/>
      <c r="CR32" s="36"/>
      <c r="CS32" s="36"/>
      <c r="CT32" s="36"/>
      <c r="CU32" s="36"/>
      <c r="CV32" s="37"/>
      <c r="CW32" s="37"/>
      <c r="CX32" s="37"/>
      <c r="CY32" s="37"/>
      <c r="CZ32" s="37"/>
      <c r="DA32" s="37"/>
      <c r="DB32" s="37"/>
      <c r="DC32" s="37"/>
      <c r="DD32" s="37"/>
      <c r="DE32" s="37"/>
      <c r="DF32" s="37"/>
      <c r="DG32" s="37"/>
      <c r="DH32" s="37"/>
      <c r="DI32" s="37"/>
    </row>
    <row r="33" ht="15.75" customHeight="1">
      <c r="A33" s="43"/>
      <c r="B33" s="50" t="s">
        <v>47</v>
      </c>
      <c r="C33" s="45" t="s">
        <v>40</v>
      </c>
      <c r="D33" s="52"/>
      <c r="E33" s="53"/>
      <c r="F33" s="53"/>
      <c r="G33" s="31"/>
      <c r="H33" s="31" t="str">
        <f>IF(OR(ISBLANK('Sample Gantt'!task_start),ISBLANK('Sample Gantt'!task_end)),"",'Sample Gantt'!task_end-'Sample Gantt'!task_start+1)</f>
        <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48"/>
      <c r="AT33" s="48"/>
      <c r="AU33" s="48"/>
      <c r="AV33" s="48"/>
      <c r="AW33" s="49"/>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5"/>
      <c r="CA33" s="36"/>
      <c r="CB33" s="36"/>
      <c r="CC33" s="36"/>
      <c r="CD33" s="36"/>
      <c r="CE33" s="36"/>
      <c r="CF33" s="36"/>
      <c r="CG33" s="36"/>
      <c r="CH33" s="36"/>
      <c r="CI33" s="36"/>
      <c r="CJ33" s="36"/>
      <c r="CK33" s="36"/>
      <c r="CL33" s="36"/>
      <c r="CM33" s="36"/>
      <c r="CN33" s="36"/>
      <c r="CO33" s="36"/>
      <c r="CP33" s="36"/>
      <c r="CQ33" s="36"/>
      <c r="CR33" s="36"/>
      <c r="CS33" s="36"/>
      <c r="CT33" s="36"/>
      <c r="CU33" s="36"/>
      <c r="CV33" s="37"/>
      <c r="CW33" s="37"/>
      <c r="CX33" s="37"/>
      <c r="CY33" s="37"/>
      <c r="CZ33" s="37"/>
      <c r="DA33" s="37"/>
      <c r="DB33" s="37"/>
      <c r="DC33" s="37"/>
      <c r="DD33" s="37"/>
      <c r="DE33" s="37"/>
      <c r="DF33" s="37"/>
      <c r="DG33" s="37"/>
      <c r="DH33" s="37"/>
      <c r="DI33" s="37"/>
    </row>
    <row r="34" ht="15.75" customHeight="1">
      <c r="A34" s="43"/>
      <c r="B34" s="55" t="s">
        <v>48</v>
      </c>
      <c r="C34" s="45" t="s">
        <v>40</v>
      </c>
      <c r="D34" s="52"/>
      <c r="E34" s="53"/>
      <c r="F34" s="53"/>
      <c r="G34" s="31"/>
      <c r="H34" s="31" t="str">
        <f>IF(OR(ISBLANK('Sample Gantt'!task_start),ISBLANK('Sample Gantt'!task_end)),"",'Sample Gantt'!task_end-'Sample Gantt'!task_start+1)</f>
        <v/>
      </c>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48"/>
      <c r="AX34" s="48"/>
      <c r="AY34" s="48"/>
      <c r="AZ34" s="48"/>
      <c r="BA34" s="49"/>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5"/>
      <c r="CA34" s="36"/>
      <c r="CB34" s="36"/>
      <c r="CC34" s="36"/>
      <c r="CD34" s="36"/>
      <c r="CE34" s="36"/>
      <c r="CF34" s="36"/>
      <c r="CG34" s="36"/>
      <c r="CH34" s="36"/>
      <c r="CI34" s="36"/>
      <c r="CJ34" s="36"/>
      <c r="CK34" s="36"/>
      <c r="CL34" s="36"/>
      <c r="CM34" s="36"/>
      <c r="CN34" s="36"/>
      <c r="CO34" s="36"/>
      <c r="CP34" s="36"/>
      <c r="CQ34" s="36"/>
      <c r="CR34" s="36"/>
      <c r="CS34" s="36"/>
      <c r="CT34" s="36"/>
      <c r="CU34" s="36"/>
      <c r="CV34" s="37"/>
      <c r="CW34" s="37"/>
      <c r="CX34" s="37"/>
      <c r="CY34" s="37"/>
      <c r="CZ34" s="37"/>
      <c r="DA34" s="37"/>
      <c r="DB34" s="37"/>
      <c r="DC34" s="37"/>
      <c r="DD34" s="37"/>
      <c r="DE34" s="37"/>
      <c r="DF34" s="37"/>
      <c r="DG34" s="37"/>
      <c r="DH34" s="37"/>
      <c r="DI34" s="37"/>
    </row>
    <row r="35" ht="15.75" customHeight="1">
      <c r="A35" s="56"/>
      <c r="B35" s="57" t="s">
        <v>49</v>
      </c>
      <c r="C35" s="58"/>
      <c r="D35" s="59"/>
      <c r="E35" s="60"/>
      <c r="F35" s="60"/>
      <c r="G35" s="31"/>
      <c r="H35" s="31" t="str">
        <f>IF(OR(ISBLANK('Sample Gantt'!task_start),ISBLANK('Sample Gantt'!task_end)),"",'Sample Gantt'!task_end-'Sample Gantt'!task_start+1)</f>
        <v/>
      </c>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5"/>
      <c r="CA35" s="36"/>
      <c r="CB35" s="36"/>
      <c r="CC35" s="36"/>
      <c r="CD35" s="36"/>
      <c r="CE35" s="36"/>
      <c r="CF35" s="36"/>
      <c r="CG35" s="36"/>
      <c r="CH35" s="36"/>
      <c r="CI35" s="36"/>
      <c r="CJ35" s="36"/>
      <c r="CK35" s="36"/>
      <c r="CL35" s="36"/>
      <c r="CM35" s="36"/>
      <c r="CN35" s="36"/>
      <c r="CO35" s="36"/>
      <c r="CP35" s="36"/>
      <c r="CQ35" s="36"/>
      <c r="CR35" s="36"/>
      <c r="CS35" s="36"/>
      <c r="CT35" s="36"/>
      <c r="CU35" s="36"/>
      <c r="CV35" s="37"/>
      <c r="CW35" s="37"/>
      <c r="CX35" s="37"/>
      <c r="CY35" s="37"/>
      <c r="CZ35" s="37"/>
      <c r="DA35" s="37"/>
      <c r="DB35" s="37"/>
      <c r="DC35" s="37"/>
      <c r="DD35" s="37"/>
      <c r="DE35" s="37"/>
      <c r="DF35" s="37"/>
      <c r="DG35" s="37"/>
      <c r="DH35" s="37"/>
      <c r="DI35" s="37"/>
    </row>
    <row r="36" ht="15.75" customHeight="1">
      <c r="A36" s="61"/>
      <c r="B36" s="62" t="s">
        <v>19</v>
      </c>
      <c r="C36" s="63" t="s">
        <v>20</v>
      </c>
      <c r="D36" s="64"/>
      <c r="E36" s="65"/>
      <c r="F36" s="65"/>
      <c r="G36" s="31"/>
      <c r="H36" s="31" t="str">
        <f>IF(OR(ISBLANK('Sample Gantt'!task_start),ISBLANK('Sample Gantt'!task_end)),"",'Sample Gantt'!task_end-'Sample Gantt'!task_start+1)</f>
        <v/>
      </c>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66"/>
      <c r="BB36" s="67"/>
      <c r="BC36" s="67"/>
      <c r="BD36" s="67"/>
      <c r="BE36" s="68"/>
      <c r="BF36" s="34"/>
      <c r="BG36" s="34"/>
      <c r="BH36" s="34"/>
      <c r="BI36" s="34"/>
      <c r="BJ36" s="34"/>
      <c r="BK36" s="34"/>
      <c r="BL36" s="34"/>
      <c r="BM36" s="34"/>
      <c r="BN36" s="34"/>
      <c r="BO36" s="34"/>
      <c r="BP36" s="34"/>
      <c r="BQ36" s="34"/>
      <c r="BR36" s="34"/>
      <c r="BS36" s="34"/>
      <c r="BT36" s="34"/>
      <c r="BU36" s="34"/>
      <c r="BV36" s="34"/>
      <c r="BW36" s="34"/>
      <c r="BX36" s="34"/>
      <c r="BY36" s="34"/>
      <c r="BZ36" s="35"/>
      <c r="CA36" s="36"/>
      <c r="CB36" s="36"/>
      <c r="CC36" s="36"/>
      <c r="CD36" s="36"/>
      <c r="CE36" s="36"/>
      <c r="CF36" s="36"/>
      <c r="CG36" s="36"/>
      <c r="CH36" s="36"/>
      <c r="CI36" s="36"/>
      <c r="CJ36" s="36"/>
      <c r="CK36" s="36"/>
      <c r="CL36" s="36"/>
      <c r="CM36" s="36"/>
      <c r="CN36" s="36"/>
      <c r="CO36" s="36"/>
      <c r="CP36" s="36"/>
      <c r="CQ36" s="36"/>
      <c r="CR36" s="36"/>
      <c r="CS36" s="36"/>
      <c r="CT36" s="36"/>
      <c r="CU36" s="36"/>
      <c r="CV36" s="37"/>
      <c r="CW36" s="37"/>
      <c r="CX36" s="37"/>
      <c r="CY36" s="37"/>
      <c r="CZ36" s="37"/>
      <c r="DA36" s="37"/>
      <c r="DB36" s="37"/>
      <c r="DC36" s="37"/>
      <c r="DD36" s="37"/>
      <c r="DE36" s="37"/>
      <c r="DF36" s="37"/>
      <c r="DG36" s="37"/>
      <c r="DH36" s="37"/>
      <c r="DI36" s="37"/>
    </row>
    <row r="37" ht="15.75" customHeight="1">
      <c r="A37" s="61"/>
      <c r="B37" s="69" t="s">
        <v>22</v>
      </c>
      <c r="C37" s="63" t="s">
        <v>20</v>
      </c>
      <c r="D37" s="64"/>
      <c r="E37" s="65"/>
      <c r="F37" s="65"/>
      <c r="G37" s="31"/>
      <c r="H37" s="31" t="str">
        <f>IF(OR(ISBLANK('Sample Gantt'!task_start),ISBLANK('Sample Gantt'!task_end)),"",'Sample Gantt'!task_end-'Sample Gantt'!task_start+1)</f>
        <v/>
      </c>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66"/>
      <c r="BF37" s="67"/>
      <c r="BG37" s="67"/>
      <c r="BH37" s="67"/>
      <c r="BI37" s="68"/>
      <c r="BJ37" s="34"/>
      <c r="BK37" s="34"/>
      <c r="BL37" s="34"/>
      <c r="BM37" s="34"/>
      <c r="BN37" s="34"/>
      <c r="BO37" s="34"/>
      <c r="BP37" s="34"/>
      <c r="BQ37" s="34"/>
      <c r="BR37" s="34"/>
      <c r="BS37" s="34"/>
      <c r="BT37" s="34"/>
      <c r="BU37" s="34"/>
      <c r="BV37" s="34"/>
      <c r="BW37" s="34"/>
      <c r="BX37" s="34"/>
      <c r="BY37" s="34"/>
      <c r="BZ37" s="35"/>
      <c r="CA37" s="36"/>
      <c r="CB37" s="36"/>
      <c r="CC37" s="36"/>
      <c r="CD37" s="36"/>
      <c r="CE37" s="36"/>
      <c r="CF37" s="36"/>
      <c r="CG37" s="36"/>
      <c r="CH37" s="36"/>
      <c r="CI37" s="36"/>
      <c r="CJ37" s="36"/>
      <c r="CK37" s="36"/>
      <c r="CL37" s="36"/>
      <c r="CM37" s="36"/>
      <c r="CN37" s="36"/>
      <c r="CO37" s="36"/>
      <c r="CP37" s="36"/>
      <c r="CQ37" s="36"/>
      <c r="CR37" s="36"/>
      <c r="CS37" s="36"/>
      <c r="CT37" s="36"/>
      <c r="CU37" s="36"/>
      <c r="CV37" s="37"/>
      <c r="CW37" s="37"/>
      <c r="CX37" s="37"/>
      <c r="CY37" s="37"/>
      <c r="CZ37" s="37"/>
      <c r="DA37" s="37"/>
      <c r="DB37" s="37"/>
      <c r="DC37" s="37"/>
      <c r="DD37" s="37"/>
      <c r="DE37" s="37"/>
      <c r="DF37" s="37"/>
      <c r="DG37" s="37"/>
      <c r="DH37" s="37"/>
      <c r="DI37" s="37"/>
    </row>
    <row r="38" ht="15.75" customHeight="1">
      <c r="A38" s="61"/>
      <c r="B38" s="69" t="s">
        <v>23</v>
      </c>
      <c r="C38" s="63" t="s">
        <v>20</v>
      </c>
      <c r="D38" s="70"/>
      <c r="E38" s="71"/>
      <c r="F38" s="71"/>
      <c r="G38" s="31"/>
      <c r="H38" s="31" t="str">
        <f>IF(OR(ISBLANK('Sample Gantt'!task_start),ISBLANK('Sample Gantt'!task_end)),"",'Sample Gantt'!task_end-'Sample Gantt'!task_start+1)</f>
        <v/>
      </c>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66"/>
      <c r="BJ38" s="67"/>
      <c r="BK38" s="67"/>
      <c r="BL38" s="67"/>
      <c r="BM38" s="68"/>
      <c r="BN38" s="34"/>
      <c r="BO38" s="34"/>
      <c r="BP38" s="34"/>
      <c r="BQ38" s="34"/>
      <c r="BR38" s="34"/>
      <c r="BS38" s="34"/>
      <c r="BT38" s="34"/>
      <c r="BU38" s="34"/>
      <c r="BV38" s="34"/>
      <c r="BW38" s="34"/>
      <c r="BX38" s="34"/>
      <c r="BY38" s="34"/>
      <c r="BZ38" s="35"/>
      <c r="CA38" s="36"/>
      <c r="CB38" s="36"/>
      <c r="CC38" s="36"/>
      <c r="CD38" s="36"/>
      <c r="CE38" s="36"/>
      <c r="CF38" s="36"/>
      <c r="CG38" s="36"/>
      <c r="CH38" s="36"/>
      <c r="CI38" s="36"/>
      <c r="CJ38" s="36"/>
      <c r="CK38" s="36"/>
      <c r="CL38" s="36"/>
      <c r="CM38" s="36"/>
      <c r="CN38" s="36"/>
      <c r="CO38" s="36"/>
      <c r="CP38" s="36"/>
      <c r="CQ38" s="36"/>
      <c r="CR38" s="36"/>
      <c r="CS38" s="36"/>
      <c r="CT38" s="36"/>
      <c r="CU38" s="36"/>
      <c r="CV38" s="37"/>
      <c r="CW38" s="37"/>
      <c r="CX38" s="37"/>
      <c r="CY38" s="37"/>
      <c r="CZ38" s="37"/>
      <c r="DA38" s="37"/>
      <c r="DB38" s="37"/>
      <c r="DC38" s="37"/>
      <c r="DD38" s="37"/>
      <c r="DE38" s="37"/>
      <c r="DF38" s="37"/>
      <c r="DG38" s="37"/>
      <c r="DH38" s="37"/>
      <c r="DI38" s="37"/>
    </row>
    <row r="39" ht="15.75" customHeight="1">
      <c r="A39" s="61"/>
      <c r="B39" s="69" t="s">
        <v>24</v>
      </c>
      <c r="C39" s="63" t="s">
        <v>20</v>
      </c>
      <c r="D39" s="70"/>
      <c r="E39" s="71"/>
      <c r="F39" s="71"/>
      <c r="G39" s="31"/>
      <c r="H39" s="31" t="str">
        <f>IF(OR(ISBLANK('Sample Gantt'!task_start),ISBLANK('Sample Gantt'!task_end)),"",'Sample Gantt'!task_end-'Sample Gantt'!task_start+1)</f>
        <v/>
      </c>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66"/>
      <c r="BN39" s="67"/>
      <c r="BO39" s="67"/>
      <c r="BP39" s="67"/>
      <c r="BQ39" s="68"/>
      <c r="BR39" s="34"/>
      <c r="BS39" s="34"/>
      <c r="BT39" s="34"/>
      <c r="BU39" s="34"/>
      <c r="BV39" s="34"/>
      <c r="BW39" s="34"/>
      <c r="BX39" s="34"/>
      <c r="BY39" s="34"/>
      <c r="BZ39" s="35"/>
      <c r="CA39" s="36"/>
      <c r="CB39" s="36"/>
      <c r="CC39" s="36"/>
      <c r="CD39" s="36"/>
      <c r="CE39" s="36"/>
      <c r="CF39" s="36"/>
      <c r="CG39" s="36"/>
      <c r="CH39" s="36"/>
      <c r="CI39" s="36"/>
      <c r="CJ39" s="36"/>
      <c r="CK39" s="36"/>
      <c r="CL39" s="36"/>
      <c r="CM39" s="36"/>
      <c r="CN39" s="36"/>
      <c r="CO39" s="36"/>
      <c r="CP39" s="36"/>
      <c r="CQ39" s="36"/>
      <c r="CR39" s="36"/>
      <c r="CS39" s="36"/>
      <c r="CT39" s="36"/>
      <c r="CU39" s="36"/>
      <c r="CV39" s="37"/>
      <c r="CW39" s="37"/>
      <c r="CX39" s="37"/>
      <c r="CY39" s="37"/>
      <c r="CZ39" s="37"/>
      <c r="DA39" s="37"/>
      <c r="DB39" s="37"/>
      <c r="DC39" s="37"/>
      <c r="DD39" s="37"/>
      <c r="DE39" s="37"/>
      <c r="DF39" s="37"/>
      <c r="DG39" s="37"/>
      <c r="DH39" s="37"/>
      <c r="DI39" s="37"/>
    </row>
    <row r="40" ht="15.75" customHeight="1">
      <c r="A40" s="61"/>
      <c r="B40" s="69" t="s">
        <v>25</v>
      </c>
      <c r="C40" s="63" t="s">
        <v>20</v>
      </c>
      <c r="D40" s="70"/>
      <c r="E40" s="71"/>
      <c r="F40" s="71"/>
      <c r="G40" s="31"/>
      <c r="H40" s="31" t="str">
        <f>IF(OR(ISBLANK('Sample Gantt'!task_start),ISBLANK('Sample Gantt'!task_end)),"",'Sample Gantt'!task_end-'Sample Gantt'!task_start+1)</f>
        <v/>
      </c>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66"/>
      <c r="BR40" s="67"/>
      <c r="BS40" s="67"/>
      <c r="BT40" s="67"/>
      <c r="BU40" s="68"/>
      <c r="BV40" s="34"/>
      <c r="BW40" s="34"/>
      <c r="BX40" s="34"/>
      <c r="BY40" s="34"/>
      <c r="BZ40" s="35"/>
      <c r="CA40" s="36"/>
      <c r="CB40" s="36"/>
      <c r="CC40" s="36"/>
      <c r="CD40" s="36"/>
      <c r="CE40" s="36"/>
      <c r="CF40" s="36"/>
      <c r="CG40" s="36"/>
      <c r="CH40" s="36"/>
      <c r="CI40" s="36"/>
      <c r="CJ40" s="36"/>
      <c r="CK40" s="36"/>
      <c r="CL40" s="36"/>
      <c r="CM40" s="36"/>
      <c r="CN40" s="36"/>
      <c r="CO40" s="36"/>
      <c r="CP40" s="36"/>
      <c r="CQ40" s="36"/>
      <c r="CR40" s="36"/>
      <c r="CS40" s="36"/>
      <c r="CT40" s="36"/>
      <c r="CU40" s="36"/>
      <c r="CV40" s="37"/>
      <c r="CW40" s="37"/>
      <c r="CX40" s="37"/>
      <c r="CY40" s="37"/>
      <c r="CZ40" s="37"/>
      <c r="DA40" s="37"/>
      <c r="DB40" s="37"/>
      <c r="DC40" s="37"/>
      <c r="DD40" s="37"/>
      <c r="DE40" s="37"/>
      <c r="DF40" s="37"/>
      <c r="DG40" s="37"/>
      <c r="DH40" s="37"/>
      <c r="DI40" s="37"/>
    </row>
    <row r="41" ht="15.75" customHeight="1">
      <c r="A41" s="61"/>
      <c r="B41" s="69" t="s">
        <v>26</v>
      </c>
      <c r="C41" s="63" t="s">
        <v>20</v>
      </c>
      <c r="D41" s="64"/>
      <c r="E41" s="72"/>
      <c r="F41" s="65"/>
      <c r="G41" s="73"/>
      <c r="H41" s="73" t="str">
        <f>IF(OR(ISBLANK('Sample Gantt'!task_start),ISBLANK('Sample Gantt'!task_end)),"",'Sample Gantt'!task_end-'Sample Gantt'!task_start+1)</f>
        <v/>
      </c>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66"/>
      <c r="BV41" s="67"/>
      <c r="BW41" s="67"/>
      <c r="BX41" s="67"/>
      <c r="BY41" s="68"/>
      <c r="BZ41" s="75"/>
      <c r="CA41" s="36"/>
      <c r="CB41" s="36"/>
      <c r="CC41" s="36"/>
      <c r="CD41" s="36"/>
      <c r="CE41" s="36"/>
      <c r="CF41" s="36"/>
      <c r="CG41" s="36"/>
      <c r="CH41" s="36"/>
      <c r="CI41" s="36"/>
      <c r="CJ41" s="36"/>
      <c r="CK41" s="36"/>
      <c r="CL41" s="36"/>
      <c r="CM41" s="36"/>
      <c r="CN41" s="36"/>
      <c r="CO41" s="36"/>
      <c r="CP41" s="36"/>
      <c r="CQ41" s="36"/>
      <c r="CR41" s="36"/>
      <c r="CS41" s="36"/>
      <c r="CT41" s="36"/>
      <c r="CU41" s="36"/>
      <c r="CV41" s="37"/>
      <c r="CW41" s="37"/>
      <c r="CX41" s="37"/>
      <c r="CY41" s="37"/>
      <c r="CZ41" s="37"/>
      <c r="DA41" s="37"/>
      <c r="DB41" s="37"/>
      <c r="DC41" s="37"/>
      <c r="DD41" s="37"/>
      <c r="DE41" s="37"/>
      <c r="DF41" s="37"/>
      <c r="DG41" s="37"/>
      <c r="DH41" s="37"/>
      <c r="DI41" s="37"/>
    </row>
    <row r="42" ht="15.75" customHeight="1">
      <c r="A42" s="76"/>
      <c r="B42" s="69" t="s">
        <v>27</v>
      </c>
      <c r="C42" s="63" t="s">
        <v>20</v>
      </c>
      <c r="D42" s="77"/>
      <c r="E42" s="77"/>
      <c r="F42" s="77"/>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9"/>
      <c r="BZ42" s="79"/>
      <c r="CA42" s="79"/>
      <c r="CB42" s="79"/>
      <c r="CC42" s="80"/>
      <c r="CD42" s="78"/>
      <c r="CE42" s="78"/>
      <c r="CF42" s="78"/>
      <c r="CG42" s="78"/>
      <c r="CH42" s="78"/>
      <c r="CI42" s="78"/>
      <c r="CJ42" s="78"/>
      <c r="CK42" s="78"/>
      <c r="CL42" s="78"/>
      <c r="CM42" s="78"/>
      <c r="CN42" s="78"/>
      <c r="CO42" s="78"/>
      <c r="CP42" s="78"/>
      <c r="CQ42" s="78"/>
      <c r="CR42" s="78"/>
      <c r="CS42" s="78"/>
      <c r="CT42" s="78"/>
      <c r="CU42" s="78"/>
    </row>
    <row r="43" ht="15.75" customHeight="1">
      <c r="A43" s="81"/>
      <c r="B43" s="69" t="s">
        <v>28</v>
      </c>
      <c r="C43" s="63" t="s">
        <v>20</v>
      </c>
      <c r="D43" s="82"/>
      <c r="E43" s="82"/>
      <c r="F43" s="82"/>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9"/>
      <c r="BZ43" s="79"/>
      <c r="CA43" s="79"/>
      <c r="CB43" s="79"/>
      <c r="CC43" s="80"/>
      <c r="CD43" s="78"/>
      <c r="CE43" s="78"/>
      <c r="CF43" s="78"/>
      <c r="CG43" s="78"/>
      <c r="CH43" s="78"/>
      <c r="CI43" s="78"/>
      <c r="CJ43" s="78"/>
      <c r="CK43" s="78"/>
      <c r="CL43" s="78"/>
      <c r="CM43" s="78"/>
      <c r="CN43" s="78"/>
      <c r="CO43" s="78"/>
      <c r="CP43" s="78"/>
      <c r="CQ43" s="78"/>
      <c r="CR43" s="78"/>
      <c r="CS43" s="78"/>
      <c r="CT43" s="78"/>
      <c r="CU43" s="78"/>
    </row>
    <row r="44" ht="15.75" customHeight="1">
      <c r="A44" s="81"/>
      <c r="B44" s="69" t="s">
        <v>50</v>
      </c>
      <c r="C44" s="63" t="s">
        <v>30</v>
      </c>
      <c r="D44" s="82"/>
      <c r="E44" s="82"/>
      <c r="F44" s="82"/>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66"/>
      <c r="BB44" s="67"/>
      <c r="BC44" s="67"/>
      <c r="BD44" s="67"/>
      <c r="BE44" s="6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row>
    <row r="45" ht="15.75" customHeight="1">
      <c r="A45" s="81"/>
      <c r="B45" s="69" t="s">
        <v>31</v>
      </c>
      <c r="C45" s="63" t="s">
        <v>30</v>
      </c>
      <c r="D45" s="82"/>
      <c r="E45" s="82"/>
      <c r="F45" s="82"/>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66"/>
      <c r="BF45" s="67"/>
      <c r="BG45" s="67"/>
      <c r="BH45" s="67"/>
      <c r="BI45" s="6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row>
    <row r="46" ht="15.75" customHeight="1">
      <c r="A46" s="81"/>
      <c r="B46" s="69" t="s">
        <v>51</v>
      </c>
      <c r="C46" s="63" t="s">
        <v>30</v>
      </c>
      <c r="D46" s="82"/>
      <c r="E46" s="82"/>
      <c r="F46" s="82"/>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66"/>
      <c r="BJ46" s="67"/>
      <c r="BK46" s="67"/>
      <c r="BL46" s="67"/>
      <c r="BM46" s="6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row>
    <row r="47" ht="15.75" customHeight="1">
      <c r="A47" s="81"/>
      <c r="B47" s="69" t="s">
        <v>52</v>
      </c>
      <c r="C47" s="63" t="s">
        <v>30</v>
      </c>
      <c r="D47" s="82"/>
      <c r="E47" s="82"/>
      <c r="F47" s="82"/>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66"/>
      <c r="BN47" s="67"/>
      <c r="BO47" s="67"/>
      <c r="BP47" s="67"/>
      <c r="BQ47" s="6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row>
    <row r="48" ht="15.75" customHeight="1">
      <c r="A48" s="81"/>
      <c r="B48" s="69" t="s">
        <v>53</v>
      </c>
      <c r="C48" s="63" t="s">
        <v>30</v>
      </c>
      <c r="D48" s="82"/>
      <c r="E48" s="82"/>
      <c r="F48" s="82"/>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66"/>
      <c r="BR48" s="67"/>
      <c r="BS48" s="67"/>
      <c r="BT48" s="67"/>
      <c r="BU48" s="6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row>
    <row r="49" ht="15.75" customHeight="1">
      <c r="A49" s="81"/>
      <c r="B49" s="69" t="s">
        <v>54</v>
      </c>
      <c r="C49" s="63" t="s">
        <v>30</v>
      </c>
      <c r="D49" s="82"/>
      <c r="E49" s="82"/>
      <c r="F49" s="82"/>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66"/>
      <c r="BV49" s="67"/>
      <c r="BW49" s="67"/>
      <c r="BX49" s="67"/>
      <c r="BY49" s="68"/>
      <c r="BZ49" s="78"/>
      <c r="CA49" s="78"/>
      <c r="CB49" s="78"/>
      <c r="CC49" s="78"/>
      <c r="CD49" s="78"/>
      <c r="CE49" s="78"/>
      <c r="CF49" s="78"/>
      <c r="CG49" s="78"/>
      <c r="CH49" s="78"/>
      <c r="CI49" s="78"/>
      <c r="CJ49" s="78"/>
      <c r="CK49" s="78"/>
      <c r="CL49" s="78"/>
      <c r="CM49" s="78"/>
      <c r="CN49" s="78"/>
      <c r="CO49" s="78"/>
      <c r="CP49" s="78"/>
      <c r="CQ49" s="78"/>
      <c r="CR49" s="78"/>
      <c r="CS49" s="78"/>
      <c r="CT49" s="78"/>
      <c r="CU49" s="78"/>
    </row>
    <row r="50" ht="15.75" customHeight="1">
      <c r="A50" s="81"/>
      <c r="B50" s="69" t="s">
        <v>55</v>
      </c>
      <c r="C50" s="63" t="s">
        <v>30</v>
      </c>
      <c r="D50" s="82"/>
      <c r="E50" s="82"/>
      <c r="F50" s="82"/>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66"/>
      <c r="BV50" s="67"/>
      <c r="BW50" s="67"/>
      <c r="BX50" s="67"/>
      <c r="BY50" s="68"/>
      <c r="BZ50" s="36"/>
      <c r="CA50" s="36"/>
      <c r="CB50" s="36"/>
      <c r="CC50" s="36"/>
      <c r="CD50" s="78"/>
      <c r="CE50" s="78"/>
      <c r="CF50" s="78"/>
      <c r="CG50" s="78"/>
      <c r="CH50" s="78"/>
      <c r="CI50" s="78"/>
      <c r="CJ50" s="78"/>
      <c r="CK50" s="78"/>
      <c r="CL50" s="78"/>
      <c r="CM50" s="78"/>
      <c r="CN50" s="78"/>
      <c r="CO50" s="78"/>
      <c r="CP50" s="78"/>
      <c r="CQ50" s="78"/>
      <c r="CR50" s="78"/>
      <c r="CS50" s="78"/>
      <c r="CT50" s="78"/>
      <c r="CU50" s="78"/>
    </row>
    <row r="51" ht="15.75" customHeight="1">
      <c r="A51" s="81"/>
      <c r="B51" s="69" t="s">
        <v>56</v>
      </c>
      <c r="C51" s="63" t="s">
        <v>30</v>
      </c>
      <c r="D51" s="82"/>
      <c r="E51" s="82"/>
      <c r="F51" s="82"/>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66"/>
      <c r="BZ51" s="67"/>
      <c r="CA51" s="67"/>
      <c r="CB51" s="67"/>
      <c r="CC51" s="68"/>
      <c r="CD51" s="78"/>
      <c r="CE51" s="78"/>
      <c r="CF51" s="78"/>
      <c r="CG51" s="78"/>
      <c r="CH51" s="78"/>
      <c r="CI51" s="78"/>
      <c r="CJ51" s="78"/>
      <c r="CK51" s="78"/>
      <c r="CL51" s="78"/>
      <c r="CM51" s="78"/>
      <c r="CN51" s="78"/>
      <c r="CO51" s="78"/>
      <c r="CP51" s="78"/>
      <c r="CQ51" s="78"/>
      <c r="CR51" s="78"/>
      <c r="CS51" s="78"/>
      <c r="CT51" s="78"/>
      <c r="CU51" s="78"/>
    </row>
    <row r="52" ht="15.75" customHeight="1">
      <c r="A52" s="81"/>
      <c r="B52" s="69" t="s">
        <v>57</v>
      </c>
      <c r="C52" s="63" t="s">
        <v>30</v>
      </c>
      <c r="D52" s="82"/>
      <c r="E52" s="82"/>
      <c r="F52" s="82"/>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66"/>
      <c r="BZ52" s="67"/>
      <c r="CA52" s="67"/>
      <c r="CB52" s="67"/>
      <c r="CC52" s="68"/>
      <c r="CD52" s="78"/>
      <c r="CE52" s="78"/>
      <c r="CF52" s="78"/>
      <c r="CG52" s="78"/>
      <c r="CH52" s="78"/>
      <c r="CI52" s="78"/>
      <c r="CJ52" s="78"/>
      <c r="CK52" s="78"/>
      <c r="CL52" s="78"/>
      <c r="CM52" s="78"/>
      <c r="CN52" s="78"/>
      <c r="CO52" s="78"/>
      <c r="CP52" s="78"/>
      <c r="CQ52" s="78"/>
      <c r="CR52" s="78"/>
      <c r="CS52" s="78"/>
      <c r="CT52" s="78"/>
      <c r="CU52" s="78"/>
    </row>
    <row r="53" ht="15.75" customHeight="1">
      <c r="A53" s="81"/>
      <c r="B53" s="69" t="s">
        <v>39</v>
      </c>
      <c r="C53" s="63" t="s">
        <v>40</v>
      </c>
      <c r="D53" s="82"/>
      <c r="E53" s="82"/>
      <c r="F53" s="82"/>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66"/>
      <c r="BB53" s="67"/>
      <c r="BC53" s="67"/>
      <c r="BD53" s="67"/>
      <c r="BE53" s="6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row>
    <row r="54" ht="15.75" customHeight="1">
      <c r="A54" s="81"/>
      <c r="B54" s="69" t="s">
        <v>58</v>
      </c>
      <c r="C54" s="63" t="s">
        <v>40</v>
      </c>
      <c r="D54" s="82"/>
      <c r="E54" s="82"/>
      <c r="F54" s="82"/>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66"/>
      <c r="BF54" s="67"/>
      <c r="BG54" s="67"/>
      <c r="BH54" s="67"/>
      <c r="BI54" s="6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row>
    <row r="55" ht="15.75" customHeight="1">
      <c r="A55" s="81"/>
      <c r="B55" s="69" t="s">
        <v>59</v>
      </c>
      <c r="C55" s="63" t="s">
        <v>40</v>
      </c>
      <c r="D55" s="82"/>
      <c r="E55" s="82"/>
      <c r="F55" s="82"/>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66"/>
      <c r="BJ55" s="67"/>
      <c r="BK55" s="67"/>
      <c r="BL55" s="67"/>
      <c r="BM55" s="6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row>
    <row r="56" ht="15.75" customHeight="1">
      <c r="A56" s="81"/>
      <c r="B56" s="69" t="s">
        <v>60</v>
      </c>
      <c r="C56" s="63" t="s">
        <v>40</v>
      </c>
      <c r="D56" s="82"/>
      <c r="E56" s="82"/>
      <c r="F56" s="82"/>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66"/>
      <c r="BN56" s="67"/>
      <c r="BO56" s="67"/>
      <c r="BP56" s="67"/>
      <c r="BQ56" s="6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row>
    <row r="57" ht="15.75" customHeight="1">
      <c r="A57" s="81"/>
      <c r="B57" s="69" t="s">
        <v>44</v>
      </c>
      <c r="C57" s="63" t="s">
        <v>40</v>
      </c>
      <c r="D57" s="82"/>
      <c r="E57" s="82"/>
      <c r="F57" s="82"/>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66"/>
      <c r="BR57" s="67"/>
      <c r="BS57" s="67"/>
      <c r="BT57" s="67"/>
      <c r="BU57" s="6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row>
    <row r="58" ht="15.75" customHeight="1">
      <c r="A58" s="81"/>
      <c r="B58" s="69" t="s">
        <v>45</v>
      </c>
      <c r="C58" s="63" t="s">
        <v>40</v>
      </c>
      <c r="D58" s="82"/>
      <c r="E58" s="82"/>
      <c r="F58" s="82"/>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66"/>
      <c r="BV58" s="67"/>
      <c r="BW58" s="67"/>
      <c r="BX58" s="67"/>
      <c r="BY58" s="68"/>
      <c r="BZ58" s="78"/>
      <c r="CA58" s="78"/>
      <c r="CB58" s="78"/>
      <c r="CC58" s="78"/>
      <c r="CD58" s="78"/>
      <c r="CE58" s="78"/>
      <c r="CF58" s="78"/>
      <c r="CG58" s="78"/>
      <c r="CH58" s="78"/>
      <c r="CI58" s="78"/>
      <c r="CJ58" s="78"/>
      <c r="CK58" s="78"/>
      <c r="CL58" s="78"/>
      <c r="CM58" s="78"/>
      <c r="CN58" s="78"/>
      <c r="CO58" s="78"/>
      <c r="CP58" s="78"/>
      <c r="CQ58" s="78"/>
      <c r="CR58" s="78"/>
      <c r="CS58" s="78"/>
      <c r="CT58" s="78"/>
      <c r="CU58" s="78"/>
    </row>
    <row r="59" ht="15.75" customHeight="1">
      <c r="A59" s="81"/>
      <c r="B59" s="69" t="s">
        <v>46</v>
      </c>
      <c r="C59" s="63" t="s">
        <v>40</v>
      </c>
      <c r="D59" s="82"/>
      <c r="E59" s="82"/>
      <c r="F59" s="82"/>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66"/>
      <c r="BV59" s="67"/>
      <c r="BW59" s="67"/>
      <c r="BX59" s="67"/>
      <c r="BY59" s="68"/>
      <c r="BZ59" s="78"/>
      <c r="CA59" s="78"/>
      <c r="CB59" s="78"/>
      <c r="CC59" s="78"/>
      <c r="CD59" s="78"/>
      <c r="CE59" s="78"/>
      <c r="CF59" s="78"/>
      <c r="CG59" s="78"/>
      <c r="CH59" s="78"/>
      <c r="CI59" s="78"/>
      <c r="CJ59" s="78"/>
      <c r="CK59" s="78"/>
      <c r="CL59" s="78"/>
      <c r="CM59" s="78"/>
      <c r="CN59" s="78"/>
      <c r="CO59" s="78"/>
      <c r="CP59" s="78"/>
      <c r="CQ59" s="78"/>
      <c r="CR59" s="78"/>
      <c r="CS59" s="78"/>
      <c r="CT59" s="78"/>
      <c r="CU59" s="78"/>
    </row>
    <row r="60" ht="15.75" customHeight="1">
      <c r="A60" s="81"/>
      <c r="B60" s="69" t="s">
        <v>61</v>
      </c>
      <c r="C60" s="63" t="s">
        <v>40</v>
      </c>
      <c r="D60" s="82"/>
      <c r="E60" s="82"/>
      <c r="F60" s="82"/>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66"/>
      <c r="BZ60" s="67"/>
      <c r="CA60" s="67"/>
      <c r="CB60" s="67"/>
      <c r="CC60" s="68"/>
      <c r="CD60" s="78"/>
      <c r="CE60" s="78"/>
      <c r="CF60" s="78"/>
      <c r="CG60" s="78"/>
      <c r="CH60" s="78"/>
      <c r="CI60" s="78"/>
      <c r="CJ60" s="78"/>
      <c r="CK60" s="78"/>
      <c r="CL60" s="78"/>
      <c r="CM60" s="78"/>
      <c r="CN60" s="78"/>
      <c r="CO60" s="78"/>
      <c r="CP60" s="78"/>
      <c r="CQ60" s="78"/>
      <c r="CR60" s="78"/>
      <c r="CS60" s="78"/>
      <c r="CT60" s="78"/>
      <c r="CU60" s="78"/>
    </row>
    <row r="61" ht="15.75" customHeight="1">
      <c r="A61" s="81"/>
      <c r="B61" s="83" t="s">
        <v>48</v>
      </c>
      <c r="C61" s="63" t="s">
        <v>40</v>
      </c>
      <c r="D61" s="82"/>
      <c r="E61" s="82"/>
      <c r="F61" s="82"/>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66"/>
      <c r="BZ61" s="67"/>
      <c r="CA61" s="67"/>
      <c r="CB61" s="67"/>
      <c r="CC61" s="68"/>
      <c r="CD61" s="78"/>
      <c r="CE61" s="78"/>
      <c r="CF61" s="78"/>
      <c r="CG61" s="78"/>
      <c r="CH61" s="78"/>
      <c r="CI61" s="78"/>
      <c r="CJ61" s="78"/>
      <c r="CK61" s="78"/>
      <c r="CL61" s="78"/>
      <c r="CM61" s="78"/>
      <c r="CN61" s="78"/>
      <c r="CO61" s="78"/>
      <c r="CP61" s="78"/>
      <c r="CQ61" s="78"/>
      <c r="CR61" s="78"/>
      <c r="CS61" s="78"/>
      <c r="CT61" s="78"/>
      <c r="CU61" s="78"/>
    </row>
    <row r="62" ht="15.75" customHeight="1">
      <c r="A62" s="84"/>
      <c r="B62" s="85" t="s">
        <v>62</v>
      </c>
      <c r="C62" s="86"/>
      <c r="D62" s="87"/>
      <c r="E62" s="87"/>
      <c r="F62" s="87"/>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row>
    <row r="63" ht="15.75" customHeight="1">
      <c r="A63" s="88"/>
      <c r="B63" s="89" t="s">
        <v>19</v>
      </c>
      <c r="C63" s="90" t="s">
        <v>20</v>
      </c>
      <c r="D63" s="91"/>
      <c r="E63" s="91"/>
      <c r="F63" s="91"/>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92"/>
      <c r="CF63" s="92"/>
      <c r="CG63" s="80"/>
      <c r="CH63" s="78"/>
      <c r="CI63" s="78"/>
      <c r="CJ63" s="78"/>
      <c r="CK63" s="78"/>
      <c r="CL63" s="78"/>
      <c r="CM63" s="78"/>
      <c r="CN63" s="78"/>
      <c r="CO63" s="78"/>
      <c r="CP63" s="78"/>
      <c r="CQ63" s="78"/>
      <c r="CR63" s="78"/>
      <c r="CS63" s="78"/>
      <c r="CT63" s="78"/>
      <c r="CU63" s="78"/>
    </row>
    <row r="64" ht="15.75" customHeight="1">
      <c r="A64" s="88"/>
      <c r="B64" s="93" t="s">
        <v>22</v>
      </c>
      <c r="C64" s="90" t="s">
        <v>20</v>
      </c>
      <c r="D64" s="91"/>
      <c r="E64" s="91"/>
      <c r="F64" s="91"/>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92"/>
      <c r="CF64" s="92"/>
      <c r="CG64" s="80"/>
      <c r="CH64" s="78"/>
      <c r="CI64" s="78"/>
      <c r="CJ64" s="78"/>
      <c r="CK64" s="78"/>
      <c r="CL64" s="78"/>
      <c r="CM64" s="78"/>
      <c r="CN64" s="78"/>
      <c r="CO64" s="78"/>
      <c r="CP64" s="78"/>
      <c r="CQ64" s="78"/>
      <c r="CR64" s="78"/>
      <c r="CS64" s="78"/>
      <c r="CT64" s="78"/>
      <c r="CU64" s="78"/>
    </row>
    <row r="65" ht="15.75" customHeight="1">
      <c r="A65" s="88"/>
      <c r="B65" s="93" t="s">
        <v>23</v>
      </c>
      <c r="C65" s="90" t="s">
        <v>20</v>
      </c>
      <c r="D65" s="91"/>
      <c r="E65" s="91"/>
      <c r="F65" s="91"/>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92"/>
      <c r="CI65" s="92"/>
      <c r="CJ65" s="80"/>
      <c r="CK65" s="78"/>
      <c r="CL65" s="78"/>
      <c r="CM65" s="78"/>
      <c r="CN65" s="78"/>
      <c r="CO65" s="78"/>
      <c r="CP65" s="78"/>
      <c r="CQ65" s="78"/>
      <c r="CR65" s="78"/>
      <c r="CS65" s="78"/>
      <c r="CT65" s="78"/>
      <c r="CU65" s="78"/>
    </row>
    <row r="66" ht="15.75" customHeight="1">
      <c r="A66" s="88"/>
      <c r="B66" s="93" t="s">
        <v>24</v>
      </c>
      <c r="C66" s="90" t="s">
        <v>20</v>
      </c>
      <c r="D66" s="91"/>
      <c r="E66" s="91"/>
      <c r="F66" s="91"/>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92"/>
      <c r="CI66" s="92"/>
      <c r="CJ66" s="80"/>
      <c r="CK66" s="78"/>
      <c r="CL66" s="78"/>
      <c r="CM66" s="78"/>
      <c r="CN66" s="78"/>
      <c r="CO66" s="78"/>
      <c r="CP66" s="78"/>
      <c r="CQ66" s="78"/>
      <c r="CR66" s="78"/>
      <c r="CS66" s="78"/>
      <c r="CT66" s="78"/>
      <c r="CU66" s="78"/>
    </row>
    <row r="67" ht="15.75" customHeight="1">
      <c r="A67" s="88"/>
      <c r="B67" s="93" t="s">
        <v>25</v>
      </c>
      <c r="C67" s="90" t="s">
        <v>20</v>
      </c>
      <c r="D67" s="91"/>
      <c r="E67" s="91"/>
      <c r="F67" s="91"/>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92"/>
      <c r="CL67" s="92"/>
      <c r="CM67" s="80"/>
      <c r="CN67" s="78"/>
      <c r="CO67" s="78"/>
      <c r="CP67" s="78"/>
      <c r="CQ67" s="78"/>
      <c r="CR67" s="78"/>
      <c r="CS67" s="78"/>
      <c r="CT67" s="78"/>
      <c r="CU67" s="78"/>
    </row>
    <row r="68" ht="15.75" customHeight="1">
      <c r="A68" s="88"/>
      <c r="B68" s="93" t="s">
        <v>26</v>
      </c>
      <c r="C68" s="90" t="s">
        <v>20</v>
      </c>
      <c r="D68" s="91"/>
      <c r="E68" s="91"/>
      <c r="F68" s="91"/>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92"/>
      <c r="CL68" s="92"/>
      <c r="CM68" s="80"/>
      <c r="CN68" s="78"/>
      <c r="CO68" s="78"/>
      <c r="CP68" s="78"/>
      <c r="CQ68" s="78"/>
      <c r="CR68" s="78"/>
      <c r="CS68" s="78"/>
      <c r="CT68" s="78"/>
      <c r="CU68" s="78"/>
    </row>
    <row r="69" ht="15.75" customHeight="1">
      <c r="A69" s="88"/>
      <c r="B69" s="93" t="s">
        <v>27</v>
      </c>
      <c r="C69" s="90" t="s">
        <v>20</v>
      </c>
      <c r="D69" s="91"/>
      <c r="E69" s="91"/>
      <c r="F69" s="91"/>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92"/>
      <c r="CO69" s="92"/>
      <c r="CP69" s="80"/>
      <c r="CQ69" s="78"/>
      <c r="CR69" s="78"/>
      <c r="CS69" s="78"/>
      <c r="CT69" s="78"/>
      <c r="CU69" s="78"/>
    </row>
    <row r="70" ht="15.75" customHeight="1">
      <c r="A70" s="88"/>
      <c r="B70" s="93" t="s">
        <v>28</v>
      </c>
      <c r="C70" s="90" t="s">
        <v>20</v>
      </c>
      <c r="D70" s="91"/>
      <c r="E70" s="91"/>
      <c r="F70" s="91"/>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92"/>
      <c r="CO70" s="92"/>
      <c r="CP70" s="80"/>
      <c r="CQ70" s="78"/>
      <c r="CR70" s="78"/>
      <c r="CS70" s="78"/>
      <c r="CT70" s="78"/>
      <c r="CU70" s="78"/>
    </row>
    <row r="71" ht="15.75" customHeight="1">
      <c r="A71" s="88"/>
      <c r="B71" s="93" t="s">
        <v>63</v>
      </c>
      <c r="C71" s="90" t="s">
        <v>30</v>
      </c>
      <c r="D71" s="91"/>
      <c r="E71" s="91"/>
      <c r="F71" s="91"/>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92"/>
      <c r="CF71" s="92"/>
      <c r="CG71" s="80"/>
      <c r="CH71" s="78"/>
      <c r="CI71" s="78"/>
      <c r="CJ71" s="78"/>
      <c r="CK71" s="78"/>
      <c r="CL71" s="78"/>
      <c r="CM71" s="78"/>
      <c r="CN71" s="78"/>
      <c r="CO71" s="78"/>
      <c r="CP71" s="78"/>
      <c r="CQ71" s="78"/>
      <c r="CR71" s="78"/>
      <c r="CS71" s="78"/>
      <c r="CT71" s="78"/>
      <c r="CU71" s="78"/>
    </row>
    <row r="72" ht="15.75" customHeight="1">
      <c r="A72" s="88"/>
      <c r="B72" s="93" t="s">
        <v>31</v>
      </c>
      <c r="C72" s="90" t="s">
        <v>30</v>
      </c>
      <c r="D72" s="91"/>
      <c r="E72" s="91"/>
      <c r="F72" s="91"/>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92"/>
      <c r="CF72" s="92"/>
      <c r="CG72" s="80"/>
      <c r="CH72" s="78"/>
      <c r="CI72" s="78"/>
      <c r="CJ72" s="78"/>
      <c r="CK72" s="78"/>
      <c r="CL72" s="78"/>
      <c r="CM72" s="78"/>
      <c r="CN72" s="78"/>
      <c r="CO72" s="78"/>
      <c r="CP72" s="78"/>
      <c r="CQ72" s="78"/>
      <c r="CR72" s="78"/>
      <c r="CS72" s="78"/>
      <c r="CT72" s="78"/>
      <c r="CU72" s="78"/>
    </row>
    <row r="73" ht="15.75" customHeight="1">
      <c r="A73" s="88"/>
      <c r="B73" s="93" t="s">
        <v>64</v>
      </c>
      <c r="C73" s="90" t="s">
        <v>30</v>
      </c>
      <c r="D73" s="91"/>
      <c r="E73" s="91"/>
      <c r="F73" s="91"/>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92"/>
      <c r="CI73" s="92"/>
      <c r="CJ73" s="80"/>
      <c r="CK73" s="78"/>
      <c r="CL73" s="78"/>
      <c r="CM73" s="78"/>
      <c r="CN73" s="78"/>
      <c r="CO73" s="78"/>
      <c r="CP73" s="78"/>
      <c r="CQ73" s="78"/>
      <c r="CR73" s="78"/>
      <c r="CS73" s="78"/>
      <c r="CT73" s="78"/>
      <c r="CU73" s="78"/>
    </row>
    <row r="74" ht="15.75" customHeight="1">
      <c r="A74" s="88"/>
      <c r="B74" s="93" t="s">
        <v>65</v>
      </c>
      <c r="C74" s="90" t="s">
        <v>30</v>
      </c>
      <c r="D74" s="91"/>
      <c r="E74" s="91"/>
      <c r="F74" s="91"/>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92"/>
      <c r="CI74" s="92"/>
      <c r="CJ74" s="80"/>
      <c r="CK74" s="78"/>
      <c r="CL74" s="78"/>
      <c r="CM74" s="78"/>
      <c r="CN74" s="78"/>
      <c r="CO74" s="78"/>
      <c r="CP74" s="78"/>
      <c r="CQ74" s="78"/>
      <c r="CR74" s="78"/>
      <c r="CS74" s="78"/>
      <c r="CT74" s="78"/>
      <c r="CU74" s="78"/>
    </row>
    <row r="75" ht="15.75" customHeight="1">
      <c r="A75" s="88"/>
      <c r="B75" s="93" t="s">
        <v>66</v>
      </c>
      <c r="C75" s="90" t="s">
        <v>30</v>
      </c>
      <c r="D75" s="91"/>
      <c r="E75" s="91"/>
      <c r="F75" s="91"/>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92"/>
      <c r="CL75" s="92"/>
      <c r="CM75" s="80"/>
      <c r="CN75" s="78"/>
      <c r="CO75" s="78"/>
      <c r="CP75" s="78"/>
      <c r="CQ75" s="78"/>
      <c r="CR75" s="78"/>
      <c r="CS75" s="78"/>
      <c r="CT75" s="78"/>
      <c r="CU75" s="78"/>
    </row>
    <row r="76" ht="15.75" customHeight="1">
      <c r="A76" s="88"/>
      <c r="B76" s="93" t="s">
        <v>67</v>
      </c>
      <c r="C76" s="90" t="s">
        <v>30</v>
      </c>
      <c r="D76" s="91"/>
      <c r="E76" s="91"/>
      <c r="F76" s="91"/>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92"/>
      <c r="CL76" s="92"/>
      <c r="CM76" s="80"/>
      <c r="CN76" s="78"/>
      <c r="CO76" s="78"/>
      <c r="CP76" s="78"/>
      <c r="CQ76" s="78"/>
      <c r="CR76" s="78"/>
      <c r="CS76" s="78"/>
      <c r="CT76" s="78"/>
      <c r="CU76" s="78"/>
    </row>
    <row r="77" ht="15.75" customHeight="1">
      <c r="A77" s="88"/>
      <c r="B77" s="93" t="s">
        <v>68</v>
      </c>
      <c r="C77" s="90" t="s">
        <v>30</v>
      </c>
      <c r="D77" s="91"/>
      <c r="E77" s="91"/>
      <c r="F77" s="91"/>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92"/>
      <c r="CO77" s="92"/>
      <c r="CP77" s="80"/>
      <c r="CQ77" s="78"/>
      <c r="CR77" s="78"/>
      <c r="CS77" s="78"/>
      <c r="CT77" s="78"/>
      <c r="CU77" s="78"/>
    </row>
    <row r="78" ht="15.75" customHeight="1">
      <c r="A78" s="88"/>
      <c r="B78" s="93" t="s">
        <v>69</v>
      </c>
      <c r="C78" s="90" t="s">
        <v>30</v>
      </c>
      <c r="D78" s="91"/>
      <c r="E78" s="91"/>
      <c r="F78" s="91"/>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92"/>
      <c r="CO78" s="92"/>
      <c r="CP78" s="80"/>
      <c r="CQ78" s="78"/>
      <c r="CR78" s="78"/>
      <c r="CS78" s="78"/>
      <c r="CT78" s="78"/>
      <c r="CU78" s="78"/>
    </row>
    <row r="79" ht="15.75" customHeight="1">
      <c r="A79" s="88"/>
      <c r="B79" s="93" t="s">
        <v>70</v>
      </c>
      <c r="C79" s="90" t="s">
        <v>30</v>
      </c>
      <c r="D79" s="91"/>
      <c r="E79" s="91"/>
      <c r="F79" s="91"/>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92"/>
      <c r="CO79" s="92"/>
      <c r="CP79" s="80"/>
      <c r="CQ79" s="78"/>
      <c r="CR79" s="78"/>
      <c r="CS79" s="78"/>
      <c r="CT79" s="78"/>
      <c r="CU79" s="78"/>
    </row>
    <row r="80" ht="15.75" customHeight="1">
      <c r="A80" s="88"/>
      <c r="B80" s="93" t="s">
        <v>39</v>
      </c>
      <c r="C80" s="90" t="s">
        <v>40</v>
      </c>
      <c r="D80" s="91"/>
      <c r="E80" s="91"/>
      <c r="F80" s="91"/>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92"/>
      <c r="CF80" s="92"/>
      <c r="CG80" s="80"/>
      <c r="CH80" s="78"/>
      <c r="CI80" s="78"/>
      <c r="CJ80" s="78"/>
      <c r="CK80" s="78"/>
      <c r="CL80" s="78"/>
      <c r="CM80" s="78"/>
      <c r="CN80" s="78"/>
      <c r="CO80" s="78"/>
      <c r="CP80" s="78"/>
      <c r="CQ80" s="78"/>
      <c r="CR80" s="78"/>
      <c r="CS80" s="78"/>
      <c r="CT80" s="78"/>
      <c r="CU80" s="78"/>
    </row>
    <row r="81" ht="15.75" customHeight="1">
      <c r="A81" s="88"/>
      <c r="B81" s="93" t="s">
        <v>71</v>
      </c>
      <c r="C81" s="90" t="s">
        <v>40</v>
      </c>
      <c r="D81" s="91"/>
      <c r="E81" s="91"/>
      <c r="F81" s="91"/>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92"/>
      <c r="CF81" s="92"/>
      <c r="CG81" s="80"/>
      <c r="CH81" s="78"/>
      <c r="CI81" s="78"/>
      <c r="CJ81" s="78"/>
      <c r="CK81" s="78"/>
      <c r="CL81" s="78"/>
      <c r="CM81" s="78"/>
      <c r="CN81" s="78"/>
      <c r="CO81" s="78"/>
      <c r="CP81" s="78"/>
      <c r="CQ81" s="78"/>
      <c r="CR81" s="78"/>
      <c r="CS81" s="78"/>
      <c r="CT81" s="78"/>
      <c r="CU81" s="78"/>
    </row>
    <row r="82" ht="15.75" customHeight="1">
      <c r="A82" s="88"/>
      <c r="B82" s="93" t="s">
        <v>72</v>
      </c>
      <c r="C82" s="90" t="s">
        <v>40</v>
      </c>
      <c r="D82" s="91"/>
      <c r="E82" s="91"/>
      <c r="F82" s="91"/>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92"/>
      <c r="CI82" s="92"/>
      <c r="CJ82" s="80"/>
      <c r="CK82" s="78"/>
      <c r="CL82" s="78"/>
      <c r="CM82" s="78"/>
      <c r="CN82" s="78"/>
      <c r="CO82" s="78"/>
      <c r="CP82" s="78"/>
      <c r="CQ82" s="78"/>
      <c r="CR82" s="78"/>
      <c r="CS82" s="78"/>
      <c r="CT82" s="78"/>
      <c r="CU82" s="78"/>
    </row>
    <row r="83" ht="15.75" customHeight="1">
      <c r="A83" s="88"/>
      <c r="B83" s="93" t="s">
        <v>73</v>
      </c>
      <c r="C83" s="90" t="s">
        <v>40</v>
      </c>
      <c r="D83" s="91"/>
      <c r="E83" s="91"/>
      <c r="F83" s="91"/>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92"/>
      <c r="CI83" s="92"/>
      <c r="CJ83" s="80"/>
      <c r="CK83" s="78"/>
      <c r="CL83" s="78"/>
      <c r="CM83" s="78"/>
      <c r="CN83" s="78"/>
      <c r="CO83" s="78"/>
      <c r="CP83" s="78"/>
      <c r="CQ83" s="78"/>
      <c r="CR83" s="78"/>
      <c r="CS83" s="78"/>
      <c r="CT83" s="78"/>
      <c r="CU83" s="78"/>
    </row>
    <row r="84" ht="15.75" customHeight="1">
      <c r="A84" s="88"/>
      <c r="B84" s="93" t="s">
        <v>44</v>
      </c>
      <c r="C84" s="90" t="s">
        <v>40</v>
      </c>
      <c r="D84" s="91"/>
      <c r="E84" s="91"/>
      <c r="F84" s="91"/>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92"/>
      <c r="CL84" s="92"/>
      <c r="CM84" s="80"/>
      <c r="CN84" s="78"/>
      <c r="CO84" s="78"/>
      <c r="CP84" s="78"/>
      <c r="CQ84" s="78"/>
      <c r="CR84" s="78"/>
      <c r="CS84" s="78"/>
      <c r="CT84" s="78"/>
      <c r="CU84" s="78"/>
    </row>
    <row r="85" ht="15.75" customHeight="1">
      <c r="A85" s="88"/>
      <c r="B85" s="93" t="s">
        <v>45</v>
      </c>
      <c r="C85" s="90" t="s">
        <v>40</v>
      </c>
      <c r="D85" s="91"/>
      <c r="E85" s="91"/>
      <c r="F85" s="91"/>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92"/>
      <c r="CL85" s="92"/>
      <c r="CM85" s="80"/>
      <c r="CN85" s="78"/>
      <c r="CO85" s="78"/>
      <c r="CP85" s="78"/>
      <c r="CQ85" s="78"/>
      <c r="CR85" s="78"/>
      <c r="CS85" s="78"/>
      <c r="CT85" s="78"/>
      <c r="CU85" s="78"/>
    </row>
    <row r="86" ht="15.75" customHeight="1">
      <c r="A86" s="88"/>
      <c r="B86" s="93" t="s">
        <v>46</v>
      </c>
      <c r="C86" s="90" t="s">
        <v>40</v>
      </c>
      <c r="D86" s="91"/>
      <c r="E86" s="91"/>
      <c r="F86" s="91"/>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92"/>
      <c r="CO86" s="92"/>
      <c r="CP86" s="80"/>
      <c r="CQ86" s="78"/>
      <c r="CR86" s="78"/>
      <c r="CS86" s="78"/>
      <c r="CT86" s="78"/>
      <c r="CU86" s="78"/>
    </row>
    <row r="87" ht="15.75" customHeight="1">
      <c r="A87" s="88"/>
      <c r="B87" s="93" t="s">
        <v>74</v>
      </c>
      <c r="C87" s="90" t="s">
        <v>40</v>
      </c>
      <c r="D87" s="91"/>
      <c r="E87" s="91"/>
      <c r="F87" s="91"/>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92"/>
      <c r="CO87" s="92"/>
      <c r="CP87" s="80"/>
      <c r="CQ87" s="78"/>
      <c r="CR87" s="78"/>
      <c r="CS87" s="78"/>
      <c r="CT87" s="78"/>
      <c r="CU87" s="78"/>
    </row>
    <row r="88" ht="15.75" customHeight="1">
      <c r="A88" s="88"/>
      <c r="B88" s="94" t="s">
        <v>48</v>
      </c>
      <c r="C88" s="90" t="s">
        <v>40</v>
      </c>
      <c r="D88" s="95"/>
      <c r="E88" s="95"/>
      <c r="F88" s="95"/>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92"/>
      <c r="CO88" s="92"/>
      <c r="CP88" s="96"/>
      <c r="CQ88" s="78"/>
      <c r="CR88" s="78"/>
      <c r="CS88" s="78"/>
      <c r="CT88" s="78"/>
      <c r="CU88" s="78"/>
    </row>
    <row r="89" ht="15.75" customHeight="1">
      <c r="E89" s="18"/>
    </row>
    <row r="90" ht="15.75" customHeight="1">
      <c r="E90" s="18"/>
    </row>
    <row r="91" ht="15.75" customHeight="1">
      <c r="E91" s="18"/>
    </row>
    <row r="92" ht="15.75" customHeight="1">
      <c r="E92" s="18"/>
    </row>
    <row r="93" ht="15.75" customHeight="1">
      <c r="E93" s="18"/>
    </row>
    <row r="94" ht="15.75" customHeight="1">
      <c r="E94" s="18"/>
    </row>
    <row r="95" ht="15.75" customHeight="1">
      <c r="E95" s="18"/>
    </row>
    <row r="96" ht="15.75" customHeight="1">
      <c r="E96" s="18"/>
    </row>
    <row r="97" ht="15.75" customHeight="1">
      <c r="E97" s="18"/>
    </row>
    <row r="98" ht="15.75" customHeight="1">
      <c r="E98" s="18"/>
    </row>
    <row r="99" ht="15.75" customHeight="1">
      <c r="E99" s="18"/>
    </row>
    <row r="100" ht="15.75" customHeight="1">
      <c r="E100" s="18"/>
    </row>
    <row r="101" ht="15.75" customHeight="1">
      <c r="E101" s="18"/>
    </row>
    <row r="102" ht="15.75" customHeight="1">
      <c r="E102" s="18"/>
    </row>
    <row r="103" ht="15.75" customHeight="1">
      <c r="E103" s="18"/>
    </row>
    <row r="104" ht="15.75" customHeight="1">
      <c r="E104" s="18"/>
    </row>
    <row r="105" ht="15.75" customHeight="1">
      <c r="E105" s="18"/>
    </row>
    <row r="106" ht="15.75" customHeight="1">
      <c r="E106" s="18"/>
    </row>
    <row r="107" ht="15.75" customHeight="1">
      <c r="E107" s="18"/>
    </row>
    <row r="108" ht="15.75" customHeight="1">
      <c r="E108" s="18"/>
    </row>
    <row r="109" ht="15.75" customHeight="1">
      <c r="E109" s="18"/>
    </row>
    <row r="110" ht="15.75" customHeight="1">
      <c r="E110" s="18"/>
    </row>
    <row r="111" ht="15.75" customHeight="1">
      <c r="E111" s="18"/>
    </row>
    <row r="112" ht="15.75" customHeight="1">
      <c r="E112" s="18"/>
    </row>
    <row r="113" ht="15.75" customHeight="1">
      <c r="E113" s="18"/>
    </row>
    <row r="114" ht="15.75" customHeight="1">
      <c r="E114" s="18"/>
    </row>
    <row r="115" ht="15.75" customHeight="1">
      <c r="E115" s="18"/>
    </row>
    <row r="116" ht="15.75" customHeight="1">
      <c r="E116" s="18"/>
    </row>
    <row r="117" ht="15.75" customHeight="1">
      <c r="E117" s="18"/>
    </row>
    <row r="118" ht="15.75" customHeight="1">
      <c r="E118" s="18"/>
    </row>
    <row r="119" ht="15.75" customHeight="1">
      <c r="E119" s="18"/>
    </row>
    <row r="120" ht="15.75" customHeight="1">
      <c r="E120" s="18"/>
    </row>
    <row r="121" ht="15.75" customHeight="1">
      <c r="E121" s="18"/>
    </row>
    <row r="122" ht="15.75" customHeight="1">
      <c r="E122" s="18"/>
    </row>
    <row r="123" ht="15.75" customHeight="1">
      <c r="E123" s="18"/>
    </row>
    <row r="124" ht="15.75" customHeight="1">
      <c r="E124" s="18"/>
    </row>
    <row r="125" ht="15.75" customHeight="1">
      <c r="E125" s="18"/>
    </row>
    <row r="126" ht="15.75" customHeight="1">
      <c r="E126" s="18"/>
    </row>
    <row r="127" ht="15.75" customHeight="1">
      <c r="E127" s="18"/>
    </row>
    <row r="128" ht="15.75" customHeight="1">
      <c r="E128" s="18"/>
    </row>
    <row r="129" ht="15.75" customHeight="1">
      <c r="E129" s="18"/>
    </row>
    <row r="130" ht="15.75" customHeight="1">
      <c r="E130" s="18"/>
    </row>
    <row r="131" ht="15.75" customHeight="1">
      <c r="E131" s="18"/>
    </row>
    <row r="132" ht="15.75" customHeight="1">
      <c r="E132" s="18"/>
    </row>
    <row r="133" ht="15.75" customHeight="1">
      <c r="E133" s="18"/>
    </row>
    <row r="134" ht="15.75" customHeight="1">
      <c r="E134" s="18"/>
    </row>
    <row r="135" ht="15.75" customHeight="1">
      <c r="E135" s="18"/>
    </row>
    <row r="136" ht="15.75" customHeight="1">
      <c r="E136" s="18"/>
    </row>
    <row r="137" ht="15.75" customHeight="1">
      <c r="E137" s="18"/>
    </row>
    <row r="138" ht="15.75" customHeight="1">
      <c r="E138" s="18"/>
    </row>
    <row r="139" ht="15.75" customHeight="1">
      <c r="E139" s="18"/>
    </row>
    <row r="140" ht="15.75" customHeight="1">
      <c r="E140" s="18"/>
    </row>
    <row r="141" ht="15.75" customHeight="1">
      <c r="E141" s="18"/>
    </row>
    <row r="142" ht="15.75" customHeight="1">
      <c r="E142" s="18"/>
    </row>
    <row r="143" ht="15.75" customHeight="1">
      <c r="E143" s="18"/>
    </row>
    <row r="144" ht="15.75" customHeight="1">
      <c r="E144" s="18"/>
    </row>
    <row r="145" ht="15.75" customHeight="1">
      <c r="E145" s="18"/>
    </row>
    <row r="146" ht="15.75" customHeight="1">
      <c r="E146" s="18"/>
    </row>
    <row r="147" ht="15.75" customHeight="1">
      <c r="E147" s="18"/>
    </row>
    <row r="148" ht="15.75" customHeight="1">
      <c r="E148" s="18"/>
    </row>
    <row r="149" ht="15.75" customHeight="1">
      <c r="E149" s="18"/>
    </row>
    <row r="150" ht="15.75" customHeight="1">
      <c r="E150" s="18"/>
    </row>
    <row r="151" ht="15.75" customHeight="1">
      <c r="E151" s="18"/>
    </row>
    <row r="152" ht="15.75" customHeight="1">
      <c r="E152" s="18"/>
    </row>
    <row r="153" ht="15.75" customHeight="1">
      <c r="E153" s="18"/>
    </row>
    <row r="154" ht="15.75" customHeight="1">
      <c r="E154" s="18"/>
    </row>
    <row r="155" ht="15.75" customHeight="1">
      <c r="E155" s="18"/>
    </row>
    <row r="156" ht="15.75" customHeight="1">
      <c r="E156" s="18"/>
    </row>
    <row r="157" ht="15.75" customHeight="1">
      <c r="E157" s="18"/>
    </row>
    <row r="158" ht="15.75" customHeight="1">
      <c r="E158" s="18"/>
    </row>
    <row r="159" ht="15.75" customHeight="1">
      <c r="E159" s="18"/>
    </row>
    <row r="160" ht="15.75" customHeight="1">
      <c r="E160" s="18"/>
    </row>
    <row r="161" ht="15.75" customHeight="1">
      <c r="E161" s="18"/>
    </row>
    <row r="162" ht="15.75" customHeight="1">
      <c r="E162" s="18"/>
    </row>
    <row r="163" ht="15.75" customHeight="1">
      <c r="E163" s="18"/>
    </row>
    <row r="164" ht="15.75" customHeight="1">
      <c r="E164" s="18"/>
    </row>
    <row r="165" ht="15.75" customHeight="1">
      <c r="E165" s="18"/>
    </row>
    <row r="166" ht="15.75" customHeight="1">
      <c r="E166" s="18"/>
    </row>
    <row r="167" ht="15.75" customHeight="1">
      <c r="E167" s="18"/>
    </row>
    <row r="168" ht="15.75" customHeight="1">
      <c r="E168" s="18"/>
    </row>
    <row r="169" ht="15.75" customHeight="1">
      <c r="E169" s="18"/>
    </row>
    <row r="170" ht="15.75" customHeight="1">
      <c r="E170" s="18"/>
    </row>
    <row r="171" ht="15.75" customHeight="1">
      <c r="E171" s="18"/>
    </row>
    <row r="172" ht="15.75" customHeight="1">
      <c r="E172" s="18"/>
    </row>
    <row r="173" ht="15.75" customHeight="1">
      <c r="E173" s="18"/>
    </row>
    <row r="174" ht="15.75" customHeight="1">
      <c r="E174" s="18"/>
    </row>
    <row r="175" ht="15.75" customHeight="1">
      <c r="E175" s="18"/>
    </row>
    <row r="176" ht="15.75" customHeight="1">
      <c r="E176" s="18"/>
    </row>
    <row r="177" ht="15.75" customHeight="1">
      <c r="E177" s="18"/>
    </row>
    <row r="178" ht="15.75" customHeight="1">
      <c r="E178" s="18"/>
    </row>
    <row r="179" ht="15.75" customHeight="1">
      <c r="E179" s="18"/>
    </row>
    <row r="180" ht="15.75" customHeight="1">
      <c r="E180" s="18"/>
    </row>
    <row r="181" ht="15.75" customHeight="1">
      <c r="E181" s="18"/>
    </row>
    <row r="182" ht="15.75" customHeight="1">
      <c r="E182" s="18"/>
    </row>
    <row r="183" ht="15.75" customHeight="1">
      <c r="E183" s="18"/>
    </row>
    <row r="184" ht="15.75" customHeight="1">
      <c r="E184" s="18"/>
    </row>
    <row r="185" ht="15.75" customHeight="1">
      <c r="E185" s="18"/>
    </row>
    <row r="186" ht="15.75" customHeight="1">
      <c r="E186" s="18"/>
    </row>
    <row r="187" ht="15.75" customHeight="1">
      <c r="E187" s="18"/>
    </row>
    <row r="188" ht="15.75" customHeight="1">
      <c r="E188" s="18"/>
    </row>
    <row r="189" ht="15.75" customHeight="1">
      <c r="E189" s="18"/>
    </row>
    <row r="190" ht="15.75" customHeight="1">
      <c r="E190" s="18"/>
    </row>
    <row r="191" ht="15.75" customHeight="1">
      <c r="E191" s="18"/>
    </row>
    <row r="192" ht="15.75" customHeight="1">
      <c r="E192" s="18"/>
    </row>
    <row r="193" ht="15.75" customHeight="1">
      <c r="E193" s="18"/>
    </row>
    <row r="194" ht="15.75" customHeight="1">
      <c r="E194" s="18"/>
    </row>
    <row r="195" ht="15.75" customHeight="1">
      <c r="E195" s="18"/>
    </row>
    <row r="196" ht="15.75" customHeight="1">
      <c r="E196" s="18"/>
    </row>
    <row r="197" ht="15.75" customHeight="1">
      <c r="E197" s="18"/>
    </row>
    <row r="198" ht="15.75" customHeight="1">
      <c r="E198" s="18"/>
    </row>
    <row r="199" ht="15.75" customHeight="1">
      <c r="E199" s="18"/>
    </row>
    <row r="200" ht="15.75" customHeight="1">
      <c r="E200" s="18"/>
    </row>
    <row r="201" ht="15.75" customHeight="1">
      <c r="E201" s="18"/>
    </row>
    <row r="202" ht="15.75" customHeight="1">
      <c r="E202" s="18"/>
    </row>
    <row r="203" ht="15.75" customHeight="1">
      <c r="E203" s="18"/>
    </row>
    <row r="204" ht="15.75" customHeight="1">
      <c r="E204" s="18"/>
    </row>
    <row r="205" ht="15.75" customHeight="1">
      <c r="E205" s="18"/>
    </row>
    <row r="206" ht="15.75" customHeight="1">
      <c r="E206" s="18"/>
    </row>
    <row r="207" ht="15.75" customHeight="1">
      <c r="E207" s="18"/>
    </row>
    <row r="208" ht="15.75" customHeight="1">
      <c r="E208" s="18"/>
    </row>
    <row r="209" ht="15.75" customHeight="1">
      <c r="E209" s="18"/>
    </row>
    <row r="210" ht="15.75" customHeight="1">
      <c r="E210" s="18"/>
    </row>
    <row r="211" ht="15.75" customHeight="1">
      <c r="E211" s="18"/>
    </row>
    <row r="212" ht="15.75" customHeight="1">
      <c r="E212" s="18"/>
    </row>
    <row r="213" ht="15.75" customHeight="1">
      <c r="E213" s="18"/>
    </row>
    <row r="214" ht="15.75" customHeight="1">
      <c r="E214" s="18"/>
    </row>
    <row r="215" ht="15.75" customHeight="1">
      <c r="E215" s="18"/>
    </row>
    <row r="216" ht="15.75" customHeight="1">
      <c r="E216" s="18"/>
    </row>
    <row r="217" ht="15.75" customHeight="1">
      <c r="E217" s="18"/>
    </row>
    <row r="218" ht="15.75" customHeight="1">
      <c r="E218" s="18"/>
    </row>
    <row r="219" ht="15.75" customHeight="1">
      <c r="E219" s="18"/>
    </row>
    <row r="220" ht="15.75" customHeight="1">
      <c r="E220" s="18"/>
    </row>
    <row r="221" ht="15.75" customHeight="1">
      <c r="E221" s="18"/>
    </row>
    <row r="222" ht="15.75" customHeight="1">
      <c r="E222" s="18"/>
    </row>
    <row r="223" ht="15.75" customHeight="1">
      <c r="E223" s="18"/>
    </row>
    <row r="224" ht="15.75" customHeight="1">
      <c r="E224" s="18"/>
    </row>
    <row r="225" ht="15.75" customHeight="1">
      <c r="E225" s="18"/>
    </row>
    <row r="226" ht="15.75" customHeight="1">
      <c r="E226" s="18"/>
    </row>
    <row r="227" ht="15.75" customHeight="1">
      <c r="E227" s="18"/>
    </row>
    <row r="228" ht="15.75" customHeight="1">
      <c r="E228" s="18"/>
    </row>
    <row r="229" ht="15.75" customHeight="1">
      <c r="E229" s="18"/>
    </row>
    <row r="230" ht="15.75" customHeight="1">
      <c r="E230" s="18"/>
    </row>
    <row r="231" ht="15.75" customHeight="1">
      <c r="E231" s="18"/>
    </row>
    <row r="232" ht="15.75" customHeight="1">
      <c r="E232" s="18"/>
    </row>
    <row r="233" ht="15.75" customHeight="1">
      <c r="E233" s="18"/>
    </row>
    <row r="234" ht="15.75" customHeight="1">
      <c r="E234" s="18"/>
    </row>
    <row r="235" ht="15.75" customHeight="1">
      <c r="E235" s="18"/>
    </row>
    <row r="236" ht="15.75" customHeight="1">
      <c r="E236" s="18"/>
    </row>
    <row r="237" ht="15.75" customHeight="1">
      <c r="E237" s="18"/>
    </row>
    <row r="238" ht="15.75" customHeight="1">
      <c r="E238" s="18"/>
    </row>
    <row r="239" ht="15.75" customHeight="1">
      <c r="E239" s="18"/>
    </row>
    <row r="240" ht="15.75" customHeight="1">
      <c r="E240" s="18"/>
    </row>
    <row r="241" ht="15.75" customHeight="1">
      <c r="E241" s="18"/>
    </row>
    <row r="242" ht="15.75" customHeight="1">
      <c r="E242" s="18"/>
    </row>
    <row r="243" ht="15.75" customHeight="1">
      <c r="E243" s="18"/>
    </row>
    <row r="244" ht="15.75" customHeight="1">
      <c r="E244" s="18"/>
    </row>
    <row r="245" ht="15.75" customHeight="1">
      <c r="E245" s="18"/>
    </row>
    <row r="246" ht="15.75" customHeight="1">
      <c r="E246" s="18"/>
    </row>
    <row r="247" ht="15.75" customHeight="1">
      <c r="E247" s="18"/>
    </row>
    <row r="248" ht="15.75" customHeight="1">
      <c r="E248" s="18"/>
    </row>
    <row r="249" ht="15.75" customHeight="1">
      <c r="E249" s="18"/>
    </row>
    <row r="250" ht="15.75" customHeight="1">
      <c r="E250" s="18"/>
    </row>
    <row r="251" ht="15.75" customHeight="1">
      <c r="E251" s="18"/>
    </row>
    <row r="252" ht="15.75" customHeight="1">
      <c r="E252" s="18"/>
    </row>
    <row r="253" ht="15.75" customHeight="1">
      <c r="E253" s="18"/>
    </row>
    <row r="254" ht="15.75" customHeight="1">
      <c r="E254" s="18"/>
    </row>
    <row r="255" ht="15.75" customHeight="1">
      <c r="E255" s="18"/>
    </row>
    <row r="256" ht="15.75" customHeight="1">
      <c r="E256" s="18"/>
    </row>
    <row r="257" ht="15.75" customHeight="1">
      <c r="E257" s="18"/>
    </row>
    <row r="258" ht="15.75" customHeight="1">
      <c r="E258" s="18"/>
    </row>
    <row r="259" ht="15.75" customHeight="1">
      <c r="E259" s="18"/>
    </row>
    <row r="260" ht="15.75" customHeight="1">
      <c r="E260" s="18"/>
    </row>
    <row r="261" ht="15.75" customHeight="1">
      <c r="E261" s="18"/>
    </row>
    <row r="262" ht="15.75" customHeight="1">
      <c r="E262" s="18"/>
    </row>
    <row r="263" ht="15.75" customHeight="1">
      <c r="E263" s="18"/>
    </row>
    <row r="264" ht="15.75" customHeight="1">
      <c r="E264" s="18"/>
    </row>
    <row r="265" ht="15.75" customHeight="1">
      <c r="E265" s="18"/>
    </row>
    <row r="266" ht="15.75" customHeight="1">
      <c r="E266" s="18"/>
    </row>
    <row r="267" ht="15.75" customHeight="1">
      <c r="E267" s="18"/>
    </row>
    <row r="268" ht="15.75" customHeight="1">
      <c r="E268" s="18"/>
    </row>
    <row r="269" ht="15.75" customHeight="1">
      <c r="E269" s="18"/>
    </row>
    <row r="270" ht="15.75" customHeight="1">
      <c r="E270" s="18"/>
    </row>
    <row r="271" ht="15.75" customHeight="1">
      <c r="E271" s="18"/>
    </row>
    <row r="272" ht="15.75" customHeight="1">
      <c r="E272" s="18"/>
    </row>
    <row r="273" ht="15.75" customHeight="1">
      <c r="E273" s="18"/>
    </row>
    <row r="274" ht="15.75" customHeight="1">
      <c r="E274" s="18"/>
    </row>
    <row r="275" ht="15.75" customHeight="1">
      <c r="E275" s="18"/>
    </row>
    <row r="276" ht="15.75" customHeight="1">
      <c r="E276" s="18"/>
    </row>
    <row r="277" ht="15.75" customHeight="1">
      <c r="E277" s="18"/>
    </row>
    <row r="278" ht="15.75" customHeight="1">
      <c r="E278" s="18"/>
    </row>
    <row r="279" ht="15.75" customHeight="1">
      <c r="E279" s="18"/>
    </row>
    <row r="280" ht="15.75" customHeight="1">
      <c r="E280" s="18"/>
    </row>
    <row r="281" ht="15.75" customHeight="1">
      <c r="E281" s="18"/>
    </row>
    <row r="282" ht="15.75" customHeight="1">
      <c r="E282" s="18"/>
    </row>
    <row r="283" ht="15.75" customHeight="1">
      <c r="E283" s="18"/>
    </row>
    <row r="284" ht="15.75" customHeight="1">
      <c r="E284" s="18"/>
    </row>
    <row r="285" ht="15.75" customHeight="1">
      <c r="E285" s="18"/>
    </row>
    <row r="286" ht="15.75" customHeight="1">
      <c r="E286" s="18"/>
    </row>
    <row r="287" ht="15.75" customHeight="1">
      <c r="E287" s="18"/>
    </row>
    <row r="288" ht="15.75" customHeight="1">
      <c r="E288" s="18"/>
    </row>
    <row r="289" ht="15.75" customHeight="1">
      <c r="E289" s="18"/>
    </row>
    <row r="290" ht="15.75" customHeight="1">
      <c r="E290" s="18"/>
    </row>
    <row r="291" ht="15.75" customHeight="1">
      <c r="E291" s="18"/>
    </row>
    <row r="292" ht="15.75" customHeight="1">
      <c r="E292" s="18"/>
    </row>
    <row r="293" ht="15.75" customHeight="1">
      <c r="E293" s="18"/>
    </row>
    <row r="294" ht="15.75" customHeight="1">
      <c r="E294" s="18"/>
    </row>
    <row r="295" ht="15.75" customHeight="1">
      <c r="E295" s="18"/>
    </row>
    <row r="296" ht="15.75" customHeight="1">
      <c r="E296" s="18"/>
    </row>
    <row r="297" ht="15.75" customHeight="1">
      <c r="E297" s="18"/>
    </row>
    <row r="298" ht="15.75" customHeight="1">
      <c r="E298" s="18"/>
    </row>
    <row r="299" ht="15.75" customHeight="1">
      <c r="E299" s="18"/>
    </row>
    <row r="300" ht="15.75" customHeight="1">
      <c r="E300" s="18"/>
    </row>
    <row r="301" ht="15.75" customHeight="1">
      <c r="E301" s="18"/>
    </row>
    <row r="302" ht="15.75" customHeight="1">
      <c r="E302" s="18"/>
    </row>
    <row r="303" ht="15.75" customHeight="1">
      <c r="E303" s="18"/>
    </row>
    <row r="304" ht="15.75" customHeight="1">
      <c r="E304" s="18"/>
    </row>
    <row r="305" ht="15.75" customHeight="1">
      <c r="E305" s="18"/>
    </row>
    <row r="306" ht="15.75" customHeight="1">
      <c r="E306" s="18"/>
    </row>
    <row r="307" ht="15.75" customHeight="1">
      <c r="E307" s="18"/>
    </row>
    <row r="308" ht="15.75" customHeight="1">
      <c r="E308" s="18"/>
    </row>
    <row r="309" ht="15.75" customHeight="1">
      <c r="E309" s="18"/>
    </row>
    <row r="310" ht="15.75" customHeight="1">
      <c r="E310" s="18"/>
    </row>
    <row r="311" ht="15.75" customHeight="1">
      <c r="E311" s="18"/>
    </row>
    <row r="312" ht="15.75" customHeight="1">
      <c r="E312" s="18"/>
    </row>
    <row r="313" ht="15.75" customHeight="1">
      <c r="E313" s="18"/>
    </row>
    <row r="314" ht="15.75" customHeight="1">
      <c r="E314" s="18"/>
    </row>
    <row r="315" ht="15.75" customHeight="1">
      <c r="E315" s="18"/>
    </row>
    <row r="316" ht="15.75" customHeight="1">
      <c r="E316" s="18"/>
    </row>
    <row r="317" ht="15.75" customHeight="1">
      <c r="E317" s="18"/>
    </row>
    <row r="318" ht="15.75" customHeight="1">
      <c r="E318" s="18"/>
    </row>
    <row r="319" ht="15.75" customHeight="1">
      <c r="E319" s="18"/>
    </row>
    <row r="320" ht="15.75" customHeight="1">
      <c r="E320" s="18"/>
    </row>
    <row r="321" ht="15.75" customHeight="1">
      <c r="E321" s="18"/>
    </row>
    <row r="322" ht="15.75" customHeight="1">
      <c r="E322" s="18"/>
    </row>
    <row r="323" ht="15.75" customHeight="1">
      <c r="E323" s="18"/>
    </row>
    <row r="324" ht="15.75" customHeight="1">
      <c r="E324" s="18"/>
    </row>
    <row r="325" ht="15.75" customHeight="1">
      <c r="E325" s="18"/>
    </row>
    <row r="326" ht="15.75" customHeight="1">
      <c r="E326" s="18"/>
    </row>
    <row r="327" ht="15.75" customHeight="1">
      <c r="E327" s="18"/>
    </row>
    <row r="328" ht="15.75" customHeight="1">
      <c r="E328" s="18"/>
    </row>
    <row r="329" ht="15.75" customHeight="1">
      <c r="E329" s="18"/>
    </row>
    <row r="330" ht="15.75" customHeight="1">
      <c r="E330" s="18"/>
    </row>
    <row r="331" ht="15.75" customHeight="1">
      <c r="E331" s="18"/>
    </row>
    <row r="332" ht="15.75" customHeight="1">
      <c r="E332" s="18"/>
    </row>
    <row r="333" ht="15.75" customHeight="1">
      <c r="E333" s="18"/>
    </row>
    <row r="334" ht="15.75" customHeight="1">
      <c r="E334" s="18"/>
    </row>
    <row r="335" ht="15.75" customHeight="1">
      <c r="E335" s="18"/>
    </row>
    <row r="336" ht="15.75" customHeight="1">
      <c r="E336" s="18"/>
    </row>
    <row r="337" ht="15.75" customHeight="1">
      <c r="E337" s="18"/>
    </row>
    <row r="338" ht="15.75" customHeight="1">
      <c r="E338" s="18"/>
    </row>
    <row r="339" ht="15.75" customHeight="1">
      <c r="E339" s="18"/>
    </row>
    <row r="340" ht="15.75" customHeight="1">
      <c r="E340" s="18"/>
    </row>
    <row r="341" ht="15.75" customHeight="1">
      <c r="E341" s="18"/>
    </row>
    <row r="342" ht="15.75" customHeight="1">
      <c r="E342" s="18"/>
    </row>
    <row r="343" ht="15.75" customHeight="1">
      <c r="E343" s="18"/>
    </row>
    <row r="344" ht="15.75" customHeight="1">
      <c r="E344" s="18"/>
    </row>
    <row r="345" ht="15.75" customHeight="1">
      <c r="E345" s="18"/>
    </row>
    <row r="346" ht="15.75" customHeight="1">
      <c r="E346" s="18"/>
    </row>
    <row r="347" ht="15.75" customHeight="1">
      <c r="E347" s="18"/>
    </row>
    <row r="348" ht="15.75" customHeight="1">
      <c r="E348" s="18"/>
    </row>
    <row r="349" ht="15.75" customHeight="1">
      <c r="E349" s="18"/>
    </row>
    <row r="350" ht="15.75" customHeight="1">
      <c r="E350" s="18"/>
    </row>
    <row r="351" ht="15.75" customHeight="1">
      <c r="E351" s="18"/>
    </row>
    <row r="352" ht="15.75" customHeight="1">
      <c r="E352" s="18"/>
    </row>
    <row r="353" ht="15.75" customHeight="1">
      <c r="E353" s="18"/>
    </row>
    <row r="354" ht="15.75" customHeight="1">
      <c r="E354" s="18"/>
    </row>
    <row r="355" ht="15.75" customHeight="1">
      <c r="E355" s="18"/>
    </row>
    <row r="356" ht="15.75" customHeight="1">
      <c r="E356" s="18"/>
    </row>
    <row r="357" ht="15.75" customHeight="1">
      <c r="E357" s="18"/>
    </row>
    <row r="358" ht="15.75" customHeight="1">
      <c r="E358" s="18"/>
    </row>
    <row r="359" ht="15.75" customHeight="1">
      <c r="E359" s="18"/>
    </row>
    <row r="360" ht="15.75" customHeight="1">
      <c r="E360" s="18"/>
    </row>
    <row r="361" ht="15.75" customHeight="1">
      <c r="E361" s="18"/>
    </row>
    <row r="362" ht="15.75" customHeight="1">
      <c r="E362" s="18"/>
    </row>
    <row r="363" ht="15.75" customHeight="1">
      <c r="E363" s="18"/>
    </row>
    <row r="364" ht="15.75" customHeight="1">
      <c r="E364" s="18"/>
    </row>
    <row r="365" ht="15.75" customHeight="1">
      <c r="E365" s="18"/>
    </row>
    <row r="366" ht="15.75" customHeight="1">
      <c r="E366" s="18"/>
    </row>
    <row r="367" ht="15.75" customHeight="1">
      <c r="E367" s="18"/>
    </row>
    <row r="368" ht="15.75" customHeight="1">
      <c r="E368" s="18"/>
    </row>
    <row r="369" ht="15.75" customHeight="1">
      <c r="E369" s="18"/>
    </row>
    <row r="370" ht="15.75" customHeight="1">
      <c r="E370" s="18"/>
    </row>
    <row r="371" ht="15.75" customHeight="1">
      <c r="E371" s="18"/>
    </row>
    <row r="372" ht="15.75" customHeight="1">
      <c r="E372" s="18"/>
    </row>
    <row r="373" ht="15.75" customHeight="1">
      <c r="E373" s="18"/>
    </row>
    <row r="374" ht="15.75" customHeight="1">
      <c r="E374" s="18"/>
    </row>
    <row r="375" ht="15.75" customHeight="1">
      <c r="E375" s="18"/>
    </row>
    <row r="376" ht="15.75" customHeight="1">
      <c r="E376" s="18"/>
    </row>
    <row r="377" ht="15.75" customHeight="1">
      <c r="E377" s="18"/>
    </row>
    <row r="378" ht="15.75" customHeight="1">
      <c r="E378" s="18"/>
    </row>
    <row r="379" ht="15.75" customHeight="1">
      <c r="E379" s="18"/>
    </row>
    <row r="380" ht="15.75" customHeight="1">
      <c r="E380" s="18"/>
    </row>
    <row r="381" ht="15.75" customHeight="1">
      <c r="E381" s="18"/>
    </row>
    <row r="382" ht="15.75" customHeight="1">
      <c r="E382" s="18"/>
    </row>
    <row r="383" ht="15.75" customHeight="1">
      <c r="E383" s="18"/>
    </row>
    <row r="384" ht="15.75" customHeight="1">
      <c r="E384" s="18"/>
    </row>
    <row r="385" ht="15.75" customHeight="1">
      <c r="E385" s="18"/>
    </row>
    <row r="386" ht="15.75" customHeight="1">
      <c r="E386" s="18"/>
    </row>
    <row r="387" ht="15.75" customHeight="1">
      <c r="E387" s="18"/>
    </row>
    <row r="388" ht="15.75" customHeight="1">
      <c r="E388" s="18"/>
    </row>
    <row r="389" ht="15.75" customHeight="1">
      <c r="E389" s="18"/>
    </row>
    <row r="390" ht="15.75" customHeight="1">
      <c r="E390" s="18"/>
    </row>
    <row r="391" ht="15.75" customHeight="1">
      <c r="E391" s="18"/>
    </row>
    <row r="392" ht="15.75" customHeight="1">
      <c r="E392" s="18"/>
    </row>
    <row r="393" ht="15.75" customHeight="1">
      <c r="E393" s="18"/>
    </row>
    <row r="394" ht="15.75" customHeight="1">
      <c r="E394" s="18"/>
    </row>
    <row r="395" ht="15.75" customHeight="1">
      <c r="E395" s="18"/>
    </row>
    <row r="396" ht="15.75" customHeight="1">
      <c r="E396" s="18"/>
    </row>
    <row r="397" ht="15.75" customHeight="1">
      <c r="E397" s="18"/>
    </row>
    <row r="398" ht="15.75" customHeight="1">
      <c r="E398" s="18"/>
    </row>
    <row r="399" ht="15.75" customHeight="1">
      <c r="E399" s="18"/>
    </row>
    <row r="400" ht="15.75" customHeight="1">
      <c r="E400" s="18"/>
    </row>
    <row r="401" ht="15.75" customHeight="1">
      <c r="E401" s="18"/>
    </row>
    <row r="402" ht="15.75" customHeight="1">
      <c r="E402" s="18"/>
    </row>
    <row r="403" ht="15.75" customHeight="1">
      <c r="E403" s="18"/>
    </row>
    <row r="404" ht="15.75" customHeight="1">
      <c r="E404" s="18"/>
    </row>
    <row r="405" ht="15.75" customHeight="1">
      <c r="E405" s="18"/>
    </row>
    <row r="406" ht="15.75" customHeight="1">
      <c r="E406" s="18"/>
    </row>
    <row r="407" ht="15.75" customHeight="1">
      <c r="E407" s="18"/>
    </row>
    <row r="408" ht="15.75" customHeight="1">
      <c r="E408" s="18"/>
    </row>
    <row r="409" ht="15.75" customHeight="1">
      <c r="E409" s="18"/>
    </row>
    <row r="410" ht="15.75" customHeight="1">
      <c r="E410" s="18"/>
    </row>
    <row r="411" ht="15.75" customHeight="1">
      <c r="E411" s="18"/>
    </row>
    <row r="412" ht="15.75" customHeight="1">
      <c r="E412" s="18"/>
    </row>
    <row r="413" ht="15.75" customHeight="1">
      <c r="E413" s="18"/>
    </row>
    <row r="414" ht="15.75" customHeight="1">
      <c r="E414" s="18"/>
    </row>
    <row r="415" ht="15.75" customHeight="1">
      <c r="E415" s="18"/>
    </row>
    <row r="416" ht="15.75" customHeight="1">
      <c r="E416" s="18"/>
    </row>
    <row r="417" ht="15.75" customHeight="1">
      <c r="E417" s="18"/>
    </row>
    <row r="418" ht="15.75" customHeight="1">
      <c r="E418" s="18"/>
    </row>
    <row r="419" ht="15.75" customHeight="1">
      <c r="E419" s="18"/>
    </row>
    <row r="420" ht="15.75" customHeight="1">
      <c r="E420" s="18"/>
    </row>
    <row r="421" ht="15.75" customHeight="1">
      <c r="E421" s="18"/>
    </row>
    <row r="422" ht="15.75" customHeight="1">
      <c r="E422" s="18"/>
    </row>
    <row r="423" ht="15.75" customHeight="1">
      <c r="E423" s="18"/>
    </row>
    <row r="424" ht="15.75" customHeight="1">
      <c r="E424" s="18"/>
    </row>
    <row r="425" ht="15.75" customHeight="1">
      <c r="E425" s="18"/>
    </row>
    <row r="426" ht="15.75" customHeight="1">
      <c r="E426" s="18"/>
    </row>
    <row r="427" ht="15.75" customHeight="1">
      <c r="E427" s="18"/>
    </row>
    <row r="428" ht="15.75" customHeight="1">
      <c r="E428" s="18"/>
    </row>
    <row r="429" ht="15.75" customHeight="1">
      <c r="E429" s="18"/>
    </row>
    <row r="430" ht="15.75" customHeight="1">
      <c r="E430" s="18"/>
    </row>
    <row r="431" ht="15.75" customHeight="1">
      <c r="E431" s="18"/>
    </row>
    <row r="432" ht="15.75" customHeight="1">
      <c r="E432" s="18"/>
    </row>
    <row r="433" ht="15.75" customHeight="1">
      <c r="E433" s="18"/>
    </row>
    <row r="434" ht="15.75" customHeight="1">
      <c r="E434" s="18"/>
    </row>
    <row r="435" ht="15.75" customHeight="1">
      <c r="E435" s="18"/>
    </row>
    <row r="436" ht="15.75" customHeight="1">
      <c r="E436" s="18"/>
    </row>
    <row r="437" ht="15.75" customHeight="1">
      <c r="E437" s="18"/>
    </row>
    <row r="438" ht="15.75" customHeight="1">
      <c r="E438" s="18"/>
    </row>
    <row r="439" ht="15.75" customHeight="1">
      <c r="E439" s="18"/>
    </row>
    <row r="440" ht="15.75" customHeight="1">
      <c r="E440" s="18"/>
    </row>
    <row r="441" ht="15.75" customHeight="1">
      <c r="E441" s="18"/>
    </row>
    <row r="442" ht="15.75" customHeight="1">
      <c r="E442" s="18"/>
    </row>
    <row r="443" ht="15.75" customHeight="1">
      <c r="E443" s="18"/>
    </row>
    <row r="444" ht="15.75" customHeight="1">
      <c r="E444" s="18"/>
    </row>
    <row r="445" ht="15.75" customHeight="1">
      <c r="E445" s="18"/>
    </row>
    <row r="446" ht="15.75" customHeight="1">
      <c r="E446" s="18"/>
    </row>
    <row r="447" ht="15.75" customHeight="1">
      <c r="E447" s="18"/>
    </row>
    <row r="448" ht="15.75" customHeight="1">
      <c r="E448" s="18"/>
    </row>
    <row r="449" ht="15.75" customHeight="1">
      <c r="E449" s="18"/>
    </row>
    <row r="450" ht="15.75" customHeight="1">
      <c r="E450" s="18"/>
    </row>
    <row r="451" ht="15.75" customHeight="1">
      <c r="E451" s="18"/>
    </row>
    <row r="452" ht="15.75" customHeight="1">
      <c r="E452" s="18"/>
    </row>
    <row r="453" ht="15.75" customHeight="1">
      <c r="E453" s="18"/>
    </row>
    <row r="454" ht="15.75" customHeight="1">
      <c r="E454" s="18"/>
    </row>
    <row r="455" ht="15.75" customHeight="1">
      <c r="E455" s="18"/>
    </row>
    <row r="456" ht="15.75" customHeight="1">
      <c r="E456" s="18"/>
    </row>
    <row r="457" ht="15.75" customHeight="1">
      <c r="E457" s="18"/>
    </row>
    <row r="458" ht="15.75" customHeight="1">
      <c r="E458" s="18"/>
    </row>
    <row r="459" ht="15.75" customHeight="1">
      <c r="E459" s="18"/>
    </row>
    <row r="460" ht="15.75" customHeight="1">
      <c r="E460" s="18"/>
    </row>
    <row r="461" ht="15.75" customHeight="1">
      <c r="E461" s="18"/>
    </row>
    <row r="462" ht="15.75" customHeight="1">
      <c r="E462" s="18"/>
    </row>
    <row r="463" ht="15.75" customHeight="1">
      <c r="E463" s="18"/>
    </row>
    <row r="464" ht="15.75" customHeight="1">
      <c r="E464" s="18"/>
    </row>
    <row r="465" ht="15.75" customHeight="1">
      <c r="E465" s="18"/>
    </row>
    <row r="466" ht="15.75" customHeight="1">
      <c r="E466" s="18"/>
    </row>
    <row r="467" ht="15.75" customHeight="1">
      <c r="E467" s="18"/>
    </row>
    <row r="468" ht="15.75" customHeight="1">
      <c r="E468" s="18"/>
    </row>
    <row r="469" ht="15.75" customHeight="1">
      <c r="E469" s="18"/>
    </row>
    <row r="470" ht="15.75" customHeight="1">
      <c r="E470" s="18"/>
    </row>
    <row r="471" ht="15.75" customHeight="1">
      <c r="E471" s="18"/>
    </row>
    <row r="472" ht="15.75" customHeight="1">
      <c r="E472" s="18"/>
    </row>
    <row r="473" ht="15.75" customHeight="1">
      <c r="E473" s="18"/>
    </row>
    <row r="474" ht="15.75" customHeight="1">
      <c r="E474" s="18"/>
    </row>
    <row r="475" ht="15.75" customHeight="1">
      <c r="E475" s="18"/>
    </row>
    <row r="476" ht="15.75" customHeight="1">
      <c r="E476" s="18"/>
    </row>
    <row r="477" ht="15.75" customHeight="1">
      <c r="E477" s="18"/>
    </row>
    <row r="478" ht="15.75" customHeight="1">
      <c r="E478" s="18"/>
    </row>
    <row r="479" ht="15.75" customHeight="1">
      <c r="E479" s="18"/>
    </row>
    <row r="480" ht="15.75" customHeight="1">
      <c r="E480" s="18"/>
    </row>
    <row r="481" ht="15.75" customHeight="1">
      <c r="E481" s="18"/>
    </row>
    <row r="482" ht="15.75" customHeight="1">
      <c r="E482" s="18"/>
    </row>
    <row r="483" ht="15.75" customHeight="1">
      <c r="E483" s="18"/>
    </row>
    <row r="484" ht="15.75" customHeight="1">
      <c r="E484" s="18"/>
    </row>
    <row r="485" ht="15.75" customHeight="1">
      <c r="E485" s="18"/>
    </row>
    <row r="486" ht="15.75" customHeight="1">
      <c r="E486" s="18"/>
    </row>
    <row r="487" ht="15.75" customHeight="1">
      <c r="E487" s="18"/>
    </row>
    <row r="488" ht="15.75" customHeight="1">
      <c r="E488" s="18"/>
    </row>
    <row r="489" ht="15.75" customHeight="1">
      <c r="E489" s="18"/>
    </row>
    <row r="490" ht="15.75" customHeight="1">
      <c r="E490" s="18"/>
    </row>
    <row r="491" ht="15.75" customHeight="1">
      <c r="E491" s="18"/>
    </row>
    <row r="492" ht="15.75" customHeight="1">
      <c r="E492" s="18"/>
    </row>
    <row r="493" ht="15.75" customHeight="1">
      <c r="E493" s="18"/>
    </row>
    <row r="494" ht="15.75" customHeight="1">
      <c r="E494" s="18"/>
    </row>
    <row r="495" ht="15.75" customHeight="1">
      <c r="E495" s="18"/>
    </row>
    <row r="496" ht="15.75" customHeight="1">
      <c r="E496" s="18"/>
    </row>
    <row r="497" ht="15.75" customHeight="1">
      <c r="E497" s="18"/>
    </row>
    <row r="498" ht="15.75" customHeight="1">
      <c r="E498" s="18"/>
    </row>
    <row r="499" ht="15.75" customHeight="1">
      <c r="E499" s="18"/>
    </row>
    <row r="500" ht="15.75" customHeight="1">
      <c r="E500" s="18"/>
    </row>
    <row r="501" ht="15.75" customHeight="1">
      <c r="E501" s="18"/>
    </row>
    <row r="502" ht="15.75" customHeight="1">
      <c r="E502" s="18"/>
    </row>
    <row r="503" ht="15.75" customHeight="1">
      <c r="E503" s="18"/>
    </row>
    <row r="504" ht="15.75" customHeight="1">
      <c r="E504" s="18"/>
    </row>
    <row r="505" ht="15.75" customHeight="1">
      <c r="E505" s="18"/>
    </row>
    <row r="506" ht="15.75" customHeight="1">
      <c r="E506" s="18"/>
    </row>
    <row r="507" ht="15.75" customHeight="1">
      <c r="E507" s="18"/>
    </row>
    <row r="508" ht="15.75" customHeight="1">
      <c r="E508" s="18"/>
    </row>
    <row r="509" ht="15.75" customHeight="1">
      <c r="E509" s="18"/>
    </row>
    <row r="510" ht="15.75" customHeight="1">
      <c r="E510" s="18"/>
    </row>
    <row r="511" ht="15.75" customHeight="1">
      <c r="E511" s="18"/>
    </row>
    <row r="512" ht="15.75" customHeight="1">
      <c r="E512" s="18"/>
    </row>
    <row r="513" ht="15.75" customHeight="1">
      <c r="E513" s="18"/>
    </row>
    <row r="514" ht="15.75" customHeight="1">
      <c r="E514" s="18"/>
    </row>
    <row r="515" ht="15.75" customHeight="1">
      <c r="E515" s="18"/>
    </row>
    <row r="516" ht="15.75" customHeight="1">
      <c r="E516" s="18"/>
    </row>
    <row r="517" ht="15.75" customHeight="1">
      <c r="E517" s="18"/>
    </row>
    <row r="518" ht="15.75" customHeight="1">
      <c r="E518" s="18"/>
    </row>
    <row r="519" ht="15.75" customHeight="1">
      <c r="E519" s="18"/>
    </row>
    <row r="520" ht="15.75" customHeight="1">
      <c r="E520" s="18"/>
    </row>
    <row r="521" ht="15.75" customHeight="1">
      <c r="E521" s="18"/>
    </row>
    <row r="522" ht="15.75" customHeight="1">
      <c r="E522" s="18"/>
    </row>
    <row r="523" ht="15.75" customHeight="1">
      <c r="E523" s="18"/>
    </row>
    <row r="524" ht="15.75" customHeight="1">
      <c r="E524" s="18"/>
    </row>
    <row r="525" ht="15.75" customHeight="1">
      <c r="E525" s="18"/>
    </row>
    <row r="526" ht="15.75" customHeight="1">
      <c r="E526" s="18"/>
    </row>
    <row r="527" ht="15.75" customHeight="1">
      <c r="E527" s="18"/>
    </row>
    <row r="528" ht="15.75" customHeight="1">
      <c r="E528" s="18"/>
    </row>
    <row r="529" ht="15.75" customHeight="1">
      <c r="E529" s="18"/>
    </row>
    <row r="530" ht="15.75" customHeight="1">
      <c r="E530" s="18"/>
    </row>
    <row r="531" ht="15.75" customHeight="1">
      <c r="E531" s="18"/>
    </row>
    <row r="532" ht="15.75" customHeight="1">
      <c r="E532" s="18"/>
    </row>
    <row r="533" ht="15.75" customHeight="1">
      <c r="E533" s="18"/>
    </row>
    <row r="534" ht="15.75" customHeight="1">
      <c r="E534" s="18"/>
    </row>
    <row r="535" ht="15.75" customHeight="1">
      <c r="E535" s="18"/>
    </row>
    <row r="536" ht="15.75" customHeight="1">
      <c r="E536" s="18"/>
    </row>
    <row r="537" ht="15.75" customHeight="1">
      <c r="E537" s="18"/>
    </row>
    <row r="538" ht="15.75" customHeight="1">
      <c r="E538" s="18"/>
    </row>
    <row r="539" ht="15.75" customHeight="1">
      <c r="E539" s="18"/>
    </row>
    <row r="540" ht="15.75" customHeight="1">
      <c r="E540" s="18"/>
    </row>
    <row r="541" ht="15.75" customHeight="1">
      <c r="E541" s="18"/>
    </row>
    <row r="542" ht="15.75" customHeight="1">
      <c r="E542" s="18"/>
    </row>
    <row r="543" ht="15.75" customHeight="1">
      <c r="E543" s="18"/>
    </row>
    <row r="544" ht="15.75" customHeight="1">
      <c r="E544" s="18"/>
    </row>
    <row r="545" ht="15.75" customHeight="1">
      <c r="E545" s="18"/>
    </row>
    <row r="546" ht="15.75" customHeight="1">
      <c r="E546" s="18"/>
    </row>
    <row r="547" ht="15.75" customHeight="1">
      <c r="E547" s="18"/>
    </row>
    <row r="548" ht="15.75" customHeight="1">
      <c r="E548" s="18"/>
    </row>
    <row r="549" ht="15.75" customHeight="1">
      <c r="E549" s="18"/>
    </row>
    <row r="550" ht="15.75" customHeight="1">
      <c r="E550" s="18"/>
    </row>
    <row r="551" ht="15.75" customHeight="1">
      <c r="E551" s="18"/>
    </row>
    <row r="552" ht="15.75" customHeight="1">
      <c r="E552" s="18"/>
    </row>
    <row r="553" ht="15.75" customHeight="1">
      <c r="E553" s="18"/>
    </row>
    <row r="554" ht="15.75" customHeight="1">
      <c r="E554" s="18"/>
    </row>
    <row r="555" ht="15.75" customHeight="1">
      <c r="E555" s="18"/>
    </row>
    <row r="556" ht="15.75" customHeight="1">
      <c r="E556" s="18"/>
    </row>
    <row r="557" ht="15.75" customHeight="1">
      <c r="E557" s="18"/>
    </row>
    <row r="558" ht="15.75" customHeight="1">
      <c r="E558" s="18"/>
    </row>
    <row r="559" ht="15.75" customHeight="1">
      <c r="E559" s="18"/>
    </row>
    <row r="560" ht="15.75" customHeight="1">
      <c r="E560" s="18"/>
    </row>
    <row r="561" ht="15.75" customHeight="1">
      <c r="E561" s="18"/>
    </row>
    <row r="562" ht="15.75" customHeight="1">
      <c r="E562" s="18"/>
    </row>
    <row r="563" ht="15.75" customHeight="1">
      <c r="E563" s="18"/>
    </row>
    <row r="564" ht="15.75" customHeight="1">
      <c r="E564" s="18"/>
    </row>
    <row r="565" ht="15.75" customHeight="1">
      <c r="E565" s="18"/>
    </row>
    <row r="566" ht="15.75" customHeight="1">
      <c r="E566" s="18"/>
    </row>
    <row r="567" ht="15.75" customHeight="1">
      <c r="E567" s="18"/>
    </row>
    <row r="568" ht="15.75" customHeight="1">
      <c r="E568" s="18"/>
    </row>
    <row r="569" ht="15.75" customHeight="1">
      <c r="E569" s="18"/>
    </row>
    <row r="570" ht="15.75" customHeight="1">
      <c r="E570" s="18"/>
    </row>
    <row r="571" ht="15.75" customHeight="1">
      <c r="E571" s="18"/>
    </row>
    <row r="572" ht="15.75" customHeight="1">
      <c r="E572" s="18"/>
    </row>
    <row r="573" ht="15.75" customHeight="1">
      <c r="E573" s="18"/>
    </row>
    <row r="574" ht="15.75" customHeight="1">
      <c r="E574" s="18"/>
    </row>
    <row r="575" ht="15.75" customHeight="1">
      <c r="E575" s="18"/>
    </row>
    <row r="576" ht="15.75" customHeight="1">
      <c r="E576" s="18"/>
    </row>
    <row r="577" ht="15.75" customHeight="1">
      <c r="E577" s="18"/>
    </row>
    <row r="578" ht="15.75" customHeight="1">
      <c r="E578" s="18"/>
    </row>
    <row r="579" ht="15.75" customHeight="1">
      <c r="E579" s="18"/>
    </row>
    <row r="580" ht="15.75" customHeight="1">
      <c r="E580" s="18"/>
    </row>
    <row r="581" ht="15.75" customHeight="1">
      <c r="E581" s="18"/>
    </row>
    <row r="582" ht="15.75" customHeight="1">
      <c r="E582" s="18"/>
    </row>
    <row r="583" ht="15.75" customHeight="1">
      <c r="E583" s="18"/>
    </row>
    <row r="584" ht="15.75" customHeight="1">
      <c r="E584" s="18"/>
    </row>
    <row r="585" ht="15.75" customHeight="1">
      <c r="E585" s="18"/>
    </row>
    <row r="586" ht="15.75" customHeight="1">
      <c r="E586" s="18"/>
    </row>
    <row r="587" ht="15.75" customHeight="1">
      <c r="E587" s="18"/>
    </row>
    <row r="588" ht="15.75" customHeight="1">
      <c r="E588" s="18"/>
    </row>
    <row r="589" ht="15.75" customHeight="1">
      <c r="E589" s="18"/>
    </row>
    <row r="590" ht="15.75" customHeight="1">
      <c r="E590" s="18"/>
    </row>
    <row r="591" ht="15.75" customHeight="1">
      <c r="E591" s="18"/>
    </row>
    <row r="592" ht="15.75" customHeight="1">
      <c r="E592" s="18"/>
    </row>
    <row r="593" ht="15.75" customHeight="1">
      <c r="E593" s="18"/>
    </row>
    <row r="594" ht="15.75" customHeight="1">
      <c r="E594" s="18"/>
    </row>
    <row r="595" ht="15.75" customHeight="1">
      <c r="E595" s="18"/>
    </row>
    <row r="596" ht="15.75" customHeight="1">
      <c r="E596" s="18"/>
    </row>
    <row r="597" ht="15.75" customHeight="1">
      <c r="E597" s="18"/>
    </row>
    <row r="598" ht="15.75" customHeight="1">
      <c r="E598" s="18"/>
    </row>
    <row r="599" ht="15.75" customHeight="1">
      <c r="E599" s="18"/>
    </row>
    <row r="600" ht="15.75" customHeight="1">
      <c r="E600" s="18"/>
    </row>
    <row r="601" ht="15.75" customHeight="1">
      <c r="E601" s="18"/>
    </row>
    <row r="602" ht="15.75" customHeight="1">
      <c r="E602" s="18"/>
    </row>
    <row r="603" ht="15.75" customHeight="1">
      <c r="E603" s="18"/>
    </row>
    <row r="604" ht="15.75" customHeight="1">
      <c r="E604" s="18"/>
    </row>
    <row r="605" ht="15.75" customHeight="1">
      <c r="E605" s="18"/>
    </row>
    <row r="606" ht="15.75" customHeight="1">
      <c r="E606" s="18"/>
    </row>
    <row r="607" ht="15.75" customHeight="1">
      <c r="E607" s="18"/>
    </row>
    <row r="608" ht="15.75" customHeight="1">
      <c r="E608" s="18"/>
    </row>
    <row r="609" ht="15.75" customHeight="1">
      <c r="E609" s="18"/>
    </row>
    <row r="610" ht="15.75" customHeight="1">
      <c r="E610" s="18"/>
    </row>
    <row r="611" ht="15.75" customHeight="1">
      <c r="E611" s="18"/>
    </row>
    <row r="612" ht="15.75" customHeight="1">
      <c r="E612" s="18"/>
    </row>
    <row r="613" ht="15.75" customHeight="1">
      <c r="E613" s="18"/>
    </row>
    <row r="614" ht="15.75" customHeight="1">
      <c r="E614" s="18"/>
    </row>
    <row r="615" ht="15.75" customHeight="1">
      <c r="E615" s="18"/>
    </row>
    <row r="616" ht="15.75" customHeight="1">
      <c r="E616" s="18"/>
    </row>
    <row r="617" ht="15.75" customHeight="1">
      <c r="E617" s="18"/>
    </row>
    <row r="618" ht="15.75" customHeight="1">
      <c r="E618" s="18"/>
    </row>
    <row r="619" ht="15.75" customHeight="1">
      <c r="E619" s="18"/>
    </row>
    <row r="620" ht="15.75" customHeight="1">
      <c r="E620" s="18"/>
    </row>
    <row r="621" ht="15.75" customHeight="1">
      <c r="E621" s="18"/>
    </row>
    <row r="622" ht="15.75" customHeight="1">
      <c r="E622" s="18"/>
    </row>
    <row r="623" ht="15.75" customHeight="1">
      <c r="E623" s="18"/>
    </row>
    <row r="624" ht="15.75" customHeight="1">
      <c r="E624" s="18"/>
    </row>
    <row r="625" ht="15.75" customHeight="1">
      <c r="E625" s="18"/>
    </row>
    <row r="626" ht="15.75" customHeight="1">
      <c r="E626" s="18"/>
    </row>
    <row r="627" ht="15.75" customHeight="1">
      <c r="E627" s="18"/>
    </row>
    <row r="628" ht="15.75" customHeight="1">
      <c r="E628" s="18"/>
    </row>
    <row r="629" ht="15.75" customHeight="1">
      <c r="E629" s="18"/>
    </row>
    <row r="630" ht="15.75" customHeight="1">
      <c r="E630" s="18"/>
    </row>
    <row r="631" ht="15.75" customHeight="1">
      <c r="E631" s="18"/>
    </row>
    <row r="632" ht="15.75" customHeight="1">
      <c r="E632" s="18"/>
    </row>
    <row r="633" ht="15.75" customHeight="1">
      <c r="E633" s="18"/>
    </row>
    <row r="634" ht="15.75" customHeight="1">
      <c r="E634" s="18"/>
    </row>
    <row r="635" ht="15.75" customHeight="1">
      <c r="E635" s="18"/>
    </row>
    <row r="636" ht="15.75" customHeight="1">
      <c r="E636" s="18"/>
    </row>
    <row r="637" ht="15.75" customHeight="1">
      <c r="E637" s="18"/>
    </row>
    <row r="638" ht="15.75" customHeight="1">
      <c r="E638" s="18"/>
    </row>
    <row r="639" ht="15.75" customHeight="1">
      <c r="E639" s="18"/>
    </row>
    <row r="640" ht="15.75" customHeight="1">
      <c r="E640" s="18"/>
    </row>
    <row r="641" ht="15.75" customHeight="1">
      <c r="E641" s="18"/>
    </row>
    <row r="642" ht="15.75" customHeight="1">
      <c r="E642" s="18"/>
    </row>
    <row r="643" ht="15.75" customHeight="1">
      <c r="E643" s="18"/>
    </row>
    <row r="644" ht="15.75" customHeight="1">
      <c r="E644" s="18"/>
    </row>
    <row r="645" ht="15.75" customHeight="1">
      <c r="E645" s="18"/>
    </row>
    <row r="646" ht="15.75" customHeight="1">
      <c r="E646" s="18"/>
    </row>
    <row r="647" ht="15.75" customHeight="1">
      <c r="E647" s="18"/>
    </row>
    <row r="648" ht="15.75" customHeight="1">
      <c r="E648" s="18"/>
    </row>
    <row r="649" ht="15.75" customHeight="1">
      <c r="E649" s="18"/>
    </row>
    <row r="650" ht="15.75" customHeight="1">
      <c r="E650" s="18"/>
    </row>
    <row r="651" ht="15.75" customHeight="1">
      <c r="E651" s="18"/>
    </row>
    <row r="652" ht="15.75" customHeight="1">
      <c r="E652" s="18"/>
    </row>
    <row r="653" ht="15.75" customHeight="1">
      <c r="E653" s="18"/>
    </row>
    <row r="654" ht="15.75" customHeight="1">
      <c r="E654" s="18"/>
    </row>
    <row r="655" ht="15.75" customHeight="1">
      <c r="E655" s="18"/>
    </row>
    <row r="656" ht="15.75" customHeight="1">
      <c r="E656" s="18"/>
    </row>
    <row r="657" ht="15.75" customHeight="1">
      <c r="E657" s="18"/>
    </row>
    <row r="658" ht="15.75" customHeight="1">
      <c r="E658" s="18"/>
    </row>
    <row r="659" ht="15.75" customHeight="1">
      <c r="E659" s="18"/>
    </row>
    <row r="660" ht="15.75" customHeight="1">
      <c r="E660" s="18"/>
    </row>
    <row r="661" ht="15.75" customHeight="1">
      <c r="E661" s="18"/>
    </row>
    <row r="662" ht="15.75" customHeight="1">
      <c r="E662" s="18"/>
    </row>
    <row r="663" ht="15.75" customHeight="1">
      <c r="E663" s="18"/>
    </row>
    <row r="664" ht="15.75" customHeight="1">
      <c r="E664" s="18"/>
    </row>
    <row r="665" ht="15.75" customHeight="1">
      <c r="E665" s="18"/>
    </row>
    <row r="666" ht="15.75" customHeight="1">
      <c r="E666" s="18"/>
    </row>
    <row r="667" ht="15.75" customHeight="1">
      <c r="E667" s="18"/>
    </row>
    <row r="668" ht="15.75" customHeight="1">
      <c r="E668" s="18"/>
    </row>
    <row r="669" ht="15.75" customHeight="1">
      <c r="E669" s="18"/>
    </row>
    <row r="670" ht="15.75" customHeight="1">
      <c r="E670" s="18"/>
    </row>
    <row r="671" ht="15.75" customHeight="1">
      <c r="E671" s="18"/>
    </row>
    <row r="672" ht="15.75" customHeight="1">
      <c r="E672" s="18"/>
    </row>
    <row r="673" ht="15.75" customHeight="1">
      <c r="E673" s="18"/>
    </row>
    <row r="674" ht="15.75" customHeight="1">
      <c r="E674" s="18"/>
    </row>
    <row r="675" ht="15.75" customHeight="1">
      <c r="E675" s="18"/>
    </row>
    <row r="676" ht="15.75" customHeight="1">
      <c r="E676" s="18"/>
    </row>
    <row r="677" ht="15.75" customHeight="1">
      <c r="E677" s="18"/>
    </row>
    <row r="678" ht="15.75" customHeight="1">
      <c r="E678" s="18"/>
    </row>
    <row r="679" ht="15.75" customHeight="1">
      <c r="E679" s="18"/>
    </row>
    <row r="680" ht="15.75" customHeight="1">
      <c r="E680" s="18"/>
    </row>
    <row r="681" ht="15.75" customHeight="1">
      <c r="E681" s="18"/>
    </row>
    <row r="682" ht="15.75" customHeight="1">
      <c r="E682" s="18"/>
    </row>
    <row r="683" ht="15.75" customHeight="1">
      <c r="E683" s="18"/>
    </row>
    <row r="684" ht="15.75" customHeight="1">
      <c r="E684" s="18"/>
    </row>
    <row r="685" ht="15.75" customHeight="1">
      <c r="E685" s="18"/>
    </row>
    <row r="686" ht="15.75" customHeight="1">
      <c r="E686" s="18"/>
    </row>
    <row r="687" ht="15.75" customHeight="1">
      <c r="E687" s="18"/>
    </row>
    <row r="688" ht="15.75" customHeight="1">
      <c r="E688" s="18"/>
    </row>
    <row r="689" ht="15.75" customHeight="1">
      <c r="E689" s="18"/>
    </row>
    <row r="690" ht="15.75" customHeight="1">
      <c r="E690" s="18"/>
    </row>
    <row r="691" ht="15.75" customHeight="1">
      <c r="E691" s="18"/>
    </row>
    <row r="692" ht="15.75" customHeight="1">
      <c r="E692" s="18"/>
    </row>
    <row r="693" ht="15.75" customHeight="1">
      <c r="E693" s="18"/>
    </row>
    <row r="694" ht="15.75" customHeight="1">
      <c r="E694" s="18"/>
    </row>
    <row r="695" ht="15.75" customHeight="1">
      <c r="E695" s="18"/>
    </row>
    <row r="696" ht="15.75" customHeight="1">
      <c r="E696" s="18"/>
    </row>
    <row r="697" ht="15.75" customHeight="1">
      <c r="E697" s="18"/>
    </row>
    <row r="698" ht="15.75" customHeight="1">
      <c r="E698" s="18"/>
    </row>
    <row r="699" ht="15.75" customHeight="1">
      <c r="E699" s="18"/>
    </row>
    <row r="700" ht="15.75" customHeight="1">
      <c r="E700" s="18"/>
    </row>
    <row r="701" ht="15.75" customHeight="1">
      <c r="E701" s="18"/>
    </row>
    <row r="702" ht="15.75" customHeight="1">
      <c r="E702" s="18"/>
    </row>
    <row r="703" ht="15.75" customHeight="1">
      <c r="E703" s="18"/>
    </row>
    <row r="704" ht="15.75" customHeight="1">
      <c r="E704" s="18"/>
    </row>
    <row r="705" ht="15.75" customHeight="1">
      <c r="E705" s="18"/>
    </row>
    <row r="706" ht="15.75" customHeight="1">
      <c r="E706" s="18"/>
    </row>
    <row r="707" ht="15.75" customHeight="1">
      <c r="E707" s="18"/>
    </row>
    <row r="708" ht="15.75" customHeight="1">
      <c r="E708" s="18"/>
    </row>
    <row r="709" ht="15.75" customHeight="1">
      <c r="E709" s="18"/>
    </row>
    <row r="710" ht="15.75" customHeight="1">
      <c r="E710" s="18"/>
    </row>
    <row r="711" ht="15.75" customHeight="1">
      <c r="E711" s="18"/>
    </row>
    <row r="712" ht="15.75" customHeight="1">
      <c r="E712" s="18"/>
    </row>
    <row r="713" ht="15.75" customHeight="1">
      <c r="E713" s="18"/>
    </row>
    <row r="714" ht="15.75" customHeight="1">
      <c r="E714" s="18"/>
    </row>
    <row r="715" ht="15.75" customHeight="1">
      <c r="E715" s="18"/>
    </row>
    <row r="716" ht="15.75" customHeight="1">
      <c r="E716" s="18"/>
    </row>
    <row r="717" ht="15.75" customHeight="1">
      <c r="E717" s="18"/>
    </row>
    <row r="718" ht="15.75" customHeight="1">
      <c r="E718" s="18"/>
    </row>
    <row r="719" ht="15.75" customHeight="1">
      <c r="E719" s="18"/>
    </row>
    <row r="720" ht="15.75" customHeight="1">
      <c r="E720" s="18"/>
    </row>
    <row r="721" ht="15.75" customHeight="1">
      <c r="E721" s="18"/>
    </row>
    <row r="722" ht="15.75" customHeight="1">
      <c r="E722" s="18"/>
    </row>
    <row r="723" ht="15.75" customHeight="1">
      <c r="E723" s="18"/>
    </row>
    <row r="724" ht="15.75" customHeight="1">
      <c r="E724" s="18"/>
    </row>
    <row r="725" ht="15.75" customHeight="1">
      <c r="E725" s="18"/>
    </row>
    <row r="726" ht="15.75" customHeight="1">
      <c r="E726" s="18"/>
    </row>
    <row r="727" ht="15.75" customHeight="1">
      <c r="E727" s="18"/>
    </row>
    <row r="728" ht="15.75" customHeight="1">
      <c r="E728" s="18"/>
    </row>
    <row r="729" ht="15.75" customHeight="1">
      <c r="E729" s="18"/>
    </row>
    <row r="730" ht="15.75" customHeight="1">
      <c r="E730" s="18"/>
    </row>
    <row r="731" ht="15.75" customHeight="1">
      <c r="E731" s="18"/>
    </row>
    <row r="732" ht="15.75" customHeight="1">
      <c r="E732" s="18"/>
    </row>
    <row r="733" ht="15.75" customHeight="1">
      <c r="E733" s="18"/>
    </row>
    <row r="734" ht="15.75" customHeight="1">
      <c r="E734" s="18"/>
    </row>
    <row r="735" ht="15.75" customHeight="1">
      <c r="E735" s="18"/>
    </row>
    <row r="736" ht="15.75" customHeight="1">
      <c r="E736" s="18"/>
    </row>
    <row r="737" ht="15.75" customHeight="1">
      <c r="E737" s="18"/>
    </row>
    <row r="738" ht="15.75" customHeight="1">
      <c r="E738" s="18"/>
    </row>
    <row r="739" ht="15.75" customHeight="1">
      <c r="E739" s="18"/>
    </row>
    <row r="740" ht="15.75" customHeight="1">
      <c r="E740" s="18"/>
    </row>
    <row r="741" ht="15.75" customHeight="1">
      <c r="E741" s="18"/>
    </row>
    <row r="742" ht="15.75" customHeight="1">
      <c r="E742" s="18"/>
    </row>
    <row r="743" ht="15.75" customHeight="1">
      <c r="E743" s="18"/>
    </row>
    <row r="744" ht="15.75" customHeight="1">
      <c r="E744" s="18"/>
    </row>
    <row r="745" ht="15.75" customHeight="1">
      <c r="E745" s="18"/>
    </row>
    <row r="746" ht="15.75" customHeight="1">
      <c r="E746" s="18"/>
    </row>
    <row r="747" ht="15.75" customHeight="1">
      <c r="E747" s="18"/>
    </row>
    <row r="748" ht="15.75" customHeight="1">
      <c r="E748" s="18"/>
    </row>
    <row r="749" ht="15.75" customHeight="1">
      <c r="E749" s="18"/>
    </row>
    <row r="750" ht="15.75" customHeight="1">
      <c r="E750" s="18"/>
    </row>
    <row r="751" ht="15.75" customHeight="1">
      <c r="E751" s="18"/>
    </row>
    <row r="752" ht="15.75" customHeight="1">
      <c r="E752" s="18"/>
    </row>
    <row r="753" ht="15.75" customHeight="1">
      <c r="E753" s="18"/>
    </row>
    <row r="754" ht="15.75" customHeight="1">
      <c r="E754" s="18"/>
    </row>
    <row r="755" ht="15.75" customHeight="1">
      <c r="E755" s="18"/>
    </row>
    <row r="756" ht="15.75" customHeight="1">
      <c r="E756" s="18"/>
    </row>
    <row r="757" ht="15.75" customHeight="1">
      <c r="E757" s="18"/>
    </row>
    <row r="758" ht="15.75" customHeight="1">
      <c r="E758" s="18"/>
    </row>
    <row r="759" ht="15.75" customHeight="1">
      <c r="E759" s="18"/>
    </row>
    <row r="760" ht="15.75" customHeight="1">
      <c r="E760" s="18"/>
    </row>
    <row r="761" ht="15.75" customHeight="1">
      <c r="E761" s="18"/>
    </row>
    <row r="762" ht="15.75" customHeight="1">
      <c r="E762" s="18"/>
    </row>
    <row r="763" ht="15.75" customHeight="1">
      <c r="E763" s="18"/>
    </row>
    <row r="764" ht="15.75" customHeight="1">
      <c r="E764" s="18"/>
    </row>
    <row r="765" ht="15.75" customHeight="1">
      <c r="E765" s="18"/>
    </row>
    <row r="766" ht="15.75" customHeight="1">
      <c r="E766" s="18"/>
    </row>
    <row r="767" ht="15.75" customHeight="1">
      <c r="E767" s="18"/>
    </row>
    <row r="768" ht="15.75" customHeight="1">
      <c r="E768" s="18"/>
    </row>
    <row r="769" ht="15.75" customHeight="1">
      <c r="E769" s="18"/>
    </row>
    <row r="770" ht="15.75" customHeight="1">
      <c r="E770" s="18"/>
    </row>
    <row r="771" ht="15.75" customHeight="1">
      <c r="E771" s="18"/>
    </row>
    <row r="772" ht="15.75" customHeight="1">
      <c r="E772" s="18"/>
    </row>
    <row r="773" ht="15.75" customHeight="1">
      <c r="E773" s="18"/>
    </row>
    <row r="774" ht="15.75" customHeight="1">
      <c r="E774" s="18"/>
    </row>
    <row r="775" ht="15.75" customHeight="1">
      <c r="E775" s="18"/>
    </row>
    <row r="776" ht="15.75" customHeight="1">
      <c r="E776" s="18"/>
    </row>
    <row r="777" ht="15.75" customHeight="1">
      <c r="E777" s="18"/>
    </row>
    <row r="778" ht="15.75" customHeight="1">
      <c r="E778" s="18"/>
    </row>
    <row r="779" ht="15.75" customHeight="1">
      <c r="E779" s="18"/>
    </row>
    <row r="780" ht="15.75" customHeight="1">
      <c r="E780" s="18"/>
    </row>
    <row r="781" ht="15.75" customHeight="1">
      <c r="E781" s="18"/>
    </row>
    <row r="782" ht="15.75" customHeight="1">
      <c r="E782" s="18"/>
    </row>
    <row r="783" ht="15.75" customHeight="1">
      <c r="E783" s="18"/>
    </row>
    <row r="784" ht="15.75" customHeight="1">
      <c r="E784" s="18"/>
    </row>
    <row r="785" ht="15.75" customHeight="1">
      <c r="E785" s="18"/>
    </row>
    <row r="786" ht="15.75" customHeight="1">
      <c r="E786" s="18"/>
    </row>
    <row r="787" ht="15.75" customHeight="1">
      <c r="E787" s="18"/>
    </row>
    <row r="788" ht="15.75" customHeight="1">
      <c r="E788" s="18"/>
    </row>
    <row r="789" ht="15.75" customHeight="1">
      <c r="E789" s="18"/>
    </row>
    <row r="790" ht="15.75" customHeight="1">
      <c r="E790" s="18"/>
    </row>
    <row r="791" ht="15.75" customHeight="1">
      <c r="E791" s="18"/>
    </row>
    <row r="792" ht="15.75" customHeight="1">
      <c r="E792" s="18"/>
    </row>
    <row r="793" ht="15.75" customHeight="1">
      <c r="E793" s="18"/>
    </row>
    <row r="794" ht="15.75" customHeight="1">
      <c r="E794" s="18"/>
    </row>
    <row r="795" ht="15.75" customHeight="1">
      <c r="E795" s="18"/>
    </row>
    <row r="796" ht="15.75" customHeight="1">
      <c r="E796" s="18"/>
    </row>
    <row r="797" ht="15.75" customHeight="1">
      <c r="E797" s="18"/>
    </row>
    <row r="798" ht="15.75" customHeight="1">
      <c r="E798" s="18"/>
    </row>
    <row r="799" ht="15.75" customHeight="1">
      <c r="E799" s="18"/>
    </row>
    <row r="800" ht="15.75" customHeight="1">
      <c r="E800" s="18"/>
    </row>
    <row r="801" ht="15.75" customHeight="1">
      <c r="E801" s="18"/>
    </row>
    <row r="802" ht="15.75" customHeight="1">
      <c r="E802" s="18"/>
    </row>
    <row r="803" ht="15.75" customHeight="1">
      <c r="E803" s="18"/>
    </row>
    <row r="804" ht="15.75" customHeight="1">
      <c r="E804" s="18"/>
    </row>
    <row r="805" ht="15.75" customHeight="1">
      <c r="E805" s="18"/>
    </row>
    <row r="806" ht="15.75" customHeight="1">
      <c r="E806" s="18"/>
    </row>
    <row r="807" ht="15.75" customHeight="1">
      <c r="E807" s="18"/>
    </row>
    <row r="808" ht="15.75" customHeight="1">
      <c r="E808" s="18"/>
    </row>
    <row r="809" ht="15.75" customHeight="1">
      <c r="E809" s="18"/>
    </row>
    <row r="810" ht="15.75" customHeight="1">
      <c r="E810" s="18"/>
    </row>
    <row r="811" ht="15.75" customHeight="1">
      <c r="E811" s="18"/>
    </row>
    <row r="812" ht="15.75" customHeight="1">
      <c r="E812" s="18"/>
    </row>
    <row r="813" ht="15.75" customHeight="1">
      <c r="E813" s="18"/>
    </row>
    <row r="814" ht="15.75" customHeight="1">
      <c r="E814" s="18"/>
    </row>
    <row r="815" ht="15.75" customHeight="1">
      <c r="E815" s="18"/>
    </row>
    <row r="816" ht="15.75" customHeight="1">
      <c r="E816" s="18"/>
    </row>
    <row r="817" ht="15.75" customHeight="1">
      <c r="E817" s="18"/>
    </row>
    <row r="818" ht="15.75" customHeight="1">
      <c r="E818" s="18"/>
    </row>
    <row r="819" ht="15.75" customHeight="1">
      <c r="E819" s="18"/>
    </row>
    <row r="820" ht="15.75" customHeight="1">
      <c r="E820" s="18"/>
    </row>
    <row r="821" ht="15.75" customHeight="1">
      <c r="E821" s="18"/>
    </row>
    <row r="822" ht="15.75" customHeight="1">
      <c r="E822" s="18"/>
    </row>
    <row r="823" ht="15.75" customHeight="1">
      <c r="E823" s="18"/>
    </row>
    <row r="824" ht="15.75" customHeight="1">
      <c r="E824" s="18"/>
    </row>
    <row r="825" ht="15.75" customHeight="1">
      <c r="E825" s="18"/>
    </row>
    <row r="826" ht="15.75" customHeight="1">
      <c r="E826" s="18"/>
    </row>
    <row r="827" ht="15.75" customHeight="1">
      <c r="E827" s="18"/>
    </row>
    <row r="828" ht="15.75" customHeight="1">
      <c r="E828" s="18"/>
    </row>
    <row r="829" ht="15.75" customHeight="1">
      <c r="E829" s="18"/>
    </row>
    <row r="830" ht="15.75" customHeight="1">
      <c r="E830" s="18"/>
    </row>
    <row r="831" ht="15.75" customHeight="1">
      <c r="E831" s="18"/>
    </row>
    <row r="832" ht="15.75" customHeight="1">
      <c r="E832" s="18"/>
    </row>
    <row r="833" ht="15.75" customHeight="1">
      <c r="E833" s="18"/>
    </row>
    <row r="834" ht="15.75" customHeight="1">
      <c r="E834" s="18"/>
    </row>
    <row r="835" ht="15.75" customHeight="1">
      <c r="E835" s="18"/>
    </row>
    <row r="836" ht="15.75" customHeight="1">
      <c r="E836" s="18"/>
    </row>
    <row r="837" ht="15.75" customHeight="1">
      <c r="E837" s="18"/>
    </row>
    <row r="838" ht="15.75" customHeight="1">
      <c r="E838" s="18"/>
    </row>
    <row r="839" ht="15.75" customHeight="1">
      <c r="E839" s="18"/>
    </row>
    <row r="840" ht="15.75" customHeight="1">
      <c r="E840" s="18"/>
    </row>
    <row r="841" ht="15.75" customHeight="1">
      <c r="E841" s="18"/>
    </row>
    <row r="842" ht="15.75" customHeight="1">
      <c r="E842" s="18"/>
    </row>
    <row r="843" ht="15.75" customHeight="1">
      <c r="E843" s="18"/>
    </row>
    <row r="844" ht="15.75" customHeight="1">
      <c r="E844" s="18"/>
    </row>
    <row r="845" ht="15.75" customHeight="1">
      <c r="E845" s="18"/>
    </row>
    <row r="846" ht="15.75" customHeight="1">
      <c r="E846" s="18"/>
    </row>
    <row r="847" ht="15.75" customHeight="1">
      <c r="E847" s="18"/>
    </row>
    <row r="848" ht="15.75" customHeight="1">
      <c r="E848" s="18"/>
    </row>
    <row r="849" ht="15.75" customHeight="1">
      <c r="E849" s="18"/>
    </row>
    <row r="850" ht="15.75" customHeight="1">
      <c r="E850" s="18"/>
    </row>
    <row r="851" ht="15.75" customHeight="1">
      <c r="E851" s="18"/>
    </row>
    <row r="852" ht="15.75" customHeight="1">
      <c r="E852" s="18"/>
    </row>
    <row r="853" ht="15.75" customHeight="1">
      <c r="E853" s="18"/>
    </row>
    <row r="854" ht="15.75" customHeight="1">
      <c r="E854" s="18"/>
    </row>
    <row r="855" ht="15.75" customHeight="1">
      <c r="E855" s="18"/>
    </row>
    <row r="856" ht="15.75" customHeight="1">
      <c r="E856" s="18"/>
    </row>
    <row r="857" ht="15.75" customHeight="1">
      <c r="E857" s="18"/>
    </row>
    <row r="858" ht="15.75" customHeight="1">
      <c r="E858" s="18"/>
    </row>
    <row r="859" ht="15.75" customHeight="1">
      <c r="E859" s="18"/>
    </row>
    <row r="860" ht="15.75" customHeight="1">
      <c r="E860" s="18"/>
    </row>
    <row r="861" ht="15.75" customHeight="1">
      <c r="E861" s="18"/>
    </row>
    <row r="862" ht="15.75" customHeight="1">
      <c r="E862" s="18"/>
    </row>
    <row r="863" ht="15.75" customHeight="1">
      <c r="E863" s="18"/>
    </row>
    <row r="864" ht="15.75" customHeight="1">
      <c r="E864" s="18"/>
    </row>
    <row r="865" ht="15.75" customHeight="1">
      <c r="E865" s="18"/>
    </row>
    <row r="866" ht="15.75" customHeight="1">
      <c r="E866" s="18"/>
    </row>
    <row r="867" ht="15.75" customHeight="1">
      <c r="E867" s="18"/>
    </row>
    <row r="868" ht="15.75" customHeight="1">
      <c r="E868" s="18"/>
    </row>
    <row r="869" ht="15.75" customHeight="1">
      <c r="E869" s="18"/>
    </row>
    <row r="870" ht="15.75" customHeight="1">
      <c r="E870" s="18"/>
    </row>
    <row r="871" ht="15.75" customHeight="1">
      <c r="E871" s="18"/>
    </row>
    <row r="872" ht="15.75" customHeight="1">
      <c r="E872" s="18"/>
    </row>
    <row r="873" ht="15.75" customHeight="1">
      <c r="E873" s="18"/>
    </row>
    <row r="874" ht="15.75" customHeight="1">
      <c r="E874" s="18"/>
    </row>
    <row r="875" ht="15.75" customHeight="1">
      <c r="E875" s="18"/>
    </row>
    <row r="876" ht="15.75" customHeight="1">
      <c r="E876" s="18"/>
    </row>
    <row r="877" ht="15.75" customHeight="1">
      <c r="E877" s="18"/>
    </row>
    <row r="878" ht="15.75" customHeight="1">
      <c r="E878" s="18"/>
    </row>
    <row r="879" ht="15.75" customHeight="1">
      <c r="E879" s="18"/>
    </row>
    <row r="880" ht="15.75" customHeight="1">
      <c r="E880" s="18"/>
    </row>
    <row r="881" ht="15.75" customHeight="1">
      <c r="E881" s="18"/>
    </row>
    <row r="882" ht="15.75" customHeight="1">
      <c r="E882" s="18"/>
    </row>
    <row r="883" ht="15.75" customHeight="1">
      <c r="E883" s="18"/>
    </row>
    <row r="884" ht="15.75" customHeight="1">
      <c r="E884" s="18"/>
    </row>
    <row r="885" ht="15.75" customHeight="1">
      <c r="E885" s="18"/>
    </row>
    <row r="886" ht="15.75" customHeight="1">
      <c r="E886" s="18"/>
    </row>
    <row r="887" ht="15.75" customHeight="1">
      <c r="E887" s="18"/>
    </row>
    <row r="888" ht="15.75" customHeight="1">
      <c r="E888" s="18"/>
    </row>
    <row r="889" ht="15.75" customHeight="1">
      <c r="E889" s="18"/>
    </row>
    <row r="890" ht="15.75" customHeight="1">
      <c r="E890" s="18"/>
    </row>
    <row r="891" ht="15.75" customHeight="1">
      <c r="E891" s="18"/>
    </row>
    <row r="892" ht="15.75" customHeight="1">
      <c r="E892" s="18"/>
    </row>
    <row r="893" ht="15.75" customHeight="1">
      <c r="E893" s="18"/>
    </row>
    <row r="894" ht="15.75" customHeight="1">
      <c r="E894" s="18"/>
    </row>
    <row r="895" ht="15.75" customHeight="1">
      <c r="E895" s="18"/>
    </row>
    <row r="896" ht="15.75" customHeight="1">
      <c r="E896" s="18"/>
    </row>
    <row r="897" ht="15.75" customHeight="1">
      <c r="E897" s="18"/>
    </row>
    <row r="898" ht="15.75" customHeight="1">
      <c r="E898" s="18"/>
    </row>
    <row r="899" ht="15.75" customHeight="1">
      <c r="E899" s="18"/>
    </row>
    <row r="900" ht="15.75" customHeight="1">
      <c r="E900" s="18"/>
    </row>
    <row r="901" ht="15.75" customHeight="1">
      <c r="E901" s="18"/>
    </row>
    <row r="902" ht="15.75" customHeight="1">
      <c r="E902" s="18"/>
    </row>
    <row r="903" ht="15.75" customHeight="1">
      <c r="E903" s="18"/>
    </row>
    <row r="904" ht="15.75" customHeight="1">
      <c r="E904" s="18"/>
    </row>
    <row r="905" ht="15.75" customHeight="1">
      <c r="E905" s="18"/>
    </row>
    <row r="906" ht="15.75" customHeight="1">
      <c r="E906" s="18"/>
    </row>
    <row r="907" ht="15.75" customHeight="1">
      <c r="E907" s="18"/>
    </row>
    <row r="908" ht="15.75" customHeight="1">
      <c r="E908" s="18"/>
    </row>
    <row r="909" ht="15.75" customHeight="1">
      <c r="E909" s="18"/>
    </row>
    <row r="910" ht="15.75" customHeight="1">
      <c r="E910" s="18"/>
    </row>
    <row r="911" ht="15.75" customHeight="1">
      <c r="E911" s="18"/>
    </row>
    <row r="912" ht="15.75" customHeight="1">
      <c r="E912" s="18"/>
    </row>
    <row r="913" ht="15.75" customHeight="1">
      <c r="E913" s="18"/>
    </row>
    <row r="914" ht="15.75" customHeight="1">
      <c r="E914" s="18"/>
    </row>
    <row r="915" ht="15.75" customHeight="1">
      <c r="E915" s="18"/>
    </row>
    <row r="916" ht="15.75" customHeight="1">
      <c r="E916" s="18"/>
    </row>
    <row r="917" ht="15.75" customHeight="1">
      <c r="E917" s="18"/>
    </row>
    <row r="918" ht="15.75" customHeight="1">
      <c r="E918" s="18"/>
    </row>
    <row r="919" ht="15.75" customHeight="1">
      <c r="E919" s="18"/>
    </row>
    <row r="920" ht="15.75" customHeight="1">
      <c r="E920" s="18"/>
    </row>
    <row r="921" ht="15.75" customHeight="1">
      <c r="E921" s="18"/>
    </row>
    <row r="922" ht="15.75" customHeight="1">
      <c r="E922" s="18"/>
    </row>
    <row r="923" ht="15.75" customHeight="1">
      <c r="E923" s="18"/>
    </row>
    <row r="924" ht="15.75" customHeight="1">
      <c r="E924" s="18"/>
    </row>
    <row r="925" ht="15.75" customHeight="1">
      <c r="E925" s="18"/>
    </row>
    <row r="926" ht="15.75" customHeight="1">
      <c r="E926" s="18"/>
    </row>
    <row r="927" ht="15.75" customHeight="1">
      <c r="E927" s="18"/>
    </row>
    <row r="928" ht="15.75" customHeight="1">
      <c r="E928" s="18"/>
    </row>
    <row r="929" ht="15.75" customHeight="1">
      <c r="E929" s="18"/>
    </row>
    <row r="930" ht="15.75" customHeight="1">
      <c r="E930" s="18"/>
    </row>
    <row r="931" ht="15.75" customHeight="1">
      <c r="E931" s="18"/>
    </row>
    <row r="932" ht="15.75" customHeight="1">
      <c r="E932" s="18"/>
    </row>
    <row r="933" ht="15.75" customHeight="1">
      <c r="E933" s="18"/>
    </row>
    <row r="934" ht="15.75" customHeight="1">
      <c r="E934" s="18"/>
    </row>
    <row r="935" ht="15.75" customHeight="1">
      <c r="E935" s="18"/>
    </row>
    <row r="936" ht="15.75" customHeight="1">
      <c r="E936" s="18"/>
    </row>
    <row r="937" ht="15.75" customHeight="1">
      <c r="E937" s="18"/>
    </row>
    <row r="938" ht="15.75" customHeight="1">
      <c r="E938" s="18"/>
    </row>
    <row r="939" ht="15.75" customHeight="1">
      <c r="E939" s="18"/>
    </row>
    <row r="940" ht="15.75" customHeight="1">
      <c r="E940" s="18"/>
    </row>
    <row r="941" ht="15.75" customHeight="1">
      <c r="E941" s="18"/>
    </row>
    <row r="942" ht="15.75" customHeight="1">
      <c r="E942" s="18"/>
    </row>
    <row r="943" ht="15.75" customHeight="1">
      <c r="E943" s="18"/>
    </row>
    <row r="944" ht="15.75" customHeight="1">
      <c r="E944" s="18"/>
    </row>
    <row r="945" ht="15.75" customHeight="1">
      <c r="E945" s="18"/>
    </row>
    <row r="946" ht="15.75" customHeight="1">
      <c r="E946" s="18"/>
    </row>
    <row r="947" ht="15.75" customHeight="1">
      <c r="E947" s="18"/>
    </row>
    <row r="948" ht="15.75" customHeight="1">
      <c r="E948" s="18"/>
    </row>
    <row r="949" ht="15.75" customHeight="1">
      <c r="E949" s="18"/>
    </row>
    <row r="950" ht="15.75" customHeight="1">
      <c r="E950" s="18"/>
    </row>
    <row r="951" ht="15.75" customHeight="1">
      <c r="E951" s="18"/>
    </row>
    <row r="952" ht="15.75" customHeight="1">
      <c r="E952" s="18"/>
    </row>
    <row r="953" ht="15.75" customHeight="1">
      <c r="E953" s="18"/>
    </row>
    <row r="954" ht="15.75" customHeight="1">
      <c r="E954" s="18"/>
    </row>
    <row r="955" ht="15.75" customHeight="1">
      <c r="E955" s="18"/>
    </row>
    <row r="956" ht="15.75" customHeight="1">
      <c r="E956" s="18"/>
    </row>
    <row r="957" ht="15.75" customHeight="1">
      <c r="E957" s="18"/>
    </row>
    <row r="958" ht="15.75" customHeight="1">
      <c r="E958" s="18"/>
    </row>
    <row r="959" ht="15.75" customHeight="1">
      <c r="E959" s="18"/>
    </row>
    <row r="960" ht="15.75" customHeight="1">
      <c r="E960" s="18"/>
    </row>
    <row r="961" ht="15.75" customHeight="1">
      <c r="E961" s="18"/>
    </row>
    <row r="962" ht="15.75" customHeight="1">
      <c r="E962" s="18"/>
    </row>
    <row r="963" ht="15.75" customHeight="1">
      <c r="E963" s="18"/>
    </row>
    <row r="964" ht="15.75" customHeight="1">
      <c r="E964" s="18"/>
    </row>
    <row r="965" ht="15.75" customHeight="1">
      <c r="E965" s="18"/>
    </row>
    <row r="966" ht="15.75" customHeight="1">
      <c r="E966" s="18"/>
    </row>
    <row r="967" ht="15.75" customHeight="1">
      <c r="E967" s="18"/>
    </row>
    <row r="968" ht="15.75" customHeight="1">
      <c r="E968" s="18"/>
    </row>
    <row r="969" ht="15.75" customHeight="1">
      <c r="E969" s="18"/>
    </row>
    <row r="970" ht="15.75" customHeight="1">
      <c r="E970" s="18"/>
    </row>
    <row r="971" ht="15.75" customHeight="1">
      <c r="E971" s="18"/>
    </row>
    <row r="972" ht="15.75" customHeight="1">
      <c r="E972" s="18"/>
    </row>
    <row r="973" ht="15.75" customHeight="1">
      <c r="E973" s="18"/>
    </row>
    <row r="974" ht="15.75" customHeight="1">
      <c r="E974" s="18"/>
    </row>
    <row r="975" ht="15.75" customHeight="1">
      <c r="E975" s="18"/>
    </row>
    <row r="976" ht="15.75" customHeight="1">
      <c r="E976" s="18"/>
    </row>
    <row r="977" ht="15.75" customHeight="1">
      <c r="E977" s="18"/>
    </row>
    <row r="978" ht="15.75" customHeight="1">
      <c r="E978" s="18"/>
    </row>
    <row r="979" ht="15.75" customHeight="1">
      <c r="E979" s="18"/>
    </row>
    <row r="980" ht="15.75" customHeight="1">
      <c r="E980" s="18"/>
    </row>
    <row r="981" ht="15.75" customHeight="1">
      <c r="E981" s="18"/>
    </row>
    <row r="982" ht="15.75" customHeight="1">
      <c r="E982" s="18"/>
    </row>
    <row r="983" ht="15.75" customHeight="1">
      <c r="E983" s="18"/>
    </row>
    <row r="984" ht="15.75" customHeight="1">
      <c r="E984" s="18"/>
    </row>
    <row r="985" ht="15.75" customHeight="1">
      <c r="E985" s="18"/>
    </row>
    <row r="986" ht="15.75" customHeight="1">
      <c r="E986" s="18"/>
    </row>
    <row r="987" ht="15.75" customHeight="1">
      <c r="E987" s="18"/>
    </row>
    <row r="988" ht="15.75" customHeight="1">
      <c r="E988" s="18"/>
    </row>
    <row r="989" ht="15.75" customHeight="1">
      <c r="E989" s="18"/>
    </row>
    <row r="990" ht="15.75" customHeight="1">
      <c r="E990" s="18"/>
    </row>
    <row r="991" ht="15.75" customHeight="1">
      <c r="E991" s="18"/>
    </row>
    <row r="992" ht="15.75" customHeight="1">
      <c r="E992" s="18"/>
    </row>
    <row r="993" ht="15.75" customHeight="1">
      <c r="E993" s="18"/>
    </row>
    <row r="994" ht="15.75" customHeight="1">
      <c r="E994" s="18"/>
    </row>
    <row r="995" ht="15.75" customHeight="1">
      <c r="E995" s="18"/>
    </row>
    <row r="996" ht="15.75" customHeight="1">
      <c r="E996" s="18"/>
    </row>
    <row r="997" ht="15.75" customHeight="1">
      <c r="E997" s="18"/>
    </row>
    <row r="998" ht="15.75" customHeight="1">
      <c r="E998" s="18"/>
    </row>
    <row r="999" ht="15.75" customHeight="1">
      <c r="E999" s="18"/>
    </row>
    <row r="1000" ht="15.75" customHeight="1">
      <c r="E1000" s="18"/>
    </row>
    <row r="1001" ht="15.75" customHeight="1">
      <c r="E1001" s="18"/>
    </row>
    <row r="1002" ht="15.75" customHeight="1">
      <c r="E1002" s="18"/>
    </row>
  </sheetData>
  <mergeCells count="17">
    <mergeCell ref="E2:F2"/>
    <mergeCell ref="E3:F3"/>
    <mergeCell ref="I4:O4"/>
    <mergeCell ref="P4:V4"/>
    <mergeCell ref="W4:AC4"/>
    <mergeCell ref="AD4:AJ4"/>
    <mergeCell ref="AK4:AQ4"/>
    <mergeCell ref="CO4:CU4"/>
    <mergeCell ref="CV4:DB4"/>
    <mergeCell ref="DC4:DI4"/>
    <mergeCell ref="AR4:AX4"/>
    <mergeCell ref="AY4:BE4"/>
    <mergeCell ref="BF4:BL4"/>
    <mergeCell ref="BM4:BS4"/>
    <mergeCell ref="BT4:BZ4"/>
    <mergeCell ref="CA4:CG4"/>
    <mergeCell ref="CH4:CN4"/>
  </mergeCells>
  <dataValidations>
    <dataValidation type="decimal" operator="greaterThanOrEqual" allowBlank="1" showInputMessage="1" prompt="Display Week - Changing this number will scroll the Gantt Chart view." sqref="E4">
      <formula1>1.0</formula1>
    </dataValidation>
  </dataValidations>
  <printOptions/>
  <pageMargins bottom="0.5" footer="0.0" header="0.0" left="0.35" right="0.35" top="0.3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87.14"/>
    <col customWidth="1" min="3" max="26" width="9.14"/>
  </cols>
  <sheetData>
    <row r="1" ht="46.5" customHeight="1">
      <c r="A1" s="3"/>
      <c r="B1" s="97"/>
      <c r="C1" s="3"/>
      <c r="D1" s="3"/>
      <c r="E1" s="3"/>
      <c r="F1" s="3"/>
      <c r="G1" s="3"/>
      <c r="H1" s="3"/>
      <c r="I1" s="3"/>
      <c r="J1" s="3"/>
      <c r="K1" s="3"/>
      <c r="L1" s="3"/>
      <c r="M1" s="3"/>
      <c r="N1" s="3"/>
      <c r="O1" s="3"/>
      <c r="P1" s="3"/>
      <c r="Q1" s="3"/>
      <c r="R1" s="3"/>
      <c r="S1" s="3"/>
      <c r="T1" s="3"/>
      <c r="U1" s="3"/>
      <c r="V1" s="3"/>
      <c r="W1" s="3"/>
      <c r="X1" s="3"/>
      <c r="Y1" s="3"/>
      <c r="Z1" s="3"/>
    </row>
    <row r="2" ht="12.75" customHeight="1">
      <c r="A2" s="98"/>
      <c r="B2" s="99" t="s">
        <v>75</v>
      </c>
      <c r="C2" s="100"/>
      <c r="D2" s="98"/>
      <c r="E2" s="98"/>
      <c r="F2" s="98"/>
      <c r="G2" s="98"/>
      <c r="H2" s="98"/>
      <c r="I2" s="98"/>
      <c r="J2" s="98"/>
      <c r="K2" s="98"/>
      <c r="L2" s="98"/>
      <c r="M2" s="98"/>
      <c r="N2" s="98"/>
      <c r="O2" s="98"/>
      <c r="P2" s="98"/>
      <c r="Q2" s="98"/>
      <c r="R2" s="98"/>
      <c r="S2" s="98"/>
      <c r="T2" s="98"/>
      <c r="U2" s="98"/>
      <c r="V2" s="98"/>
      <c r="W2" s="98"/>
      <c r="X2" s="98"/>
      <c r="Y2" s="98"/>
      <c r="Z2" s="98"/>
    </row>
    <row r="3" ht="13.5" customHeight="1">
      <c r="A3" s="101"/>
      <c r="B3" s="102" t="s">
        <v>76</v>
      </c>
      <c r="C3" s="103"/>
      <c r="D3" s="101"/>
      <c r="E3" s="101"/>
      <c r="F3" s="101"/>
      <c r="G3" s="101"/>
      <c r="H3" s="101"/>
      <c r="I3" s="101"/>
      <c r="J3" s="101"/>
      <c r="K3" s="101"/>
      <c r="L3" s="101"/>
      <c r="M3" s="101"/>
      <c r="N3" s="101"/>
      <c r="O3" s="101"/>
      <c r="P3" s="101"/>
      <c r="Q3" s="101"/>
      <c r="R3" s="101"/>
      <c r="S3" s="101"/>
      <c r="T3" s="101"/>
      <c r="U3" s="101"/>
      <c r="V3" s="101"/>
      <c r="W3" s="101"/>
      <c r="X3" s="101"/>
      <c r="Y3" s="101"/>
      <c r="Z3" s="101"/>
    </row>
    <row r="4" ht="12.75" customHeight="1">
      <c r="A4" s="3"/>
      <c r="B4" s="104" t="s">
        <v>77</v>
      </c>
      <c r="C4" s="3"/>
      <c r="D4" s="3"/>
      <c r="E4" s="3"/>
      <c r="F4" s="3"/>
      <c r="G4" s="3"/>
      <c r="H4" s="3"/>
      <c r="I4" s="3"/>
      <c r="J4" s="3"/>
      <c r="K4" s="3"/>
      <c r="L4" s="3"/>
      <c r="M4" s="3"/>
      <c r="N4" s="3"/>
      <c r="O4" s="3"/>
      <c r="P4" s="3"/>
      <c r="Q4" s="3"/>
      <c r="R4" s="3"/>
      <c r="S4" s="3"/>
      <c r="T4" s="3"/>
      <c r="U4" s="3"/>
      <c r="V4" s="3"/>
      <c r="W4" s="3"/>
      <c r="X4" s="3"/>
      <c r="Y4" s="3"/>
      <c r="Z4" s="3"/>
    </row>
    <row r="5" ht="12.75" customHeight="1">
      <c r="A5" s="3"/>
      <c r="B5" s="97"/>
      <c r="C5" s="3"/>
      <c r="D5" s="3"/>
      <c r="E5" s="3"/>
      <c r="F5" s="3"/>
      <c r="G5" s="3"/>
      <c r="H5" s="3"/>
      <c r="I5" s="3"/>
      <c r="J5" s="3"/>
      <c r="K5" s="3"/>
      <c r="L5" s="3"/>
      <c r="M5" s="3"/>
      <c r="N5" s="3"/>
      <c r="O5" s="3"/>
      <c r="P5" s="3"/>
      <c r="Q5" s="3"/>
      <c r="R5" s="3"/>
      <c r="S5" s="3"/>
      <c r="T5" s="3"/>
      <c r="U5" s="3"/>
      <c r="V5" s="3"/>
      <c r="W5" s="3"/>
      <c r="X5" s="3"/>
      <c r="Y5" s="3"/>
      <c r="Z5" s="3"/>
    </row>
    <row r="6" ht="12.75" customHeight="1">
      <c r="A6" s="105"/>
      <c r="B6" s="106" t="s">
        <v>78</v>
      </c>
      <c r="C6" s="105"/>
      <c r="D6" s="105"/>
      <c r="E6" s="105"/>
      <c r="F6" s="105"/>
      <c r="G6" s="105"/>
      <c r="H6" s="105"/>
      <c r="I6" s="105"/>
      <c r="J6" s="105"/>
      <c r="K6" s="105"/>
      <c r="L6" s="105"/>
      <c r="M6" s="105"/>
      <c r="N6" s="105"/>
      <c r="O6" s="105"/>
      <c r="P6" s="105"/>
      <c r="Q6" s="105"/>
      <c r="R6" s="105"/>
      <c r="S6" s="105"/>
      <c r="T6" s="105"/>
      <c r="U6" s="105"/>
      <c r="V6" s="105"/>
      <c r="W6" s="105"/>
      <c r="X6" s="105"/>
      <c r="Y6" s="105"/>
      <c r="Z6" s="105"/>
    </row>
    <row r="7" ht="12.75" customHeight="1">
      <c r="A7" s="3"/>
      <c r="B7" s="107" t="s">
        <v>79</v>
      </c>
      <c r="C7" s="3"/>
      <c r="D7" s="3"/>
      <c r="E7" s="3"/>
      <c r="F7" s="3"/>
      <c r="G7" s="3"/>
      <c r="H7" s="3"/>
      <c r="I7" s="3"/>
      <c r="J7" s="3"/>
      <c r="K7" s="3"/>
      <c r="L7" s="3"/>
      <c r="M7" s="3"/>
      <c r="N7" s="3"/>
      <c r="O7" s="3"/>
      <c r="P7" s="3"/>
      <c r="Q7" s="3"/>
      <c r="R7" s="3"/>
      <c r="S7" s="3"/>
      <c r="T7" s="3"/>
      <c r="U7" s="3"/>
      <c r="V7" s="3"/>
      <c r="W7" s="3"/>
      <c r="X7" s="3"/>
      <c r="Y7" s="3"/>
      <c r="Z7" s="3"/>
    </row>
    <row r="8" ht="12.75" customHeight="1">
      <c r="A8" s="3"/>
      <c r="B8" s="108"/>
      <c r="C8" s="3"/>
      <c r="D8" s="3"/>
      <c r="E8" s="3"/>
      <c r="F8" s="3"/>
      <c r="G8" s="3"/>
      <c r="H8" s="3"/>
      <c r="I8" s="3"/>
      <c r="J8" s="3"/>
      <c r="K8" s="3"/>
      <c r="L8" s="3"/>
      <c r="M8" s="3"/>
      <c r="N8" s="3"/>
      <c r="O8" s="3"/>
      <c r="P8" s="3"/>
      <c r="Q8" s="3"/>
      <c r="R8" s="3"/>
      <c r="S8" s="3"/>
      <c r="T8" s="3"/>
      <c r="U8" s="3"/>
      <c r="V8" s="3"/>
      <c r="W8" s="3"/>
      <c r="X8" s="3"/>
      <c r="Y8" s="3"/>
      <c r="Z8" s="3"/>
    </row>
    <row r="9" ht="12.75" customHeight="1">
      <c r="A9" s="105"/>
      <c r="B9" s="106" t="s">
        <v>80</v>
      </c>
      <c r="C9" s="105"/>
      <c r="D9" s="105"/>
      <c r="E9" s="105"/>
      <c r="F9" s="105"/>
      <c r="G9" s="105"/>
      <c r="H9" s="105"/>
      <c r="I9" s="105"/>
      <c r="J9" s="105"/>
      <c r="K9" s="105"/>
      <c r="L9" s="105"/>
      <c r="M9" s="105"/>
      <c r="N9" s="105"/>
      <c r="O9" s="105"/>
      <c r="P9" s="105"/>
      <c r="Q9" s="105"/>
      <c r="R9" s="105"/>
      <c r="S9" s="105"/>
      <c r="T9" s="105"/>
      <c r="U9" s="105"/>
      <c r="V9" s="105"/>
      <c r="W9" s="105"/>
      <c r="X9" s="105"/>
      <c r="Y9" s="105"/>
      <c r="Z9" s="105"/>
    </row>
    <row r="10" ht="12.75" customHeight="1">
      <c r="A10" s="3"/>
      <c r="B10" s="107" t="s">
        <v>81</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3"/>
      <c r="B11" s="109" t="s">
        <v>82</v>
      </c>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3"/>
      <c r="B12" s="108"/>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3"/>
      <c r="B13" s="109" t="str">
        <f>HYPERLINK("https://vertex42.link/HowToMakeAGanttChart","► Watch How This Gantt Chart Was Created")</f>
        <v>► Watch How This Gantt Chart Was Created</v>
      </c>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3"/>
      <c r="B14" s="108"/>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105"/>
      <c r="B15" s="106" t="s">
        <v>83</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2.75" customHeight="1">
      <c r="A16" s="3"/>
      <c r="B16" s="107" t="s">
        <v>84</v>
      </c>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3"/>
      <c r="B17" s="109" t="s">
        <v>85</v>
      </c>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3"/>
      <c r="B18" s="108"/>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105"/>
      <c r="B19" s="106" t="s">
        <v>86</v>
      </c>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75" customHeight="1">
      <c r="A20" s="3"/>
      <c r="B20" s="107" t="s">
        <v>87</v>
      </c>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108"/>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107" t="s">
        <v>88</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97"/>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97"/>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97"/>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97"/>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97"/>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97"/>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97"/>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97"/>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97"/>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97"/>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97"/>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97"/>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97"/>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97"/>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97"/>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97"/>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97"/>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97"/>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97"/>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97"/>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97"/>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97"/>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97"/>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97"/>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97"/>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97"/>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97"/>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97"/>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97"/>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97"/>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97"/>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97"/>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97"/>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97"/>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97"/>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97"/>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97"/>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97"/>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97"/>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97"/>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97"/>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97"/>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97"/>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97"/>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97"/>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97"/>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97"/>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97"/>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97"/>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97"/>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97"/>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97"/>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97"/>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97"/>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97"/>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97"/>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97"/>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97"/>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97"/>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97"/>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97"/>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97"/>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97"/>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97"/>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97"/>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97"/>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97"/>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97"/>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97"/>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97"/>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97"/>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97"/>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97"/>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97"/>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97"/>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97"/>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97"/>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97"/>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97"/>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97"/>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97"/>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97"/>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97"/>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97"/>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97"/>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97"/>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97"/>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97"/>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97"/>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97"/>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97"/>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97"/>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97"/>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97"/>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97"/>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97"/>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97"/>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97"/>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97"/>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97"/>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97"/>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97"/>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97"/>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97"/>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97"/>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97"/>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97"/>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97"/>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97"/>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97"/>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97"/>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97"/>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97"/>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97"/>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97"/>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97"/>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97"/>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97"/>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97"/>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97"/>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97"/>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97"/>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97"/>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97"/>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97"/>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97"/>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97"/>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97"/>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97"/>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97"/>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97"/>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97"/>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97"/>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97"/>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97"/>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97"/>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97"/>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97"/>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97"/>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97"/>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97"/>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97"/>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97"/>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97"/>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97"/>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97"/>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97"/>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97"/>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97"/>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97"/>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97"/>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97"/>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97"/>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97"/>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97"/>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97"/>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97"/>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97"/>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97"/>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97"/>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97"/>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97"/>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97"/>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97"/>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97"/>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97"/>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97"/>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97"/>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97"/>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97"/>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97"/>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97"/>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97"/>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97"/>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97"/>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97"/>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97"/>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97"/>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97"/>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97"/>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97"/>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97"/>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97"/>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97"/>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97"/>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97"/>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97"/>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97"/>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97"/>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97"/>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97"/>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97"/>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97"/>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97"/>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97"/>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97"/>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97"/>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97"/>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97"/>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97"/>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97"/>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97"/>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97"/>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97"/>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97"/>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97"/>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97"/>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97"/>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97"/>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97"/>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97"/>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97"/>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97"/>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97"/>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97"/>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97"/>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97"/>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97"/>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97"/>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97"/>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97"/>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97"/>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97"/>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97"/>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97"/>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97"/>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97"/>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97"/>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97"/>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97"/>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97"/>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97"/>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97"/>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97"/>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97"/>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97"/>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97"/>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97"/>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97"/>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97"/>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97"/>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97"/>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97"/>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97"/>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97"/>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97"/>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97"/>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97"/>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97"/>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97"/>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97"/>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97"/>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97"/>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97"/>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97"/>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97"/>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97"/>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97"/>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97"/>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97"/>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97"/>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97"/>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97"/>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97"/>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97"/>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97"/>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97"/>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97"/>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97"/>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97"/>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97"/>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97"/>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97"/>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97"/>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97"/>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97"/>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97"/>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97"/>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97"/>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97"/>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97"/>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97"/>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97"/>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97"/>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97"/>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97"/>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97"/>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97"/>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97"/>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97"/>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97"/>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97"/>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97"/>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97"/>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97"/>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97"/>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97"/>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97"/>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97"/>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97"/>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97"/>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97"/>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97"/>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97"/>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97"/>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97"/>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97"/>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97"/>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97"/>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97"/>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97"/>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97"/>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97"/>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97"/>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97"/>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97"/>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97"/>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97"/>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97"/>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97"/>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97"/>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97"/>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97"/>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97"/>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97"/>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97"/>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97"/>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97"/>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97"/>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97"/>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97"/>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97"/>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97"/>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97"/>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97"/>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97"/>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97"/>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97"/>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97"/>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97"/>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97"/>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97"/>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97"/>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97"/>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97"/>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97"/>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97"/>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97"/>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97"/>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97"/>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97"/>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97"/>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97"/>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97"/>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97"/>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97"/>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97"/>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97"/>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97"/>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97"/>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97"/>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97"/>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97"/>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97"/>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97"/>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97"/>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97"/>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97"/>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97"/>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97"/>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97"/>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97"/>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97"/>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97"/>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97"/>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97"/>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97"/>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97"/>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97"/>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97"/>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97"/>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97"/>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97"/>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97"/>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97"/>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97"/>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97"/>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97"/>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97"/>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97"/>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97"/>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97"/>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97"/>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97"/>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97"/>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97"/>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97"/>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97"/>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97"/>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97"/>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97"/>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97"/>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97"/>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97"/>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97"/>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97"/>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97"/>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97"/>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97"/>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97"/>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97"/>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97"/>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97"/>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97"/>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97"/>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97"/>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97"/>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97"/>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97"/>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97"/>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97"/>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97"/>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97"/>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97"/>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97"/>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97"/>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97"/>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97"/>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97"/>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97"/>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97"/>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97"/>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97"/>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97"/>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97"/>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97"/>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97"/>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97"/>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97"/>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97"/>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97"/>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97"/>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97"/>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97"/>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97"/>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97"/>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97"/>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97"/>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97"/>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97"/>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97"/>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97"/>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97"/>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97"/>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97"/>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97"/>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97"/>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97"/>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97"/>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97"/>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97"/>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97"/>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97"/>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97"/>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97"/>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97"/>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97"/>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97"/>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97"/>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97"/>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97"/>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97"/>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97"/>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97"/>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97"/>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97"/>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97"/>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97"/>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97"/>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97"/>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97"/>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97"/>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97"/>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97"/>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97"/>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97"/>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97"/>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97"/>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97"/>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97"/>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97"/>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97"/>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97"/>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97"/>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97"/>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97"/>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97"/>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97"/>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97"/>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97"/>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97"/>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97"/>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97"/>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97"/>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97"/>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97"/>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97"/>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97"/>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97"/>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97"/>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97"/>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97"/>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97"/>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97"/>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97"/>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97"/>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97"/>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97"/>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97"/>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97"/>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97"/>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97"/>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97"/>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97"/>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97"/>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97"/>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97"/>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97"/>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97"/>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97"/>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97"/>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97"/>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97"/>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97"/>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97"/>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97"/>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97"/>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97"/>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97"/>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97"/>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97"/>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97"/>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97"/>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97"/>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97"/>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97"/>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97"/>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97"/>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97"/>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97"/>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97"/>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97"/>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97"/>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97"/>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97"/>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97"/>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97"/>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97"/>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97"/>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97"/>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97"/>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97"/>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97"/>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97"/>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97"/>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97"/>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97"/>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97"/>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97"/>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97"/>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97"/>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97"/>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97"/>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97"/>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97"/>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97"/>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97"/>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97"/>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97"/>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97"/>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97"/>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97"/>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97"/>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97"/>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97"/>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97"/>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97"/>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97"/>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97"/>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97"/>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97"/>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97"/>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97"/>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97"/>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97"/>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97"/>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97"/>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97"/>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97"/>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97"/>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97"/>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97"/>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97"/>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97"/>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97"/>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97"/>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97"/>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97"/>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97"/>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97"/>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97"/>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97"/>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97"/>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97"/>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97"/>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97"/>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97"/>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97"/>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97"/>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97"/>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97"/>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97"/>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97"/>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97"/>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97"/>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97"/>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97"/>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97"/>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97"/>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97"/>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97"/>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97"/>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97"/>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97"/>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97"/>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97"/>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97"/>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97"/>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97"/>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97"/>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97"/>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97"/>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97"/>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97"/>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97"/>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97"/>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97"/>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97"/>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97"/>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97"/>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97"/>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97"/>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97"/>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97"/>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97"/>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97"/>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97"/>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97"/>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97"/>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97"/>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97"/>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97"/>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97"/>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97"/>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97"/>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97"/>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97"/>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97"/>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97"/>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97"/>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97"/>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97"/>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97"/>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97"/>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97"/>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97"/>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97"/>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97"/>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97"/>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97"/>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97"/>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97"/>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97"/>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97"/>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97"/>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97"/>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97"/>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97"/>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97"/>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97"/>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97"/>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97"/>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97"/>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97"/>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97"/>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97"/>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97"/>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97"/>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97"/>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97"/>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97"/>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97"/>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97"/>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97"/>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97"/>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97"/>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97"/>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97"/>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97"/>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97"/>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97"/>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97"/>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97"/>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97"/>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97"/>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97"/>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97"/>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97"/>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97"/>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97"/>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97"/>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97"/>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97"/>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97"/>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97"/>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97"/>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97"/>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97"/>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97"/>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97"/>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97"/>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97"/>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97"/>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97"/>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97"/>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97"/>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97"/>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97"/>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97"/>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97"/>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97"/>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97"/>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97"/>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97"/>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97"/>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97"/>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97"/>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97"/>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97"/>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97"/>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97"/>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97"/>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97"/>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97"/>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97"/>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97"/>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97"/>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97"/>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97"/>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97"/>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97"/>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97"/>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97"/>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97"/>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97"/>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97"/>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97"/>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97"/>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97"/>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97"/>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97"/>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97"/>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97"/>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97"/>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97"/>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97"/>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97"/>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97"/>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97"/>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97"/>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97"/>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97"/>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97"/>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97"/>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97"/>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97"/>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97"/>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97"/>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97"/>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97"/>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97"/>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97"/>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97"/>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97"/>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97"/>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97"/>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97"/>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97"/>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97"/>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97"/>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97"/>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97"/>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97"/>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97"/>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97"/>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97"/>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97"/>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97"/>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97"/>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97"/>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97"/>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97"/>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97"/>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97"/>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97"/>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97"/>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97"/>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97"/>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97"/>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97"/>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97"/>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97"/>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97"/>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97"/>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97"/>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97"/>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97"/>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97"/>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97"/>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97"/>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97"/>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97"/>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97"/>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97"/>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97"/>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97"/>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97"/>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97"/>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97"/>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97"/>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97"/>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97"/>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97"/>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97"/>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97"/>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97"/>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97"/>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97"/>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97"/>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97"/>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97"/>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97"/>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97"/>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97"/>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97"/>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97"/>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97"/>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97"/>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97"/>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97"/>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97"/>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97"/>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97"/>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97"/>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97"/>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97"/>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97"/>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97"/>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97"/>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97"/>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97"/>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97"/>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97"/>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97"/>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97"/>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97"/>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97"/>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97"/>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97"/>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97"/>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97"/>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97"/>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97"/>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97"/>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97"/>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97"/>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97"/>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97"/>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97"/>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97"/>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97"/>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97"/>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97"/>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97"/>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97"/>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97"/>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97"/>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97"/>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97"/>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97"/>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97"/>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97"/>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97"/>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97"/>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97"/>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97"/>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97"/>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97"/>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97"/>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97"/>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97"/>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97"/>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97"/>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97"/>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97"/>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97"/>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97"/>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97"/>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97"/>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97"/>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97"/>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97"/>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97"/>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97"/>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97"/>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97"/>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97"/>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97"/>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97"/>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97"/>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97"/>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97"/>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97"/>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97"/>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97"/>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97"/>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97"/>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97"/>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97"/>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97"/>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97"/>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97"/>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97"/>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97"/>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97"/>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97"/>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97"/>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97"/>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97"/>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97"/>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97"/>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97"/>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97"/>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97"/>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97"/>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97"/>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97"/>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97"/>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97"/>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97"/>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97"/>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97"/>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97"/>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97"/>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97"/>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97"/>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97"/>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97"/>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97"/>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97"/>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97"/>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97"/>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97"/>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97"/>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97"/>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97"/>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97"/>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97"/>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2"/>
    <hyperlink r:id="rId2" ref="B3"/>
    <hyperlink r:id="rId3" ref="B11"/>
    <hyperlink r:id="rId4" ref="B17"/>
  </hyperlinks>
  <printOptions/>
  <pageMargins bottom="0.5" footer="0.0" header="0.0" left="0.5" right="0.5" top="0.5"/>
  <pageSetup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