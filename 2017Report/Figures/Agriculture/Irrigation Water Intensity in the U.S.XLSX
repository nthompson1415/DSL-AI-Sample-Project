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pascualj17\Downloads\"/>
    </mc:Choice>
  </mc:AlternateContent>
  <xr:revisionPtr revIDLastSave="0" documentId="10_ncr:100000_{182B040F-E6A7-4952-B8B1-8CD8A0B60D09}" xr6:coauthVersionLast="31" xr6:coauthVersionMax="31" xr10:uidLastSave="{00000000-0000-0000-0000-000000000000}"/>
  <bookViews>
    <workbookView xWindow="0" yWindow="0" windowWidth="28800" windowHeight="12225" xr2:uid="{00000000-000D-0000-FFFF-FFFF00000000}"/>
  </bookViews>
  <sheets>
    <sheet name="Source" sheetId="2" r:id="rId1"/>
    <sheet name="Wheat, Corn, Soy, Cotton" sheetId="3" r:id="rId2"/>
    <sheet name="Test" sheetId="4" r:id="rId3"/>
  </sheets>
  <definedNames>
    <definedName name="_xlnm._FilterDatabase" localSheetId="1" hidden="1">'Wheat, Corn, Soy, Cotton'!$G$28:$U$28</definedName>
  </definedNames>
  <calcPr calcId="17901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<sst xmlns="http://schemas.openxmlformats.org/spreadsheetml/2006/main" count="629" uniqueCount="153">
  <si>
    <r>
      <t>Appendix II. Water footprint per ton of crop or derived crop product at national and sub-national level (m</t>
    </r>
    <r>
      <rPr>
        <vertAlign val="superscript"/>
        <sz val="14"/>
        <color theme="1"/>
        <rFont val="Arial"/>
        <family val="2"/>
      </rPr>
      <t>3</t>
    </r>
    <r>
      <rPr>
        <sz val="14"/>
        <color theme="1"/>
        <rFont val="Arial"/>
        <family val="2"/>
      </rPr>
      <t>/ton) (1996-2005)</t>
    </r>
  </si>
  <si>
    <t>ZW</t>
  </si>
  <si>
    <t>US</t>
  </si>
  <si>
    <t>ZW999</t>
  </si>
  <si>
    <t>US01</t>
  </si>
  <si>
    <t>US04</t>
  </si>
  <si>
    <t>US05</t>
  </si>
  <si>
    <t>US06</t>
  </si>
  <si>
    <t>US08</t>
  </si>
  <si>
    <t>US09</t>
  </si>
  <si>
    <t>US10</t>
  </si>
  <si>
    <t>US12</t>
  </si>
  <si>
    <t>US13</t>
  </si>
  <si>
    <t>US15</t>
  </si>
  <si>
    <t>US16</t>
  </si>
  <si>
    <t>US17</t>
  </si>
  <si>
    <t>US18</t>
  </si>
  <si>
    <t>US19</t>
  </si>
  <si>
    <t>US20</t>
  </si>
  <si>
    <t>US21</t>
  </si>
  <si>
    <t>US22</t>
  </si>
  <si>
    <t>US23</t>
  </si>
  <si>
    <t>US24</t>
  </si>
  <si>
    <t>US25</t>
  </si>
  <si>
    <t>US26</t>
  </si>
  <si>
    <t>US27</t>
  </si>
  <si>
    <t>US28</t>
  </si>
  <si>
    <t>US29</t>
  </si>
  <si>
    <t>US30</t>
  </si>
  <si>
    <t>US31</t>
  </si>
  <si>
    <t>US32</t>
  </si>
  <si>
    <t>US33</t>
  </si>
  <si>
    <t>US34</t>
  </si>
  <si>
    <t>US35</t>
  </si>
  <si>
    <t>US36</t>
  </si>
  <si>
    <t>US37</t>
  </si>
  <si>
    <t>US38</t>
  </si>
  <si>
    <t>US39</t>
  </si>
  <si>
    <t>US40</t>
  </si>
  <si>
    <t>US41</t>
  </si>
  <si>
    <t>US42</t>
  </si>
  <si>
    <t>US44</t>
  </si>
  <si>
    <t>US45</t>
  </si>
  <si>
    <t>US46</t>
  </si>
  <si>
    <t>US47</t>
  </si>
  <si>
    <t>US48</t>
  </si>
  <si>
    <t>US49</t>
  </si>
  <si>
    <t>US50</t>
  </si>
  <si>
    <t>US51</t>
  </si>
  <si>
    <t>US53</t>
  </si>
  <si>
    <t>US54</t>
  </si>
  <si>
    <t>US55</t>
  </si>
  <si>
    <t>US56</t>
  </si>
  <si>
    <t>US90</t>
  </si>
  <si>
    <t>US92</t>
  </si>
  <si>
    <t>US999</t>
  </si>
  <si>
    <t>Country &gt;&gt;&gt;</t>
  </si>
  <si>
    <t>Global average</t>
  </si>
  <si>
    <t>Georgia</t>
  </si>
  <si>
    <t>United States of America</t>
  </si>
  <si>
    <t>Product code (FAOSTAT)</t>
  </si>
  <si>
    <t>Product code (HS)</t>
  </si>
  <si>
    <t>Product code      (SITC)</t>
  </si>
  <si>
    <t>Product description (HS)</t>
  </si>
  <si>
    <t>Product description (FAOSTAT)</t>
  </si>
  <si>
    <t>Root product (HS)</t>
  </si>
  <si>
    <t>Product fraction (pf)</t>
  </si>
  <si>
    <t>Value fraction (vf)</t>
  </si>
  <si>
    <t>Province/ state &gt;&gt;&gt;</t>
  </si>
  <si>
    <t>CNTRY-average</t>
  </si>
  <si>
    <t>Montana</t>
  </si>
  <si>
    <t>Maryland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</si>
  <si>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</si>
  <si>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</si>
  <si>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</si>
  <si>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</si>
  <si>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</si>
  <si>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</si>
  <si>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</si>
  <si>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</si>
  <si>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</si>
  <si>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</si>
  <si>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</si>
  <si>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</si>
  <si>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</si>
  <si>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</si>
  <si>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</si>
  <si>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</si>
  <si>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</si>
  <si>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</si>
  <si>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</si>
  <si>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</si>
  <si>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</si>
  <si>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</si>
  <si>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</si>
  <si>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</si>
  <si>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</si>
  <si>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</si>
  <si>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</si>
  <si>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</si>
  <si>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</si>
  <si>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</si>
  <si>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</si>
  <si>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</si>
  <si>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</si>
  <si>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Pennyslvania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</si>
  <si>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</si>
  <si>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</si>
  <si>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</si>
  <si>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</si>
  <si>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</si>
  <si>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</si>
  <si>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</si>
  <si>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</si>
  <si>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</si>
  <si>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</si>
  <si>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</si>
  <si>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</si>
  <si>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Great Lakes</t>
  </si>
  <si>
    <t>Lake Erie (US)</t>
  </si>
  <si>
    <t>WF type</t>
  </si>
  <si>
    <t>100110 / 100190</t>
  </si>
  <si>
    <t>0411</t>
  </si>
  <si>
    <t>Wheat (Durum wheat, Wheat nes and meslin)</t>
  </si>
  <si>
    <t>Wheat</t>
  </si>
  <si>
    <t>Green</t>
  </si>
  <si>
    <t/>
  </si>
  <si>
    <t>Blue</t>
  </si>
  <si>
    <t>Grey</t>
  </si>
  <si>
    <t>1005</t>
  </si>
  <si>
    <t>044</t>
  </si>
  <si>
    <t>Maize (corn)</t>
  </si>
  <si>
    <t>Maize</t>
  </si>
  <si>
    <t>120100</t>
  </si>
  <si>
    <t>2222</t>
  </si>
  <si>
    <t>Soya beans</t>
  </si>
  <si>
    <t>Soybeans</t>
  </si>
  <si>
    <t>120720a</t>
  </si>
  <si>
    <t>2223</t>
  </si>
  <si>
    <t>120720b</t>
  </si>
  <si>
    <t>Cotton lint</t>
  </si>
  <si>
    <t>* if a derived crop product shown in the list doesn't have its own specific HS-code, we show the HS-category in which the crop product falls, adding a suffic a, b, etc. to the HS-code</t>
  </si>
  <si>
    <t>** The HS-coding system contain more categories than the SITC-coding system, sothat sometimes more HS-cods correspond to one SITC-code. In this case, we divide the SITC-code into sub codes by adding a suffix a, b, c,  etc.</t>
  </si>
  <si>
    <t>Please cite this publication as follows:</t>
  </si>
  <si>
    <t xml:space="preserve">Mekonnen, M.M. and Hoekstra, A.Y. (2010) The green, blue and grey water footprint of crops and derived crop products, </t>
  </si>
  <si>
    <t>Value of Water Research Report Series No. 47, UNESCO-IHE, Delft, the Netherlands.</t>
  </si>
  <si>
    <t>http://www.waterfootprint.org/Reports/Report47-WaterFootprintCrops-Vol1.pdf</t>
  </si>
  <si>
    <t>Corn (m3/ton)</t>
  </si>
  <si>
    <t>Wheat (m3/ton)</t>
  </si>
  <si>
    <t>Soy (m3/ton)</t>
  </si>
  <si>
    <t>Cotton (m3/ton)</t>
  </si>
  <si>
    <t>U.S. Average</t>
  </si>
  <si>
    <t>Global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</si>
</sst>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vertAlign val="superscript"/>
      <sz val="14"/>
      <color theme="1"/>
      <name val="Arial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</borders>
  <cellStyleXfs count="18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2" xfId="0" applyFont="1" applyFill="1" applyBorder="1" applyAlignment="1">
      <alignment textRotation="90" wrapText="1"/>
    </xf>
    <xf numFmtId="0" fontId="3" fillId="0" borderId="3" xfId="0" applyFont="1" applyFill="1" applyBorder="1" applyAlignment="1">
      <alignment textRotation="90" wrapText="1"/>
    </xf>
    <xf numFmtId="0" fontId="3" fillId="0" borderId="5" xfId="0" applyFont="1" applyFill="1" applyBorder="1" applyAlignment="1">
      <alignment textRotation="90" wrapText="1"/>
    </xf>
    <xf numFmtId="0" fontId="3" fillId="0" borderId="6" xfId="0" applyFont="1" applyFill="1" applyBorder="1" applyAlignment="1">
      <alignment textRotation="90" wrapText="1"/>
    </xf>
    <xf numFmtId="1" fontId="3" fillId="0" borderId="5" xfId="0" applyNumberFormat="1" applyFont="1" applyBorder="1"/>
    <xf numFmtId="1" fontId="3" fillId="0" borderId="6" xfId="0" applyNumberFormat="1" applyFont="1" applyBorder="1"/>
    <xf numFmtId="0" fontId="6" fillId="0" borderId="0" xfId="0" applyFont="1"/>
    <xf numFmtId="1" fontId="3" fillId="2" borderId="5" xfId="0" applyNumberFormat="1" applyFont="1" applyFill="1" applyBorder="1"/>
    <xf numFmtId="0" fontId="0" fillId="0" borderId="0" xfId="0" applyAlignment="1"/>
    <xf numFmtId="0" fontId="3" fillId="0" borderId="5" xfId="0" applyFont="1" applyFill="1" applyBorder="1" applyAlignment="1"/>
    <xf numFmtId="0" fontId="3" fillId="0" borderId="6" xfId="0" applyFont="1" applyFill="1" applyBorder="1" applyAlignment="1"/>
    <xf numFmtId="0" fontId="3" fillId="2" borderId="5" xfId="0" applyFont="1" applyFill="1" applyBorder="1" applyAlignment="1"/>
    <xf numFmtId="3" fontId="3" fillId="0" borderId="5" xfId="0" applyNumberFormat="1" applyFont="1" applyBorder="1"/>
    <xf numFmtId="1" fontId="3" fillId="0" borderId="5" xfId="0" applyNumberFormat="1" applyFont="1" applyFill="1" applyBorder="1"/>
    <xf numFmtId="0" fontId="3" fillId="2" borderId="7" xfId="0" applyFont="1" applyFill="1" applyBorder="1" applyAlignment="1"/>
    <xf numFmtId="3" fontId="3" fillId="2" borderId="7" xfId="0" applyNumberFormat="1" applyFont="1" applyFill="1" applyBorder="1"/>
    <xf numFmtId="0" fontId="3" fillId="0" borderId="13" xfId="0" applyFont="1" applyFill="1" applyBorder="1" applyAlignment="1"/>
    <xf numFmtId="1" fontId="3" fillId="0" borderId="13" xfId="0" applyNumberFormat="1" applyFont="1" applyBorder="1"/>
    <xf numFmtId="0" fontId="3" fillId="2" borderId="14" xfId="0" applyFont="1" applyFill="1" applyBorder="1" applyAlignment="1"/>
    <xf numFmtId="3" fontId="3" fillId="2" borderId="15" xfId="0" applyNumberFormat="1" applyFont="1" applyFill="1" applyBorder="1"/>
    <xf numFmtId="0" fontId="3" fillId="2" borderId="16" xfId="0" applyFont="1" applyFill="1" applyBorder="1" applyAlignment="1"/>
    <xf numFmtId="3" fontId="3" fillId="2" borderId="17" xfId="0" applyNumberFormat="1" applyFont="1" applyFill="1" applyBorder="1"/>
    <xf numFmtId="0" fontId="3" fillId="2" borderId="18" xfId="0" applyFont="1" applyFill="1" applyBorder="1" applyAlignment="1"/>
    <xf numFmtId="3" fontId="3" fillId="2" borderId="19" xfId="0" applyNumberFormat="1" applyFont="1" applyFill="1" applyBorder="1"/>
    <xf numFmtId="0" fontId="1" fillId="0" borderId="0" xfId="0" applyFont="1" applyFill="1"/>
    <xf numFmtId="0" fontId="3" fillId="0" borderId="0" xfId="0" applyFont="1" applyFill="1"/>
    <xf numFmtId="0" fontId="4" fillId="0" borderId="0" xfId="0" applyFont="1" applyFill="1"/>
    <xf numFmtId="0" fontId="3" fillId="0" borderId="1" xfId="0" applyFont="1" applyFill="1" applyBorder="1"/>
    <xf numFmtId="0" fontId="3" fillId="0" borderId="2" xfId="0" applyFont="1" applyFill="1" applyBorder="1"/>
    <xf numFmtId="0" fontId="3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7" xfId="0" applyFont="1" applyFill="1" applyBorder="1"/>
    <xf numFmtId="0" fontId="3" fillId="0" borderId="8" xfId="0" applyFont="1" applyFill="1" applyBorder="1"/>
    <xf numFmtId="0" fontId="3" fillId="0" borderId="9" xfId="0" applyFont="1" applyFill="1" applyBorder="1"/>
    <xf numFmtId="0" fontId="3" fillId="0" borderId="10" xfId="0" applyFont="1" applyFill="1" applyBorder="1"/>
    <xf numFmtId="2" fontId="3" fillId="0" borderId="7" xfId="0" applyNumberFormat="1" applyFont="1" applyFill="1" applyBorder="1"/>
    <xf numFmtId="0" fontId="3" fillId="0" borderId="5" xfId="0" applyFont="1" applyFill="1" applyBorder="1"/>
    <xf numFmtId="1" fontId="3" fillId="0" borderId="6" xfId="0" applyNumberFormat="1" applyFont="1" applyFill="1" applyBorder="1"/>
    <xf numFmtId="0" fontId="3" fillId="0" borderId="11" xfId="0" applyFont="1" applyFill="1" applyBorder="1"/>
    <xf numFmtId="2" fontId="3" fillId="0" borderId="8" xfId="0" applyNumberFormat="1" applyFont="1" applyFill="1" applyBorder="1"/>
    <xf numFmtId="0" fontId="3" fillId="0" borderId="12" xfId="0" applyFont="1" applyFill="1" applyBorder="1"/>
    <xf numFmtId="0" fontId="3" fillId="0" borderId="13" xfId="0" applyFont="1" applyFill="1" applyBorder="1"/>
    <xf numFmtId="2" fontId="3" fillId="0" borderId="13" xfId="0" applyNumberFormat="1" applyFont="1" applyFill="1" applyBorder="1"/>
    <xf numFmtId="0" fontId="0" fillId="0" borderId="0" xfId="0" applyFill="1"/>
    <xf numFmtId="0" fontId="3" fillId="0" borderId="7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2" borderId="5" xfId="0" applyFont="1" applyFill="1" applyBorder="1"/>
    <xf numFmtId="0" fontId="3" fillId="0" borderId="0" xfId="0" applyFont="1" applyFill="1" applyBorder="1"/>
    <xf numFmtId="0" fontId="7" fillId="0" borderId="0" xfId="17"/>
  </cellXfs>
  <cellStyles count="18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/>
    <cellStyle name="Normal" xfId="0" builtinId="0"/>
    <cellStyle name="Normal 2" xfId="1" xr:uid="{00000000-0005-0000-0000-00000F000000}"/>
    <cellStyle name="Percent 2" xfId="2" xr:uid="{00000000-0005-0000-0000-000010000000}"/>
  </cellStyles>
  <dxfs count="0"/>
  <tableStyles count="0" defaultTableStyle="TableStyleMedium2" defaultPivotStyle="PivotStyleLight16"/>
  <colors>
    <mruColors>
      <color rgb="FF4DAF4A"/>
      <color rgb="FFE41A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5481968863481"/>
          <c:y val="3.8104221347331595E-2"/>
          <c:w val="0.87767036397847531"/>
          <c:h val="0.74402411169523197"/>
        </c:manualLayout>
      </c:layout>
      <c:barChart>
        <c:barDir val="col"/>
        <c:grouping val="clustered"/>
        <c:varyColors val="0"/>
        <c:ser>
          <c:idx val="0"/>
          <c:order val="0"/>
          <c:tx>
            <c:v>Top 5 U.S Water Intensive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F458-4C99-9F36-C8A09AE8FA05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F458-4C99-9F36-C8A09AE8FA05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F458-4C99-9F36-C8A09AE8FA05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F458-4C99-9F36-C8A09AE8FA05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F458-4C99-9F36-C8A09AE8FA05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F458-4C99-9F36-C8A09AE8FA05}"/>
              </c:ext>
            </c:extLst>
          </c:dPt>
          <c:dPt>
            <c:idx val="6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458-4C99-9F36-C8A09AE8FA05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F458-4C99-9F36-C8A09AE8FA05}"/>
              </c:ext>
            </c:extLst>
          </c:dPt>
          <c:dPt>
            <c:idx val="8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F458-4C99-9F36-C8A09AE8FA05}"/>
              </c:ext>
            </c:extLst>
          </c:dPt>
          <c:dPt>
            <c:idx val="9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F458-4C99-9F36-C8A09AE8FA05}"/>
              </c:ext>
            </c:extLst>
          </c:dPt>
          <c:dLbls>
            <c:delete val="1"/>
          </c:dLbls>
          <c:cat>
            <c:strRef>
              <c:f>Test!$A$2:$A$11</c:f>
              <c:strCache>
                <c:ptCount val="10"/>
                <c:pt idx="0">
                  <c:v>Wyoming</c:v>
                </c:pt>
                <c:pt idx="1">
                  <c:v>Colorado</c:v>
                </c:pt>
                <c:pt idx="2">
                  <c:v>Montana</c:v>
                </c:pt>
                <c:pt idx="3">
                  <c:v>Oklahoma</c:v>
                </c:pt>
                <c:pt idx="4">
                  <c:v>Nebraska</c:v>
                </c:pt>
                <c:pt idx="5">
                  <c:v>Minnesota</c:v>
                </c:pt>
                <c:pt idx="6">
                  <c:v>Florida</c:v>
                </c:pt>
                <c:pt idx="7">
                  <c:v>Maine</c:v>
                </c:pt>
                <c:pt idx="8">
                  <c:v>California</c:v>
                </c:pt>
                <c:pt idx="9">
                  <c:v>Arizona</c:v>
                </c:pt>
              </c:strCache>
            </c:strRef>
          </c:cat>
          <c:val>
            <c:numRef>
              <c:f>Test!$B$2:$B$11</c:f>
              <c:numCache>
                <c:formatCode>#,##0</c:formatCode>
                <c:ptCount val="10"/>
                <c:pt idx="0">
                  <c:v>2773.68556241024</c:v>
                </c:pt>
                <c:pt idx="1">
                  <c:v>2689.849941057008</c:v>
                </c:pt>
                <c:pt idx="2">
                  <c:v>2353.5024446627713</c:v>
                </c:pt>
                <c:pt idx="3">
                  <c:v>2272.3871181538939</c:v>
                </c:pt>
                <c:pt idx="4">
                  <c:v>2201.7209510929965</c:v>
                </c:pt>
                <c:pt idx="5">
                  <c:v>1215.50852698214</c:v>
                </c:pt>
                <c:pt idx="6">
                  <c:v>1197.541091354632</c:v>
                </c:pt>
                <c:pt idx="7">
                  <c:v>1030.974978833141</c:v>
                </c:pt>
                <c:pt idx="8">
                  <c:v>725.66655291976122</c:v>
                </c:pt>
                <c:pt idx="9">
                  <c:v>399.03348724532026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6-4954-8A55-AD27BCA2D4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427244056"/>
        <c:axId val="427243400"/>
      </c:barChart>
      <c:lineChart>
        <c:grouping val="standard"/>
        <c:varyColors val="0"/>
        <c:ser>
          <c:idx val="1"/>
          <c:order val="1"/>
          <c:tx>
            <c:strRef>
              <c:f>Test!$A$17</c:f>
              <c:strCache>
                <c:ptCount val="1"/>
                <c:pt idx="0">
                  <c:v>U.S. Average</c:v>
                </c:pt>
              </c:strCache>
            </c:strRef>
          </c:tx>
          <c:spPr>
            <a:ln w="28575" cap="rnd">
              <a:solidFill>
                <a:srgbClr val="E41A1C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Test!$A$2:$A$12</c:f>
              <c:strCache>
                <c:ptCount val="11"/>
                <c:pt idx="0">
                  <c:v>Wyoming</c:v>
                </c:pt>
                <c:pt idx="1">
                  <c:v>Colorado</c:v>
                </c:pt>
                <c:pt idx="2">
                  <c:v>Montana</c:v>
                </c:pt>
                <c:pt idx="3">
                  <c:v>Oklahoma</c:v>
                </c:pt>
                <c:pt idx="4">
                  <c:v>Nebraska</c:v>
                </c:pt>
                <c:pt idx="5">
                  <c:v>Minnesota</c:v>
                </c:pt>
                <c:pt idx="6">
                  <c:v>Florida</c:v>
                </c:pt>
                <c:pt idx="7">
                  <c:v>Maine</c:v>
                </c:pt>
                <c:pt idx="8">
                  <c:v>California</c:v>
                </c:pt>
                <c:pt idx="9">
                  <c:v>Arizona</c:v>
                </c:pt>
                <c:pt idx="10">
                  <c:v>Washington</c:v>
                </c:pt>
              </c:strCache>
            </c:strRef>
          </c:cat>
          <c:val>
            <c:numRef>
              <c:f>Test!$C$2:$C$11</c:f>
              <c:numCache>
                <c:formatCode>0</c:formatCode>
                <c:ptCount val="10"/>
                <c:pt idx="0">
                  <c:v>1869.4347934987068</c:v>
                </c:pt>
                <c:pt idx="1">
                  <c:v>1869.4347934987068</c:v>
                </c:pt>
                <c:pt idx="2">
                  <c:v>1869.4347934987068</c:v>
                </c:pt>
                <c:pt idx="3">
                  <c:v>1869.4347934987068</c:v>
                </c:pt>
                <c:pt idx="4">
                  <c:v>1869.4347934987068</c:v>
                </c:pt>
                <c:pt idx="5">
                  <c:v>1869.4347934987068</c:v>
                </c:pt>
                <c:pt idx="6">
                  <c:v>1869.4347934987068</c:v>
                </c:pt>
                <c:pt idx="7">
                  <c:v>1869.4347934987068</c:v>
                </c:pt>
                <c:pt idx="8">
                  <c:v>1869.4347934987068</c:v>
                </c:pt>
                <c:pt idx="9">
                  <c:v>1869.4347934987068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F6-4954-8A55-AD27BCA2D44E}"/>
            </c:ext>
          </c:extLst>
        </c:ser>
        <c:ser>
          <c:idx val="2"/>
          <c:order val="2"/>
          <c:tx>
            <c:strRef>
              <c:f>Test!$A$46</c:f>
              <c:strCache>
                <c:ptCount val="1"/>
                <c:pt idx="0">
                  <c:v>Global Average</c:v>
                </c:pt>
              </c:strCache>
            </c:strRef>
          </c:tx>
          <c:spPr>
            <a:ln w="28575" cap="rnd">
              <a:solidFill>
                <a:srgbClr val="4DAF4A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Test!$D$2:$D$11</c:f>
              <c:numCache>
                <c:formatCode>0</c:formatCode>
                <c:ptCount val="10"/>
                <c:pt idx="0">
                  <c:v>1277.2112739948204</c:v>
                </c:pt>
                <c:pt idx="1">
                  <c:v>1277.2112739948204</c:v>
                </c:pt>
                <c:pt idx="2">
                  <c:v>1277.2112739948204</c:v>
                </c:pt>
                <c:pt idx="3">
                  <c:v>1277.2112739948204</c:v>
                </c:pt>
                <c:pt idx="4">
                  <c:v>1277.2112739948204</c:v>
                </c:pt>
                <c:pt idx="5">
                  <c:v>1277.2112739948204</c:v>
                </c:pt>
                <c:pt idx="6">
                  <c:v>1277.2112739948204</c:v>
                </c:pt>
                <c:pt idx="7">
                  <c:v>1277.2112739948204</c:v>
                </c:pt>
                <c:pt idx="8">
                  <c:v>1277.2112739948204</c:v>
                </c:pt>
                <c:pt idx="9">
                  <c:v>1277.2112739948204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F6-4954-8A55-AD27BCA2D4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27244056"/>
        <c:axId val="427243400"/>
      </c:lineChart>
      <c:catAx>
        <c:axId val="427244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Wheat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- Top 5 Largest and Smallest Irrigation Water Intensities of U.S States</a:t>
                </a:r>
              </a:p>
            </c:rich>
          </c:tx>
          <c:layout>
            <c:manualLayout>
              <c:xMode val="edge"/>
              <c:yMode val="edge"/>
              <c:x val="0.21747234506645574"/>
              <c:y val="0.940769903762029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243400"/>
        <c:crosses val="autoZero"/>
        <c:auto val="1"/>
        <c:lblAlgn val="ctr"/>
        <c:lblOffset val="100"/>
        <c:noMultiLvlLbl val="0"/>
      </c:catAx>
      <c:valAx>
        <c:axId val="427243400"/>
        <c:scaling>
          <c:orientation val="minMax"/>
          <c:max val="3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Irrigation Water Intensity (m3/ton of wheat)</a:t>
                </a:r>
              </a:p>
            </c:rich>
          </c:tx>
          <c:layout>
            <c:manualLayout>
              <c:xMode val="edge"/>
              <c:yMode val="edge"/>
              <c:x val="1.2759156942743289E-2"/>
              <c:y val="4.592973103790751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244056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11350837138508371"/>
          <c:y val="5.217738407699038E-2"/>
          <c:w val="0.37319583767782444"/>
          <c:h val="5.3129054761247227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5481968863481"/>
          <c:y val="3.8104221347331595E-2"/>
          <c:w val="0.87767036397847531"/>
          <c:h val="0.702277723097112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39-44BD-A46E-A0C8EA05FA11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39-44BD-A46E-A0C8EA05FA11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339-44BD-A46E-A0C8EA05FA11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339-44BD-A46E-A0C8EA05FA11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339-44BD-A46E-A0C8EA05FA11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339-44BD-A46E-A0C8EA05FA11}"/>
              </c:ext>
            </c:extLst>
          </c:dPt>
          <c:dPt>
            <c:idx val="6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339-44BD-A46E-A0C8EA05FA11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339-44BD-A46E-A0C8EA05FA11}"/>
              </c:ext>
            </c:extLst>
          </c:dPt>
          <c:dPt>
            <c:idx val="8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339-44BD-A46E-A0C8EA05FA11}"/>
              </c:ext>
            </c:extLst>
          </c:dPt>
          <c:dPt>
            <c:idx val="9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339-44BD-A46E-A0C8EA05FA11}"/>
              </c:ext>
            </c:extLst>
          </c:dPt>
          <c:dLbls>
            <c:delete val="1"/>
          </c:dLbls>
          <c:cat>
            <c:strRef>
              <c:f>Test!$E$2:$E$11</c:f>
              <c:strCache>
                <c:ptCount val="10"/>
                <c:pt idx="0">
                  <c:v>Idaho</c:v>
                </c:pt>
                <c:pt idx="1">
                  <c:v>Tennessee</c:v>
                </c:pt>
                <c:pt idx="2">
                  <c:v>Nevada</c:v>
                </c:pt>
                <c:pt idx="3">
                  <c:v>Alabama</c:v>
                </c:pt>
                <c:pt idx="4">
                  <c:v>Missouri</c:v>
                </c:pt>
                <c:pt idx="5">
                  <c:v>Oregon</c:v>
                </c:pt>
                <c:pt idx="6">
                  <c:v>Arizona</c:v>
                </c:pt>
                <c:pt idx="7">
                  <c:v>Utah</c:v>
                </c:pt>
                <c:pt idx="8">
                  <c:v>Washington</c:v>
                </c:pt>
                <c:pt idx="9">
                  <c:v>California</c:v>
                </c:pt>
              </c:strCache>
            </c:strRef>
          </c:cat>
          <c:val>
            <c:numRef>
              <c:f>Test!$F$2:$F$11</c:f>
              <c:numCache>
                <c:formatCode>0</c:formatCode>
                <c:ptCount val="10"/>
                <c:pt idx="0">
                  <c:v>951.45955434751841</c:v>
                </c:pt>
                <c:pt idx="1">
                  <c:v>648.32303588506875</c:v>
                </c:pt>
                <c:pt idx="2">
                  <c:v>643.28636608420891</c:v>
                </c:pt>
                <c:pt idx="3">
                  <c:v>632.6463912797152</c:v>
                </c:pt>
                <c:pt idx="4">
                  <c:v>590.66051035767055</c:v>
                </c:pt>
                <c:pt idx="5">
                  <c:v>279.47608662809387</c:v>
                </c:pt>
                <c:pt idx="6">
                  <c:v>248.80792770430736</c:v>
                </c:pt>
                <c:pt idx="7">
                  <c:v>247.06185182708791</c:v>
                </c:pt>
                <c:pt idx="8">
                  <c:v>208.91859167986391</c:v>
                </c:pt>
                <c:pt idx="9">
                  <c:v>138.93968919446516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339-44BD-A46E-A0C8EA05FA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427244056"/>
        <c:axId val="427243400"/>
      </c:barChart>
      <c:lineChart>
        <c:grouping val="standard"/>
        <c:varyColors val="0"/>
        <c:ser>
          <c:idx val="1"/>
          <c:order val="1"/>
          <c:tx>
            <c:strRef>
              <c:f>Test!$E$23</c:f>
              <c:strCache>
                <c:ptCount val="1"/>
                <c:pt idx="0">
                  <c:v>U.S. Average</c:v>
                </c:pt>
              </c:strCache>
            </c:strRef>
          </c:tx>
          <c:spPr>
            <a:ln w="28575" cap="rnd">
              <a:solidFill>
                <a:srgbClr val="E41A1C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Test!$E$2:$E$11</c:f>
              <c:strCache>
                <c:ptCount val="10"/>
                <c:pt idx="0">
                  <c:v>Idaho</c:v>
                </c:pt>
                <c:pt idx="1">
                  <c:v>Tennessee</c:v>
                </c:pt>
                <c:pt idx="2">
                  <c:v>Nevada</c:v>
                </c:pt>
                <c:pt idx="3">
                  <c:v>Alabama</c:v>
                </c:pt>
                <c:pt idx="4">
                  <c:v>Missouri</c:v>
                </c:pt>
                <c:pt idx="5">
                  <c:v>Oregon</c:v>
                </c:pt>
                <c:pt idx="6">
                  <c:v>Arizona</c:v>
                </c:pt>
                <c:pt idx="7">
                  <c:v>Utah</c:v>
                </c:pt>
                <c:pt idx="8">
                  <c:v>Washington</c:v>
                </c:pt>
                <c:pt idx="9">
                  <c:v>California</c:v>
                </c:pt>
              </c:strCache>
            </c:strRef>
          </c:cat>
          <c:val>
            <c:numRef>
              <c:f>Test!$G$2:$G$11</c:f>
              <c:numCache>
                <c:formatCode>0</c:formatCode>
                <c:ptCount val="10"/>
                <c:pt idx="0">
                  <c:v>522.42939466507812</c:v>
                </c:pt>
                <c:pt idx="1">
                  <c:v>522.42939466507812</c:v>
                </c:pt>
                <c:pt idx="2">
                  <c:v>522.42939466507812</c:v>
                </c:pt>
                <c:pt idx="3">
                  <c:v>522.42939466507812</c:v>
                </c:pt>
                <c:pt idx="4">
                  <c:v>522.42939466507812</c:v>
                </c:pt>
                <c:pt idx="5">
                  <c:v>522.42939466507812</c:v>
                </c:pt>
                <c:pt idx="6">
                  <c:v>522.42939466507812</c:v>
                </c:pt>
                <c:pt idx="7">
                  <c:v>522.42939466507812</c:v>
                </c:pt>
                <c:pt idx="8">
                  <c:v>522.42939466507812</c:v>
                </c:pt>
                <c:pt idx="9">
                  <c:v>522.42939466507812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339-44BD-A46E-A0C8EA05FA11}"/>
            </c:ext>
          </c:extLst>
        </c:ser>
        <c:ser>
          <c:idx val="2"/>
          <c:order val="2"/>
          <c:tx>
            <c:strRef>
              <c:f>Test!$E$12</c:f>
              <c:strCache>
                <c:ptCount val="1"/>
                <c:pt idx="0">
                  <c:v>Global Average</c:v>
                </c:pt>
              </c:strCache>
            </c:strRef>
          </c:tx>
          <c:spPr>
            <a:ln w="28575" cap="rnd">
              <a:solidFill>
                <a:srgbClr val="4DAF4A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Test!$E$2:$E$11</c:f>
              <c:strCache>
                <c:ptCount val="10"/>
                <c:pt idx="0">
                  <c:v>Idaho</c:v>
                </c:pt>
                <c:pt idx="1">
                  <c:v>Tennessee</c:v>
                </c:pt>
                <c:pt idx="2">
                  <c:v>Nevada</c:v>
                </c:pt>
                <c:pt idx="3">
                  <c:v>Alabama</c:v>
                </c:pt>
                <c:pt idx="4">
                  <c:v>Missouri</c:v>
                </c:pt>
                <c:pt idx="5">
                  <c:v>Oregon</c:v>
                </c:pt>
                <c:pt idx="6">
                  <c:v>Arizona</c:v>
                </c:pt>
                <c:pt idx="7">
                  <c:v>Utah</c:v>
                </c:pt>
                <c:pt idx="8">
                  <c:v>Washington</c:v>
                </c:pt>
                <c:pt idx="9">
                  <c:v>California</c:v>
                </c:pt>
              </c:strCache>
            </c:strRef>
          </c:cat>
          <c:val>
            <c:numRef>
              <c:f>Test!$H$2:$H$11</c:f>
              <c:numCache>
                <c:formatCode>0</c:formatCode>
                <c:ptCount val="10"/>
                <c:pt idx="0">
                  <c:v>947.1963480386853</c:v>
                </c:pt>
                <c:pt idx="1">
                  <c:v>947.1963480386853</c:v>
                </c:pt>
                <c:pt idx="2">
                  <c:v>947.1963480386853</c:v>
                </c:pt>
                <c:pt idx="3">
                  <c:v>947.1963480386853</c:v>
                </c:pt>
                <c:pt idx="4">
                  <c:v>947.1963480386853</c:v>
                </c:pt>
                <c:pt idx="5">
                  <c:v>947.1963480386853</c:v>
                </c:pt>
                <c:pt idx="6">
                  <c:v>947.1963480386853</c:v>
                </c:pt>
                <c:pt idx="7">
                  <c:v>947.1963480386853</c:v>
                </c:pt>
                <c:pt idx="8">
                  <c:v>947.1963480386853</c:v>
                </c:pt>
                <c:pt idx="9">
                  <c:v>947.1963480386853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339-44BD-A46E-A0C8EA05FA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27244056"/>
        <c:axId val="427243400"/>
      </c:lineChart>
      <c:catAx>
        <c:axId val="427244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Corn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- Top 5 Largest and Smallest Irrigation Water Intensities of U.S States</a:t>
                </a:r>
              </a:p>
            </c:rich>
          </c:tx>
          <c:layout>
            <c:manualLayout>
              <c:xMode val="edge"/>
              <c:yMode val="edge"/>
              <c:x val="0.21747234506645574"/>
              <c:y val="0.940769903762029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243400"/>
        <c:crosses val="autoZero"/>
        <c:auto val="1"/>
        <c:lblAlgn val="ctr"/>
        <c:lblOffset val="100"/>
        <c:noMultiLvlLbl val="0"/>
      </c:catAx>
      <c:valAx>
        <c:axId val="427243400"/>
        <c:scaling>
          <c:orientation val="minMax"/>
          <c:max val="1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Irrigation Water Intensity (m3/ton of corn)</a:t>
                </a:r>
              </a:p>
            </c:rich>
          </c:tx>
          <c:layout>
            <c:manualLayout>
              <c:xMode val="edge"/>
              <c:yMode val="edge"/>
              <c:x val="1.4674606582480392E-2"/>
              <c:y val="5.977088801399824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244056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11350837138508371"/>
          <c:y val="5.217738407699038E-2"/>
          <c:w val="0.37319583767782444"/>
          <c:h val="5.3129054761247227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5481968863481"/>
          <c:y val="3.8104221347331595E-2"/>
          <c:w val="0.87767036397847531"/>
          <c:h val="0.681444389763779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5B-430E-8342-9101259FAFF2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5B-430E-8342-9101259FAFF2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15B-430E-8342-9101259FAFF2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15B-430E-8342-9101259FAFF2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15B-430E-8342-9101259FAFF2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15B-430E-8342-9101259FAFF2}"/>
              </c:ext>
            </c:extLst>
          </c:dPt>
          <c:dPt>
            <c:idx val="6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15B-430E-8342-9101259FAFF2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15B-430E-8342-9101259FAFF2}"/>
              </c:ext>
            </c:extLst>
          </c:dPt>
          <c:dPt>
            <c:idx val="8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15B-430E-8342-9101259FAFF2}"/>
              </c:ext>
            </c:extLst>
          </c:dPt>
          <c:dPt>
            <c:idx val="9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15B-430E-8342-9101259FAFF2}"/>
              </c:ext>
            </c:extLst>
          </c:dPt>
          <c:dLbls>
            <c:delete val="1"/>
          </c:dLbls>
          <c:cat>
            <c:strRef>
              <c:f>Test!$I$2:$I$11</c:f>
              <c:strCache>
                <c:ptCount val="10"/>
                <c:pt idx="0">
                  <c:v>Oklahoma</c:v>
                </c:pt>
                <c:pt idx="1">
                  <c:v>Alabama</c:v>
                </c:pt>
                <c:pt idx="2">
                  <c:v>Louisiana</c:v>
                </c:pt>
                <c:pt idx="3">
                  <c:v>New Mexico</c:v>
                </c:pt>
                <c:pt idx="4">
                  <c:v>Florida</c:v>
                </c:pt>
                <c:pt idx="5">
                  <c:v>Colorado</c:v>
                </c:pt>
                <c:pt idx="6">
                  <c:v>Massachusetts</c:v>
                </c:pt>
                <c:pt idx="7">
                  <c:v>Connecticut</c:v>
                </c:pt>
                <c:pt idx="8">
                  <c:v>Vermont</c:v>
                </c:pt>
                <c:pt idx="9">
                  <c:v>Maine</c:v>
                </c:pt>
              </c:strCache>
            </c:strRef>
          </c:cat>
          <c:val>
            <c:numRef>
              <c:f>Test!$J$2:$J$11</c:f>
              <c:numCache>
                <c:formatCode>0</c:formatCode>
                <c:ptCount val="10"/>
                <c:pt idx="0">
                  <c:v>2135.2065861590122</c:v>
                </c:pt>
                <c:pt idx="1">
                  <c:v>1873.793153553745</c:v>
                </c:pt>
                <c:pt idx="2">
                  <c:v>1831.7216971291396</c:v>
                </c:pt>
                <c:pt idx="3">
                  <c:v>1830.4313264294969</c:v>
                </c:pt>
                <c:pt idx="4">
                  <c:v>1788.1932088543108</c:v>
                </c:pt>
                <c:pt idx="5">
                  <c:v>1232.9634604099042</c:v>
                </c:pt>
                <c:pt idx="6">
                  <c:v>1219.8163678426836</c:v>
                </c:pt>
                <c:pt idx="7">
                  <c:v>1215.1314283600414</c:v>
                </c:pt>
                <c:pt idx="8">
                  <c:v>1136.5471433760574</c:v>
                </c:pt>
                <c:pt idx="9">
                  <c:v>949.0095310150117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15B-430E-8342-9101259FAF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427244056"/>
        <c:axId val="427243400"/>
      </c:barChart>
      <c:lineChart>
        <c:grouping val="standard"/>
        <c:varyColors val="0"/>
        <c:ser>
          <c:idx val="1"/>
          <c:order val="1"/>
          <c:tx>
            <c:strRef>
              <c:f>Test!$I$28</c:f>
              <c:strCache>
                <c:ptCount val="1"/>
                <c:pt idx="0">
                  <c:v>U.S. Average</c:v>
                </c:pt>
              </c:strCache>
            </c:strRef>
          </c:tx>
          <c:spPr>
            <a:ln w="28575" cap="rnd">
              <a:solidFill>
                <a:srgbClr val="E41A1C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Test!$I$2:$I$11</c:f>
              <c:strCache>
                <c:ptCount val="10"/>
                <c:pt idx="0">
                  <c:v>Oklahoma</c:v>
                </c:pt>
                <c:pt idx="1">
                  <c:v>Alabama</c:v>
                </c:pt>
                <c:pt idx="2">
                  <c:v>Louisiana</c:v>
                </c:pt>
                <c:pt idx="3">
                  <c:v>New Mexico</c:v>
                </c:pt>
                <c:pt idx="4">
                  <c:v>Florida</c:v>
                </c:pt>
                <c:pt idx="5">
                  <c:v>Colorado</c:v>
                </c:pt>
                <c:pt idx="6">
                  <c:v>Massachusetts</c:v>
                </c:pt>
                <c:pt idx="7">
                  <c:v>Connecticut</c:v>
                </c:pt>
                <c:pt idx="8">
                  <c:v>Vermont</c:v>
                </c:pt>
                <c:pt idx="9">
                  <c:v>Maine</c:v>
                </c:pt>
              </c:strCache>
            </c:strRef>
          </c:cat>
          <c:val>
            <c:numRef>
              <c:f>Test!$K$2:$K$11</c:f>
              <c:numCache>
                <c:formatCode>0</c:formatCode>
                <c:ptCount val="10"/>
                <c:pt idx="0">
                  <c:v>1560.3460544278751</c:v>
                </c:pt>
                <c:pt idx="1">
                  <c:v>1560.3460544278751</c:v>
                </c:pt>
                <c:pt idx="2">
                  <c:v>1560.3460544278751</c:v>
                </c:pt>
                <c:pt idx="3">
                  <c:v>1560.3460544278751</c:v>
                </c:pt>
                <c:pt idx="4">
                  <c:v>1560.3460544278751</c:v>
                </c:pt>
                <c:pt idx="5">
                  <c:v>1560.3460544278751</c:v>
                </c:pt>
                <c:pt idx="6">
                  <c:v>1560.3460544278751</c:v>
                </c:pt>
                <c:pt idx="7">
                  <c:v>1560.3460544278751</c:v>
                </c:pt>
                <c:pt idx="8">
                  <c:v>1560.3460544278751</c:v>
                </c:pt>
                <c:pt idx="9">
                  <c:v>1560.3460544278751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15B-430E-8342-9101259FAFF2}"/>
            </c:ext>
          </c:extLst>
        </c:ser>
        <c:ser>
          <c:idx val="2"/>
          <c:order val="2"/>
          <c:tx>
            <c:strRef>
              <c:f>Test!$I$12</c:f>
              <c:strCache>
                <c:ptCount val="1"/>
                <c:pt idx="0">
                  <c:v>Global Average</c:v>
                </c:pt>
              </c:strCache>
            </c:strRef>
          </c:tx>
          <c:spPr>
            <a:ln w="28575" cap="rnd">
              <a:solidFill>
                <a:srgbClr val="4DAF4A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Test!$I$2:$I$11</c:f>
              <c:strCache>
                <c:ptCount val="10"/>
                <c:pt idx="0">
                  <c:v>Oklahoma</c:v>
                </c:pt>
                <c:pt idx="1">
                  <c:v>Alabama</c:v>
                </c:pt>
                <c:pt idx="2">
                  <c:v>Louisiana</c:v>
                </c:pt>
                <c:pt idx="3">
                  <c:v>New Mexico</c:v>
                </c:pt>
                <c:pt idx="4">
                  <c:v>Florida</c:v>
                </c:pt>
                <c:pt idx="5">
                  <c:v>Colorado</c:v>
                </c:pt>
                <c:pt idx="6">
                  <c:v>Massachusetts</c:v>
                </c:pt>
                <c:pt idx="7">
                  <c:v>Connecticut</c:v>
                </c:pt>
                <c:pt idx="8">
                  <c:v>Vermont</c:v>
                </c:pt>
                <c:pt idx="9">
                  <c:v>Maine</c:v>
                </c:pt>
              </c:strCache>
            </c:strRef>
          </c:cat>
          <c:val>
            <c:numRef>
              <c:f>Test!$L$2:$L$11</c:f>
              <c:numCache>
                <c:formatCode>0</c:formatCode>
                <c:ptCount val="10"/>
                <c:pt idx="0">
                  <c:v>2037.0420908011138</c:v>
                </c:pt>
                <c:pt idx="1">
                  <c:v>2037.0420908011138</c:v>
                </c:pt>
                <c:pt idx="2">
                  <c:v>2037.0420908011138</c:v>
                </c:pt>
                <c:pt idx="3">
                  <c:v>2037.0420908011138</c:v>
                </c:pt>
                <c:pt idx="4">
                  <c:v>2037.0420908011138</c:v>
                </c:pt>
                <c:pt idx="5">
                  <c:v>2037.0420908011138</c:v>
                </c:pt>
                <c:pt idx="6">
                  <c:v>2037.0420908011138</c:v>
                </c:pt>
                <c:pt idx="7">
                  <c:v>2037.0420908011138</c:v>
                </c:pt>
                <c:pt idx="8">
                  <c:v>2037.0420908011138</c:v>
                </c:pt>
                <c:pt idx="9">
                  <c:v>2037.0420908011138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15B-430E-8342-9101259FAF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27244056"/>
        <c:axId val="427243400"/>
      </c:lineChart>
      <c:catAx>
        <c:axId val="427244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Soy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- Top 5 Largest and Smallest Irrigation Water Intensities of U.S States</a:t>
                </a:r>
              </a:p>
            </c:rich>
          </c:tx>
          <c:layout>
            <c:manualLayout>
              <c:xMode val="edge"/>
              <c:yMode val="edge"/>
              <c:x val="0.21747234506645574"/>
              <c:y val="0.940769903762029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243400"/>
        <c:crosses val="autoZero"/>
        <c:auto val="1"/>
        <c:lblAlgn val="ctr"/>
        <c:lblOffset val="100"/>
        <c:noMultiLvlLbl val="0"/>
      </c:catAx>
      <c:valAx>
        <c:axId val="427243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Irrigation Water Intensity (m3/ton of soy)</a:t>
                </a:r>
              </a:p>
            </c:rich>
          </c:tx>
          <c:layout>
            <c:manualLayout>
              <c:xMode val="edge"/>
              <c:yMode val="edge"/>
              <c:x val="1.2759170653907496E-2"/>
              <c:y val="9.79652628588455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244056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11350837138508371"/>
          <c:y val="5.217738407699038E-2"/>
          <c:w val="0.37319583767782444"/>
          <c:h val="5.3129054761247227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5481968863481"/>
          <c:y val="3.8104221347331595E-2"/>
          <c:w val="0.87767036397847531"/>
          <c:h val="0.702277723097112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07-40F4-B7A7-84BB95153A37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07-40F4-B7A7-84BB95153A37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07-40F4-B7A7-84BB95153A37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07-40F4-B7A7-84BB95153A37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707-40F4-B7A7-84BB95153A37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707-40F4-B7A7-84BB95153A37}"/>
              </c:ext>
            </c:extLst>
          </c:dPt>
          <c:dPt>
            <c:idx val="6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707-40F4-B7A7-84BB95153A37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707-40F4-B7A7-84BB95153A37}"/>
              </c:ext>
            </c:extLst>
          </c:dPt>
          <c:dPt>
            <c:idx val="8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707-40F4-B7A7-84BB95153A37}"/>
              </c:ext>
            </c:extLst>
          </c:dPt>
          <c:dPt>
            <c:idx val="9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9707-40F4-B7A7-84BB95153A37}"/>
              </c:ext>
            </c:extLst>
          </c:dPt>
          <c:dLbls>
            <c:delete val="1"/>
          </c:dLbls>
          <c:cat>
            <c:strRef>
              <c:f>Test!$M$2:$M$11</c:f>
              <c:strCache>
                <c:ptCount val="10"/>
                <c:pt idx="0">
                  <c:v>Colorado</c:v>
                </c:pt>
                <c:pt idx="1">
                  <c:v>Alabama</c:v>
                </c:pt>
                <c:pt idx="2">
                  <c:v>Florida</c:v>
                </c:pt>
                <c:pt idx="3">
                  <c:v>Tennessee</c:v>
                </c:pt>
                <c:pt idx="4">
                  <c:v>Louisiana</c:v>
                </c:pt>
                <c:pt idx="5">
                  <c:v>Missouri</c:v>
                </c:pt>
                <c:pt idx="6">
                  <c:v>New Mexico</c:v>
                </c:pt>
                <c:pt idx="7">
                  <c:v>Arkansas</c:v>
                </c:pt>
                <c:pt idx="8">
                  <c:v>Arizona</c:v>
                </c:pt>
                <c:pt idx="9">
                  <c:v>California</c:v>
                </c:pt>
              </c:strCache>
            </c:strRef>
          </c:cat>
          <c:val>
            <c:numRef>
              <c:f>Test!$N$2:$N$11</c:f>
              <c:numCache>
                <c:formatCode>0</c:formatCode>
                <c:ptCount val="10"/>
                <c:pt idx="0">
                  <c:v>7939.5309136206388</c:v>
                </c:pt>
                <c:pt idx="1">
                  <c:v>6422.9145978585557</c:v>
                </c:pt>
                <c:pt idx="2">
                  <c:v>6241.4377195757334</c:v>
                </c:pt>
                <c:pt idx="3">
                  <c:v>5911.602487072485</c:v>
                </c:pt>
                <c:pt idx="4">
                  <c:v>5829.6855378297068</c:v>
                </c:pt>
                <c:pt idx="5">
                  <c:v>4517.067428213556</c:v>
                </c:pt>
                <c:pt idx="6">
                  <c:v>4381.5764805241261</c:v>
                </c:pt>
                <c:pt idx="7">
                  <c:v>3767.5460559411504</c:v>
                </c:pt>
                <c:pt idx="8">
                  <c:v>1708.4592503898252</c:v>
                </c:pt>
                <c:pt idx="9">
                  <c:v>731.49970889890471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707-40F4-B7A7-84BB95153A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427244056"/>
        <c:axId val="427243400"/>
      </c:barChart>
      <c:lineChart>
        <c:grouping val="standard"/>
        <c:varyColors val="0"/>
        <c:ser>
          <c:idx val="1"/>
          <c:order val="1"/>
          <c:tx>
            <c:strRef>
              <c:f>Test!$M$19</c:f>
              <c:strCache>
                <c:ptCount val="1"/>
                <c:pt idx="0">
                  <c:v>U.S. Average</c:v>
                </c:pt>
              </c:strCache>
            </c:strRef>
          </c:tx>
          <c:spPr>
            <a:ln w="28575" cap="rnd">
              <a:solidFill>
                <a:srgbClr val="E41A1C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Test!$M$2:$M$11</c:f>
              <c:strCache>
                <c:ptCount val="10"/>
                <c:pt idx="0">
                  <c:v>Colorado</c:v>
                </c:pt>
                <c:pt idx="1">
                  <c:v>Alabama</c:v>
                </c:pt>
                <c:pt idx="2">
                  <c:v>Florida</c:v>
                </c:pt>
                <c:pt idx="3">
                  <c:v>Tennessee</c:v>
                </c:pt>
                <c:pt idx="4">
                  <c:v>Louisiana</c:v>
                </c:pt>
                <c:pt idx="5">
                  <c:v>Missouri</c:v>
                </c:pt>
                <c:pt idx="6">
                  <c:v>New Mexico</c:v>
                </c:pt>
                <c:pt idx="7">
                  <c:v>Arkansas</c:v>
                </c:pt>
                <c:pt idx="8">
                  <c:v>Arizona</c:v>
                </c:pt>
                <c:pt idx="9">
                  <c:v>California</c:v>
                </c:pt>
              </c:strCache>
            </c:strRef>
          </c:cat>
          <c:val>
            <c:numRef>
              <c:f>Test!$O$2:$O$11</c:f>
              <c:numCache>
                <c:formatCode>0</c:formatCode>
                <c:ptCount val="10"/>
                <c:pt idx="0">
                  <c:v>4781.3400817263609</c:v>
                </c:pt>
                <c:pt idx="1">
                  <c:v>4781.3400817263609</c:v>
                </c:pt>
                <c:pt idx="2">
                  <c:v>4781.3400817263609</c:v>
                </c:pt>
                <c:pt idx="3">
                  <c:v>4781.3400817263609</c:v>
                </c:pt>
                <c:pt idx="4">
                  <c:v>4781.3400817263609</c:v>
                </c:pt>
                <c:pt idx="5">
                  <c:v>4781.3400817263609</c:v>
                </c:pt>
                <c:pt idx="6">
                  <c:v>4781.3400817263609</c:v>
                </c:pt>
                <c:pt idx="7">
                  <c:v>4781.3400817263609</c:v>
                </c:pt>
                <c:pt idx="8">
                  <c:v>4781.3400817263609</c:v>
                </c:pt>
                <c:pt idx="9">
                  <c:v>4781.3400817263609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707-40F4-B7A7-84BB95153A37}"/>
            </c:ext>
          </c:extLst>
        </c:ser>
        <c:ser>
          <c:idx val="2"/>
          <c:order val="2"/>
          <c:tx>
            <c:strRef>
              <c:f>Test!$M$16</c:f>
              <c:strCache>
                <c:ptCount val="1"/>
                <c:pt idx="0">
                  <c:v>Global Average</c:v>
                </c:pt>
              </c:strCache>
            </c:strRef>
          </c:tx>
          <c:spPr>
            <a:ln w="28575" cap="rnd">
              <a:solidFill>
                <a:srgbClr val="4DAF4A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Test!$M$2:$M$11</c:f>
              <c:strCache>
                <c:ptCount val="10"/>
                <c:pt idx="0">
                  <c:v>Colorado</c:v>
                </c:pt>
                <c:pt idx="1">
                  <c:v>Alabama</c:v>
                </c:pt>
                <c:pt idx="2">
                  <c:v>Florida</c:v>
                </c:pt>
                <c:pt idx="3">
                  <c:v>Tennessee</c:v>
                </c:pt>
                <c:pt idx="4">
                  <c:v>Louisiana</c:v>
                </c:pt>
                <c:pt idx="5">
                  <c:v>Missouri</c:v>
                </c:pt>
                <c:pt idx="6">
                  <c:v>New Mexico</c:v>
                </c:pt>
                <c:pt idx="7">
                  <c:v>Arkansas</c:v>
                </c:pt>
                <c:pt idx="8">
                  <c:v>Arizona</c:v>
                </c:pt>
                <c:pt idx="9">
                  <c:v>California</c:v>
                </c:pt>
              </c:strCache>
            </c:strRef>
          </c:cat>
          <c:val>
            <c:numRef>
              <c:f>Test!$P$2:$P$11</c:f>
              <c:numCache>
                <c:formatCode>0</c:formatCode>
                <c:ptCount val="10"/>
                <c:pt idx="0">
                  <c:v>5162.6868567229894</c:v>
                </c:pt>
                <c:pt idx="1">
                  <c:v>5162.6868567229894</c:v>
                </c:pt>
                <c:pt idx="2">
                  <c:v>5162.6868567229894</c:v>
                </c:pt>
                <c:pt idx="3">
                  <c:v>5162.6868567229894</c:v>
                </c:pt>
                <c:pt idx="4">
                  <c:v>5162.6868567229894</c:v>
                </c:pt>
                <c:pt idx="5">
                  <c:v>5162.6868567229894</c:v>
                </c:pt>
                <c:pt idx="6">
                  <c:v>5162.6868567229894</c:v>
                </c:pt>
                <c:pt idx="7">
                  <c:v>5162.6868567229894</c:v>
                </c:pt>
                <c:pt idx="8">
                  <c:v>5162.6868567229894</c:v>
                </c:pt>
                <c:pt idx="9">
                  <c:v>5162.6868567229894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707-40F4-B7A7-84BB95153A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27244056"/>
        <c:axId val="427243400"/>
      </c:lineChart>
      <c:catAx>
        <c:axId val="427244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Cotton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- Top 5 Largest and Smallest Irrigation Water Intensities of U.S States</a:t>
                </a:r>
              </a:p>
            </c:rich>
          </c:tx>
          <c:layout>
            <c:manualLayout>
              <c:xMode val="edge"/>
              <c:yMode val="edge"/>
              <c:x val="0.21747234506645574"/>
              <c:y val="0.940769903762029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243400"/>
        <c:crosses val="autoZero"/>
        <c:auto val="1"/>
        <c:lblAlgn val="ctr"/>
        <c:lblOffset val="100"/>
        <c:noMultiLvlLbl val="0"/>
      </c:catAx>
      <c:valAx>
        <c:axId val="427243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Irrigation Water Intensity (m3/ton of cotton)</a:t>
                </a:r>
              </a:p>
            </c:rich>
          </c:tx>
          <c:layout>
            <c:manualLayout>
              <c:xMode val="edge"/>
              <c:yMode val="edge"/>
              <c:x val="1.2759170653907496E-2"/>
              <c:y val="9.79652628588455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244056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11350837138508371"/>
          <c:y val="5.217738407699038E-2"/>
          <c:w val="0.37319583767782444"/>
          <c:h val="5.3129054761247227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9523</xdr:colOff>
      <xdr:row>2</xdr:row>
      <xdr:rowOff>4762</xdr:rowOff>
    </xdr:from>
    <xdr:to>
      <xdr:col>26</xdr:col>
      <xdr:colOff>588643</xdr:colOff>
      <xdr:row>21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48598B-EF22-4583-A56C-3B89F5B3D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22</xdr:row>
      <xdr:rowOff>0</xdr:rowOff>
    </xdr:from>
    <xdr:to>
      <xdr:col>26</xdr:col>
      <xdr:colOff>579120</xdr:colOff>
      <xdr:row>41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667D54-5F69-4D73-BD09-B31E18D4D2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42</xdr:row>
      <xdr:rowOff>0</xdr:rowOff>
    </xdr:from>
    <xdr:to>
      <xdr:col>26</xdr:col>
      <xdr:colOff>579120</xdr:colOff>
      <xdr:row>61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0CA2266-9705-4B23-8BF5-39D2A0A2E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62</xdr:row>
      <xdr:rowOff>0</xdr:rowOff>
    </xdr:from>
    <xdr:to>
      <xdr:col>26</xdr:col>
      <xdr:colOff>579120</xdr:colOff>
      <xdr:row>81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915F4A1-F8C0-40B6-91B9-59F2348700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aterfootprint.org/Reports/Report47-WaterFootprintCrops-Vol1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"/>
  <sheetViews>
    <sheetView tabSelected="1" workbookViewId="0">
      <selection activeCell="B6" sqref="B6"/>
    </sheetView>
  </sheetViews>
  <sheetFormatPr defaultColWidth="8.85546875" defaultRowHeight="15" x14ac:dyDescent="0.25"/>
  <sheetData>
    <row r="2" spans="1:11" x14ac:dyDescent="0.25">
      <c r="A2" s="7" t="s">
        <v>143</v>
      </c>
    </row>
    <row r="3" spans="1:11" x14ac:dyDescent="0.25"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x14ac:dyDescent="0.25">
      <c r="A4" s="7" t="s">
        <v>144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x14ac:dyDescent="0.25">
      <c r="A5" s="7"/>
      <c r="B5" s="7" t="s">
        <v>145</v>
      </c>
      <c r="C5" s="7"/>
      <c r="D5" s="7"/>
      <c r="E5" s="7"/>
      <c r="F5" s="7"/>
      <c r="G5" s="7"/>
      <c r="H5" s="7"/>
      <c r="I5" s="7"/>
      <c r="J5" s="7"/>
      <c r="K5" s="7"/>
    </row>
    <row r="6" spans="1:11" x14ac:dyDescent="0.25">
      <c r="A6" s="7"/>
      <c r="B6" s="50" t="s">
        <v>146</v>
      </c>
      <c r="C6" s="7"/>
      <c r="D6" s="7"/>
      <c r="E6" s="7"/>
      <c r="F6" s="7"/>
      <c r="G6" s="7"/>
      <c r="H6" s="7"/>
      <c r="I6" s="7"/>
      <c r="J6" s="7"/>
      <c r="K6" s="7"/>
    </row>
  </sheetData>
  <hyperlinks>
    <hyperlink ref="B6" r:id="rId1" xr:uid="{49ED1DF2-C1AE-462E-89EB-F2A8B3BE3867}"/>
  </hyperlinks>
  <pageMargins left="0.7" right="0.7" top="0.75" bottom="0.75" header="0.3" footer="0.3"/>
  <pageSetup paperSize="9" orientation="portrait" horizontalDpi="300" verticalDpi="300"/>
  <headerFooter>
    <oddFooter>&amp;CMekonnen and Hoekstra (2010)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7BF6-1605-495B-88B6-642A133D001F}">
  <dimension ref="A1:BK81"/>
  <sheetViews>
    <sheetView topLeftCell="A36" workbookViewId="0">
      <selection activeCell="S29" sqref="S29:S49"/>
    </sheetView>
  </sheetViews>
  <sheetFormatPr defaultColWidth="8.85546875" defaultRowHeight="11.25" x14ac:dyDescent="0.2"/>
  <cols>
    <col min="1" max="1" width="8.85546875" style="26"/>
    <col min="2" max="2" width="9.140625" style="26" customWidth="1"/>
    <col min="3" max="3" width="11.7109375" style="26" customWidth="1"/>
    <col min="4" max="4" width="29.42578125" style="26" customWidth="1"/>
    <col min="5" max="8" width="9.140625" style="26" customWidth="1"/>
    <col min="9" max="9" width="8.85546875" style="26"/>
    <col min="10" max="63" width="6.140625" style="26" customWidth="1"/>
    <col min="64" max="16384" width="8.85546875" style="26"/>
  </cols>
  <sheetData>
    <row r="1" spans="1:63" ht="21" x14ac:dyDescent="0.25">
      <c r="A1" s="25" t="s">
        <v>0</v>
      </c>
    </row>
    <row r="2" spans="1:63" s="27" customFormat="1" x14ac:dyDescent="0.2">
      <c r="J2" s="27" t="s">
        <v>1</v>
      </c>
      <c r="K2" s="27" t="s">
        <v>2</v>
      </c>
      <c r="L2" s="27" t="s">
        <v>2</v>
      </c>
      <c r="M2" s="27" t="s">
        <v>2</v>
      </c>
      <c r="N2" s="27" t="s">
        <v>2</v>
      </c>
      <c r="O2" s="27" t="s">
        <v>2</v>
      </c>
      <c r="P2" s="27" t="s">
        <v>2</v>
      </c>
      <c r="Q2" s="27" t="s">
        <v>2</v>
      </c>
      <c r="R2" s="27" t="s">
        <v>2</v>
      </c>
      <c r="S2" s="27" t="s">
        <v>2</v>
      </c>
      <c r="T2" s="27" t="s">
        <v>2</v>
      </c>
      <c r="U2" s="27" t="s">
        <v>2</v>
      </c>
      <c r="V2" s="27" t="s">
        <v>2</v>
      </c>
      <c r="W2" s="27" t="s">
        <v>2</v>
      </c>
      <c r="X2" s="27" t="s">
        <v>2</v>
      </c>
      <c r="Y2" s="27" t="s">
        <v>2</v>
      </c>
      <c r="Z2" s="27" t="s">
        <v>2</v>
      </c>
      <c r="AA2" s="27" t="s">
        <v>2</v>
      </c>
      <c r="AB2" s="27" t="s">
        <v>2</v>
      </c>
      <c r="AC2" s="27" t="s">
        <v>2</v>
      </c>
      <c r="AD2" s="27" t="s">
        <v>2</v>
      </c>
      <c r="AE2" s="27" t="s">
        <v>2</v>
      </c>
      <c r="AF2" s="27" t="s">
        <v>2</v>
      </c>
      <c r="AG2" s="27" t="s">
        <v>2</v>
      </c>
      <c r="AH2" s="27" t="s">
        <v>2</v>
      </c>
      <c r="AI2" s="27" t="s">
        <v>2</v>
      </c>
      <c r="AJ2" s="27" t="s">
        <v>2</v>
      </c>
      <c r="AK2" s="27" t="s">
        <v>2</v>
      </c>
      <c r="AL2" s="27" t="s">
        <v>2</v>
      </c>
      <c r="AM2" s="27" t="s">
        <v>2</v>
      </c>
      <c r="AN2" s="27" t="s">
        <v>2</v>
      </c>
      <c r="AO2" s="27" t="s">
        <v>2</v>
      </c>
      <c r="AP2" s="27" t="s">
        <v>2</v>
      </c>
      <c r="AQ2" s="27" t="s">
        <v>2</v>
      </c>
      <c r="AR2" s="27" t="s">
        <v>2</v>
      </c>
      <c r="AS2" s="27" t="s">
        <v>2</v>
      </c>
      <c r="AT2" s="27" t="s">
        <v>2</v>
      </c>
      <c r="AU2" s="27" t="s">
        <v>2</v>
      </c>
      <c r="AV2" s="27" t="s">
        <v>2</v>
      </c>
      <c r="AW2" s="27" t="s">
        <v>2</v>
      </c>
      <c r="AX2" s="27" t="s">
        <v>2</v>
      </c>
      <c r="AY2" s="27" t="s">
        <v>2</v>
      </c>
      <c r="AZ2" s="27" t="s">
        <v>2</v>
      </c>
      <c r="BA2" s="27" t="s">
        <v>2</v>
      </c>
      <c r="BB2" s="27" t="s">
        <v>2</v>
      </c>
      <c r="BC2" s="27" t="s">
        <v>2</v>
      </c>
      <c r="BD2" s="27" t="s">
        <v>2</v>
      </c>
      <c r="BE2" s="27" t="s">
        <v>2</v>
      </c>
      <c r="BF2" s="27" t="s">
        <v>2</v>
      </c>
      <c r="BG2" s="27" t="s">
        <v>2</v>
      </c>
      <c r="BH2" s="27" t="s">
        <v>2</v>
      </c>
      <c r="BI2" s="27" t="s">
        <v>2</v>
      </c>
      <c r="BJ2" s="27" t="s">
        <v>2</v>
      </c>
      <c r="BK2" s="27" t="s">
        <v>1</v>
      </c>
    </row>
    <row r="3" spans="1:63" s="27" customFormat="1" x14ac:dyDescent="0.2">
      <c r="J3" s="27" t="s">
        <v>3</v>
      </c>
      <c r="K3" s="27" t="s">
        <v>4</v>
      </c>
      <c r="L3" s="27" t="s">
        <v>5</v>
      </c>
      <c r="M3" s="27" t="s">
        <v>6</v>
      </c>
      <c r="N3" s="27" t="s">
        <v>7</v>
      </c>
      <c r="O3" s="27" t="s">
        <v>8</v>
      </c>
      <c r="P3" s="27" t="s">
        <v>9</v>
      </c>
      <c r="Q3" s="27" t="s">
        <v>10</v>
      </c>
      <c r="R3" s="27" t="s">
        <v>11</v>
      </c>
      <c r="S3" s="27" t="s">
        <v>12</v>
      </c>
      <c r="T3" s="27" t="s">
        <v>13</v>
      </c>
      <c r="U3" s="27" t="s">
        <v>14</v>
      </c>
      <c r="V3" s="27" t="s">
        <v>15</v>
      </c>
      <c r="W3" s="27" t="s">
        <v>16</v>
      </c>
      <c r="X3" s="27" t="s">
        <v>17</v>
      </c>
      <c r="Y3" s="27" t="s">
        <v>18</v>
      </c>
      <c r="Z3" s="27" t="s">
        <v>19</v>
      </c>
      <c r="AA3" s="27" t="s">
        <v>20</v>
      </c>
      <c r="AB3" s="27" t="s">
        <v>21</v>
      </c>
      <c r="AC3" s="27" t="s">
        <v>22</v>
      </c>
      <c r="AD3" s="27" t="s">
        <v>23</v>
      </c>
      <c r="AE3" s="27" t="s">
        <v>24</v>
      </c>
      <c r="AF3" s="27" t="s">
        <v>25</v>
      </c>
      <c r="AG3" s="27" t="s">
        <v>26</v>
      </c>
      <c r="AH3" s="27" t="s">
        <v>27</v>
      </c>
      <c r="AI3" s="27" t="s">
        <v>28</v>
      </c>
      <c r="AJ3" s="27" t="s">
        <v>29</v>
      </c>
      <c r="AK3" s="27" t="s">
        <v>30</v>
      </c>
      <c r="AL3" s="27" t="s">
        <v>31</v>
      </c>
      <c r="AM3" s="27" t="s">
        <v>32</v>
      </c>
      <c r="AN3" s="27" t="s">
        <v>33</v>
      </c>
      <c r="AO3" s="27" t="s">
        <v>34</v>
      </c>
      <c r="AP3" s="27" t="s">
        <v>35</v>
      </c>
      <c r="AQ3" s="27" t="s">
        <v>36</v>
      </c>
      <c r="AR3" s="27" t="s">
        <v>37</v>
      </c>
      <c r="AS3" s="27" t="s">
        <v>38</v>
      </c>
      <c r="AT3" s="27" t="s">
        <v>39</v>
      </c>
      <c r="AU3" s="27" t="s">
        <v>40</v>
      </c>
      <c r="AV3" s="27" t="s">
        <v>41</v>
      </c>
      <c r="AW3" s="27" t="s">
        <v>42</v>
      </c>
      <c r="AX3" s="27" t="s">
        <v>43</v>
      </c>
      <c r="AY3" s="27" t="s">
        <v>44</v>
      </c>
      <c r="AZ3" s="27" t="s">
        <v>45</v>
      </c>
      <c r="BA3" s="27" t="s">
        <v>46</v>
      </c>
      <c r="BB3" s="27" t="s">
        <v>47</v>
      </c>
      <c r="BC3" s="27" t="s">
        <v>48</v>
      </c>
      <c r="BD3" s="27" t="s">
        <v>49</v>
      </c>
      <c r="BE3" s="27" t="s">
        <v>50</v>
      </c>
      <c r="BF3" s="27" t="s">
        <v>51</v>
      </c>
      <c r="BG3" s="27" t="s">
        <v>52</v>
      </c>
      <c r="BH3" s="27" t="s">
        <v>53</v>
      </c>
      <c r="BI3" s="27" t="s">
        <v>54</v>
      </c>
      <c r="BJ3" s="27" t="s">
        <v>55</v>
      </c>
      <c r="BK3" s="27" t="s">
        <v>3</v>
      </c>
    </row>
    <row r="4" spans="1:63" ht="54" customHeight="1" x14ac:dyDescent="0.2">
      <c r="A4" s="28"/>
      <c r="B4" s="29"/>
      <c r="C4" s="29"/>
      <c r="D4" s="29"/>
      <c r="E4" s="29"/>
      <c r="F4" s="29"/>
      <c r="G4" s="29"/>
      <c r="H4" s="29"/>
      <c r="I4" s="30" t="s">
        <v>56</v>
      </c>
      <c r="J4" s="1" t="s">
        <v>57</v>
      </c>
      <c r="K4" s="1" t="s">
        <v>59</v>
      </c>
      <c r="L4" s="1" t="s">
        <v>59</v>
      </c>
      <c r="M4" s="1" t="s">
        <v>59</v>
      </c>
      <c r="N4" s="1" t="s">
        <v>59</v>
      </c>
      <c r="O4" s="1" t="s">
        <v>59</v>
      </c>
      <c r="P4" s="1" t="s">
        <v>59</v>
      </c>
      <c r="Q4" s="1" t="s">
        <v>59</v>
      </c>
      <c r="R4" s="1" t="s">
        <v>59</v>
      </c>
      <c r="S4" s="1" t="s">
        <v>59</v>
      </c>
      <c r="T4" s="1" t="s">
        <v>59</v>
      </c>
      <c r="U4" s="1" t="s">
        <v>59</v>
      </c>
      <c r="V4" s="1" t="s">
        <v>59</v>
      </c>
      <c r="W4" s="1" t="s">
        <v>59</v>
      </c>
      <c r="X4" s="1" t="s">
        <v>59</v>
      </c>
      <c r="Y4" s="1" t="s">
        <v>59</v>
      </c>
      <c r="Z4" s="1" t="s">
        <v>59</v>
      </c>
      <c r="AA4" s="1" t="s">
        <v>59</v>
      </c>
      <c r="AB4" s="1" t="s">
        <v>59</v>
      </c>
      <c r="AC4" s="1" t="s">
        <v>59</v>
      </c>
      <c r="AD4" s="1" t="s">
        <v>59</v>
      </c>
      <c r="AE4" s="1" t="s">
        <v>59</v>
      </c>
      <c r="AF4" s="1" t="s">
        <v>59</v>
      </c>
      <c r="AG4" s="1" t="s">
        <v>59</v>
      </c>
      <c r="AH4" s="1" t="s">
        <v>59</v>
      </c>
      <c r="AI4" s="1" t="s">
        <v>59</v>
      </c>
      <c r="AJ4" s="1" t="s">
        <v>59</v>
      </c>
      <c r="AK4" s="1" t="s">
        <v>59</v>
      </c>
      <c r="AL4" s="1" t="s">
        <v>59</v>
      </c>
      <c r="AM4" s="1" t="s">
        <v>59</v>
      </c>
      <c r="AN4" s="1" t="s">
        <v>59</v>
      </c>
      <c r="AO4" s="1" t="s">
        <v>59</v>
      </c>
      <c r="AP4" s="1" t="s">
        <v>59</v>
      </c>
      <c r="AQ4" s="1" t="s">
        <v>59</v>
      </c>
      <c r="AR4" s="1" t="s">
        <v>59</v>
      </c>
      <c r="AS4" s="1" t="s">
        <v>59</v>
      </c>
      <c r="AT4" s="1" t="s">
        <v>59</v>
      </c>
      <c r="AU4" s="1" t="s">
        <v>59</v>
      </c>
      <c r="AV4" s="1" t="s">
        <v>59</v>
      </c>
      <c r="AW4" s="1" t="s">
        <v>59</v>
      </c>
      <c r="AX4" s="1" t="s">
        <v>59</v>
      </c>
      <c r="AY4" s="1" t="s">
        <v>59</v>
      </c>
      <c r="AZ4" s="1" t="s">
        <v>59</v>
      </c>
      <c r="BA4" s="1" t="s">
        <v>59</v>
      </c>
      <c r="BB4" s="1" t="s">
        <v>59</v>
      </c>
      <c r="BC4" s="1" t="s">
        <v>59</v>
      </c>
      <c r="BD4" s="1" t="s">
        <v>59</v>
      </c>
      <c r="BE4" s="1" t="s">
        <v>59</v>
      </c>
      <c r="BF4" s="1" t="s">
        <v>59</v>
      </c>
      <c r="BG4" s="1" t="s">
        <v>59</v>
      </c>
      <c r="BH4" s="1" t="s">
        <v>59</v>
      </c>
      <c r="BI4" s="1" t="s">
        <v>59</v>
      </c>
      <c r="BJ4" s="1" t="s">
        <v>59</v>
      </c>
      <c r="BK4" s="2" t="s">
        <v>57</v>
      </c>
    </row>
    <row r="5" spans="1:63" ht="57" customHeight="1" x14ac:dyDescent="0.2">
      <c r="A5" s="31" t="s">
        <v>60</v>
      </c>
      <c r="B5" s="32" t="s">
        <v>61</v>
      </c>
      <c r="C5" s="32" t="s">
        <v>62</v>
      </c>
      <c r="D5" s="32" t="s">
        <v>63</v>
      </c>
      <c r="E5" s="32" t="s">
        <v>64</v>
      </c>
      <c r="F5" s="32" t="s">
        <v>65</v>
      </c>
      <c r="G5" s="32" t="s">
        <v>66</v>
      </c>
      <c r="H5" s="32" t="s">
        <v>67</v>
      </c>
      <c r="I5" s="32" t="s">
        <v>68</v>
      </c>
      <c r="J5" s="3" t="s">
        <v>57</v>
      </c>
      <c r="K5" s="3" t="s">
        <v>72</v>
      </c>
      <c r="L5" s="3" t="s">
        <v>73</v>
      </c>
      <c r="M5" s="3" t="s">
        <v>74</v>
      </c>
      <c r="N5" s="3" t="s">
        <v>75</v>
      </c>
      <c r="O5" s="3" t="s">
        <v>76</v>
      </c>
      <c r="P5" s="3" t="s">
        <v>77</v>
      </c>
      <c r="Q5" s="3" t="s">
        <v>78</v>
      </c>
      <c r="R5" s="3" t="s">
        <v>79</v>
      </c>
      <c r="S5" s="3" t="s">
        <v>58</v>
      </c>
      <c r="T5" s="3" t="s">
        <v>80</v>
      </c>
      <c r="U5" s="3" t="s">
        <v>81</v>
      </c>
      <c r="V5" s="3" t="s">
        <v>82</v>
      </c>
      <c r="W5" s="3" t="s">
        <v>83</v>
      </c>
      <c r="X5" s="3" t="s">
        <v>84</v>
      </c>
      <c r="Y5" s="3" t="s">
        <v>85</v>
      </c>
      <c r="Z5" s="3" t="s">
        <v>86</v>
      </c>
      <c r="AA5" s="3" t="s">
        <v>87</v>
      </c>
      <c r="AB5" s="3" t="s">
        <v>88</v>
      </c>
      <c r="AC5" s="3" t="s">
        <v>71</v>
      </c>
      <c r="AD5" s="3" t="s">
        <v>89</v>
      </c>
      <c r="AE5" s="3" t="s">
        <v>90</v>
      </c>
      <c r="AF5" s="3" t="s">
        <v>91</v>
      </c>
      <c r="AG5" s="3" t="s">
        <v>92</v>
      </c>
      <c r="AH5" s="3" t="s">
        <v>93</v>
      </c>
      <c r="AI5" s="3" t="s">
        <v>70</v>
      </c>
      <c r="AJ5" s="3" t="s">
        <v>94</v>
      </c>
      <c r="AK5" s="3" t="s">
        <v>95</v>
      </c>
      <c r="AL5" s="3" t="s">
        <v>96</v>
      </c>
      <c r="AM5" s="3" t="s">
        <v>97</v>
      </c>
      <c r="AN5" s="3" t="s">
        <v>98</v>
      </c>
      <c r="AO5" s="3" t="s">
        <v>99</v>
      </c>
      <c r="AP5" s="3" t="s">
        <v>100</v>
      </c>
      <c r="AQ5" s="3" t="s">
        <v>101</v>
      </c>
      <c r="AR5" s="3" t="s">
        <v>102</v>
      </c>
      <c r="AS5" s="3" t="s">
        <v>103</v>
      </c>
      <c r="AT5" s="3" t="s">
        <v>104</v>
      </c>
      <c r="AU5" s="3" t="s">
        <v>105</v>
      </c>
      <c r="AV5" s="3" t="s">
        <v>106</v>
      </c>
      <c r="AW5" s="3" t="s">
        <v>107</v>
      </c>
      <c r="AX5" s="3" t="s">
        <v>108</v>
      </c>
      <c r="AY5" s="3" t="s">
        <v>109</v>
      </c>
      <c r="AZ5" s="3" t="s">
        <v>110</v>
      </c>
      <c r="BA5" s="3" t="s">
        <v>111</v>
      </c>
      <c r="BB5" s="3" t="s">
        <v>112</v>
      </c>
      <c r="BC5" s="3" t="s">
        <v>113</v>
      </c>
      <c r="BD5" s="3" t="s">
        <v>114</v>
      </c>
      <c r="BE5" s="3" t="s">
        <v>115</v>
      </c>
      <c r="BF5" s="3" t="s">
        <v>116</v>
      </c>
      <c r="BG5" s="3" t="s">
        <v>117</v>
      </c>
      <c r="BH5" s="3" t="s">
        <v>118</v>
      </c>
      <c r="BI5" s="3" t="s">
        <v>119</v>
      </c>
      <c r="BJ5" s="3" t="s">
        <v>69</v>
      </c>
      <c r="BK5" s="4" t="s">
        <v>57</v>
      </c>
    </row>
    <row r="6" spans="1:63" x14ac:dyDescent="0.2">
      <c r="I6" s="33" t="s">
        <v>120</v>
      </c>
      <c r="J6" s="34"/>
      <c r="BK6" s="35"/>
    </row>
    <row r="7" spans="1:63" x14ac:dyDescent="0.2">
      <c r="A7" s="36">
        <v>15</v>
      </c>
      <c r="B7" s="33" t="s">
        <v>121</v>
      </c>
      <c r="C7" s="33" t="s">
        <v>122</v>
      </c>
      <c r="D7" s="46" t="s">
        <v>123</v>
      </c>
      <c r="E7" s="33" t="s">
        <v>124</v>
      </c>
      <c r="F7" s="33" t="s">
        <v>121</v>
      </c>
      <c r="G7" s="37">
        <v>1</v>
      </c>
      <c r="H7" s="37">
        <v>1</v>
      </c>
      <c r="I7" s="38" t="s">
        <v>125</v>
      </c>
      <c r="J7" s="14">
        <v>1277.2112739948204</v>
      </c>
      <c r="K7" s="14">
        <v>1224.6853651204178</v>
      </c>
      <c r="L7" s="14">
        <v>399.03348724532026</v>
      </c>
      <c r="M7" s="14">
        <v>1547.031649598169</v>
      </c>
      <c r="N7" s="14">
        <v>725.66655291976122</v>
      </c>
      <c r="O7" s="14">
        <v>2689.849941057008</v>
      </c>
      <c r="P7" s="14"/>
      <c r="Q7" s="14">
        <v>1381.8381429529329</v>
      </c>
      <c r="R7" s="14">
        <v>1197.541091354632</v>
      </c>
      <c r="S7" s="14">
        <v>1344.8416085543231</v>
      </c>
      <c r="T7" s="14"/>
      <c r="U7" s="14">
        <v>1420.2139927370802</v>
      </c>
      <c r="V7" s="14">
        <v>1448.3108212588736</v>
      </c>
      <c r="W7" s="14">
        <v>1373.6681624859132</v>
      </c>
      <c r="X7" s="14">
        <v>1530.8556794596993</v>
      </c>
      <c r="Y7" s="14">
        <v>2042.2847259317907</v>
      </c>
      <c r="Z7" s="14">
        <v>1378.6231822375926</v>
      </c>
      <c r="AA7" s="14">
        <v>1364.5121876446158</v>
      </c>
      <c r="AB7" s="14">
        <v>1030.974978833141</v>
      </c>
      <c r="AC7" s="14">
        <v>1467.2977605384456</v>
      </c>
      <c r="AD7" s="14">
        <v>1318.2930179197569</v>
      </c>
      <c r="AE7" s="14">
        <v>1390.0190408822089</v>
      </c>
      <c r="AF7" s="14">
        <v>1215.50852698214</v>
      </c>
      <c r="AG7" s="14">
        <v>1461.9545614742772</v>
      </c>
      <c r="AH7" s="14">
        <v>1468.0765533648466</v>
      </c>
      <c r="AI7" s="14">
        <v>2353.5024446627713</v>
      </c>
      <c r="AJ7" s="14">
        <v>2201.7209510929965</v>
      </c>
      <c r="AK7" s="14">
        <v>1762.8817036981177</v>
      </c>
      <c r="AL7" s="14"/>
      <c r="AM7" s="14">
        <v>1652.8007843679754</v>
      </c>
      <c r="AN7" s="14">
        <v>1674.8611688881492</v>
      </c>
      <c r="AO7" s="14">
        <v>1371.5861827034337</v>
      </c>
      <c r="AP7" s="14">
        <v>1421.0936589726512</v>
      </c>
      <c r="AQ7" s="14">
        <v>1256.0596343545224</v>
      </c>
      <c r="AR7" s="14">
        <v>1402.6878418979713</v>
      </c>
      <c r="AS7" s="14">
        <v>2272.3871181538939</v>
      </c>
      <c r="AT7" s="14">
        <v>2067.95195707221</v>
      </c>
      <c r="AU7" s="14">
        <v>1602.4682372547973</v>
      </c>
      <c r="AV7" s="14"/>
      <c r="AW7" s="14">
        <v>1329.8548058491606</v>
      </c>
      <c r="AX7" s="14">
        <v>1851.0035207311823</v>
      </c>
      <c r="AY7" s="14">
        <v>1458.8926194787257</v>
      </c>
      <c r="AZ7" s="14">
        <v>2034.9960429453163</v>
      </c>
      <c r="BA7" s="14">
        <v>1937.2648487267554</v>
      </c>
      <c r="BB7" s="14">
        <v>1229.4450750147971</v>
      </c>
      <c r="BC7" s="14">
        <v>1467.6442083392824</v>
      </c>
      <c r="BD7" s="14">
        <v>2128.0946463017285</v>
      </c>
      <c r="BE7" s="14">
        <v>1496.1054090174218</v>
      </c>
      <c r="BF7" s="14">
        <v>1515.7970194594611</v>
      </c>
      <c r="BG7" s="14">
        <v>2773.68556241024</v>
      </c>
      <c r="BH7" s="14">
        <v>1204.0827867248165</v>
      </c>
      <c r="BI7" s="14">
        <v>1305.8988174511921</v>
      </c>
      <c r="BJ7" s="14">
        <v>1869.4347934987068</v>
      </c>
      <c r="BK7" s="39">
        <v>1277.2112739948204</v>
      </c>
    </row>
    <row r="8" spans="1:63" x14ac:dyDescent="0.2">
      <c r="A8" s="40"/>
      <c r="B8" s="34"/>
      <c r="C8" s="34"/>
      <c r="D8" s="47"/>
      <c r="E8" s="34"/>
      <c r="F8" s="34"/>
      <c r="G8" s="41"/>
      <c r="H8" s="41"/>
      <c r="I8" s="38" t="s">
        <v>127</v>
      </c>
      <c r="J8" s="14">
        <v>342.45512686974371</v>
      </c>
      <c r="K8" s="14">
        <v>0.47577527524510588</v>
      </c>
      <c r="L8" s="14">
        <v>847.86371670013557</v>
      </c>
      <c r="M8" s="14">
        <v>19.467894479271891</v>
      </c>
      <c r="N8" s="14">
        <v>522.44623805676383</v>
      </c>
      <c r="O8" s="14">
        <v>239.28832685741006</v>
      </c>
      <c r="P8" s="14"/>
      <c r="Q8" s="14">
        <v>21.855727634674388</v>
      </c>
      <c r="R8" s="14"/>
      <c r="S8" s="14">
        <v>22.826801613945481</v>
      </c>
      <c r="T8" s="14"/>
      <c r="U8" s="14">
        <v>863.91252303628789</v>
      </c>
      <c r="V8" s="14">
        <v>0.59277953416706297</v>
      </c>
      <c r="W8" s="14">
        <v>1.1009928639833333</v>
      </c>
      <c r="X8" s="14">
        <v>15.025849437198898</v>
      </c>
      <c r="Y8" s="14">
        <v>76.424410856232385</v>
      </c>
      <c r="Z8" s="14">
        <v>4.2828711601179377</v>
      </c>
      <c r="AA8" s="14">
        <v>2.4885505455106944</v>
      </c>
      <c r="AB8" s="14">
        <v>3.567865883892548E-2</v>
      </c>
      <c r="AC8" s="14">
        <v>3.4983781269136878</v>
      </c>
      <c r="AD8" s="14"/>
      <c r="AE8" s="14">
        <v>3.4900689279101971</v>
      </c>
      <c r="AF8" s="14">
        <v>2.4645102650097555E-3</v>
      </c>
      <c r="AG8" s="14">
        <v>10.854156602649743</v>
      </c>
      <c r="AH8" s="14">
        <v>6.4197726889473028</v>
      </c>
      <c r="AI8" s="14">
        <v>52.834769240815689</v>
      </c>
      <c r="AJ8" s="14">
        <v>114.56260725109681</v>
      </c>
      <c r="AK8" s="14">
        <v>896.10970021341234</v>
      </c>
      <c r="AL8" s="14"/>
      <c r="AM8" s="14">
        <v>10.55069805617585</v>
      </c>
      <c r="AN8" s="14">
        <v>943.22220380534168</v>
      </c>
      <c r="AO8" s="14">
        <v>1.3525304567220475</v>
      </c>
      <c r="AP8" s="14">
        <v>4.8672372091478202</v>
      </c>
      <c r="AQ8" s="14">
        <v>1.323588569951416</v>
      </c>
      <c r="AR8" s="14">
        <v>10.100862962071981</v>
      </c>
      <c r="AS8" s="14">
        <v>35.857939649793302</v>
      </c>
      <c r="AT8" s="14">
        <v>274.53412028373293</v>
      </c>
      <c r="AU8" s="14">
        <v>0.41879763741214737</v>
      </c>
      <c r="AV8" s="14"/>
      <c r="AW8" s="14">
        <v>6.095978720609792</v>
      </c>
      <c r="AX8" s="14">
        <v>2.7370878419707712</v>
      </c>
      <c r="AY8" s="14">
        <v>0.57184173723076837</v>
      </c>
      <c r="AZ8" s="14">
        <v>304.3899313478604</v>
      </c>
      <c r="BA8" s="14">
        <v>670.90566214046703</v>
      </c>
      <c r="BB8" s="14"/>
      <c r="BC8" s="14">
        <v>1.2945008242960732</v>
      </c>
      <c r="BD8" s="14">
        <v>262.04422178616454</v>
      </c>
      <c r="BE8" s="14">
        <v>11.353947670304541</v>
      </c>
      <c r="BF8" s="14">
        <v>1.0766082027096193</v>
      </c>
      <c r="BG8" s="14">
        <v>128.80907222481423</v>
      </c>
      <c r="BH8" s="14"/>
      <c r="BI8" s="14"/>
      <c r="BJ8" s="14">
        <v>91.906439678421606</v>
      </c>
      <c r="BK8" s="39">
        <v>342.45512686974371</v>
      </c>
    </row>
    <row r="9" spans="1:63" x14ac:dyDescent="0.2">
      <c r="A9" s="42"/>
      <c r="B9" s="43"/>
      <c r="C9" s="43"/>
      <c r="D9" s="43"/>
      <c r="E9" s="43"/>
      <c r="F9" s="43"/>
      <c r="G9" s="44"/>
      <c r="H9" s="44"/>
      <c r="I9" s="38" t="s">
        <v>128</v>
      </c>
      <c r="J9" s="14">
        <v>207.42184664641792</v>
      </c>
      <c r="K9" s="14">
        <v>127.30393460473869</v>
      </c>
      <c r="L9" s="14">
        <v>156.19056136373703</v>
      </c>
      <c r="M9" s="14">
        <v>146.09910021051516</v>
      </c>
      <c r="N9" s="14">
        <v>158.00680492847073</v>
      </c>
      <c r="O9" s="14">
        <v>370.04152504641957</v>
      </c>
      <c r="P9" s="14"/>
      <c r="Q9" s="14">
        <v>135.16289886418755</v>
      </c>
      <c r="R9" s="14">
        <v>133.47950206727896</v>
      </c>
      <c r="S9" s="14">
        <v>145.71790324480477</v>
      </c>
      <c r="T9" s="14"/>
      <c r="U9" s="14">
        <v>213.72843335435874</v>
      </c>
      <c r="V9" s="14">
        <v>133.363510675394</v>
      </c>
      <c r="W9" s="14">
        <v>131.7456776642214</v>
      </c>
      <c r="X9" s="14">
        <v>144.38959984201693</v>
      </c>
      <c r="Y9" s="14">
        <v>222.9607615727094</v>
      </c>
      <c r="Z9" s="14">
        <v>126.03521804079998</v>
      </c>
      <c r="AA9" s="14">
        <v>129.57004196035754</v>
      </c>
      <c r="AB9" s="14">
        <v>120.50652337308553</v>
      </c>
      <c r="AC9" s="14">
        <v>142.16340997915694</v>
      </c>
      <c r="AD9" s="14">
        <v>126.99694604682729</v>
      </c>
      <c r="AE9" s="14">
        <v>145.72828986348159</v>
      </c>
      <c r="AF9" s="14">
        <v>152.16527122524755</v>
      </c>
      <c r="AG9" s="14">
        <v>134.07929237820989</v>
      </c>
      <c r="AH9" s="14">
        <v>135.69498980336735</v>
      </c>
      <c r="AI9" s="14">
        <v>298.63353991274943</v>
      </c>
      <c r="AJ9" s="14">
        <v>254.70179834076691</v>
      </c>
      <c r="AK9" s="14">
        <v>315.74309472437977</v>
      </c>
      <c r="AL9" s="14"/>
      <c r="AM9" s="14">
        <v>144.27660402373886</v>
      </c>
      <c r="AN9" s="14">
        <v>244.37333067692626</v>
      </c>
      <c r="AO9" s="14">
        <v>137.80197211376833</v>
      </c>
      <c r="AP9" s="14">
        <v>143.99573472090319</v>
      </c>
      <c r="AQ9" s="14">
        <v>183.59167958426613</v>
      </c>
      <c r="AR9" s="14">
        <v>132.68291161462435</v>
      </c>
      <c r="AS9" s="14">
        <v>225.54806790832413</v>
      </c>
      <c r="AT9" s="14">
        <v>320.01576793643352</v>
      </c>
      <c r="AU9" s="14">
        <v>137.21251247038799</v>
      </c>
      <c r="AV9" s="14"/>
      <c r="AW9" s="14">
        <v>152.45388968178526</v>
      </c>
      <c r="AX9" s="14">
        <v>206.19832746199847</v>
      </c>
      <c r="AY9" s="14">
        <v>130.37210497970642</v>
      </c>
      <c r="AZ9" s="14">
        <v>248.42704208616476</v>
      </c>
      <c r="BA9" s="14">
        <v>288.79922713973144</v>
      </c>
      <c r="BB9" s="14">
        <v>129.63777554573161</v>
      </c>
      <c r="BC9" s="14">
        <v>151.81752552361627</v>
      </c>
      <c r="BD9" s="14">
        <v>335.39382018725854</v>
      </c>
      <c r="BE9" s="14">
        <v>140.60989914068892</v>
      </c>
      <c r="BF9" s="14">
        <v>140.58383794255195</v>
      </c>
      <c r="BG9" s="14">
        <v>320.45533944698718</v>
      </c>
      <c r="BH9" s="14">
        <v>119.73168986426603</v>
      </c>
      <c r="BI9" s="14">
        <v>119.73185030291333</v>
      </c>
      <c r="BJ9" s="14">
        <v>229.20716921347486</v>
      </c>
      <c r="BK9" s="39">
        <v>207.42184664641792</v>
      </c>
    </row>
    <row r="10" spans="1:63" x14ac:dyDescent="0.2">
      <c r="A10" s="36">
        <v>56</v>
      </c>
      <c r="B10" s="33" t="s">
        <v>129</v>
      </c>
      <c r="C10" s="33" t="s">
        <v>130</v>
      </c>
      <c r="D10" s="33" t="s">
        <v>131</v>
      </c>
      <c r="E10" s="33" t="s">
        <v>132</v>
      </c>
      <c r="F10" s="33" t="s">
        <v>129</v>
      </c>
      <c r="G10" s="37">
        <v>1</v>
      </c>
      <c r="H10" s="37">
        <v>1</v>
      </c>
      <c r="I10" s="48" t="s">
        <v>125</v>
      </c>
      <c r="J10" s="14">
        <v>947.1963480386853</v>
      </c>
      <c r="K10" s="14">
        <v>632.6463912797152</v>
      </c>
      <c r="L10" s="14">
        <v>248.80792770430736</v>
      </c>
      <c r="M10" s="14">
        <v>405.92942144473938</v>
      </c>
      <c r="N10" s="14">
        <v>138.93968919446516</v>
      </c>
      <c r="O10" s="14">
        <v>379.08859456400671</v>
      </c>
      <c r="P10" s="14">
        <v>459.17828666565396</v>
      </c>
      <c r="Q10" s="14">
        <v>477.31673922840446</v>
      </c>
      <c r="R10" s="14">
        <v>485.66750873768979</v>
      </c>
      <c r="S10" s="14">
        <v>505.2844881931893</v>
      </c>
      <c r="T10" s="14"/>
      <c r="U10" s="14">
        <v>951.45955434751841</v>
      </c>
      <c r="V10" s="14">
        <v>578.35476885890296</v>
      </c>
      <c r="W10" s="14">
        <v>525.74702131482491</v>
      </c>
      <c r="X10" s="14">
        <v>552.6046181155383</v>
      </c>
      <c r="Y10" s="14">
        <v>479.35517822553163</v>
      </c>
      <c r="Z10" s="14">
        <v>581.42067981723949</v>
      </c>
      <c r="AA10" s="14">
        <v>554.47611979704891</v>
      </c>
      <c r="AB10" s="14">
        <v>376.63329884040712</v>
      </c>
      <c r="AC10" s="14">
        <v>504.8328560341746</v>
      </c>
      <c r="AD10" s="14">
        <v>456.48617411565198</v>
      </c>
      <c r="AE10" s="14">
        <v>466.17826713792141</v>
      </c>
      <c r="AF10" s="14">
        <v>524.6654077205153</v>
      </c>
      <c r="AG10" s="14">
        <v>510.21150154129685</v>
      </c>
      <c r="AH10" s="14">
        <v>590.66051035767055</v>
      </c>
      <c r="AI10" s="14">
        <v>305.96042329936461</v>
      </c>
      <c r="AJ10" s="14">
        <v>443.11150361902253</v>
      </c>
      <c r="AK10" s="14">
        <v>643.28636608420891</v>
      </c>
      <c r="AL10" s="14">
        <v>393.58451960712426</v>
      </c>
      <c r="AM10" s="14">
        <v>443.98975940283668</v>
      </c>
      <c r="AN10" s="14">
        <v>394.25017839900755</v>
      </c>
      <c r="AO10" s="14">
        <v>447.32006729286127</v>
      </c>
      <c r="AP10" s="14">
        <v>527.87875836700778</v>
      </c>
      <c r="AQ10" s="14">
        <v>508.88269231517847</v>
      </c>
      <c r="AR10" s="14">
        <v>492.92139637675962</v>
      </c>
      <c r="AS10" s="14">
        <v>464.33153769461904</v>
      </c>
      <c r="AT10" s="14">
        <v>279.47608662809387</v>
      </c>
      <c r="AU10" s="14">
        <v>455.89254750178901</v>
      </c>
      <c r="AV10" s="14">
        <v>470.22145182977204</v>
      </c>
      <c r="AW10" s="14">
        <v>537.95259434864352</v>
      </c>
      <c r="AX10" s="14">
        <v>586.48549643562512</v>
      </c>
      <c r="AY10" s="14">
        <v>648.32303588506875</v>
      </c>
      <c r="AZ10" s="14">
        <v>556.25285799889366</v>
      </c>
      <c r="BA10" s="14">
        <v>247.06185182708791</v>
      </c>
      <c r="BB10" s="14">
        <v>412.12334130529393</v>
      </c>
      <c r="BC10" s="14">
        <v>520.22769229041876</v>
      </c>
      <c r="BD10" s="14">
        <v>208.91859167986391</v>
      </c>
      <c r="BE10" s="14">
        <v>442.06259052038007</v>
      </c>
      <c r="BF10" s="14">
        <v>464.57245016500167</v>
      </c>
      <c r="BG10" s="14">
        <v>313.65502899382375</v>
      </c>
      <c r="BH10" s="14">
        <v>413.6853870730618</v>
      </c>
      <c r="BI10" s="14">
        <v>456.94796124796915</v>
      </c>
      <c r="BJ10" s="14">
        <v>522.42939466507812</v>
      </c>
      <c r="BK10" s="39">
        <v>947.1963480386853</v>
      </c>
    </row>
    <row r="11" spans="1:63" x14ac:dyDescent="0.2">
      <c r="A11" s="40"/>
      <c r="B11" s="34"/>
      <c r="C11" s="34"/>
      <c r="D11" s="34"/>
      <c r="E11" s="34"/>
      <c r="F11" s="34"/>
      <c r="G11" s="41"/>
      <c r="H11" s="41"/>
      <c r="I11" s="38" t="s">
        <v>127</v>
      </c>
      <c r="J11" s="14">
        <v>81.226395598640849</v>
      </c>
      <c r="K11" s="14">
        <v>14.786508805456359</v>
      </c>
      <c r="L11" s="14">
        <v>602.63525947643041</v>
      </c>
      <c r="M11" s="14">
        <v>210.90386414415536</v>
      </c>
      <c r="N11" s="14">
        <v>439.73754629282615</v>
      </c>
      <c r="O11" s="14">
        <v>355.07676725449681</v>
      </c>
      <c r="P11" s="14">
        <v>3.032796781766542</v>
      </c>
      <c r="Q11" s="14">
        <v>34.260329153485984</v>
      </c>
      <c r="R11" s="14">
        <v>77.718425949589431</v>
      </c>
      <c r="S11" s="14">
        <v>70.936111899907559</v>
      </c>
      <c r="T11" s="14"/>
      <c r="U11" s="14"/>
      <c r="V11" s="14">
        <v>5.3793655922548052</v>
      </c>
      <c r="W11" s="14">
        <v>6.8007256877625704</v>
      </c>
      <c r="X11" s="14">
        <v>1.6543481498537813</v>
      </c>
      <c r="Y11" s="14">
        <v>264.74878087217456</v>
      </c>
      <c r="Z11" s="14">
        <v>2.2675517053455572</v>
      </c>
      <c r="AA11" s="14">
        <v>88.516664086034183</v>
      </c>
      <c r="AB11" s="14">
        <v>0.22746908645054639</v>
      </c>
      <c r="AC11" s="14">
        <v>13.023034950322275</v>
      </c>
      <c r="AD11" s="14">
        <v>2.9054743930421022E-2</v>
      </c>
      <c r="AE11" s="14">
        <v>13.793555668476072</v>
      </c>
      <c r="AF11" s="14">
        <v>4.3668619636014085</v>
      </c>
      <c r="AG11" s="14">
        <v>78.793831268807935</v>
      </c>
      <c r="AH11" s="14">
        <v>27.2459755214187</v>
      </c>
      <c r="AI11" s="14">
        <v>290.19953655874582</v>
      </c>
      <c r="AJ11" s="14">
        <v>190.60646771840297</v>
      </c>
      <c r="AK11" s="14">
        <v>241.64466301059139</v>
      </c>
      <c r="AL11" s="14"/>
      <c r="AM11" s="14">
        <v>5.0677718488363777</v>
      </c>
      <c r="AN11" s="14">
        <v>398.4410939000395</v>
      </c>
      <c r="AO11" s="14">
        <v>1.3598342057827826</v>
      </c>
      <c r="AP11" s="14">
        <v>3.6937696454093691</v>
      </c>
      <c r="AQ11" s="14">
        <v>22.903733303235253</v>
      </c>
      <c r="AR11" s="14">
        <v>0.18595704377832145</v>
      </c>
      <c r="AS11" s="14">
        <v>306.49666328436007</v>
      </c>
      <c r="AT11" s="14">
        <v>410.44487734805023</v>
      </c>
      <c r="AU11" s="14">
        <v>0.70384459369074037</v>
      </c>
      <c r="AV11" s="14"/>
      <c r="AW11" s="14">
        <v>11.356867324387832</v>
      </c>
      <c r="AX11" s="14">
        <v>16.82469378102622</v>
      </c>
      <c r="AY11" s="14">
        <v>4.0553361014775433</v>
      </c>
      <c r="AZ11" s="14">
        <v>254.10190366993061</v>
      </c>
      <c r="BA11" s="14">
        <v>498.8156385287345</v>
      </c>
      <c r="BB11" s="14">
        <v>5.1797017913911676E-2</v>
      </c>
      <c r="BC11" s="14">
        <v>8.8511597044191497</v>
      </c>
      <c r="BD11" s="14">
        <v>426.75063604246634</v>
      </c>
      <c r="BE11" s="14">
        <v>3.0039048390821863E-2</v>
      </c>
      <c r="BF11" s="14">
        <v>3.4710634815358863</v>
      </c>
      <c r="BG11" s="14">
        <v>342.24599635623838</v>
      </c>
      <c r="BH11" s="14"/>
      <c r="BI11" s="14"/>
      <c r="BJ11" s="14">
        <v>63.28783472123375</v>
      </c>
      <c r="BK11" s="39">
        <v>81.226395598640849</v>
      </c>
    </row>
    <row r="12" spans="1:63" x14ac:dyDescent="0.2">
      <c r="A12" s="42"/>
      <c r="B12" s="43"/>
      <c r="C12" s="43"/>
      <c r="D12" s="43"/>
      <c r="E12" s="43"/>
      <c r="F12" s="43"/>
      <c r="G12" s="44"/>
      <c r="H12" s="44"/>
      <c r="I12" s="38" t="s">
        <v>128</v>
      </c>
      <c r="J12" s="14">
        <v>193.93091967735268</v>
      </c>
      <c r="K12" s="14">
        <v>187.09314507455895</v>
      </c>
      <c r="L12" s="14">
        <v>173.53032667825735</v>
      </c>
      <c r="M12" s="14">
        <v>162.41988543787218</v>
      </c>
      <c r="N12" s="14">
        <v>142.69933393484911</v>
      </c>
      <c r="O12" s="14">
        <v>157.27885642515736</v>
      </c>
      <c r="P12" s="14">
        <v>149.94575203286675</v>
      </c>
      <c r="Q12" s="14">
        <v>153.00626411569451</v>
      </c>
      <c r="R12" s="14">
        <v>146.42412185989787</v>
      </c>
      <c r="S12" s="14">
        <v>165.0321251157556</v>
      </c>
      <c r="T12" s="14"/>
      <c r="U12" s="14">
        <v>649.24827996262638</v>
      </c>
      <c r="V12" s="14">
        <v>191.65810071591358</v>
      </c>
      <c r="W12" s="14">
        <v>172.38680655415632</v>
      </c>
      <c r="X12" s="14">
        <v>177.40727964802753</v>
      </c>
      <c r="Y12" s="14">
        <v>165.88593615232716</v>
      </c>
      <c r="Z12" s="14">
        <v>190.36169594774259</v>
      </c>
      <c r="AA12" s="14">
        <v>179.53692118182579</v>
      </c>
      <c r="AB12" s="14">
        <v>138.49247414887333</v>
      </c>
      <c r="AC12" s="14">
        <v>165.37389694733864</v>
      </c>
      <c r="AD12" s="14">
        <v>148.69856887097967</v>
      </c>
      <c r="AE12" s="14">
        <v>162.70170288711606</v>
      </c>
      <c r="AF12" s="14">
        <v>165.12696761891448</v>
      </c>
      <c r="AG12" s="14">
        <v>178.93700848724671</v>
      </c>
      <c r="AH12" s="14">
        <v>185.60526361567085</v>
      </c>
      <c r="AI12" s="14">
        <v>162.04714885458685</v>
      </c>
      <c r="AJ12" s="14">
        <v>153.18769241477381</v>
      </c>
      <c r="AK12" s="14">
        <v>423.1958074959104</v>
      </c>
      <c r="AL12" s="14">
        <v>132.4635738003708</v>
      </c>
      <c r="AM12" s="14">
        <v>145.51011133779588</v>
      </c>
      <c r="AN12" s="14">
        <v>162.15279197697345</v>
      </c>
      <c r="AO12" s="14">
        <v>148.57463043770346</v>
      </c>
      <c r="AP12" s="14">
        <v>152.1795636843045</v>
      </c>
      <c r="AQ12" s="14">
        <v>184.29381586157308</v>
      </c>
      <c r="AR12" s="14">
        <v>165.12936953032357</v>
      </c>
      <c r="AS12" s="14">
        <v>176.24935075822512</v>
      </c>
      <c r="AT12" s="14">
        <v>204.5548583018963</v>
      </c>
      <c r="AU12" s="14">
        <v>149.98985881188952</v>
      </c>
      <c r="AV12" s="14">
        <v>156.76667368659787</v>
      </c>
      <c r="AW12" s="14">
        <v>170.7063171845989</v>
      </c>
      <c r="AX12" s="14">
        <v>215.17678581795022</v>
      </c>
      <c r="AY12" s="14">
        <v>211.09570803149703</v>
      </c>
      <c r="AZ12" s="14">
        <v>205.36319317093563</v>
      </c>
      <c r="BA12" s="14">
        <v>162.65652885872674</v>
      </c>
      <c r="BB12" s="14">
        <v>144.13939822908193</v>
      </c>
      <c r="BC12" s="14">
        <v>170.3237905636162</v>
      </c>
      <c r="BD12" s="14">
        <v>174.90706480675811</v>
      </c>
      <c r="BE12" s="14">
        <v>155.23586760490747</v>
      </c>
      <c r="BF12" s="14">
        <v>157.77594972064745</v>
      </c>
      <c r="BG12" s="14">
        <v>157.35463309202913</v>
      </c>
      <c r="BH12" s="14">
        <v>131.20348546759939</v>
      </c>
      <c r="BI12" s="14">
        <v>131.2033385346347</v>
      </c>
      <c r="BJ12" s="14">
        <v>176.48289755184118</v>
      </c>
      <c r="BK12" s="39">
        <v>193.93091967735268</v>
      </c>
    </row>
    <row r="13" spans="1:63" x14ac:dyDescent="0.2">
      <c r="A13" s="36">
        <v>236</v>
      </c>
      <c r="B13" s="33" t="s">
        <v>133</v>
      </c>
      <c r="C13" s="33" t="s">
        <v>134</v>
      </c>
      <c r="D13" s="33" t="s">
        <v>135</v>
      </c>
      <c r="E13" s="33" t="s">
        <v>136</v>
      </c>
      <c r="F13" s="33" t="s">
        <v>133</v>
      </c>
      <c r="G13" s="37">
        <v>1</v>
      </c>
      <c r="H13" s="37">
        <v>1</v>
      </c>
      <c r="I13" s="48" t="s">
        <v>125</v>
      </c>
      <c r="J13" s="14">
        <v>2037.0420908011138</v>
      </c>
      <c r="K13" s="14">
        <v>1873.793153553745</v>
      </c>
      <c r="L13" s="14"/>
      <c r="M13" s="14">
        <v>1269.3936493783985</v>
      </c>
      <c r="N13" s="14"/>
      <c r="O13" s="14">
        <v>1232.9634604099042</v>
      </c>
      <c r="P13" s="14">
        <v>1215.1314283600414</v>
      </c>
      <c r="Q13" s="14">
        <v>1428.3219824452751</v>
      </c>
      <c r="R13" s="14">
        <v>1788.1932088543108</v>
      </c>
      <c r="S13" s="14">
        <v>1671.7776373029217</v>
      </c>
      <c r="T13" s="14"/>
      <c r="U13" s="14"/>
      <c r="V13" s="14">
        <v>1606.5754364572404</v>
      </c>
      <c r="W13" s="14">
        <v>1591.2003033701678</v>
      </c>
      <c r="X13" s="14">
        <v>1612.8301113708892</v>
      </c>
      <c r="Y13" s="14">
        <v>1608.9390047379707</v>
      </c>
      <c r="Z13" s="14">
        <v>1596.9858425379978</v>
      </c>
      <c r="AA13" s="14">
        <v>1831.7216971291396</v>
      </c>
      <c r="AB13" s="14">
        <v>949.0095310150117</v>
      </c>
      <c r="AC13" s="14">
        <v>1493.8515597965766</v>
      </c>
      <c r="AD13" s="14">
        <v>1219.8163678426836</v>
      </c>
      <c r="AE13" s="14">
        <v>1436.8039715454479</v>
      </c>
      <c r="AF13" s="14">
        <v>1564.6415038388466</v>
      </c>
      <c r="AG13" s="14">
        <v>1604.5388836705094</v>
      </c>
      <c r="AH13" s="14">
        <v>1607.6976990653991</v>
      </c>
      <c r="AI13" s="14"/>
      <c r="AJ13" s="14">
        <v>1371.1925712300283</v>
      </c>
      <c r="AK13" s="14"/>
      <c r="AL13" s="14"/>
      <c r="AM13" s="14">
        <v>1363.3200328179485</v>
      </c>
      <c r="AN13" s="14">
        <v>1830.4313264294969</v>
      </c>
      <c r="AO13" s="14">
        <v>1354.6624025320132</v>
      </c>
      <c r="AP13" s="14">
        <v>1596.8280686807204</v>
      </c>
      <c r="AQ13" s="14">
        <v>1559.9675563969595</v>
      </c>
      <c r="AR13" s="14">
        <v>1494.9140775978547</v>
      </c>
      <c r="AS13" s="14">
        <v>2135.2065861590122</v>
      </c>
      <c r="AT13" s="14"/>
      <c r="AU13" s="14">
        <v>1465.592631595616</v>
      </c>
      <c r="AV13" s="14"/>
      <c r="AW13" s="14">
        <v>1692.1247726205511</v>
      </c>
      <c r="AX13" s="14">
        <v>1564.7443222122602</v>
      </c>
      <c r="AY13" s="14">
        <v>1699.3115262079541</v>
      </c>
      <c r="AZ13" s="14">
        <v>1748.9479082327823</v>
      </c>
      <c r="BA13" s="14"/>
      <c r="BB13" s="14">
        <v>1136.5471433760574</v>
      </c>
      <c r="BC13" s="14">
        <v>1605.2038203459456</v>
      </c>
      <c r="BD13" s="14"/>
      <c r="BE13" s="14">
        <v>1450.0977686516655</v>
      </c>
      <c r="BF13" s="14">
        <v>1422.5441010361665</v>
      </c>
      <c r="BG13" s="14"/>
      <c r="BH13" s="14">
        <v>1430.0146386209628</v>
      </c>
      <c r="BI13" s="14">
        <v>1535.3588447443146</v>
      </c>
      <c r="BJ13" s="14">
        <v>1560.3460544278751</v>
      </c>
      <c r="BK13" s="39">
        <v>2037.0420908011138</v>
      </c>
    </row>
    <row r="14" spans="1:63" x14ac:dyDescent="0.2">
      <c r="A14" s="40"/>
      <c r="B14" s="34"/>
      <c r="C14" s="34"/>
      <c r="D14" s="34"/>
      <c r="E14" s="34"/>
      <c r="F14" s="34"/>
      <c r="G14" s="41"/>
      <c r="H14" s="41"/>
      <c r="I14" s="38" t="s">
        <v>127</v>
      </c>
      <c r="J14" s="14">
        <v>70.294011899631457</v>
      </c>
      <c r="K14" s="14">
        <v>5.0053269148714863</v>
      </c>
      <c r="L14" s="14"/>
      <c r="M14" s="14">
        <v>670.18836003344052</v>
      </c>
      <c r="N14" s="14"/>
      <c r="O14" s="14">
        <v>761.08440766525359</v>
      </c>
      <c r="P14" s="14"/>
      <c r="Q14" s="14">
        <v>43.829422900954057</v>
      </c>
      <c r="R14" s="14">
        <v>17.064543575698664</v>
      </c>
      <c r="S14" s="14">
        <v>52.285494563749737</v>
      </c>
      <c r="T14" s="14"/>
      <c r="U14" s="14"/>
      <c r="V14" s="14">
        <v>11.44799680992379</v>
      </c>
      <c r="W14" s="14">
        <v>13.176905075358162</v>
      </c>
      <c r="X14" s="14">
        <v>4.2626838948649972</v>
      </c>
      <c r="Y14" s="14">
        <v>206.30434998238164</v>
      </c>
      <c r="Z14" s="14">
        <v>5.0986153863736714</v>
      </c>
      <c r="AA14" s="14">
        <v>82.889625136083836</v>
      </c>
      <c r="AB14" s="14"/>
      <c r="AC14" s="14">
        <v>21.120871193628879</v>
      </c>
      <c r="AD14" s="14"/>
      <c r="AE14" s="14">
        <v>38.001488937065318</v>
      </c>
      <c r="AF14" s="14">
        <v>10.850318471268839</v>
      </c>
      <c r="AG14" s="14">
        <v>315.2143617358426</v>
      </c>
      <c r="AH14" s="14">
        <v>70.496883935976584</v>
      </c>
      <c r="AI14" s="14"/>
      <c r="AJ14" s="14">
        <v>430.55195015987829</v>
      </c>
      <c r="AK14" s="14"/>
      <c r="AL14" s="14"/>
      <c r="AM14" s="14">
        <v>13.466828029625757</v>
      </c>
      <c r="AN14" s="14"/>
      <c r="AO14" s="14">
        <v>3.1899609128242368</v>
      </c>
      <c r="AP14" s="14">
        <v>3.4160895601415291</v>
      </c>
      <c r="AQ14" s="14">
        <v>9.2602772055156581</v>
      </c>
      <c r="AR14" s="14">
        <v>0.23240279731881619</v>
      </c>
      <c r="AS14" s="14">
        <v>88.914886681250763</v>
      </c>
      <c r="AT14" s="14"/>
      <c r="AU14" s="14">
        <v>0.72785178351224722</v>
      </c>
      <c r="AV14" s="14"/>
      <c r="AW14" s="14">
        <v>8.7824501204656009</v>
      </c>
      <c r="AX14" s="14">
        <v>33.861137702266078</v>
      </c>
      <c r="AY14" s="14">
        <v>9.0995692922917986</v>
      </c>
      <c r="AZ14" s="14">
        <v>252.65040546973844</v>
      </c>
      <c r="BA14" s="14"/>
      <c r="BB14" s="14"/>
      <c r="BC14" s="14">
        <v>8.7787445112564875</v>
      </c>
      <c r="BD14" s="14"/>
      <c r="BE14" s="14">
        <v>3.2209522598777553E-2</v>
      </c>
      <c r="BF14" s="14">
        <v>15.692973672772331</v>
      </c>
      <c r="BG14" s="14"/>
      <c r="BH14" s="14"/>
      <c r="BI14" s="14"/>
      <c r="BJ14" s="14">
        <v>92.364702723536084</v>
      </c>
      <c r="BK14" s="39">
        <v>70.294011899631457</v>
      </c>
    </row>
    <row r="15" spans="1:63" x14ac:dyDescent="0.2">
      <c r="A15" s="42"/>
      <c r="B15" s="43"/>
      <c r="C15" s="43"/>
      <c r="D15" s="43"/>
      <c r="E15" s="43"/>
      <c r="F15" s="43"/>
      <c r="G15" s="44"/>
      <c r="H15" s="44"/>
      <c r="I15" s="38" t="s">
        <v>128</v>
      </c>
      <c r="J15" s="14">
        <v>37.303268414061769</v>
      </c>
      <c r="K15" s="14">
        <v>9.498534668663039</v>
      </c>
      <c r="L15" s="14"/>
      <c r="M15" s="14">
        <v>8.8588767670658513</v>
      </c>
      <c r="N15" s="14"/>
      <c r="O15" s="14">
        <v>10.127138689943449</v>
      </c>
      <c r="P15" s="14">
        <v>7.7769891125666737</v>
      </c>
      <c r="Q15" s="14">
        <v>8.3473004069966947</v>
      </c>
      <c r="R15" s="14">
        <v>8.1921987596038139</v>
      </c>
      <c r="S15" s="14">
        <v>9.3436234387832169</v>
      </c>
      <c r="T15" s="14"/>
      <c r="U15" s="14"/>
      <c r="V15" s="14">
        <v>10.10592557339074</v>
      </c>
      <c r="W15" s="14">
        <v>9.4637293080210441</v>
      </c>
      <c r="X15" s="14">
        <v>9.6318154756067607</v>
      </c>
      <c r="Y15" s="14">
        <v>9.5656030362836706</v>
      </c>
      <c r="Z15" s="14">
        <v>9.7426452616644106</v>
      </c>
      <c r="AA15" s="14">
        <v>9.7376931630820245</v>
      </c>
      <c r="AB15" s="14">
        <v>7.2517830287037643</v>
      </c>
      <c r="AC15" s="14">
        <v>8.6907552526298311</v>
      </c>
      <c r="AD15" s="14">
        <v>7.8896309282822434</v>
      </c>
      <c r="AE15" s="14">
        <v>9.6156060312446829</v>
      </c>
      <c r="AF15" s="14">
        <v>9.299438493133124</v>
      </c>
      <c r="AG15" s="14">
        <v>9.7051688982923228</v>
      </c>
      <c r="AH15" s="14">
        <v>9.4779757914444218</v>
      </c>
      <c r="AI15" s="14"/>
      <c r="AJ15" s="14">
        <v>9.1105079549253833</v>
      </c>
      <c r="AK15" s="14"/>
      <c r="AL15" s="14"/>
      <c r="AM15" s="14">
        <v>8.3768248674374561</v>
      </c>
      <c r="AN15" s="14">
        <v>13.079503010900218</v>
      </c>
      <c r="AO15" s="14">
        <v>8.5979414521323463</v>
      </c>
      <c r="AP15" s="14">
        <v>7.9195960837988562</v>
      </c>
      <c r="AQ15" s="14">
        <v>10.105057916786899</v>
      </c>
      <c r="AR15" s="14">
        <v>9.2820343679005841</v>
      </c>
      <c r="AS15" s="14">
        <v>11.938606735606376</v>
      </c>
      <c r="AT15" s="14"/>
      <c r="AU15" s="14">
        <v>8.6960848589400701</v>
      </c>
      <c r="AV15" s="14"/>
      <c r="AW15" s="14">
        <v>8.5207374125226618</v>
      </c>
      <c r="AX15" s="14">
        <v>10.988968829234796</v>
      </c>
      <c r="AY15" s="14">
        <v>10.033022459973438</v>
      </c>
      <c r="AZ15" s="14">
        <v>10.827274003404145</v>
      </c>
      <c r="BA15" s="14"/>
      <c r="BB15" s="14">
        <v>7.8834518187950824</v>
      </c>
      <c r="BC15" s="14">
        <v>8.6790964418338028</v>
      </c>
      <c r="BD15" s="14"/>
      <c r="BE15" s="14">
        <v>9.1794458051586183</v>
      </c>
      <c r="BF15" s="14">
        <v>8.9355088653747838</v>
      </c>
      <c r="BG15" s="14"/>
      <c r="BH15" s="14">
        <v>7.2462109734261775</v>
      </c>
      <c r="BI15" s="14">
        <v>7.2462167653574125</v>
      </c>
      <c r="BJ15" s="14">
        <v>9.5952609439064176</v>
      </c>
      <c r="BK15" s="39">
        <v>37.303268414061769</v>
      </c>
    </row>
    <row r="16" spans="1:63" x14ac:dyDescent="0.2">
      <c r="A16" s="36" t="s">
        <v>126</v>
      </c>
      <c r="B16" s="33" t="s">
        <v>139</v>
      </c>
      <c r="C16" s="33" t="s">
        <v>138</v>
      </c>
      <c r="D16" s="33" t="s">
        <v>140</v>
      </c>
      <c r="E16" s="33" t="s">
        <v>126</v>
      </c>
      <c r="F16" s="33" t="s">
        <v>137</v>
      </c>
      <c r="G16" s="37">
        <v>0.35</v>
      </c>
      <c r="H16" s="37">
        <v>0.79169069455724839</v>
      </c>
      <c r="I16" s="48" t="s">
        <v>125</v>
      </c>
      <c r="J16" s="14">
        <v>5162.6868567229894</v>
      </c>
      <c r="K16" s="14">
        <v>6422.9145978585557</v>
      </c>
      <c r="L16" s="14">
        <v>1708.4592503898252</v>
      </c>
      <c r="M16" s="14">
        <v>3767.5460559411504</v>
      </c>
      <c r="N16" s="14">
        <v>731.49970889890471</v>
      </c>
      <c r="O16" s="14">
        <v>7939.5309136206388</v>
      </c>
      <c r="P16" s="14"/>
      <c r="Q16" s="14"/>
      <c r="R16" s="14">
        <v>6241.4377195757334</v>
      </c>
      <c r="S16" s="14">
        <v>5550.5514263795803</v>
      </c>
      <c r="T16" s="14"/>
      <c r="U16" s="14"/>
      <c r="V16" s="14"/>
      <c r="W16" s="14"/>
      <c r="X16" s="14"/>
      <c r="Y16" s="14">
        <v>4610.6634031140275</v>
      </c>
      <c r="Z16" s="14">
        <v>4744.7587539484166</v>
      </c>
      <c r="AA16" s="14">
        <v>5829.6855378297068</v>
      </c>
      <c r="AB16" s="14"/>
      <c r="AC16" s="14"/>
      <c r="AD16" s="14"/>
      <c r="AE16" s="14"/>
      <c r="AF16" s="14"/>
      <c r="AG16" s="14">
        <v>5012.3822741529439</v>
      </c>
      <c r="AH16" s="14">
        <v>4517.067428213556</v>
      </c>
      <c r="AI16" s="14"/>
      <c r="AJ16" s="14"/>
      <c r="AK16" s="14"/>
      <c r="AL16" s="14"/>
      <c r="AM16" s="14"/>
      <c r="AN16" s="14">
        <v>4381.5764805241261</v>
      </c>
      <c r="AO16" s="14"/>
      <c r="AP16" s="14">
        <v>5452.3158126911949</v>
      </c>
      <c r="AQ16" s="14"/>
      <c r="AR16" s="14"/>
      <c r="AS16" s="14">
        <v>4719.2296328416542</v>
      </c>
      <c r="AT16" s="14"/>
      <c r="AU16" s="14"/>
      <c r="AV16" s="14"/>
      <c r="AW16" s="14">
        <v>5716.2061253129432</v>
      </c>
      <c r="AX16" s="14"/>
      <c r="AY16" s="14">
        <v>5911.602487072485</v>
      </c>
      <c r="AZ16" s="14">
        <v>4943.8000948106101</v>
      </c>
      <c r="BA16" s="14"/>
      <c r="BB16" s="14"/>
      <c r="BC16" s="14">
        <v>5800.0812671294398</v>
      </c>
      <c r="BD16" s="14"/>
      <c r="BE16" s="14"/>
      <c r="BF16" s="14"/>
      <c r="BG16" s="14"/>
      <c r="BH16" s="14"/>
      <c r="BI16" s="14"/>
      <c r="BJ16" s="14">
        <v>4781.3400817263609</v>
      </c>
      <c r="BK16" s="39">
        <v>5162.6868567229894</v>
      </c>
    </row>
    <row r="17" spans="1:63" x14ac:dyDescent="0.2">
      <c r="A17" s="40"/>
      <c r="B17" s="34"/>
      <c r="C17" s="34"/>
      <c r="D17" s="34"/>
      <c r="E17" s="34"/>
      <c r="F17" s="34"/>
      <c r="G17" s="41"/>
      <c r="H17" s="41"/>
      <c r="I17" s="38" t="s">
        <v>127</v>
      </c>
      <c r="J17" s="14">
        <v>2954.5518613362351</v>
      </c>
      <c r="K17" s="14">
        <v>127.34047193392711</v>
      </c>
      <c r="L17" s="14">
        <v>7621.0897451392366</v>
      </c>
      <c r="M17" s="14">
        <v>2946.3745959163662</v>
      </c>
      <c r="N17" s="14">
        <v>4583.9358503745598</v>
      </c>
      <c r="O17" s="14"/>
      <c r="P17" s="14"/>
      <c r="Q17" s="14"/>
      <c r="R17" s="14">
        <v>61.894618104373755</v>
      </c>
      <c r="S17" s="14">
        <v>486.75744550606902</v>
      </c>
      <c r="T17" s="14"/>
      <c r="U17" s="14"/>
      <c r="V17" s="14"/>
      <c r="W17" s="14"/>
      <c r="X17" s="14"/>
      <c r="Y17" s="14">
        <v>2544.8241457069694</v>
      </c>
      <c r="Z17" s="14">
        <v>1468.8542075277396</v>
      </c>
      <c r="AA17" s="14">
        <v>1105.5104124232059</v>
      </c>
      <c r="AB17" s="14"/>
      <c r="AC17" s="14"/>
      <c r="AD17" s="14"/>
      <c r="AE17" s="14"/>
      <c r="AF17" s="14"/>
      <c r="AG17" s="14">
        <v>1480.7210510825155</v>
      </c>
      <c r="AH17" s="14">
        <v>1680.496379809126</v>
      </c>
      <c r="AI17" s="14"/>
      <c r="AJ17" s="14"/>
      <c r="AK17" s="14"/>
      <c r="AL17" s="14"/>
      <c r="AM17" s="14"/>
      <c r="AN17" s="14">
        <v>4645.1639048739671</v>
      </c>
      <c r="AO17" s="14"/>
      <c r="AP17" s="14">
        <v>19.236053231552859</v>
      </c>
      <c r="AQ17" s="14"/>
      <c r="AR17" s="14"/>
      <c r="AS17" s="14">
        <v>2330.4831750518388</v>
      </c>
      <c r="AT17" s="14"/>
      <c r="AU17" s="14"/>
      <c r="AV17" s="14"/>
      <c r="AW17" s="14">
        <v>90.264688800609648</v>
      </c>
      <c r="AX17" s="14"/>
      <c r="AY17" s="14">
        <v>58.681088255416938</v>
      </c>
      <c r="AZ17" s="14">
        <v>2743.7195019348469</v>
      </c>
      <c r="BA17" s="14"/>
      <c r="BB17" s="14"/>
      <c r="BC17" s="14">
        <v>14.220505427173238</v>
      </c>
      <c r="BD17" s="14"/>
      <c r="BE17" s="14"/>
      <c r="BF17" s="14"/>
      <c r="BG17" s="14"/>
      <c r="BH17" s="14"/>
      <c r="BI17" s="14"/>
      <c r="BJ17" s="14">
        <v>2042.9101723733768</v>
      </c>
      <c r="BK17" s="39">
        <v>2954.5518613362351</v>
      </c>
    </row>
    <row r="18" spans="1:63" x14ac:dyDescent="0.2">
      <c r="A18" s="42"/>
      <c r="B18" s="43"/>
      <c r="C18" s="43"/>
      <c r="D18" s="43"/>
      <c r="E18" s="43"/>
      <c r="F18" s="43"/>
      <c r="G18" s="44"/>
      <c r="H18" s="44"/>
      <c r="I18" s="38" t="s">
        <v>128</v>
      </c>
      <c r="J18" s="14">
        <v>995.59339373642183</v>
      </c>
      <c r="K18" s="14">
        <v>454.6523330672963</v>
      </c>
      <c r="L18" s="14">
        <v>470.47411839218177</v>
      </c>
      <c r="M18" s="14">
        <v>409.34704783001746</v>
      </c>
      <c r="N18" s="14">
        <v>427.71803379350308</v>
      </c>
      <c r="O18" s="14">
        <v>747.9738421656433</v>
      </c>
      <c r="P18" s="14"/>
      <c r="Q18" s="14"/>
      <c r="R18" s="14">
        <v>405.33429954045374</v>
      </c>
      <c r="S18" s="14">
        <v>441.00024400682946</v>
      </c>
      <c r="T18" s="14"/>
      <c r="U18" s="14"/>
      <c r="V18" s="14"/>
      <c r="W18" s="14"/>
      <c r="X18" s="14"/>
      <c r="Y18" s="14">
        <v>458.85813480798578</v>
      </c>
      <c r="Z18" s="14">
        <v>418.07225338163306</v>
      </c>
      <c r="AA18" s="14">
        <v>467.77578871544426</v>
      </c>
      <c r="AB18" s="14"/>
      <c r="AC18" s="14"/>
      <c r="AD18" s="14"/>
      <c r="AE18" s="14"/>
      <c r="AF18" s="14"/>
      <c r="AG18" s="14">
        <v>449.13588907667787</v>
      </c>
      <c r="AH18" s="14">
        <v>417.36984577461016</v>
      </c>
      <c r="AI18" s="14"/>
      <c r="AJ18" s="14"/>
      <c r="AK18" s="14"/>
      <c r="AL18" s="14"/>
      <c r="AM18" s="14"/>
      <c r="AN18" s="14">
        <v>551.82467525861227</v>
      </c>
      <c r="AO18" s="14"/>
      <c r="AP18" s="14">
        <v>398.3959377937357</v>
      </c>
      <c r="AQ18" s="14"/>
      <c r="AR18" s="14"/>
      <c r="AS18" s="14">
        <v>490.41753855009296</v>
      </c>
      <c r="AT18" s="14"/>
      <c r="AU18" s="14"/>
      <c r="AV18" s="14"/>
      <c r="AW18" s="14">
        <v>427.17531182187611</v>
      </c>
      <c r="AX18" s="14"/>
      <c r="AY18" s="14">
        <v>496.32403313614884</v>
      </c>
      <c r="AZ18" s="14">
        <v>527.23696689413225</v>
      </c>
      <c r="BA18" s="14"/>
      <c r="BB18" s="14"/>
      <c r="BC18" s="14">
        <v>423.15521613151509</v>
      </c>
      <c r="BD18" s="14"/>
      <c r="BE18" s="14"/>
      <c r="BF18" s="14"/>
      <c r="BG18" s="14"/>
      <c r="BH18" s="14"/>
      <c r="BI18" s="14"/>
      <c r="BJ18" s="14">
        <v>482.88414197957053</v>
      </c>
      <c r="BK18" s="39">
        <v>995.59339373642183</v>
      </c>
    </row>
    <row r="20" spans="1:63" x14ac:dyDescent="0.2">
      <c r="A20" s="26" t="s">
        <v>141</v>
      </c>
    </row>
    <row r="21" spans="1:63" x14ac:dyDescent="0.2">
      <c r="A21" s="26" t="s">
        <v>142</v>
      </c>
    </row>
    <row r="22" spans="1:63" s="45" customFormat="1" ht="15" x14ac:dyDescent="0.25"/>
    <row r="27" spans="1:63" ht="33.75" x14ac:dyDescent="0.2">
      <c r="G27" s="29"/>
      <c r="H27" s="32" t="s">
        <v>63</v>
      </c>
      <c r="J27" s="46" t="s">
        <v>124</v>
      </c>
      <c r="K27" s="47"/>
      <c r="L27" s="43"/>
      <c r="M27" s="33" t="s">
        <v>131</v>
      </c>
      <c r="N27" s="34"/>
      <c r="O27" s="43"/>
      <c r="P27" s="33" t="s">
        <v>135</v>
      </c>
      <c r="Q27" s="34"/>
      <c r="R27" s="43"/>
      <c r="S27" s="33" t="s">
        <v>140</v>
      </c>
      <c r="T27" s="34"/>
      <c r="U27" s="43"/>
    </row>
    <row r="28" spans="1:63" ht="22.5" x14ac:dyDescent="0.2">
      <c r="G28" s="30" t="s">
        <v>56</v>
      </c>
      <c r="H28" s="32" t="s">
        <v>68</v>
      </c>
      <c r="I28" s="33" t="s">
        <v>120</v>
      </c>
      <c r="J28" s="38" t="s">
        <v>125</v>
      </c>
      <c r="K28" s="38" t="s">
        <v>127</v>
      </c>
      <c r="L28" s="38" t="s">
        <v>128</v>
      </c>
      <c r="M28" s="48" t="s">
        <v>125</v>
      </c>
      <c r="N28" s="38" t="s">
        <v>127</v>
      </c>
      <c r="O28" s="38" t="s">
        <v>128</v>
      </c>
      <c r="P28" s="48" t="s">
        <v>125</v>
      </c>
      <c r="Q28" s="38" t="s">
        <v>127</v>
      </c>
      <c r="R28" s="38" t="s">
        <v>128</v>
      </c>
      <c r="S28" s="48" t="s">
        <v>125</v>
      </c>
      <c r="T28" s="38" t="s">
        <v>127</v>
      </c>
      <c r="U28" s="38" t="s">
        <v>128</v>
      </c>
    </row>
    <row r="29" spans="1:63" ht="38.25" x14ac:dyDescent="0.2">
      <c r="G29" s="1" t="s">
        <v>59</v>
      </c>
      <c r="H29" s="3" t="s">
        <v>76</v>
      </c>
      <c r="J29" s="14">
        <v>2689.849941057008</v>
      </c>
      <c r="K29" s="14">
        <v>239.28832685741006</v>
      </c>
      <c r="L29" s="14">
        <v>370.04152504641957</v>
      </c>
      <c r="M29" s="14">
        <v>379.08859456400671</v>
      </c>
      <c r="N29" s="14">
        <v>355.07676725449681</v>
      </c>
      <c r="O29" s="14">
        <v>157.27885642515736</v>
      </c>
      <c r="P29" s="14">
        <v>1232.9634604099042</v>
      </c>
      <c r="Q29" s="14">
        <v>761.08440766525359</v>
      </c>
      <c r="R29" s="14">
        <v>10.127138689943449</v>
      </c>
      <c r="S29" s="14">
        <v>7939.5309136206388</v>
      </c>
      <c r="T29" s="14"/>
      <c r="U29" s="14">
        <v>747.9738421656433</v>
      </c>
    </row>
    <row r="30" spans="1:63" ht="38.25" x14ac:dyDescent="0.2">
      <c r="G30" s="1" t="s">
        <v>59</v>
      </c>
      <c r="H30" s="3" t="s">
        <v>72</v>
      </c>
      <c r="J30" s="14">
        <v>1224.6853651204178</v>
      </c>
      <c r="K30" s="14">
        <v>0.47577527524510588</v>
      </c>
      <c r="L30" s="14">
        <v>127.30393460473869</v>
      </c>
      <c r="M30" s="14">
        <v>632.6463912797152</v>
      </c>
      <c r="N30" s="14">
        <v>14.786508805456359</v>
      </c>
      <c r="O30" s="14">
        <v>187.09314507455895</v>
      </c>
      <c r="P30" s="14">
        <v>1873.793153553745</v>
      </c>
      <c r="Q30" s="14">
        <v>5.0053269148714863</v>
      </c>
      <c r="R30" s="14">
        <v>9.498534668663039</v>
      </c>
      <c r="S30" s="14">
        <v>6422.9145978585557</v>
      </c>
      <c r="T30" s="14">
        <v>127.34047193392711</v>
      </c>
      <c r="U30" s="14">
        <v>454.6523330672963</v>
      </c>
    </row>
    <row r="31" spans="1:63" ht="38.25" x14ac:dyDescent="0.2">
      <c r="G31" s="1" t="s">
        <v>59</v>
      </c>
      <c r="H31" s="3" t="s">
        <v>79</v>
      </c>
      <c r="J31" s="14">
        <v>1197.541091354632</v>
      </c>
      <c r="K31" s="14"/>
      <c r="L31" s="14">
        <v>133.47950206727896</v>
      </c>
      <c r="M31" s="14">
        <v>485.66750873768979</v>
      </c>
      <c r="N31" s="14">
        <v>77.718425949589431</v>
      </c>
      <c r="O31" s="14">
        <v>146.42412185989787</v>
      </c>
      <c r="P31" s="14">
        <v>1788.1932088543108</v>
      </c>
      <c r="Q31" s="14">
        <v>17.064543575698664</v>
      </c>
      <c r="R31" s="14">
        <v>8.1921987596038139</v>
      </c>
      <c r="S31" s="14">
        <v>6241.4377195757334</v>
      </c>
      <c r="T31" s="14">
        <v>61.894618104373755</v>
      </c>
      <c r="U31" s="14">
        <v>405.33429954045374</v>
      </c>
    </row>
    <row r="32" spans="1:63" ht="38.25" x14ac:dyDescent="0.2">
      <c r="G32" s="1" t="s">
        <v>59</v>
      </c>
      <c r="H32" s="3" t="s">
        <v>109</v>
      </c>
      <c r="J32" s="14">
        <v>1458.8926194787257</v>
      </c>
      <c r="K32" s="14">
        <v>0.57184173723076837</v>
      </c>
      <c r="L32" s="14">
        <v>130.37210497970642</v>
      </c>
      <c r="M32" s="14">
        <v>648.32303588506875</v>
      </c>
      <c r="N32" s="14">
        <v>4.0553361014775433</v>
      </c>
      <c r="O32" s="14">
        <v>211.09570803149703</v>
      </c>
      <c r="P32" s="14">
        <v>1699.3115262079541</v>
      </c>
      <c r="Q32" s="14">
        <v>9.0995692922917986</v>
      </c>
      <c r="R32" s="14">
        <v>10.033022459973438</v>
      </c>
      <c r="S32" s="14">
        <v>5911.602487072485</v>
      </c>
      <c r="T32" s="14">
        <v>58.681088255416938</v>
      </c>
      <c r="U32" s="14">
        <v>496.32403313614884</v>
      </c>
    </row>
    <row r="33" spans="7:21" ht="38.25" x14ac:dyDescent="0.2">
      <c r="G33" s="1" t="s">
        <v>59</v>
      </c>
      <c r="H33" s="3" t="s">
        <v>87</v>
      </c>
      <c r="J33" s="14">
        <v>1364.5121876446158</v>
      </c>
      <c r="K33" s="14">
        <v>2.4885505455106944</v>
      </c>
      <c r="L33" s="14">
        <v>129.57004196035754</v>
      </c>
      <c r="M33" s="14">
        <v>554.47611979704891</v>
      </c>
      <c r="N33" s="14">
        <v>88.516664086034183</v>
      </c>
      <c r="O33" s="14">
        <v>179.53692118182579</v>
      </c>
      <c r="P33" s="14">
        <v>1831.7216971291396</v>
      </c>
      <c r="Q33" s="14">
        <v>82.889625136083836</v>
      </c>
      <c r="R33" s="14">
        <v>9.7376931630820245</v>
      </c>
      <c r="S33" s="14">
        <v>5829.6855378297068</v>
      </c>
      <c r="T33" s="14">
        <v>1105.5104124232059</v>
      </c>
      <c r="U33" s="14">
        <v>467.77578871544426</v>
      </c>
    </row>
    <row r="34" spans="7:21" ht="38.25" x14ac:dyDescent="0.2">
      <c r="G34" s="1" t="s">
        <v>59</v>
      </c>
      <c r="H34" s="3" t="s">
        <v>113</v>
      </c>
      <c r="J34" s="14">
        <v>1467.6442083392824</v>
      </c>
      <c r="K34" s="14">
        <v>1.2945008242960732</v>
      </c>
      <c r="L34" s="14">
        <v>151.81752552361627</v>
      </c>
      <c r="M34" s="14">
        <v>520.22769229041876</v>
      </c>
      <c r="N34" s="14">
        <v>8.8511597044191497</v>
      </c>
      <c r="O34" s="14">
        <v>170.3237905636162</v>
      </c>
      <c r="P34" s="14">
        <v>1605.2038203459456</v>
      </c>
      <c r="Q34" s="14">
        <v>8.7787445112564875</v>
      </c>
      <c r="R34" s="14">
        <v>8.6790964418338028</v>
      </c>
      <c r="S34" s="14">
        <v>5800.0812671294398</v>
      </c>
      <c r="T34" s="14">
        <v>14.220505427173238</v>
      </c>
      <c r="U34" s="14">
        <v>423.15521613151509</v>
      </c>
    </row>
    <row r="35" spans="7:21" ht="38.25" x14ac:dyDescent="0.2">
      <c r="G35" s="1" t="s">
        <v>59</v>
      </c>
      <c r="H35" s="3" t="s">
        <v>107</v>
      </c>
      <c r="J35" s="14">
        <v>1329.8548058491606</v>
      </c>
      <c r="K35" s="14">
        <v>6.095978720609792</v>
      </c>
      <c r="L35" s="14">
        <v>152.45388968178526</v>
      </c>
      <c r="M35" s="14">
        <v>537.95259434864352</v>
      </c>
      <c r="N35" s="14">
        <v>11.356867324387832</v>
      </c>
      <c r="O35" s="14">
        <v>170.7063171845989</v>
      </c>
      <c r="P35" s="14">
        <v>1692.1247726205511</v>
      </c>
      <c r="Q35" s="14">
        <v>8.7824501204656009</v>
      </c>
      <c r="R35" s="14">
        <v>8.5207374125226618</v>
      </c>
      <c r="S35" s="14">
        <v>5716.2061253129432</v>
      </c>
      <c r="T35" s="14">
        <v>90.264688800609648</v>
      </c>
      <c r="U35" s="14">
        <v>427.17531182187611</v>
      </c>
    </row>
    <row r="36" spans="7:21" ht="38.25" x14ac:dyDescent="0.2">
      <c r="G36" s="1" t="s">
        <v>59</v>
      </c>
      <c r="H36" s="3" t="s">
        <v>58</v>
      </c>
      <c r="J36" s="14">
        <v>1344.8416085543231</v>
      </c>
      <c r="K36" s="14">
        <v>22.826801613945481</v>
      </c>
      <c r="L36" s="14">
        <v>145.71790324480477</v>
      </c>
      <c r="M36" s="14">
        <v>505.2844881931893</v>
      </c>
      <c r="N36" s="14">
        <v>70.936111899907559</v>
      </c>
      <c r="O36" s="14">
        <v>165.0321251157556</v>
      </c>
      <c r="P36" s="14">
        <v>1671.7776373029217</v>
      </c>
      <c r="Q36" s="14">
        <v>52.285494563749737</v>
      </c>
      <c r="R36" s="14">
        <v>9.3436234387832169</v>
      </c>
      <c r="S36" s="14">
        <v>5550.5514263795803</v>
      </c>
      <c r="T36" s="14">
        <v>486.75744550606902</v>
      </c>
      <c r="U36" s="14">
        <v>441.00024400682946</v>
      </c>
    </row>
    <row r="37" spans="7:21" ht="38.25" x14ac:dyDescent="0.2">
      <c r="G37" s="1" t="s">
        <v>59</v>
      </c>
      <c r="H37" s="3" t="s">
        <v>100</v>
      </c>
      <c r="J37" s="14">
        <v>1421.0936589726512</v>
      </c>
      <c r="K37" s="14">
        <v>4.8672372091478202</v>
      </c>
      <c r="L37" s="14">
        <v>143.99573472090319</v>
      </c>
      <c r="M37" s="14">
        <v>527.87875836700778</v>
      </c>
      <c r="N37" s="14">
        <v>3.6937696454093691</v>
      </c>
      <c r="O37" s="14">
        <v>152.1795636843045</v>
      </c>
      <c r="P37" s="14">
        <v>1596.8280686807204</v>
      </c>
      <c r="Q37" s="14">
        <v>3.4160895601415291</v>
      </c>
      <c r="R37" s="14">
        <v>7.9195960837988562</v>
      </c>
      <c r="S37" s="14">
        <v>5452.3158126911949</v>
      </c>
      <c r="T37" s="14">
        <v>19.236053231552859</v>
      </c>
      <c r="U37" s="14">
        <v>398.3959377937357</v>
      </c>
    </row>
    <row r="38" spans="7:21" ht="35.25" x14ac:dyDescent="0.2">
      <c r="G38" s="1" t="s">
        <v>57</v>
      </c>
      <c r="H38" s="3" t="s">
        <v>57</v>
      </c>
      <c r="I38" s="49"/>
      <c r="J38" s="14">
        <v>1277.2112739948204</v>
      </c>
      <c r="K38" s="14">
        <v>342.45512686974371</v>
      </c>
      <c r="L38" s="14">
        <v>207.42184664641792</v>
      </c>
      <c r="M38" s="14">
        <v>947.1963480386853</v>
      </c>
      <c r="N38" s="14">
        <v>81.226395598640849</v>
      </c>
      <c r="O38" s="14">
        <v>193.93091967735268</v>
      </c>
      <c r="P38" s="14">
        <v>2037.0420908011138</v>
      </c>
      <c r="Q38" s="14">
        <v>70.294011899631457</v>
      </c>
      <c r="R38" s="14">
        <v>37.303268414061769</v>
      </c>
      <c r="S38" s="14">
        <v>5162.6868567229894</v>
      </c>
      <c r="T38" s="14">
        <v>2954.5518613362351</v>
      </c>
      <c r="U38" s="14">
        <v>995.59339373642183</v>
      </c>
    </row>
    <row r="39" spans="7:21" ht="38.25" x14ac:dyDescent="0.2">
      <c r="G39" s="1" t="s">
        <v>59</v>
      </c>
      <c r="H39" s="3" t="s">
        <v>92</v>
      </c>
      <c r="J39" s="14">
        <v>1461.9545614742772</v>
      </c>
      <c r="K39" s="14">
        <v>10.854156602649743</v>
      </c>
      <c r="L39" s="14">
        <v>134.07929237820989</v>
      </c>
      <c r="M39" s="14">
        <v>510.21150154129685</v>
      </c>
      <c r="N39" s="14">
        <v>78.793831268807935</v>
      </c>
      <c r="O39" s="14">
        <v>178.93700848724671</v>
      </c>
      <c r="P39" s="14">
        <v>1604.5388836705094</v>
      </c>
      <c r="Q39" s="14">
        <v>315.2143617358426</v>
      </c>
      <c r="R39" s="14">
        <v>9.7051688982923228</v>
      </c>
      <c r="S39" s="14">
        <v>5012.3822741529439</v>
      </c>
      <c r="T39" s="14">
        <v>1480.7210510825155</v>
      </c>
      <c r="U39" s="14">
        <v>449.13588907667787</v>
      </c>
    </row>
    <row r="40" spans="7:21" ht="38.25" x14ac:dyDescent="0.2">
      <c r="G40" s="1" t="s">
        <v>59</v>
      </c>
      <c r="H40" s="3" t="s">
        <v>110</v>
      </c>
      <c r="J40" s="14">
        <v>2034.9960429453163</v>
      </c>
      <c r="K40" s="14">
        <v>304.3899313478604</v>
      </c>
      <c r="L40" s="14">
        <v>248.42704208616476</v>
      </c>
      <c r="M40" s="14">
        <v>556.25285799889366</v>
      </c>
      <c r="N40" s="14">
        <v>254.10190366993061</v>
      </c>
      <c r="O40" s="14">
        <v>205.36319317093563</v>
      </c>
      <c r="P40" s="14">
        <v>1748.9479082327823</v>
      </c>
      <c r="Q40" s="14">
        <v>252.65040546973844</v>
      </c>
      <c r="R40" s="14">
        <v>10.827274003404145</v>
      </c>
      <c r="S40" s="14">
        <v>4943.8000948106101</v>
      </c>
      <c r="T40" s="14">
        <v>2743.7195019348469</v>
      </c>
      <c r="U40" s="14">
        <v>527.23696689413225</v>
      </c>
    </row>
    <row r="41" spans="7:21" ht="38.25" x14ac:dyDescent="0.2">
      <c r="G41" s="1" t="s">
        <v>59</v>
      </c>
      <c r="H41" s="3" t="s">
        <v>69</v>
      </c>
      <c r="J41" s="14">
        <v>1869.4347934987068</v>
      </c>
      <c r="K41" s="14">
        <v>91.906439678421606</v>
      </c>
      <c r="L41" s="14">
        <v>229.20716921347486</v>
      </c>
      <c r="M41" s="14">
        <v>522.42939466507812</v>
      </c>
      <c r="N41" s="14">
        <v>63.28783472123375</v>
      </c>
      <c r="O41" s="14">
        <v>176.48289755184118</v>
      </c>
      <c r="P41" s="14">
        <v>1560.3460544278751</v>
      </c>
      <c r="Q41" s="14">
        <v>92.364702723536084</v>
      </c>
      <c r="R41" s="14">
        <v>9.5952609439064176</v>
      </c>
      <c r="S41" s="14">
        <v>4781.3400817263609</v>
      </c>
      <c r="T41" s="14">
        <v>2042.9101723733768</v>
      </c>
      <c r="U41" s="14">
        <v>482.88414197957053</v>
      </c>
    </row>
    <row r="42" spans="7:21" ht="38.25" x14ac:dyDescent="0.2">
      <c r="G42" s="1" t="s">
        <v>59</v>
      </c>
      <c r="H42" s="3" t="s">
        <v>86</v>
      </c>
      <c r="J42" s="14">
        <v>1378.6231822375926</v>
      </c>
      <c r="K42" s="14">
        <v>4.2828711601179377</v>
      </c>
      <c r="L42" s="14">
        <v>126.03521804079998</v>
      </c>
      <c r="M42" s="14">
        <v>581.42067981723949</v>
      </c>
      <c r="N42" s="14">
        <v>2.2675517053455572</v>
      </c>
      <c r="O42" s="14">
        <v>190.36169594774259</v>
      </c>
      <c r="P42" s="14">
        <v>1596.9858425379978</v>
      </c>
      <c r="Q42" s="14">
        <v>5.0986153863736714</v>
      </c>
      <c r="R42" s="14">
        <v>9.7426452616644106</v>
      </c>
      <c r="S42" s="14">
        <v>4744.7587539484166</v>
      </c>
      <c r="T42" s="14">
        <v>1468.8542075277396</v>
      </c>
      <c r="U42" s="14">
        <v>418.07225338163306</v>
      </c>
    </row>
    <row r="43" spans="7:21" ht="38.25" x14ac:dyDescent="0.2">
      <c r="G43" s="1" t="s">
        <v>59</v>
      </c>
      <c r="H43" s="3" t="s">
        <v>103</v>
      </c>
      <c r="J43" s="14">
        <v>2272.3871181538939</v>
      </c>
      <c r="K43" s="14">
        <v>35.857939649793302</v>
      </c>
      <c r="L43" s="14">
        <v>225.54806790832413</v>
      </c>
      <c r="M43" s="14">
        <v>464.33153769461904</v>
      </c>
      <c r="N43" s="14">
        <v>306.49666328436007</v>
      </c>
      <c r="O43" s="14">
        <v>176.24935075822512</v>
      </c>
      <c r="P43" s="14">
        <v>2135.2065861590122</v>
      </c>
      <c r="Q43" s="14">
        <v>88.914886681250763</v>
      </c>
      <c r="R43" s="14">
        <v>11.938606735606376</v>
      </c>
      <c r="S43" s="14">
        <v>4719.2296328416542</v>
      </c>
      <c r="T43" s="14">
        <v>2330.4831750518388</v>
      </c>
      <c r="U43" s="14">
        <v>490.41753855009296</v>
      </c>
    </row>
    <row r="44" spans="7:21" ht="38.25" x14ac:dyDescent="0.2">
      <c r="G44" s="1" t="s">
        <v>59</v>
      </c>
      <c r="H44" s="3" t="s">
        <v>85</v>
      </c>
      <c r="J44" s="14">
        <v>2042.2847259317907</v>
      </c>
      <c r="K44" s="14">
        <v>76.424410856232385</v>
      </c>
      <c r="L44" s="14">
        <v>222.9607615727094</v>
      </c>
      <c r="M44" s="14">
        <v>479.35517822553163</v>
      </c>
      <c r="N44" s="14">
        <v>264.74878087217456</v>
      </c>
      <c r="O44" s="14">
        <v>165.88593615232716</v>
      </c>
      <c r="P44" s="14">
        <v>1608.9390047379707</v>
      </c>
      <c r="Q44" s="14">
        <v>206.30434998238164</v>
      </c>
      <c r="R44" s="14">
        <v>9.5656030362836706</v>
      </c>
      <c r="S44" s="14">
        <v>4610.6634031140275</v>
      </c>
      <c r="T44" s="14">
        <v>2544.8241457069694</v>
      </c>
      <c r="U44" s="14">
        <v>458.85813480798578</v>
      </c>
    </row>
    <row r="45" spans="7:21" ht="38.25" x14ac:dyDescent="0.2">
      <c r="G45" s="1" t="s">
        <v>59</v>
      </c>
      <c r="H45" s="3" t="s">
        <v>93</v>
      </c>
      <c r="J45" s="14">
        <v>1468.0765533648466</v>
      </c>
      <c r="K45" s="14">
        <v>6.4197726889473028</v>
      </c>
      <c r="L45" s="14">
        <v>135.69498980336735</v>
      </c>
      <c r="M45" s="14">
        <v>590.66051035767055</v>
      </c>
      <c r="N45" s="14">
        <v>27.2459755214187</v>
      </c>
      <c r="O45" s="14">
        <v>185.60526361567085</v>
      </c>
      <c r="P45" s="14">
        <v>1607.6976990653991</v>
      </c>
      <c r="Q45" s="14">
        <v>70.496883935976584</v>
      </c>
      <c r="R45" s="14">
        <v>9.4779757914444218</v>
      </c>
      <c r="S45" s="14">
        <v>4517.067428213556</v>
      </c>
      <c r="T45" s="14">
        <v>1680.496379809126</v>
      </c>
      <c r="U45" s="14">
        <v>417.36984577461016</v>
      </c>
    </row>
    <row r="46" spans="7:21" s="45" customFormat="1" ht="38.25" x14ac:dyDescent="0.25">
      <c r="G46" s="1" t="s">
        <v>59</v>
      </c>
      <c r="H46" s="3" t="s">
        <v>98</v>
      </c>
      <c r="I46" s="26"/>
      <c r="J46" s="14">
        <v>1674.8611688881492</v>
      </c>
      <c r="K46" s="14">
        <v>943.22220380534168</v>
      </c>
      <c r="L46" s="14">
        <v>244.37333067692626</v>
      </c>
      <c r="M46" s="14">
        <v>394.25017839900755</v>
      </c>
      <c r="N46" s="14">
        <v>398.4410939000395</v>
      </c>
      <c r="O46" s="14">
        <v>162.15279197697345</v>
      </c>
      <c r="P46" s="14">
        <v>1830.4313264294969</v>
      </c>
      <c r="Q46" s="14"/>
      <c r="R46" s="14">
        <v>13.079503010900218</v>
      </c>
      <c r="S46" s="14">
        <v>4381.5764805241261</v>
      </c>
      <c r="T46" s="14">
        <v>4645.1639048739671</v>
      </c>
      <c r="U46" s="14">
        <v>551.82467525861227</v>
      </c>
    </row>
    <row r="47" spans="7:21" ht="38.25" x14ac:dyDescent="0.2">
      <c r="G47" s="1" t="s">
        <v>59</v>
      </c>
      <c r="H47" s="3" t="s">
        <v>74</v>
      </c>
      <c r="J47" s="14">
        <v>1547.031649598169</v>
      </c>
      <c r="K47" s="14">
        <v>19.467894479271891</v>
      </c>
      <c r="L47" s="14">
        <v>146.09910021051516</v>
      </c>
      <c r="M47" s="14">
        <v>405.92942144473938</v>
      </c>
      <c r="N47" s="14">
        <v>210.90386414415536</v>
      </c>
      <c r="O47" s="14">
        <v>162.41988543787218</v>
      </c>
      <c r="P47" s="14">
        <v>1269.3936493783985</v>
      </c>
      <c r="Q47" s="14">
        <v>670.18836003344052</v>
      </c>
      <c r="R47" s="14">
        <v>8.8588767670658513</v>
      </c>
      <c r="S47" s="14">
        <v>3767.5460559411504</v>
      </c>
      <c r="T47" s="14">
        <v>2946.3745959163662</v>
      </c>
      <c r="U47" s="14">
        <v>409.34704783001746</v>
      </c>
    </row>
    <row r="48" spans="7:21" ht="38.25" x14ac:dyDescent="0.2">
      <c r="G48" s="1" t="s">
        <v>59</v>
      </c>
      <c r="H48" s="3" t="s">
        <v>73</v>
      </c>
      <c r="J48" s="14">
        <v>399.03348724532026</v>
      </c>
      <c r="K48" s="14">
        <v>847.86371670013557</v>
      </c>
      <c r="L48" s="14">
        <v>156.19056136373703</v>
      </c>
      <c r="M48" s="14">
        <v>248.80792770430736</v>
      </c>
      <c r="N48" s="14">
        <v>602.63525947643041</v>
      </c>
      <c r="O48" s="14">
        <v>173.53032667825735</v>
      </c>
      <c r="P48" s="14"/>
      <c r="Q48" s="14"/>
      <c r="R48" s="14"/>
      <c r="S48" s="14">
        <v>1708.4592503898252</v>
      </c>
      <c r="T48" s="14">
        <v>7621.0897451392366</v>
      </c>
      <c r="U48" s="14">
        <v>470.47411839218177</v>
      </c>
    </row>
    <row r="49" spans="7:21" ht="38.25" x14ac:dyDescent="0.2">
      <c r="G49" s="1" t="s">
        <v>59</v>
      </c>
      <c r="H49" s="3" t="s">
        <v>75</v>
      </c>
      <c r="J49" s="14">
        <v>725.66655291976122</v>
      </c>
      <c r="K49" s="14">
        <v>522.44623805676383</v>
      </c>
      <c r="L49" s="14">
        <v>158.00680492847073</v>
      </c>
      <c r="M49" s="14">
        <v>138.93968919446516</v>
      </c>
      <c r="N49" s="14">
        <v>439.73754629282615</v>
      </c>
      <c r="O49" s="14">
        <v>142.69933393484911</v>
      </c>
      <c r="P49" s="14"/>
      <c r="Q49" s="14"/>
      <c r="R49" s="14"/>
      <c r="S49" s="14">
        <v>731.49970889890471</v>
      </c>
      <c r="T49" s="14">
        <v>4583.9358503745598</v>
      </c>
      <c r="U49" s="14">
        <v>427.71803379350308</v>
      </c>
    </row>
    <row r="50" spans="7:21" ht="38.25" x14ac:dyDescent="0.2">
      <c r="G50" s="1" t="s">
        <v>59</v>
      </c>
      <c r="H50" s="3" t="s">
        <v>84</v>
      </c>
      <c r="J50" s="14">
        <v>1530.8556794596993</v>
      </c>
      <c r="K50" s="14">
        <v>15.025849437198898</v>
      </c>
      <c r="L50" s="14">
        <v>144.38959984201693</v>
      </c>
      <c r="M50" s="14">
        <v>552.6046181155383</v>
      </c>
      <c r="N50" s="14">
        <v>1.6543481498537813</v>
      </c>
      <c r="O50" s="14">
        <v>177.40727964802753</v>
      </c>
      <c r="P50" s="14">
        <v>1612.8301113708892</v>
      </c>
      <c r="Q50" s="14">
        <v>4.2626838948649972</v>
      </c>
      <c r="R50" s="14">
        <v>9.6318154756067607</v>
      </c>
      <c r="S50" s="14"/>
      <c r="T50" s="14"/>
      <c r="U50" s="14"/>
    </row>
    <row r="51" spans="7:21" ht="38.25" x14ac:dyDescent="0.2">
      <c r="G51" s="1" t="s">
        <v>59</v>
      </c>
      <c r="H51" s="3" t="s">
        <v>82</v>
      </c>
      <c r="J51" s="14">
        <v>1448.3108212588736</v>
      </c>
      <c r="K51" s="14">
        <v>0.59277953416706297</v>
      </c>
      <c r="L51" s="14">
        <v>133.363510675394</v>
      </c>
      <c r="M51" s="14">
        <v>578.35476885890296</v>
      </c>
      <c r="N51" s="14">
        <v>5.3793655922548052</v>
      </c>
      <c r="O51" s="14">
        <v>191.65810071591358</v>
      </c>
      <c r="P51" s="14">
        <v>1606.5754364572404</v>
      </c>
      <c r="Q51" s="14">
        <v>11.44799680992379</v>
      </c>
      <c r="R51" s="14">
        <v>10.10592557339074</v>
      </c>
      <c r="S51" s="14"/>
      <c r="T51" s="14"/>
      <c r="U51" s="14"/>
    </row>
    <row r="52" spans="7:21" ht="38.25" x14ac:dyDescent="0.2">
      <c r="G52" s="1" t="s">
        <v>59</v>
      </c>
      <c r="H52" s="3" t="s">
        <v>83</v>
      </c>
      <c r="J52" s="14">
        <v>1373.6681624859132</v>
      </c>
      <c r="K52" s="14">
        <v>1.1009928639833333</v>
      </c>
      <c r="L52" s="14">
        <v>131.7456776642214</v>
      </c>
      <c r="M52" s="14">
        <v>525.74702131482491</v>
      </c>
      <c r="N52" s="14">
        <v>6.8007256877625704</v>
      </c>
      <c r="O52" s="14">
        <v>172.38680655415632</v>
      </c>
      <c r="P52" s="14">
        <v>1591.2003033701678</v>
      </c>
      <c r="Q52" s="14">
        <v>13.176905075358162</v>
      </c>
      <c r="R52" s="14">
        <v>9.4637293080210441</v>
      </c>
      <c r="S52" s="14"/>
      <c r="T52" s="14"/>
      <c r="U52" s="14"/>
    </row>
    <row r="53" spans="7:21" ht="38.25" x14ac:dyDescent="0.2">
      <c r="G53" s="1" t="s">
        <v>59</v>
      </c>
      <c r="H53" s="3" t="s">
        <v>108</v>
      </c>
      <c r="J53" s="14">
        <v>1851.0035207311823</v>
      </c>
      <c r="K53" s="14">
        <v>2.7370878419707712</v>
      </c>
      <c r="L53" s="14">
        <v>206.19832746199847</v>
      </c>
      <c r="M53" s="14">
        <v>586.48549643562512</v>
      </c>
      <c r="N53" s="14">
        <v>16.82469378102622</v>
      </c>
      <c r="O53" s="14">
        <v>215.17678581795022</v>
      </c>
      <c r="P53" s="14">
        <v>1564.7443222122602</v>
      </c>
      <c r="Q53" s="14">
        <v>33.861137702266078</v>
      </c>
      <c r="R53" s="14">
        <v>10.988968829234796</v>
      </c>
      <c r="S53" s="14"/>
      <c r="T53" s="14"/>
      <c r="U53" s="14"/>
    </row>
    <row r="54" spans="7:21" ht="38.25" x14ac:dyDescent="0.2">
      <c r="G54" s="1" t="s">
        <v>59</v>
      </c>
      <c r="H54" s="3" t="s">
        <v>91</v>
      </c>
      <c r="J54" s="14">
        <v>1215.50852698214</v>
      </c>
      <c r="K54" s="14">
        <v>2.4645102650097555E-3</v>
      </c>
      <c r="L54" s="14">
        <v>152.16527122524755</v>
      </c>
      <c r="M54" s="14">
        <v>524.6654077205153</v>
      </c>
      <c r="N54" s="14">
        <v>4.3668619636014085</v>
      </c>
      <c r="O54" s="14">
        <v>165.12696761891448</v>
      </c>
      <c r="P54" s="14">
        <v>1564.6415038388466</v>
      </c>
      <c r="Q54" s="14">
        <v>10.850318471268839</v>
      </c>
      <c r="R54" s="14">
        <v>9.299438493133124</v>
      </c>
      <c r="S54" s="14"/>
      <c r="T54" s="14"/>
      <c r="U54" s="14"/>
    </row>
    <row r="55" spans="7:21" ht="38.25" x14ac:dyDescent="0.2">
      <c r="G55" s="1" t="s">
        <v>59</v>
      </c>
      <c r="H55" s="3" t="s">
        <v>101</v>
      </c>
      <c r="J55" s="14">
        <v>1256.0596343545224</v>
      </c>
      <c r="K55" s="14">
        <v>1.323588569951416</v>
      </c>
      <c r="L55" s="14">
        <v>183.59167958426613</v>
      </c>
      <c r="M55" s="14">
        <v>508.88269231517847</v>
      </c>
      <c r="N55" s="14">
        <v>22.903733303235253</v>
      </c>
      <c r="O55" s="14">
        <v>184.29381586157308</v>
      </c>
      <c r="P55" s="14">
        <v>1559.9675563969595</v>
      </c>
      <c r="Q55" s="14">
        <v>9.2602772055156581</v>
      </c>
      <c r="R55" s="14">
        <v>10.105057916786899</v>
      </c>
      <c r="S55" s="14"/>
      <c r="T55" s="14"/>
      <c r="U55" s="14"/>
    </row>
    <row r="56" spans="7:21" ht="38.25" x14ac:dyDescent="0.2">
      <c r="G56" s="1" t="s">
        <v>59</v>
      </c>
      <c r="H56" s="3" t="s">
        <v>119</v>
      </c>
      <c r="J56" s="14">
        <v>1305.8988174511921</v>
      </c>
      <c r="K56" s="14"/>
      <c r="L56" s="14">
        <v>119.73185030291333</v>
      </c>
      <c r="M56" s="14">
        <v>456.94796124796915</v>
      </c>
      <c r="N56" s="14"/>
      <c r="O56" s="14">
        <v>131.2033385346347</v>
      </c>
      <c r="P56" s="14">
        <v>1535.3588447443146</v>
      </c>
      <c r="Q56" s="14"/>
      <c r="R56" s="14">
        <v>7.2462167653574125</v>
      </c>
      <c r="S56" s="14"/>
      <c r="T56" s="14"/>
      <c r="U56" s="14"/>
    </row>
    <row r="57" spans="7:21" ht="38.25" x14ac:dyDescent="0.2">
      <c r="G57" s="1" t="s">
        <v>59</v>
      </c>
      <c r="H57" s="3" t="s">
        <v>102</v>
      </c>
      <c r="J57" s="14">
        <v>1402.6878418979713</v>
      </c>
      <c r="K57" s="14">
        <v>10.100862962071981</v>
      </c>
      <c r="L57" s="14">
        <v>132.68291161462435</v>
      </c>
      <c r="M57" s="14">
        <v>492.92139637675962</v>
      </c>
      <c r="N57" s="14">
        <v>0.18595704377832145</v>
      </c>
      <c r="O57" s="14">
        <v>165.12936953032357</v>
      </c>
      <c r="P57" s="14">
        <v>1494.9140775978547</v>
      </c>
      <c r="Q57" s="14">
        <v>0.23240279731881619</v>
      </c>
      <c r="R57" s="14">
        <v>9.2820343679005841</v>
      </c>
      <c r="S57" s="14"/>
      <c r="T57" s="14"/>
      <c r="U57" s="14"/>
    </row>
    <row r="58" spans="7:21" ht="38.25" x14ac:dyDescent="0.2">
      <c r="G58" s="1" t="s">
        <v>59</v>
      </c>
      <c r="H58" s="3" t="s">
        <v>71</v>
      </c>
      <c r="J58" s="14">
        <v>1467.2977605384456</v>
      </c>
      <c r="K58" s="14">
        <v>3.4983781269136878</v>
      </c>
      <c r="L58" s="14">
        <v>142.16340997915694</v>
      </c>
      <c r="M58" s="14">
        <v>504.8328560341746</v>
      </c>
      <c r="N58" s="14">
        <v>13.023034950322275</v>
      </c>
      <c r="O58" s="14">
        <v>165.37389694733864</v>
      </c>
      <c r="P58" s="14">
        <v>1493.8515597965766</v>
      </c>
      <c r="Q58" s="14">
        <v>21.120871193628879</v>
      </c>
      <c r="R58" s="14">
        <v>8.6907552526298311</v>
      </c>
      <c r="S58" s="14"/>
      <c r="T58" s="14"/>
      <c r="U58" s="14"/>
    </row>
    <row r="59" spans="7:21" ht="38.25" x14ac:dyDescent="0.2">
      <c r="G59" s="1" t="s">
        <v>59</v>
      </c>
      <c r="H59" s="3" t="s">
        <v>105</v>
      </c>
      <c r="J59" s="14">
        <v>1602.4682372547973</v>
      </c>
      <c r="K59" s="14">
        <v>0.41879763741214737</v>
      </c>
      <c r="L59" s="14">
        <v>137.21251247038799</v>
      </c>
      <c r="M59" s="14">
        <v>455.89254750178901</v>
      </c>
      <c r="N59" s="14">
        <v>0.70384459369074037</v>
      </c>
      <c r="O59" s="14">
        <v>149.98985881188952</v>
      </c>
      <c r="P59" s="14">
        <v>1465.592631595616</v>
      </c>
      <c r="Q59" s="14">
        <v>0.72785178351224722</v>
      </c>
      <c r="R59" s="14">
        <v>8.6960848589400701</v>
      </c>
      <c r="S59" s="14"/>
      <c r="T59" s="14"/>
      <c r="U59" s="14"/>
    </row>
    <row r="60" spans="7:21" ht="38.25" x14ac:dyDescent="0.2">
      <c r="G60" s="1" t="s">
        <v>59</v>
      </c>
      <c r="H60" s="3" t="s">
        <v>115</v>
      </c>
      <c r="J60" s="14">
        <v>1496.1054090174218</v>
      </c>
      <c r="K60" s="14">
        <v>11.353947670304541</v>
      </c>
      <c r="L60" s="14">
        <v>140.60989914068892</v>
      </c>
      <c r="M60" s="14">
        <v>442.06259052038007</v>
      </c>
      <c r="N60" s="14">
        <v>3.0039048390821863E-2</v>
      </c>
      <c r="O60" s="14">
        <v>155.23586760490747</v>
      </c>
      <c r="P60" s="14">
        <v>1450.0977686516655</v>
      </c>
      <c r="Q60" s="14">
        <v>3.2209522598777553E-2</v>
      </c>
      <c r="R60" s="14">
        <v>9.1794458051586183</v>
      </c>
      <c r="S60" s="14"/>
      <c r="T60" s="14"/>
      <c r="U60" s="14"/>
    </row>
    <row r="61" spans="7:21" ht="38.25" x14ac:dyDescent="0.2">
      <c r="G61" s="1" t="s">
        <v>59</v>
      </c>
      <c r="H61" s="3" t="s">
        <v>90</v>
      </c>
      <c r="J61" s="14">
        <v>1390.0190408822089</v>
      </c>
      <c r="K61" s="14">
        <v>3.4900689279101971</v>
      </c>
      <c r="L61" s="14">
        <v>145.72828986348159</v>
      </c>
      <c r="M61" s="14">
        <v>466.17826713792141</v>
      </c>
      <c r="N61" s="14">
        <v>13.793555668476072</v>
      </c>
      <c r="O61" s="14">
        <v>162.70170288711606</v>
      </c>
      <c r="P61" s="14">
        <v>1436.8039715454479</v>
      </c>
      <c r="Q61" s="14">
        <v>38.001488937065318</v>
      </c>
      <c r="R61" s="14">
        <v>9.6156060312446829</v>
      </c>
      <c r="S61" s="14"/>
      <c r="T61" s="14"/>
      <c r="U61" s="14"/>
    </row>
    <row r="62" spans="7:21" ht="38.25" x14ac:dyDescent="0.2">
      <c r="G62" s="1" t="s">
        <v>59</v>
      </c>
      <c r="H62" s="3" t="s">
        <v>118</v>
      </c>
      <c r="J62" s="14">
        <v>1204.0827867248165</v>
      </c>
      <c r="K62" s="14"/>
      <c r="L62" s="14">
        <v>119.73168986426603</v>
      </c>
      <c r="M62" s="14">
        <v>413.6853870730618</v>
      </c>
      <c r="N62" s="14"/>
      <c r="O62" s="14">
        <v>131.20348546759939</v>
      </c>
      <c r="P62" s="14">
        <v>1430.0146386209628</v>
      </c>
      <c r="Q62" s="14"/>
      <c r="R62" s="14">
        <v>7.2462109734261775</v>
      </c>
      <c r="S62" s="14"/>
      <c r="T62" s="14"/>
      <c r="U62" s="14"/>
    </row>
    <row r="63" spans="7:21" ht="38.25" x14ac:dyDescent="0.2">
      <c r="G63" s="1" t="s">
        <v>59</v>
      </c>
      <c r="H63" s="3" t="s">
        <v>78</v>
      </c>
      <c r="J63" s="14">
        <v>1381.8381429529329</v>
      </c>
      <c r="K63" s="14">
        <v>21.855727634674388</v>
      </c>
      <c r="L63" s="14">
        <v>135.16289886418755</v>
      </c>
      <c r="M63" s="14">
        <v>477.31673922840446</v>
      </c>
      <c r="N63" s="14">
        <v>34.260329153485984</v>
      </c>
      <c r="O63" s="14">
        <v>153.00626411569451</v>
      </c>
      <c r="P63" s="14">
        <v>1428.3219824452751</v>
      </c>
      <c r="Q63" s="14">
        <v>43.829422900954057</v>
      </c>
      <c r="R63" s="14">
        <v>8.3473004069966947</v>
      </c>
      <c r="S63" s="14"/>
      <c r="T63" s="14"/>
      <c r="U63" s="14"/>
    </row>
    <row r="64" spans="7:21" ht="38.25" x14ac:dyDescent="0.2">
      <c r="G64" s="1" t="s">
        <v>59</v>
      </c>
      <c r="H64" s="3" t="s">
        <v>116</v>
      </c>
      <c r="J64" s="14">
        <v>1515.7970194594611</v>
      </c>
      <c r="K64" s="14">
        <v>1.0766082027096193</v>
      </c>
      <c r="L64" s="14">
        <v>140.58383794255195</v>
      </c>
      <c r="M64" s="14">
        <v>464.57245016500167</v>
      </c>
      <c r="N64" s="14">
        <v>3.4710634815358863</v>
      </c>
      <c r="O64" s="14">
        <v>157.77594972064745</v>
      </c>
      <c r="P64" s="14">
        <v>1422.5441010361665</v>
      </c>
      <c r="Q64" s="14">
        <v>15.692973672772331</v>
      </c>
      <c r="R64" s="14">
        <v>8.9355088653747838</v>
      </c>
      <c r="S64" s="14"/>
      <c r="T64" s="14"/>
      <c r="U64" s="14"/>
    </row>
    <row r="65" spans="7:21" ht="38.25" x14ac:dyDescent="0.2">
      <c r="G65" s="1" t="s">
        <v>59</v>
      </c>
      <c r="H65" s="3" t="s">
        <v>94</v>
      </c>
      <c r="J65" s="14">
        <v>2201.7209510929965</v>
      </c>
      <c r="K65" s="14">
        <v>114.56260725109681</v>
      </c>
      <c r="L65" s="14">
        <v>254.70179834076691</v>
      </c>
      <c r="M65" s="14">
        <v>443.11150361902253</v>
      </c>
      <c r="N65" s="14">
        <v>190.60646771840297</v>
      </c>
      <c r="O65" s="14">
        <v>153.18769241477381</v>
      </c>
      <c r="P65" s="14">
        <v>1371.1925712300283</v>
      </c>
      <c r="Q65" s="14">
        <v>430.55195015987829</v>
      </c>
      <c r="R65" s="14">
        <v>9.1105079549253833</v>
      </c>
      <c r="S65" s="14"/>
      <c r="T65" s="14"/>
      <c r="U65" s="14"/>
    </row>
    <row r="66" spans="7:21" ht="38.25" x14ac:dyDescent="0.2">
      <c r="G66" s="1" t="s">
        <v>59</v>
      </c>
      <c r="H66" s="3" t="s">
        <v>97</v>
      </c>
      <c r="J66" s="14">
        <v>1652.8007843679754</v>
      </c>
      <c r="K66" s="14">
        <v>10.55069805617585</v>
      </c>
      <c r="L66" s="14">
        <v>144.27660402373886</v>
      </c>
      <c r="M66" s="14">
        <v>443.98975940283668</v>
      </c>
      <c r="N66" s="14">
        <v>5.0677718488363777</v>
      </c>
      <c r="O66" s="14">
        <v>145.51011133779588</v>
      </c>
      <c r="P66" s="14">
        <v>1363.3200328179485</v>
      </c>
      <c r="Q66" s="14">
        <v>13.466828029625757</v>
      </c>
      <c r="R66" s="14">
        <v>8.3768248674374561</v>
      </c>
      <c r="S66" s="14"/>
      <c r="T66" s="14"/>
      <c r="U66" s="14"/>
    </row>
    <row r="67" spans="7:21" ht="38.25" x14ac:dyDescent="0.2">
      <c r="G67" s="1" t="s">
        <v>59</v>
      </c>
      <c r="H67" s="3" t="s">
        <v>99</v>
      </c>
      <c r="J67" s="14">
        <v>1371.5861827034337</v>
      </c>
      <c r="K67" s="14">
        <v>1.3525304567220475</v>
      </c>
      <c r="L67" s="14">
        <v>137.80197211376833</v>
      </c>
      <c r="M67" s="14">
        <v>447.32006729286127</v>
      </c>
      <c r="N67" s="14">
        <v>1.3598342057827826</v>
      </c>
      <c r="O67" s="14">
        <v>148.57463043770346</v>
      </c>
      <c r="P67" s="14">
        <v>1354.6624025320132</v>
      </c>
      <c r="Q67" s="14">
        <v>3.1899609128242368</v>
      </c>
      <c r="R67" s="14">
        <v>8.5979414521323463</v>
      </c>
      <c r="S67" s="14"/>
      <c r="T67" s="14"/>
      <c r="U67" s="14"/>
    </row>
    <row r="68" spans="7:21" ht="38.25" x14ac:dyDescent="0.2">
      <c r="G68" s="1" t="s">
        <v>59</v>
      </c>
      <c r="H68" s="3" t="s">
        <v>89</v>
      </c>
      <c r="J68" s="14">
        <v>1318.2930179197569</v>
      </c>
      <c r="K68" s="14"/>
      <c r="L68" s="14">
        <v>126.99694604682729</v>
      </c>
      <c r="M68" s="14">
        <v>456.48617411565198</v>
      </c>
      <c r="N68" s="14">
        <v>2.9054743930421022E-2</v>
      </c>
      <c r="O68" s="14">
        <v>148.69856887097967</v>
      </c>
      <c r="P68" s="14">
        <v>1219.8163678426836</v>
      </c>
      <c r="Q68" s="14"/>
      <c r="R68" s="14">
        <v>7.8896309282822434</v>
      </c>
      <c r="S68" s="14"/>
      <c r="T68" s="14"/>
      <c r="U68" s="14"/>
    </row>
    <row r="69" spans="7:21" ht="38.25" x14ac:dyDescent="0.2">
      <c r="G69" s="1" t="s">
        <v>59</v>
      </c>
      <c r="H69" s="3" t="s">
        <v>77</v>
      </c>
      <c r="J69" s="14"/>
      <c r="K69" s="14"/>
      <c r="L69" s="14"/>
      <c r="M69" s="14">
        <v>459.17828666565396</v>
      </c>
      <c r="N69" s="14">
        <v>3.032796781766542</v>
      </c>
      <c r="O69" s="14">
        <v>149.94575203286675</v>
      </c>
      <c r="P69" s="14">
        <v>1215.1314283600414</v>
      </c>
      <c r="Q69" s="14"/>
      <c r="R69" s="14">
        <v>7.7769891125666737</v>
      </c>
      <c r="S69" s="14"/>
      <c r="T69" s="14"/>
      <c r="U69" s="14"/>
    </row>
    <row r="70" spans="7:21" ht="38.25" x14ac:dyDescent="0.2">
      <c r="G70" s="1" t="s">
        <v>59</v>
      </c>
      <c r="H70" s="3" t="s">
        <v>112</v>
      </c>
      <c r="J70" s="14">
        <v>1229.4450750147971</v>
      </c>
      <c r="K70" s="14"/>
      <c r="L70" s="14">
        <v>129.63777554573161</v>
      </c>
      <c r="M70" s="14">
        <v>412.12334130529393</v>
      </c>
      <c r="N70" s="14">
        <v>5.1797017913911676E-2</v>
      </c>
      <c r="O70" s="14">
        <v>144.13939822908193</v>
      </c>
      <c r="P70" s="14">
        <v>1136.5471433760574</v>
      </c>
      <c r="Q70" s="14"/>
      <c r="R70" s="14">
        <v>7.8834518187950824</v>
      </c>
      <c r="S70" s="14"/>
      <c r="T70" s="14"/>
      <c r="U70" s="14"/>
    </row>
    <row r="71" spans="7:21" ht="38.25" x14ac:dyDescent="0.2">
      <c r="G71" s="1" t="s">
        <v>59</v>
      </c>
      <c r="H71" s="3" t="s">
        <v>88</v>
      </c>
      <c r="J71" s="14">
        <v>1030.974978833141</v>
      </c>
      <c r="K71" s="14">
        <v>3.567865883892548E-2</v>
      </c>
      <c r="L71" s="14">
        <v>120.50652337308553</v>
      </c>
      <c r="M71" s="14">
        <v>376.63329884040712</v>
      </c>
      <c r="N71" s="14">
        <v>0.22746908645054639</v>
      </c>
      <c r="O71" s="14">
        <v>138.49247414887333</v>
      </c>
      <c r="P71" s="14">
        <v>949.0095310150117</v>
      </c>
      <c r="Q71" s="14"/>
      <c r="R71" s="14">
        <v>7.2517830287037643</v>
      </c>
      <c r="S71" s="14"/>
      <c r="T71" s="14"/>
      <c r="U71" s="14"/>
    </row>
    <row r="72" spans="7:21" ht="38.25" x14ac:dyDescent="0.2">
      <c r="G72" s="1" t="s">
        <v>59</v>
      </c>
      <c r="H72" s="3" t="s">
        <v>81</v>
      </c>
      <c r="J72" s="14">
        <v>1420.2139927370802</v>
      </c>
      <c r="K72" s="14">
        <v>863.91252303628789</v>
      </c>
      <c r="L72" s="14">
        <v>213.72843335435874</v>
      </c>
      <c r="M72" s="14">
        <v>951.45955434751841</v>
      </c>
      <c r="N72" s="14"/>
      <c r="O72" s="14">
        <v>649.24827996262638</v>
      </c>
      <c r="P72" s="14"/>
      <c r="Q72" s="14"/>
      <c r="R72" s="14"/>
      <c r="S72" s="14"/>
      <c r="T72" s="14"/>
      <c r="U72" s="14"/>
    </row>
    <row r="73" spans="7:21" ht="38.25" x14ac:dyDescent="0.2">
      <c r="G73" s="1" t="s">
        <v>59</v>
      </c>
      <c r="H73" s="3" t="s">
        <v>95</v>
      </c>
      <c r="J73" s="14">
        <v>1762.8817036981177</v>
      </c>
      <c r="K73" s="14">
        <v>896.10970021341234</v>
      </c>
      <c r="L73" s="14">
        <v>315.74309472437977</v>
      </c>
      <c r="M73" s="14">
        <v>643.28636608420891</v>
      </c>
      <c r="N73" s="14">
        <v>241.64466301059139</v>
      </c>
      <c r="O73" s="14">
        <v>423.1958074959104</v>
      </c>
      <c r="P73" s="14"/>
      <c r="Q73" s="14"/>
      <c r="R73" s="14"/>
      <c r="S73" s="14"/>
      <c r="T73" s="14"/>
      <c r="U73" s="14"/>
    </row>
    <row r="74" spans="7:21" ht="38.25" x14ac:dyDescent="0.2">
      <c r="G74" s="1" t="s">
        <v>59</v>
      </c>
      <c r="H74" s="3" t="s">
        <v>106</v>
      </c>
      <c r="J74" s="14"/>
      <c r="K74" s="14"/>
      <c r="L74" s="14"/>
      <c r="M74" s="14">
        <v>470.22145182977204</v>
      </c>
      <c r="N74" s="14"/>
      <c r="O74" s="14">
        <v>156.76667368659787</v>
      </c>
      <c r="P74" s="14"/>
      <c r="Q74" s="14"/>
      <c r="R74" s="14"/>
      <c r="S74" s="14"/>
      <c r="T74" s="14"/>
      <c r="U74" s="14"/>
    </row>
    <row r="75" spans="7:21" ht="38.25" x14ac:dyDescent="0.2">
      <c r="G75" s="1" t="s">
        <v>59</v>
      </c>
      <c r="H75" s="3" t="s">
        <v>96</v>
      </c>
      <c r="J75" s="14"/>
      <c r="K75" s="14"/>
      <c r="L75" s="14"/>
      <c r="M75" s="14">
        <v>393.58451960712426</v>
      </c>
      <c r="N75" s="14"/>
      <c r="O75" s="14">
        <v>132.4635738003708</v>
      </c>
      <c r="P75" s="14"/>
      <c r="Q75" s="14"/>
      <c r="R75" s="14"/>
      <c r="S75" s="14"/>
      <c r="T75" s="14"/>
      <c r="U75" s="14"/>
    </row>
    <row r="76" spans="7:21" ht="38.25" x14ac:dyDescent="0.2">
      <c r="G76" s="1" t="s">
        <v>59</v>
      </c>
      <c r="H76" s="3" t="s">
        <v>117</v>
      </c>
      <c r="J76" s="14">
        <v>2773.68556241024</v>
      </c>
      <c r="K76" s="14">
        <v>128.80907222481423</v>
      </c>
      <c r="L76" s="14">
        <v>320.45533944698718</v>
      </c>
      <c r="M76" s="14">
        <v>313.65502899382375</v>
      </c>
      <c r="N76" s="14">
        <v>342.24599635623838</v>
      </c>
      <c r="O76" s="14">
        <v>157.35463309202913</v>
      </c>
      <c r="P76" s="14"/>
      <c r="Q76" s="14"/>
      <c r="R76" s="14"/>
      <c r="S76" s="14"/>
      <c r="T76" s="14"/>
      <c r="U76" s="14"/>
    </row>
    <row r="77" spans="7:21" ht="38.25" x14ac:dyDescent="0.2">
      <c r="G77" s="1" t="s">
        <v>59</v>
      </c>
      <c r="H77" s="3" t="s">
        <v>70</v>
      </c>
      <c r="J77" s="14">
        <v>2353.5024446627713</v>
      </c>
      <c r="K77" s="14">
        <v>52.834769240815689</v>
      </c>
      <c r="L77" s="14">
        <v>298.63353991274943</v>
      </c>
      <c r="M77" s="14">
        <v>305.96042329936461</v>
      </c>
      <c r="N77" s="14">
        <v>290.19953655874582</v>
      </c>
      <c r="O77" s="14">
        <v>162.04714885458685</v>
      </c>
      <c r="P77" s="14"/>
      <c r="Q77" s="14"/>
      <c r="R77" s="14"/>
      <c r="S77" s="14"/>
      <c r="T77" s="14"/>
      <c r="U77" s="14"/>
    </row>
    <row r="78" spans="7:21" ht="38.25" x14ac:dyDescent="0.2">
      <c r="G78" s="1" t="s">
        <v>59</v>
      </c>
      <c r="H78" s="3" t="s">
        <v>104</v>
      </c>
      <c r="J78" s="14">
        <v>2067.95195707221</v>
      </c>
      <c r="K78" s="14">
        <v>274.53412028373293</v>
      </c>
      <c r="L78" s="14">
        <v>320.01576793643352</v>
      </c>
      <c r="M78" s="14">
        <v>279.47608662809387</v>
      </c>
      <c r="N78" s="14">
        <v>410.44487734805023</v>
      </c>
      <c r="O78" s="14">
        <v>204.5548583018963</v>
      </c>
      <c r="P78" s="14"/>
      <c r="Q78" s="14"/>
      <c r="R78" s="14"/>
      <c r="S78" s="14"/>
      <c r="T78" s="14"/>
      <c r="U78" s="14"/>
    </row>
    <row r="79" spans="7:21" ht="38.25" x14ac:dyDescent="0.2">
      <c r="G79" s="1" t="s">
        <v>59</v>
      </c>
      <c r="H79" s="3" t="s">
        <v>111</v>
      </c>
      <c r="J79" s="14">
        <v>1937.2648487267554</v>
      </c>
      <c r="K79" s="14">
        <v>670.90566214046703</v>
      </c>
      <c r="L79" s="14">
        <v>288.79922713973144</v>
      </c>
      <c r="M79" s="14">
        <v>247.06185182708791</v>
      </c>
      <c r="N79" s="14">
        <v>498.8156385287345</v>
      </c>
      <c r="O79" s="14">
        <v>162.65652885872674</v>
      </c>
      <c r="P79" s="14"/>
      <c r="Q79" s="14"/>
      <c r="R79" s="14"/>
      <c r="S79" s="14"/>
      <c r="T79" s="14"/>
      <c r="U79" s="14"/>
    </row>
    <row r="80" spans="7:21" ht="38.25" x14ac:dyDescent="0.2">
      <c r="G80" s="1" t="s">
        <v>59</v>
      </c>
      <c r="H80" s="3" t="s">
        <v>114</v>
      </c>
      <c r="J80" s="14">
        <v>2128.0946463017285</v>
      </c>
      <c r="K80" s="14">
        <v>262.04422178616454</v>
      </c>
      <c r="L80" s="14">
        <v>335.39382018725854</v>
      </c>
      <c r="M80" s="14">
        <v>208.91859167986391</v>
      </c>
      <c r="N80" s="14">
        <v>426.75063604246634</v>
      </c>
      <c r="O80" s="14">
        <v>174.90706480675811</v>
      </c>
      <c r="P80" s="14"/>
      <c r="Q80" s="14"/>
      <c r="R80" s="14"/>
      <c r="S80" s="14"/>
      <c r="T80" s="14"/>
      <c r="U80" s="14"/>
    </row>
    <row r="81" spans="7:21" ht="38.25" x14ac:dyDescent="0.2">
      <c r="G81" s="2" t="s">
        <v>59</v>
      </c>
      <c r="H81" s="4" t="s">
        <v>80</v>
      </c>
      <c r="I81" s="35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</row>
  </sheetData>
  <autoFilter ref="G28:U28" xr:uid="{384E6A4D-55C5-4664-AECF-D4B75FBB8DB6}">
    <sortState ref="G29:U81">
      <sortCondition descending="1" ref="S28"/>
    </sortState>
  </autoFilter>
  <mergeCells count="2">
    <mergeCell ref="D7:D8"/>
    <mergeCell ref="J27:K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1DD7-C590-4F3A-850F-A5FADCC86870}">
  <dimension ref="A1:P59"/>
  <sheetViews>
    <sheetView zoomScale="85" zoomScaleNormal="85" workbookViewId="0">
      <selection activeCell="O65" sqref="O65"/>
    </sheetView>
  </sheetViews>
  <sheetFormatPr defaultRowHeight="15" x14ac:dyDescent="0.25"/>
  <cols>
    <col min="1" max="1" width="12.28515625" style="9" bestFit="1" customWidth="1"/>
    <col min="2" max="2" width="15.42578125" bestFit="1" customWidth="1"/>
    <col min="3" max="4" width="15.42578125" customWidth="1"/>
    <col min="5" max="5" width="12.28515625" style="9" bestFit="1" customWidth="1"/>
    <col min="6" max="6" width="13.7109375" bestFit="1" customWidth="1"/>
    <col min="7" max="8" width="13.7109375" customWidth="1"/>
    <col min="9" max="9" width="12.28515625" style="9" bestFit="1" customWidth="1"/>
    <col min="10" max="10" width="12.5703125" bestFit="1" customWidth="1"/>
    <col min="11" max="12" width="12.5703125" customWidth="1"/>
    <col min="13" max="13" width="12.28515625" style="9" bestFit="1" customWidth="1"/>
    <col min="14" max="14" width="15.5703125" bestFit="1" customWidth="1"/>
  </cols>
  <sheetData>
    <row r="1" spans="1:16" x14ac:dyDescent="0.25">
      <c r="B1" t="s">
        <v>148</v>
      </c>
      <c r="F1" t="s">
        <v>147</v>
      </c>
      <c r="J1" t="s">
        <v>149</v>
      </c>
      <c r="N1" t="s">
        <v>150</v>
      </c>
    </row>
    <row r="2" spans="1:16" x14ac:dyDescent="0.25">
      <c r="A2" s="10" t="s">
        <v>117</v>
      </c>
      <c r="B2" s="13">
        <v>2773.68556241024</v>
      </c>
      <c r="C2" s="5">
        <v>1869.4347934987068</v>
      </c>
      <c r="D2" s="5">
        <v>1277.2112739948204</v>
      </c>
      <c r="E2" s="10" t="s">
        <v>81</v>
      </c>
      <c r="F2" s="14">
        <v>951.45955434751841</v>
      </c>
      <c r="G2" s="14">
        <v>522.42939466507812</v>
      </c>
      <c r="H2" s="14">
        <v>947.1963480386853</v>
      </c>
      <c r="I2" s="10" t="s">
        <v>103</v>
      </c>
      <c r="J2" s="14">
        <v>2135.2065861590122</v>
      </c>
      <c r="K2" s="14">
        <v>1560.3460544278751</v>
      </c>
      <c r="L2" s="14">
        <v>2037.0420908011138</v>
      </c>
      <c r="M2" s="10" t="s">
        <v>76</v>
      </c>
      <c r="N2" s="14">
        <v>7939.5309136206388</v>
      </c>
      <c r="O2" s="14">
        <v>4781.3400817263609</v>
      </c>
      <c r="P2" s="14">
        <v>5162.6868567229894</v>
      </c>
    </row>
    <row r="3" spans="1:16" x14ac:dyDescent="0.25">
      <c r="A3" s="10" t="s">
        <v>76</v>
      </c>
      <c r="B3" s="13">
        <v>2689.849941057008</v>
      </c>
      <c r="C3" s="5">
        <v>1869.4347934987068</v>
      </c>
      <c r="D3" s="5">
        <v>1277.2112739948204</v>
      </c>
      <c r="E3" s="10" t="s">
        <v>109</v>
      </c>
      <c r="F3" s="14">
        <v>648.32303588506875</v>
      </c>
      <c r="G3" s="14">
        <v>522.42939466507812</v>
      </c>
      <c r="H3" s="14">
        <v>947.1963480386853</v>
      </c>
      <c r="I3" s="10" t="s">
        <v>72</v>
      </c>
      <c r="J3" s="14">
        <v>1873.793153553745</v>
      </c>
      <c r="K3" s="14">
        <v>1560.3460544278751</v>
      </c>
      <c r="L3" s="14">
        <v>2037.0420908011138</v>
      </c>
      <c r="M3" s="10" t="s">
        <v>72</v>
      </c>
      <c r="N3" s="14">
        <v>6422.9145978585557</v>
      </c>
      <c r="O3" s="14">
        <v>4781.3400817263609</v>
      </c>
      <c r="P3" s="14">
        <v>5162.6868567229894</v>
      </c>
    </row>
    <row r="4" spans="1:16" x14ac:dyDescent="0.25">
      <c r="A4" s="10" t="s">
        <v>70</v>
      </c>
      <c r="B4" s="13">
        <v>2353.5024446627713</v>
      </c>
      <c r="C4" s="5">
        <v>1869.4347934987068</v>
      </c>
      <c r="D4" s="5">
        <v>1277.2112739948204</v>
      </c>
      <c r="E4" s="10" t="s">
        <v>95</v>
      </c>
      <c r="F4" s="14">
        <v>643.28636608420891</v>
      </c>
      <c r="G4" s="14">
        <v>522.42939466507812</v>
      </c>
      <c r="H4" s="14">
        <v>947.1963480386853</v>
      </c>
      <c r="I4" s="10" t="s">
        <v>87</v>
      </c>
      <c r="J4" s="14">
        <v>1831.7216971291396</v>
      </c>
      <c r="K4" s="14">
        <v>1560.3460544278751</v>
      </c>
      <c r="L4" s="14">
        <v>2037.0420908011138</v>
      </c>
      <c r="M4" s="10" t="s">
        <v>79</v>
      </c>
      <c r="N4" s="14">
        <v>6241.4377195757334</v>
      </c>
      <c r="O4" s="14">
        <v>4781.3400817263609</v>
      </c>
      <c r="P4" s="14">
        <v>5162.6868567229894</v>
      </c>
    </row>
    <row r="5" spans="1:16" x14ac:dyDescent="0.25">
      <c r="A5" s="10" t="s">
        <v>103</v>
      </c>
      <c r="B5" s="13">
        <v>2272.3871181538939</v>
      </c>
      <c r="C5" s="5">
        <v>1869.4347934987068</v>
      </c>
      <c r="D5" s="5">
        <v>1277.2112739948204</v>
      </c>
      <c r="E5" s="10" t="s">
        <v>72</v>
      </c>
      <c r="F5" s="14">
        <v>632.6463912797152</v>
      </c>
      <c r="G5" s="14">
        <v>522.42939466507812</v>
      </c>
      <c r="H5" s="14">
        <v>947.1963480386853</v>
      </c>
      <c r="I5" s="10" t="s">
        <v>98</v>
      </c>
      <c r="J5" s="14">
        <v>1830.4313264294969</v>
      </c>
      <c r="K5" s="14">
        <v>1560.3460544278751</v>
      </c>
      <c r="L5" s="14">
        <v>2037.0420908011138</v>
      </c>
      <c r="M5" s="10" t="s">
        <v>109</v>
      </c>
      <c r="N5" s="14">
        <v>5911.602487072485</v>
      </c>
      <c r="O5" s="14">
        <v>4781.3400817263609</v>
      </c>
      <c r="P5" s="14">
        <v>5162.6868567229894</v>
      </c>
    </row>
    <row r="6" spans="1:16" ht="15.75" thickBot="1" x14ac:dyDescent="0.3">
      <c r="A6" s="15" t="s">
        <v>94</v>
      </c>
      <c r="B6" s="16">
        <v>2201.7209510929965</v>
      </c>
      <c r="C6" s="5">
        <v>1869.4347934987068</v>
      </c>
      <c r="D6" s="5">
        <v>1277.2112739948204</v>
      </c>
      <c r="E6" s="10" t="s">
        <v>93</v>
      </c>
      <c r="F6" s="14">
        <v>590.66051035767055</v>
      </c>
      <c r="G6" s="14">
        <v>522.42939466507812</v>
      </c>
      <c r="H6" s="14">
        <v>947.1963480386853</v>
      </c>
      <c r="I6" s="10" t="s">
        <v>79</v>
      </c>
      <c r="J6" s="14">
        <v>1788.1932088543108</v>
      </c>
      <c r="K6" s="14">
        <v>1560.3460544278751</v>
      </c>
      <c r="L6" s="14">
        <v>2037.0420908011138</v>
      </c>
      <c r="M6" s="10" t="s">
        <v>87</v>
      </c>
      <c r="N6" s="14">
        <v>5829.6855378297068</v>
      </c>
      <c r="O6" s="14">
        <v>4781.3400817263609</v>
      </c>
      <c r="P6" s="14">
        <v>5162.6868567229894</v>
      </c>
    </row>
    <row r="7" spans="1:16" x14ac:dyDescent="0.25">
      <c r="A7" s="19" t="s">
        <v>91</v>
      </c>
      <c r="B7" s="20">
        <v>1215.50852698214</v>
      </c>
      <c r="C7" s="5">
        <v>1869.4347934987068</v>
      </c>
      <c r="D7" s="5">
        <v>1277.2112739948204</v>
      </c>
      <c r="E7" s="10" t="s">
        <v>104</v>
      </c>
      <c r="F7" s="14">
        <v>279.47608662809387</v>
      </c>
      <c r="G7" s="14">
        <v>522.42939466507812</v>
      </c>
      <c r="H7" s="14">
        <v>947.1963480386853</v>
      </c>
      <c r="I7" s="10" t="s">
        <v>76</v>
      </c>
      <c r="J7" s="14">
        <v>1232.9634604099042</v>
      </c>
      <c r="K7" s="14">
        <v>1560.3460544278751</v>
      </c>
      <c r="L7" s="14">
        <v>2037.0420908011138</v>
      </c>
      <c r="M7" s="10" t="s">
        <v>93</v>
      </c>
      <c r="N7" s="14">
        <v>4517.067428213556</v>
      </c>
      <c r="O7" s="14">
        <v>4781.3400817263609</v>
      </c>
      <c r="P7" s="14">
        <v>5162.6868567229894</v>
      </c>
    </row>
    <row r="8" spans="1:16" x14ac:dyDescent="0.25">
      <c r="A8" s="21" t="s">
        <v>79</v>
      </c>
      <c r="B8" s="22">
        <v>1197.541091354632</v>
      </c>
      <c r="C8" s="5">
        <v>1869.4347934987068</v>
      </c>
      <c r="D8" s="5">
        <v>1277.2112739948204</v>
      </c>
      <c r="E8" s="10" t="s">
        <v>73</v>
      </c>
      <c r="F8" s="14">
        <v>248.80792770430736</v>
      </c>
      <c r="G8" s="14">
        <v>522.42939466507812</v>
      </c>
      <c r="H8" s="14">
        <v>947.1963480386853</v>
      </c>
      <c r="I8" s="10" t="s">
        <v>89</v>
      </c>
      <c r="J8" s="14">
        <v>1219.8163678426836</v>
      </c>
      <c r="K8" s="14">
        <v>1560.3460544278751</v>
      </c>
      <c r="L8" s="14">
        <v>2037.0420908011138</v>
      </c>
      <c r="M8" s="10" t="s">
        <v>98</v>
      </c>
      <c r="N8" s="14">
        <v>4381.5764805241261</v>
      </c>
      <c r="O8" s="14">
        <v>4781.3400817263609</v>
      </c>
      <c r="P8" s="14">
        <v>5162.6868567229894</v>
      </c>
    </row>
    <row r="9" spans="1:16" x14ac:dyDescent="0.25">
      <c r="A9" s="21" t="s">
        <v>88</v>
      </c>
      <c r="B9" s="22">
        <v>1030.974978833141</v>
      </c>
      <c r="C9" s="5">
        <v>1869.4347934987068</v>
      </c>
      <c r="D9" s="5">
        <v>1277.2112739948204</v>
      </c>
      <c r="E9" s="10" t="s">
        <v>111</v>
      </c>
      <c r="F9" s="14">
        <v>247.06185182708791</v>
      </c>
      <c r="G9" s="14">
        <v>522.42939466507812</v>
      </c>
      <c r="H9" s="14">
        <v>947.1963480386853</v>
      </c>
      <c r="I9" s="10" t="s">
        <v>77</v>
      </c>
      <c r="J9" s="14">
        <v>1215.1314283600414</v>
      </c>
      <c r="K9" s="14">
        <v>1560.3460544278751</v>
      </c>
      <c r="L9" s="14">
        <v>2037.0420908011138</v>
      </c>
      <c r="M9" s="10" t="s">
        <v>74</v>
      </c>
      <c r="N9" s="14">
        <v>3767.5460559411504</v>
      </c>
      <c r="O9" s="14">
        <v>4781.3400817263609</v>
      </c>
      <c r="P9" s="14">
        <v>5162.6868567229894</v>
      </c>
    </row>
    <row r="10" spans="1:16" x14ac:dyDescent="0.25">
      <c r="A10" s="21" t="s">
        <v>75</v>
      </c>
      <c r="B10" s="22">
        <v>725.66655291976122</v>
      </c>
      <c r="C10" s="5">
        <v>1869.4347934987068</v>
      </c>
      <c r="D10" s="5">
        <v>1277.2112739948204</v>
      </c>
      <c r="E10" s="10" t="s">
        <v>114</v>
      </c>
      <c r="F10" s="14">
        <v>208.91859167986391</v>
      </c>
      <c r="G10" s="14">
        <v>522.42939466507812</v>
      </c>
      <c r="H10" s="14">
        <v>947.1963480386853</v>
      </c>
      <c r="I10" s="10" t="s">
        <v>112</v>
      </c>
      <c r="J10" s="14">
        <v>1136.5471433760574</v>
      </c>
      <c r="K10" s="14">
        <v>1560.3460544278751</v>
      </c>
      <c r="L10" s="14">
        <v>2037.0420908011138</v>
      </c>
      <c r="M10" s="10" t="s">
        <v>73</v>
      </c>
      <c r="N10" s="14">
        <v>1708.4592503898252</v>
      </c>
      <c r="O10" s="14">
        <v>4781.3400817263609</v>
      </c>
      <c r="P10" s="14">
        <v>5162.6868567229894</v>
      </c>
    </row>
    <row r="11" spans="1:16" ht="15.75" thickBot="1" x14ac:dyDescent="0.3">
      <c r="A11" s="23" t="s">
        <v>73</v>
      </c>
      <c r="B11" s="24">
        <v>399.03348724532026</v>
      </c>
      <c r="C11" s="5">
        <v>1869.4347934987068</v>
      </c>
      <c r="D11" s="5">
        <v>1277.2112739948204</v>
      </c>
      <c r="E11" s="10" t="s">
        <v>75</v>
      </c>
      <c r="F11" s="14">
        <v>138.93968919446516</v>
      </c>
      <c r="G11" s="14">
        <v>522.42939466507812</v>
      </c>
      <c r="H11" s="14">
        <v>947.1963480386853</v>
      </c>
      <c r="I11" s="10" t="s">
        <v>88</v>
      </c>
      <c r="J11" s="14">
        <v>949.0095310150117</v>
      </c>
      <c r="K11" s="14">
        <v>1560.3460544278751</v>
      </c>
      <c r="L11" s="14">
        <v>2037.0420908011138</v>
      </c>
      <c r="M11" s="10" t="s">
        <v>75</v>
      </c>
      <c r="N11" s="14">
        <v>731.49970889890471</v>
      </c>
      <c r="O11" s="14">
        <v>4781.3400817263609</v>
      </c>
      <c r="P11" s="14">
        <v>5162.6868567229894</v>
      </c>
    </row>
    <row r="12" spans="1:16" x14ac:dyDescent="0.25">
      <c r="A12" s="17" t="s">
        <v>114</v>
      </c>
      <c r="B12" s="18">
        <v>2128.0946463017285</v>
      </c>
      <c r="C12" s="14"/>
      <c r="D12" s="14"/>
      <c r="E12" s="10" t="s">
        <v>152</v>
      </c>
      <c r="F12" s="14">
        <v>947.1963480386853</v>
      </c>
      <c r="G12" s="5"/>
      <c r="H12" s="5"/>
      <c r="I12" s="10" t="s">
        <v>152</v>
      </c>
      <c r="J12" s="14">
        <v>2037.0420908011138</v>
      </c>
      <c r="K12" s="5"/>
      <c r="L12" s="5"/>
      <c r="M12" s="10" t="s">
        <v>113</v>
      </c>
      <c r="N12" s="14">
        <v>5800.0812671294398</v>
      </c>
    </row>
    <row r="13" spans="1:16" x14ac:dyDescent="0.25">
      <c r="A13" s="10" t="s">
        <v>104</v>
      </c>
      <c r="B13" s="5">
        <v>2067.95195707221</v>
      </c>
      <c r="C13" s="5"/>
      <c r="D13" s="5"/>
      <c r="E13" s="10" t="s">
        <v>108</v>
      </c>
      <c r="F13" s="14">
        <v>586.48549643562512</v>
      </c>
      <c r="G13" s="5"/>
      <c r="H13" s="5"/>
      <c r="I13" s="10" t="s">
        <v>110</v>
      </c>
      <c r="J13" s="14">
        <v>1748.9479082327823</v>
      </c>
      <c r="L13" s="5"/>
      <c r="M13" s="10" t="s">
        <v>107</v>
      </c>
      <c r="N13" s="14">
        <v>5716.2061253129432</v>
      </c>
    </row>
    <row r="14" spans="1:16" x14ac:dyDescent="0.25">
      <c r="A14" s="10" t="s">
        <v>85</v>
      </c>
      <c r="B14" s="5">
        <v>2042.2847259317907</v>
      </c>
      <c r="C14" s="5"/>
      <c r="D14" s="5"/>
      <c r="E14" s="10" t="s">
        <v>86</v>
      </c>
      <c r="F14" s="14">
        <v>581.42067981723949</v>
      </c>
      <c r="G14" s="5"/>
      <c r="H14" s="5"/>
      <c r="I14" s="10" t="s">
        <v>109</v>
      </c>
      <c r="J14" s="14">
        <v>1699.3115262079541</v>
      </c>
      <c r="L14" s="5"/>
      <c r="M14" s="10" t="s">
        <v>58</v>
      </c>
      <c r="N14" s="14">
        <v>5550.5514263795803</v>
      </c>
    </row>
    <row r="15" spans="1:16" x14ac:dyDescent="0.25">
      <c r="A15" s="12" t="s">
        <v>110</v>
      </c>
      <c r="B15" s="8">
        <v>2034.9960429453163</v>
      </c>
      <c r="C15" s="5"/>
      <c r="D15" s="5"/>
      <c r="E15" s="10" t="s">
        <v>82</v>
      </c>
      <c r="F15" s="14">
        <v>578.35476885890296</v>
      </c>
      <c r="G15" s="5"/>
      <c r="H15" s="5"/>
      <c r="I15" s="10" t="s">
        <v>107</v>
      </c>
      <c r="J15" s="14">
        <v>1692.1247726205511</v>
      </c>
      <c r="L15" s="5"/>
      <c r="M15" s="10" t="s">
        <v>100</v>
      </c>
      <c r="N15" s="14">
        <v>5452.3158126911949</v>
      </c>
    </row>
    <row r="16" spans="1:16" x14ac:dyDescent="0.25">
      <c r="A16" s="10" t="s">
        <v>111</v>
      </c>
      <c r="B16" s="5">
        <v>1937.2648487267554</v>
      </c>
      <c r="C16" s="5"/>
      <c r="D16" s="5"/>
      <c r="E16" s="10" t="s">
        <v>110</v>
      </c>
      <c r="F16" s="14">
        <v>556.25285799889366</v>
      </c>
      <c r="G16" s="5"/>
      <c r="H16" s="5"/>
      <c r="I16" s="10" t="s">
        <v>58</v>
      </c>
      <c r="J16" s="14">
        <v>1671.7776373029217</v>
      </c>
      <c r="L16" s="5"/>
      <c r="M16" s="10" t="s">
        <v>152</v>
      </c>
      <c r="N16" s="14">
        <v>5162.6868567229894</v>
      </c>
    </row>
    <row r="17" spans="1:14" x14ac:dyDescent="0.25">
      <c r="A17" s="10" t="s">
        <v>151</v>
      </c>
      <c r="B17" s="5">
        <v>1869.4347934987068</v>
      </c>
      <c r="C17" s="5"/>
      <c r="D17" s="5"/>
      <c r="E17" s="10" t="s">
        <v>87</v>
      </c>
      <c r="F17" s="14">
        <v>554.47611979704891</v>
      </c>
      <c r="G17" s="5"/>
      <c r="H17" s="5"/>
      <c r="I17" s="10" t="s">
        <v>84</v>
      </c>
      <c r="J17" s="14">
        <v>1612.8301113708892</v>
      </c>
      <c r="K17" s="5"/>
      <c r="L17" s="5"/>
      <c r="M17" s="10" t="s">
        <v>92</v>
      </c>
      <c r="N17" s="14">
        <v>5012.3822741529439</v>
      </c>
    </row>
    <row r="18" spans="1:14" x14ac:dyDescent="0.25">
      <c r="A18" s="10" t="s">
        <v>108</v>
      </c>
      <c r="B18" s="5">
        <v>1851.0035207311823</v>
      </c>
      <c r="C18" s="8"/>
      <c r="D18" s="8"/>
      <c r="E18" s="10" t="s">
        <v>84</v>
      </c>
      <c r="F18" s="14">
        <v>552.6046181155383</v>
      </c>
      <c r="G18" s="8"/>
      <c r="H18" s="8"/>
      <c r="I18" s="10" t="s">
        <v>85</v>
      </c>
      <c r="J18" s="14">
        <v>1608.9390047379707</v>
      </c>
      <c r="K18" s="5"/>
      <c r="L18" s="5"/>
      <c r="M18" s="10" t="s">
        <v>110</v>
      </c>
      <c r="N18" s="14">
        <v>4943.8000948106101</v>
      </c>
    </row>
    <row r="19" spans="1:14" x14ac:dyDescent="0.25">
      <c r="A19" s="10" t="s">
        <v>95</v>
      </c>
      <c r="B19" s="5">
        <v>1762.8817036981177</v>
      </c>
      <c r="C19" s="5"/>
      <c r="D19" s="5"/>
      <c r="E19" s="10" t="s">
        <v>107</v>
      </c>
      <c r="F19" s="14">
        <v>537.95259434864352</v>
      </c>
      <c r="G19" s="5"/>
      <c r="H19" s="5"/>
      <c r="I19" s="10" t="s">
        <v>93</v>
      </c>
      <c r="J19" s="14">
        <v>1607.6976990653991</v>
      </c>
      <c r="K19" s="5"/>
      <c r="L19" s="5"/>
      <c r="M19" s="10" t="s">
        <v>151</v>
      </c>
      <c r="N19" s="14">
        <v>4781.3400817263609</v>
      </c>
    </row>
    <row r="20" spans="1:14" x14ac:dyDescent="0.25">
      <c r="A20" s="10" t="s">
        <v>98</v>
      </c>
      <c r="B20" s="5">
        <v>1674.8611688881492</v>
      </c>
      <c r="C20" s="5"/>
      <c r="D20" s="5"/>
      <c r="E20" s="10" t="s">
        <v>100</v>
      </c>
      <c r="F20" s="14">
        <v>527.87875836700778</v>
      </c>
      <c r="G20" s="8"/>
      <c r="H20" s="8"/>
      <c r="I20" s="10" t="s">
        <v>82</v>
      </c>
      <c r="J20" s="14">
        <v>1606.5754364572404</v>
      </c>
      <c r="K20" s="5"/>
      <c r="L20" s="5"/>
      <c r="M20" s="10" t="s">
        <v>86</v>
      </c>
      <c r="N20" s="14">
        <v>4744.7587539484166</v>
      </c>
    </row>
    <row r="21" spans="1:14" x14ac:dyDescent="0.25">
      <c r="A21" s="10" t="s">
        <v>97</v>
      </c>
      <c r="B21" s="5">
        <v>1652.8007843679754</v>
      </c>
      <c r="C21" s="5"/>
      <c r="D21" s="5"/>
      <c r="E21" s="10" t="s">
        <v>83</v>
      </c>
      <c r="F21" s="14">
        <v>525.74702131482491</v>
      </c>
      <c r="G21" s="8"/>
      <c r="H21" s="8"/>
      <c r="I21" s="10" t="s">
        <v>113</v>
      </c>
      <c r="J21" s="14">
        <v>1605.2038203459456</v>
      </c>
      <c r="K21" s="5"/>
      <c r="L21" s="5"/>
      <c r="M21" s="10" t="s">
        <v>103</v>
      </c>
      <c r="N21" s="14">
        <v>4719.2296328416542</v>
      </c>
    </row>
    <row r="22" spans="1:14" x14ac:dyDescent="0.25">
      <c r="A22" s="10" t="s">
        <v>105</v>
      </c>
      <c r="B22" s="5">
        <v>1602.4682372547973</v>
      </c>
      <c r="C22" s="5"/>
      <c r="D22" s="5"/>
      <c r="E22" s="10" t="s">
        <v>91</v>
      </c>
      <c r="F22" s="14">
        <v>524.6654077205153</v>
      </c>
      <c r="G22" s="5"/>
      <c r="H22" s="5"/>
      <c r="I22" s="10" t="s">
        <v>92</v>
      </c>
      <c r="J22" s="14">
        <v>1604.5388836705094</v>
      </c>
      <c r="K22" s="5"/>
      <c r="L22" s="5"/>
      <c r="M22" s="10" t="s">
        <v>85</v>
      </c>
      <c r="N22" s="14">
        <v>4610.6634031140275</v>
      </c>
    </row>
    <row r="23" spans="1:14" x14ac:dyDescent="0.25">
      <c r="A23" s="12" t="s">
        <v>74</v>
      </c>
      <c r="B23" s="8">
        <v>1547.031649598169</v>
      </c>
      <c r="C23" s="5"/>
      <c r="D23" s="5"/>
      <c r="E23" s="10" t="s">
        <v>151</v>
      </c>
      <c r="F23" s="14">
        <v>522.42939466507812</v>
      </c>
      <c r="G23" s="5"/>
      <c r="H23" s="5"/>
      <c r="I23" s="10" t="s">
        <v>86</v>
      </c>
      <c r="J23" s="14">
        <v>1596.9858425379978</v>
      </c>
      <c r="K23" s="5"/>
      <c r="L23" s="5"/>
      <c r="M23" s="10" t="s">
        <v>93</v>
      </c>
      <c r="N23" s="14">
        <v>4517.067428213556</v>
      </c>
    </row>
    <row r="24" spans="1:14" x14ac:dyDescent="0.25">
      <c r="A24" s="10" t="s">
        <v>84</v>
      </c>
      <c r="B24" s="5">
        <v>1530.8556794596993</v>
      </c>
      <c r="C24" s="5"/>
      <c r="D24" s="5"/>
      <c r="E24" s="10" t="s">
        <v>113</v>
      </c>
      <c r="F24" s="14">
        <v>520.22769229041876</v>
      </c>
      <c r="G24" s="5"/>
      <c r="H24" s="5"/>
      <c r="I24" s="10" t="s">
        <v>100</v>
      </c>
      <c r="J24" s="14">
        <v>1596.8280686807204</v>
      </c>
      <c r="K24" s="5"/>
      <c r="L24" s="5"/>
      <c r="M24" s="10" t="s">
        <v>98</v>
      </c>
      <c r="N24" s="14">
        <v>4381.5764805241261</v>
      </c>
    </row>
    <row r="25" spans="1:14" x14ac:dyDescent="0.25">
      <c r="A25" s="10" t="s">
        <v>116</v>
      </c>
      <c r="B25" s="5">
        <v>1515.7970194594611</v>
      </c>
      <c r="C25" s="5"/>
      <c r="D25" s="5"/>
      <c r="E25" s="10" t="s">
        <v>92</v>
      </c>
      <c r="F25" s="14">
        <v>510.21150154129685</v>
      </c>
      <c r="G25" s="5"/>
      <c r="H25" s="5"/>
      <c r="I25" s="10" t="s">
        <v>83</v>
      </c>
      <c r="J25" s="14">
        <v>1591.2003033701678</v>
      </c>
      <c r="K25" s="5"/>
      <c r="L25" s="5"/>
      <c r="M25" s="10" t="s">
        <v>74</v>
      </c>
      <c r="N25" s="14">
        <v>3767.5460559411504</v>
      </c>
    </row>
    <row r="26" spans="1:14" x14ac:dyDescent="0.25">
      <c r="A26" s="10" t="s">
        <v>115</v>
      </c>
      <c r="B26" s="5">
        <v>1496.1054090174218</v>
      </c>
      <c r="C26" s="5"/>
      <c r="D26" s="5"/>
      <c r="E26" s="10" t="s">
        <v>101</v>
      </c>
      <c r="F26" s="14">
        <v>508.88269231517847</v>
      </c>
      <c r="G26" s="5"/>
      <c r="H26" s="5"/>
      <c r="I26" s="10" t="s">
        <v>108</v>
      </c>
      <c r="J26" s="14">
        <v>1564.7443222122602</v>
      </c>
      <c r="K26" s="5"/>
      <c r="L26" s="5"/>
      <c r="M26" s="10" t="s">
        <v>73</v>
      </c>
      <c r="N26" s="14">
        <v>1708.4592503898252</v>
      </c>
    </row>
    <row r="27" spans="1:14" x14ac:dyDescent="0.25">
      <c r="A27" s="10" t="s">
        <v>93</v>
      </c>
      <c r="B27" s="5">
        <v>1468.0765533648466</v>
      </c>
      <c r="C27" s="5"/>
      <c r="D27" s="5"/>
      <c r="E27" s="10" t="s">
        <v>58</v>
      </c>
      <c r="F27" s="14">
        <v>505.2844881931893</v>
      </c>
      <c r="G27" s="5"/>
      <c r="H27" s="5"/>
      <c r="I27" s="10" t="s">
        <v>91</v>
      </c>
      <c r="J27" s="14">
        <v>1564.6415038388466</v>
      </c>
      <c r="K27" s="5"/>
      <c r="L27" s="5"/>
      <c r="M27" s="10" t="s">
        <v>75</v>
      </c>
      <c r="N27" s="14">
        <v>731.49970889890471</v>
      </c>
    </row>
    <row r="28" spans="1:14" x14ac:dyDescent="0.25">
      <c r="A28" s="10" t="s">
        <v>113</v>
      </c>
      <c r="B28" s="5">
        <v>1467.6442083392824</v>
      </c>
      <c r="C28" s="5"/>
      <c r="D28" s="5"/>
      <c r="E28" s="10" t="s">
        <v>71</v>
      </c>
      <c r="F28" s="14">
        <v>504.8328560341746</v>
      </c>
      <c r="G28" s="5"/>
      <c r="H28" s="5"/>
      <c r="I28" s="10" t="s">
        <v>151</v>
      </c>
      <c r="J28" s="14">
        <v>1560.3460544278751</v>
      </c>
      <c r="K28" s="5"/>
      <c r="L28" s="5"/>
      <c r="M28" s="10" t="s">
        <v>84</v>
      </c>
      <c r="N28" s="5"/>
    </row>
    <row r="29" spans="1:14" x14ac:dyDescent="0.25">
      <c r="A29" s="10" t="s">
        <v>71</v>
      </c>
      <c r="B29" s="5">
        <v>1467.2977605384456</v>
      </c>
      <c r="C29" s="8"/>
      <c r="D29" s="8"/>
      <c r="E29" s="10" t="s">
        <v>102</v>
      </c>
      <c r="F29" s="14">
        <v>492.92139637675962</v>
      </c>
      <c r="G29" s="5"/>
      <c r="H29" s="5"/>
      <c r="I29" s="10" t="s">
        <v>101</v>
      </c>
      <c r="J29" s="14">
        <v>1559.9675563969595</v>
      </c>
      <c r="K29" s="5"/>
      <c r="L29" s="5"/>
      <c r="M29" s="10" t="s">
        <v>82</v>
      </c>
      <c r="N29" s="5"/>
    </row>
    <row r="30" spans="1:14" x14ac:dyDescent="0.25">
      <c r="A30" s="10" t="s">
        <v>92</v>
      </c>
      <c r="B30" s="5">
        <v>1461.9545614742772</v>
      </c>
      <c r="C30" s="5"/>
      <c r="D30" s="5"/>
      <c r="E30" s="10" t="s">
        <v>79</v>
      </c>
      <c r="F30" s="14">
        <v>485.66750873768979</v>
      </c>
      <c r="G30" s="5"/>
      <c r="H30" s="5"/>
      <c r="I30" s="10" t="s">
        <v>119</v>
      </c>
      <c r="J30" s="14">
        <v>1535.3588447443146</v>
      </c>
      <c r="K30" s="5"/>
      <c r="L30" s="5"/>
      <c r="M30" s="10" t="s">
        <v>83</v>
      </c>
      <c r="N30" s="5"/>
    </row>
    <row r="31" spans="1:14" x14ac:dyDescent="0.25">
      <c r="A31" s="10" t="s">
        <v>109</v>
      </c>
      <c r="B31" s="5">
        <v>1458.8926194787257</v>
      </c>
      <c r="C31" s="5"/>
      <c r="D31" s="5"/>
      <c r="E31" s="10" t="s">
        <v>85</v>
      </c>
      <c r="F31" s="14">
        <v>479.35517822553163</v>
      </c>
      <c r="G31" s="5"/>
      <c r="H31" s="5"/>
      <c r="I31" s="10" t="s">
        <v>102</v>
      </c>
      <c r="J31" s="14">
        <v>1494.9140775978547</v>
      </c>
      <c r="K31" s="5"/>
      <c r="L31" s="5"/>
      <c r="M31" s="10" t="s">
        <v>108</v>
      </c>
      <c r="N31" s="5"/>
    </row>
    <row r="32" spans="1:14" x14ac:dyDescent="0.25">
      <c r="A32" s="10" t="s">
        <v>82</v>
      </c>
      <c r="B32" s="5">
        <v>1448.3108212588736</v>
      </c>
      <c r="C32" s="5"/>
      <c r="D32" s="5"/>
      <c r="E32" s="10" t="s">
        <v>78</v>
      </c>
      <c r="F32" s="14">
        <v>477.31673922840446</v>
      </c>
      <c r="G32" s="5"/>
      <c r="H32" s="5"/>
      <c r="I32" s="10" t="s">
        <v>71</v>
      </c>
      <c r="J32" s="14">
        <v>1493.8515597965766</v>
      </c>
      <c r="K32" s="5"/>
      <c r="L32" s="5"/>
      <c r="M32" s="10" t="s">
        <v>91</v>
      </c>
      <c r="N32" s="5"/>
    </row>
    <row r="33" spans="1:14" x14ac:dyDescent="0.25">
      <c r="A33" s="10" t="s">
        <v>100</v>
      </c>
      <c r="B33" s="5">
        <v>1421.0936589726512</v>
      </c>
      <c r="C33" s="5"/>
      <c r="D33" s="5"/>
      <c r="E33" s="10" t="s">
        <v>106</v>
      </c>
      <c r="F33" s="14">
        <v>470.22145182977204</v>
      </c>
      <c r="G33" s="5"/>
      <c r="H33" s="5"/>
      <c r="I33" s="10" t="s">
        <v>105</v>
      </c>
      <c r="J33" s="14">
        <v>1465.592631595616</v>
      </c>
      <c r="K33" s="5"/>
      <c r="L33" s="5"/>
      <c r="M33" s="10" t="s">
        <v>101</v>
      </c>
      <c r="N33" s="5"/>
    </row>
    <row r="34" spans="1:14" x14ac:dyDescent="0.25">
      <c r="A34" s="12" t="s">
        <v>81</v>
      </c>
      <c r="B34" s="8">
        <v>1420.2139927370802</v>
      </c>
      <c r="C34" s="5"/>
      <c r="D34" s="5"/>
      <c r="E34" s="10" t="s">
        <v>90</v>
      </c>
      <c r="F34" s="14">
        <v>466.17826713792141</v>
      </c>
      <c r="G34" s="5"/>
      <c r="H34" s="5"/>
      <c r="I34" s="10" t="s">
        <v>115</v>
      </c>
      <c r="J34" s="14">
        <v>1450.0977686516655</v>
      </c>
      <c r="K34" s="5"/>
      <c r="L34" s="5"/>
      <c r="M34" s="10" t="s">
        <v>119</v>
      </c>
      <c r="N34" s="5"/>
    </row>
    <row r="35" spans="1:14" x14ac:dyDescent="0.25">
      <c r="A35" s="10" t="s">
        <v>102</v>
      </c>
      <c r="B35" s="5">
        <v>1402.6878418979713</v>
      </c>
      <c r="C35" s="5"/>
      <c r="D35" s="5"/>
      <c r="E35" s="10" t="s">
        <v>116</v>
      </c>
      <c r="F35" s="14">
        <v>464.57245016500167</v>
      </c>
      <c r="G35" s="5"/>
      <c r="H35" s="5"/>
      <c r="I35" s="10" t="s">
        <v>90</v>
      </c>
      <c r="J35" s="14">
        <v>1436.8039715454479</v>
      </c>
      <c r="K35" s="5"/>
      <c r="L35" s="5"/>
      <c r="M35" s="10" t="s">
        <v>102</v>
      </c>
      <c r="N35" s="5"/>
    </row>
    <row r="36" spans="1:14" x14ac:dyDescent="0.25">
      <c r="A36" s="10" t="s">
        <v>90</v>
      </c>
      <c r="B36" s="5">
        <v>1390.0190408822089</v>
      </c>
      <c r="C36" s="5"/>
      <c r="D36" s="5"/>
      <c r="E36" s="10" t="s">
        <v>103</v>
      </c>
      <c r="F36" s="14">
        <v>464.33153769461904</v>
      </c>
      <c r="G36" s="5"/>
      <c r="H36" s="5"/>
      <c r="I36" s="10" t="s">
        <v>118</v>
      </c>
      <c r="J36" s="14">
        <v>1430.0146386209628</v>
      </c>
      <c r="K36" s="5"/>
      <c r="L36" s="5"/>
      <c r="M36" s="10" t="s">
        <v>71</v>
      </c>
      <c r="N36" s="5"/>
    </row>
    <row r="37" spans="1:14" x14ac:dyDescent="0.25">
      <c r="A37" s="10" t="s">
        <v>78</v>
      </c>
      <c r="B37" s="5">
        <v>1381.8381429529329</v>
      </c>
      <c r="C37" s="5"/>
      <c r="D37" s="5"/>
      <c r="E37" s="10" t="s">
        <v>77</v>
      </c>
      <c r="F37" s="14">
        <v>459.17828666565396</v>
      </c>
      <c r="G37" s="5"/>
      <c r="H37" s="5"/>
      <c r="I37" s="10" t="s">
        <v>78</v>
      </c>
      <c r="J37" s="14">
        <v>1428.3219824452751</v>
      </c>
      <c r="K37" s="5"/>
      <c r="L37" s="5"/>
      <c r="M37" s="10" t="s">
        <v>105</v>
      </c>
      <c r="N37" s="5"/>
    </row>
    <row r="38" spans="1:14" x14ac:dyDescent="0.25">
      <c r="A38" s="10" t="s">
        <v>86</v>
      </c>
      <c r="B38" s="5">
        <v>1378.6231822375926</v>
      </c>
      <c r="C38" s="5"/>
      <c r="D38" s="5"/>
      <c r="E38" s="10" t="s">
        <v>119</v>
      </c>
      <c r="F38" s="14">
        <v>456.94796124796915</v>
      </c>
      <c r="G38" s="5"/>
      <c r="H38" s="5"/>
      <c r="I38" s="10" t="s">
        <v>116</v>
      </c>
      <c r="J38" s="14">
        <v>1422.5441010361665</v>
      </c>
      <c r="K38" s="5"/>
      <c r="L38" s="5"/>
      <c r="M38" s="10" t="s">
        <v>115</v>
      </c>
      <c r="N38" s="5"/>
    </row>
    <row r="39" spans="1:14" x14ac:dyDescent="0.25">
      <c r="A39" s="10" t="s">
        <v>83</v>
      </c>
      <c r="B39" s="5">
        <v>1373.6681624859132</v>
      </c>
      <c r="C39" s="5"/>
      <c r="D39" s="5"/>
      <c r="E39" s="10" t="s">
        <v>89</v>
      </c>
      <c r="F39" s="14">
        <v>456.48617411565198</v>
      </c>
      <c r="G39" s="5"/>
      <c r="H39" s="5"/>
      <c r="I39" s="10" t="s">
        <v>94</v>
      </c>
      <c r="J39" s="14">
        <v>1371.1925712300283</v>
      </c>
      <c r="K39" s="5"/>
      <c r="L39" s="5"/>
      <c r="M39" s="10" t="s">
        <v>90</v>
      </c>
      <c r="N39" s="5"/>
    </row>
    <row r="40" spans="1:14" x14ac:dyDescent="0.25">
      <c r="A40" s="10" t="s">
        <v>99</v>
      </c>
      <c r="B40" s="5">
        <v>1371.5861827034337</v>
      </c>
      <c r="C40" s="5"/>
      <c r="D40" s="5"/>
      <c r="E40" s="10" t="s">
        <v>105</v>
      </c>
      <c r="F40" s="14">
        <v>455.89254750178901</v>
      </c>
      <c r="G40" s="5"/>
      <c r="H40" s="5"/>
      <c r="I40" s="10" t="s">
        <v>97</v>
      </c>
      <c r="J40" s="14">
        <v>1363.3200328179485</v>
      </c>
      <c r="K40" s="5"/>
      <c r="L40" s="5"/>
      <c r="M40" s="10" t="s">
        <v>118</v>
      </c>
      <c r="N40" s="5"/>
    </row>
    <row r="41" spans="1:14" x14ac:dyDescent="0.25">
      <c r="A41" s="10" t="s">
        <v>87</v>
      </c>
      <c r="B41" s="5">
        <v>1364.5121876446158</v>
      </c>
      <c r="C41" s="5"/>
      <c r="D41" s="5"/>
      <c r="E41" s="10" t="s">
        <v>99</v>
      </c>
      <c r="F41" s="14">
        <v>447.32006729286127</v>
      </c>
      <c r="G41" s="5"/>
      <c r="H41" s="5"/>
      <c r="I41" s="10" t="s">
        <v>99</v>
      </c>
      <c r="J41" s="14">
        <v>1354.6624025320132</v>
      </c>
      <c r="K41" s="5"/>
      <c r="L41" s="5"/>
      <c r="M41" s="10" t="s">
        <v>78</v>
      </c>
      <c r="N41" s="8"/>
    </row>
    <row r="42" spans="1:14" x14ac:dyDescent="0.25">
      <c r="A42" s="10" t="s">
        <v>58</v>
      </c>
      <c r="B42" s="5">
        <v>1344.8416085543231</v>
      </c>
      <c r="C42" s="5"/>
      <c r="D42" s="5"/>
      <c r="E42" s="10" t="s">
        <v>97</v>
      </c>
      <c r="F42" s="14">
        <v>443.98975940283668</v>
      </c>
      <c r="G42" s="5"/>
      <c r="H42" s="5"/>
      <c r="I42" s="10" t="s">
        <v>74</v>
      </c>
      <c r="J42" s="14">
        <v>1269.3936493783985</v>
      </c>
      <c r="K42" s="5"/>
      <c r="L42" s="5"/>
      <c r="M42" s="10" t="s">
        <v>116</v>
      </c>
      <c r="N42" s="5"/>
    </row>
    <row r="43" spans="1:14" x14ac:dyDescent="0.25">
      <c r="A43" s="10" t="s">
        <v>107</v>
      </c>
      <c r="B43" s="5">
        <v>1329.8548058491606</v>
      </c>
      <c r="C43" s="5"/>
      <c r="D43" s="5"/>
      <c r="E43" s="10" t="s">
        <v>94</v>
      </c>
      <c r="F43" s="14">
        <v>443.11150361902253</v>
      </c>
      <c r="G43" s="5"/>
      <c r="H43" s="5"/>
      <c r="I43" s="10" t="s">
        <v>76</v>
      </c>
      <c r="J43" s="14">
        <v>1232.9634604099042</v>
      </c>
      <c r="K43" s="5"/>
      <c r="L43" s="5"/>
      <c r="M43" s="10" t="s">
        <v>94</v>
      </c>
      <c r="N43" s="5"/>
    </row>
    <row r="44" spans="1:14" x14ac:dyDescent="0.25">
      <c r="A44" s="10" t="s">
        <v>89</v>
      </c>
      <c r="B44" s="5">
        <v>1318.2930179197569</v>
      </c>
      <c r="C44" s="5"/>
      <c r="D44" s="5"/>
      <c r="E44" s="10" t="s">
        <v>115</v>
      </c>
      <c r="F44" s="14">
        <v>442.06259052038007</v>
      </c>
      <c r="G44" s="5"/>
      <c r="H44" s="5"/>
      <c r="I44" s="10" t="s">
        <v>89</v>
      </c>
      <c r="J44" s="14">
        <v>1219.8163678426836</v>
      </c>
      <c r="K44" s="5"/>
      <c r="L44" s="5"/>
      <c r="M44" s="10" t="s">
        <v>97</v>
      </c>
      <c r="N44" s="5"/>
    </row>
    <row r="45" spans="1:14" x14ac:dyDescent="0.25">
      <c r="A45" s="10" t="s">
        <v>119</v>
      </c>
      <c r="B45" s="5">
        <v>1305.8988174511921</v>
      </c>
      <c r="C45" s="5"/>
      <c r="D45" s="5"/>
      <c r="E45" s="10" t="s">
        <v>118</v>
      </c>
      <c r="F45" s="14">
        <v>413.6853870730618</v>
      </c>
      <c r="G45" s="5"/>
      <c r="H45" s="5"/>
      <c r="I45" s="10" t="s">
        <v>77</v>
      </c>
      <c r="J45" s="14">
        <v>1215.1314283600414</v>
      </c>
      <c r="K45" s="5"/>
      <c r="L45" s="5"/>
      <c r="M45" s="10" t="s">
        <v>99</v>
      </c>
      <c r="N45" s="5"/>
    </row>
    <row r="46" spans="1:14" x14ac:dyDescent="0.25">
      <c r="A46" s="10" t="s">
        <v>152</v>
      </c>
      <c r="B46" s="5">
        <v>1277.2112739948204</v>
      </c>
      <c r="C46" s="5"/>
      <c r="D46" s="5"/>
      <c r="E46" s="10" t="s">
        <v>112</v>
      </c>
      <c r="F46" s="14">
        <v>412.12334130529393</v>
      </c>
      <c r="G46" s="5"/>
      <c r="H46" s="5"/>
      <c r="I46" s="10" t="s">
        <v>112</v>
      </c>
      <c r="J46" s="14">
        <v>1136.5471433760574</v>
      </c>
      <c r="K46" s="5"/>
      <c r="L46" s="5"/>
      <c r="M46" s="10" t="s">
        <v>89</v>
      </c>
      <c r="N46" s="5"/>
    </row>
    <row r="47" spans="1:14" x14ac:dyDescent="0.25">
      <c r="A47" s="10" t="s">
        <v>101</v>
      </c>
      <c r="B47" s="5">
        <v>1256.0596343545224</v>
      </c>
      <c r="C47" s="5"/>
      <c r="D47" s="5"/>
      <c r="E47" s="10" t="s">
        <v>74</v>
      </c>
      <c r="F47" s="14">
        <v>405.92942144473938</v>
      </c>
      <c r="G47" s="5"/>
      <c r="H47" s="5"/>
      <c r="I47" s="10" t="s">
        <v>88</v>
      </c>
      <c r="J47" s="14">
        <v>949.0095310150117</v>
      </c>
      <c r="K47" s="5"/>
      <c r="L47" s="8"/>
      <c r="M47" s="10" t="s">
        <v>77</v>
      </c>
      <c r="N47" s="5"/>
    </row>
    <row r="48" spans="1:14" x14ac:dyDescent="0.25">
      <c r="A48" s="10" t="s">
        <v>112</v>
      </c>
      <c r="B48" s="5">
        <v>1229.4450750147971</v>
      </c>
      <c r="C48" s="5"/>
      <c r="D48" s="5"/>
      <c r="E48" s="10" t="s">
        <v>98</v>
      </c>
      <c r="F48" s="14">
        <v>394.25017839900755</v>
      </c>
      <c r="G48" s="5"/>
      <c r="H48" s="5"/>
      <c r="I48" s="10" t="s">
        <v>81</v>
      </c>
      <c r="J48" s="5"/>
      <c r="K48" s="5"/>
      <c r="L48" s="5"/>
      <c r="M48" s="10" t="s">
        <v>112</v>
      </c>
      <c r="N48" s="5"/>
    </row>
    <row r="49" spans="1:14" x14ac:dyDescent="0.25">
      <c r="A49" s="10" t="s">
        <v>72</v>
      </c>
      <c r="B49" s="5">
        <v>1224.6853651204178</v>
      </c>
      <c r="C49" s="8"/>
      <c r="D49" s="8"/>
      <c r="E49" s="10" t="s">
        <v>96</v>
      </c>
      <c r="F49" s="14">
        <v>393.58451960712426</v>
      </c>
      <c r="G49" s="5"/>
      <c r="H49" s="5"/>
      <c r="I49" s="10" t="s">
        <v>95</v>
      </c>
      <c r="J49" s="5"/>
      <c r="K49" s="5"/>
      <c r="L49" s="5"/>
      <c r="M49" s="10" t="s">
        <v>88</v>
      </c>
      <c r="N49" s="5"/>
    </row>
    <row r="50" spans="1:14" x14ac:dyDescent="0.25">
      <c r="A50" s="10" t="s">
        <v>91</v>
      </c>
      <c r="B50" s="5">
        <v>1215.50852698214</v>
      </c>
      <c r="C50" s="5"/>
      <c r="D50" s="5"/>
      <c r="E50" s="10" t="s">
        <v>76</v>
      </c>
      <c r="F50" s="14">
        <v>379.08859456400671</v>
      </c>
      <c r="G50" s="5"/>
      <c r="H50" s="5"/>
      <c r="I50" s="10" t="s">
        <v>106</v>
      </c>
      <c r="J50" s="5"/>
      <c r="K50" s="5"/>
      <c r="L50" s="8"/>
      <c r="M50" s="10" t="s">
        <v>81</v>
      </c>
      <c r="N50" s="5"/>
    </row>
    <row r="51" spans="1:14" x14ac:dyDescent="0.25">
      <c r="A51" s="10" t="s">
        <v>118</v>
      </c>
      <c r="B51" s="5">
        <v>1204.0827867248165</v>
      </c>
      <c r="C51" s="5"/>
      <c r="D51" s="5"/>
      <c r="E51" s="10" t="s">
        <v>88</v>
      </c>
      <c r="F51" s="14">
        <v>376.63329884040712</v>
      </c>
      <c r="G51" s="5"/>
      <c r="H51" s="5"/>
      <c r="I51" s="10" t="s">
        <v>96</v>
      </c>
      <c r="J51" s="5"/>
      <c r="K51" s="5"/>
      <c r="L51" s="5"/>
      <c r="M51" s="10" t="s">
        <v>95</v>
      </c>
      <c r="N51" s="8"/>
    </row>
    <row r="52" spans="1:14" x14ac:dyDescent="0.25">
      <c r="A52" s="10" t="s">
        <v>79</v>
      </c>
      <c r="B52" s="5">
        <v>1197.541091354632</v>
      </c>
      <c r="C52" s="5"/>
      <c r="D52" s="5"/>
      <c r="E52" s="10" t="s">
        <v>117</v>
      </c>
      <c r="F52" s="14">
        <v>313.65502899382375</v>
      </c>
      <c r="G52" s="5"/>
      <c r="H52" s="5"/>
      <c r="I52" s="10" t="s">
        <v>117</v>
      </c>
      <c r="J52" s="8"/>
      <c r="K52" s="8"/>
      <c r="L52" s="5"/>
      <c r="M52" s="10" t="s">
        <v>106</v>
      </c>
      <c r="N52" s="5"/>
    </row>
    <row r="53" spans="1:14" x14ac:dyDescent="0.25">
      <c r="A53" s="10" t="s">
        <v>88</v>
      </c>
      <c r="B53" s="5">
        <v>1030.974978833141</v>
      </c>
      <c r="C53" s="5"/>
      <c r="D53" s="5"/>
      <c r="E53" s="10" t="s">
        <v>70</v>
      </c>
      <c r="F53" s="14">
        <v>305.96042329936461</v>
      </c>
      <c r="G53" s="5"/>
      <c r="H53" s="5"/>
      <c r="I53" s="10" t="s">
        <v>70</v>
      </c>
      <c r="J53" s="5"/>
      <c r="K53" s="5"/>
      <c r="L53" s="5"/>
      <c r="M53" s="10" t="s">
        <v>96</v>
      </c>
      <c r="N53" s="5"/>
    </row>
    <row r="54" spans="1:14" x14ac:dyDescent="0.25">
      <c r="A54" s="12" t="s">
        <v>75</v>
      </c>
      <c r="B54" s="8">
        <v>725.66655291976122</v>
      </c>
      <c r="C54" s="6"/>
      <c r="D54" s="6"/>
      <c r="E54" s="10" t="s">
        <v>104</v>
      </c>
      <c r="F54" s="14">
        <v>279.47608662809387</v>
      </c>
      <c r="G54" s="5"/>
      <c r="H54" s="5"/>
      <c r="I54" s="10" t="s">
        <v>104</v>
      </c>
      <c r="J54" s="5"/>
      <c r="K54" s="5"/>
      <c r="L54" s="5"/>
      <c r="M54" s="10" t="s">
        <v>117</v>
      </c>
      <c r="N54" s="5"/>
    </row>
    <row r="55" spans="1:14" x14ac:dyDescent="0.25">
      <c r="A55" s="10" t="s">
        <v>73</v>
      </c>
      <c r="B55" s="5">
        <v>399.03348724532026</v>
      </c>
      <c r="E55" s="10" t="s">
        <v>73</v>
      </c>
      <c r="F55" s="14">
        <v>248.80792770430736</v>
      </c>
      <c r="G55" s="8"/>
      <c r="H55" s="8"/>
      <c r="I55" s="10" t="s">
        <v>73</v>
      </c>
      <c r="J55" s="8"/>
      <c r="K55" s="8"/>
      <c r="L55" s="5"/>
      <c r="M55" s="10" t="s">
        <v>70</v>
      </c>
      <c r="N55" s="5"/>
    </row>
    <row r="56" spans="1:14" x14ac:dyDescent="0.25">
      <c r="A56" s="10" t="s">
        <v>77</v>
      </c>
      <c r="B56" s="5"/>
      <c r="E56" s="10" t="s">
        <v>111</v>
      </c>
      <c r="F56" s="14">
        <v>247.06185182708791</v>
      </c>
      <c r="G56" s="5"/>
      <c r="H56" s="5"/>
      <c r="I56" s="10" t="s">
        <v>111</v>
      </c>
      <c r="J56" s="5"/>
      <c r="K56" s="5"/>
      <c r="L56" s="5"/>
      <c r="M56" s="10" t="s">
        <v>104</v>
      </c>
      <c r="N56" s="5"/>
    </row>
    <row r="57" spans="1:14" x14ac:dyDescent="0.25">
      <c r="A57" s="10" t="s">
        <v>80</v>
      </c>
      <c r="B57" s="5"/>
      <c r="E57" s="10" t="s">
        <v>114</v>
      </c>
      <c r="F57" s="14">
        <v>208.91859167986391</v>
      </c>
      <c r="G57" s="5"/>
      <c r="H57" s="5"/>
      <c r="I57" s="10" t="s">
        <v>114</v>
      </c>
      <c r="J57" s="5"/>
      <c r="K57" s="5"/>
      <c r="L57" s="5"/>
      <c r="M57" s="10" t="s">
        <v>111</v>
      </c>
      <c r="N57" s="5"/>
    </row>
    <row r="58" spans="1:14" x14ac:dyDescent="0.25">
      <c r="A58" s="10" t="s">
        <v>96</v>
      </c>
      <c r="B58" s="5"/>
      <c r="E58" s="10" t="s">
        <v>75</v>
      </c>
      <c r="F58" s="14">
        <v>138.93968919446516</v>
      </c>
      <c r="G58" s="5"/>
      <c r="H58" s="5"/>
      <c r="I58" s="10" t="s">
        <v>75</v>
      </c>
      <c r="J58" s="5"/>
      <c r="K58" s="5"/>
      <c r="L58" s="5"/>
      <c r="M58" s="10" t="s">
        <v>114</v>
      </c>
      <c r="N58" s="5"/>
    </row>
    <row r="59" spans="1:14" x14ac:dyDescent="0.25">
      <c r="A59" s="11" t="s">
        <v>106</v>
      </c>
      <c r="B59" s="6"/>
      <c r="E59" s="10" t="s">
        <v>80</v>
      </c>
      <c r="F59" s="5"/>
      <c r="G59" s="6"/>
      <c r="H59" s="6"/>
      <c r="I59" s="10" t="s">
        <v>80</v>
      </c>
      <c r="J59" s="5"/>
      <c r="K59" s="5"/>
      <c r="L59" s="5"/>
      <c r="M59" s="10" t="s">
        <v>80</v>
      </c>
      <c r="N59" s="5"/>
    </row>
  </sheetData>
  <sortState ref="M2:N56">
    <sortCondition descending="1" ref="N2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</vt:lpstr>
      <vt:lpstr>Wheat, Corn, Soy, Cotton</vt:lpstr>
      <vt:lpstr>Test</vt:lpstr>
    </vt:vector>
  </TitlesOfParts>
  <Company>University of Twente - ICTS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MekonnenMM</dc:creator>
  <cp:lastModifiedBy>Pascual, Janire</cp:lastModifiedBy>
  <dcterms:created xsi:type="dcterms:W3CDTF">2015-11-17T14:23:00Z</dcterms:created>
  <dcterms:modified xsi:type="dcterms:W3CDTF">2018-11-02T20:54:26Z</dcterms:modified>
</cp:coreProperties>
</file>