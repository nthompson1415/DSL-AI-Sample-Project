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6.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7.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8.xml" ContentType="application/vnd.openxmlformats-officedocument.drawing+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9.xml" ContentType="application/vnd.openxmlformats-officedocument.drawing+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0.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1.xml" ContentType="application/vnd.openxmlformats-officedocument.drawing+xml"/>
  <Override PartName="/xl/comments2.xml" ContentType="application/vnd.openxmlformats-officedocument.spreadsheetml.comments+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12.xml" ContentType="application/vnd.openxmlformats-officedocument.drawing+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13.xml" ContentType="application/vnd.openxmlformats-officedocument.drawing+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14.xml" ContentType="application/vnd.openxmlformats-officedocument.drawing+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chart101.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2.xml" ContentType="application/vnd.openxmlformats-officedocument.drawingml.chart+xml"/>
  <Override PartName="/xl/charts/chart103.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4.xml" ContentType="application/vnd.openxmlformats-officedocument.drawingml.chart+xml"/>
  <Override PartName="/xl/charts/chart10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6.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7.xml" ContentType="application/vnd.openxmlformats-officedocument.drawingml.chart+xml"/>
  <Override PartName="/xl/charts/style104.xml" ContentType="application/vnd.ms-office.chartstyle+xml"/>
  <Override PartName="/xl/charts/colors104.xml" ContentType="application/vnd.ms-office.chartcolorstyle+xml"/>
  <Override PartName="/xl/drawings/drawing15.xml" ContentType="application/vnd.openxmlformats-officedocument.drawing+xml"/>
  <Override PartName="/xl/charts/chart10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1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1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1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4.xml" ContentType="application/vnd.openxmlformats-officedocument.drawingml.chart+xml"/>
  <Override PartName="/xl/charts/style111.xml" ContentType="application/vnd.ms-office.chartstyle+xml"/>
  <Override PartName="/xl/charts/colors111.xml" ContentType="application/vnd.ms-office.chartcolorstyle+xml"/>
  <Override PartName="/xl/drawings/drawing16.xml" ContentType="application/vnd.openxmlformats-officedocument.drawing+xml"/>
  <Override PartName="/xl/charts/chart11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7.xml" ContentType="application/vnd.openxmlformats-officedocument.drawingml.chart+xml"/>
  <Override PartName="/xl/charts/style114.xml" ContentType="application/vnd.ms-office.chartstyle+xml"/>
  <Override PartName="/xl/charts/colors114.xml" ContentType="application/vnd.ms-office.chartcolorstyle+xml"/>
  <Override PartName="/xl/drawings/drawing17.xml" ContentType="application/vnd.openxmlformats-officedocument.drawing+xml"/>
  <Override PartName="/xl/charts/chart11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20.xml" ContentType="application/vnd.openxmlformats-officedocument.drawingml.chart+xml"/>
  <Override PartName="/xl/charts/style117.xml" ContentType="application/vnd.ms-office.chartstyle+xml"/>
  <Override PartName="/xl/charts/colors117.xml" ContentType="application/vnd.ms-office.chartcolorstyle+xml"/>
  <Override PartName="/xl/drawings/drawing18.xml" ContentType="application/vnd.openxmlformats-officedocument.drawing+xml"/>
  <Override PartName="/xl/charts/chart121.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22.xml" ContentType="application/vnd.openxmlformats-officedocument.drawingml.chart+xml"/>
  <Override PartName="/xl/charts/style119.xml" ContentType="application/vnd.ms-office.chartstyle+xml"/>
  <Override PartName="/xl/charts/colors119.xml" ContentType="application/vnd.ms-office.chartcolorstyle+xml"/>
  <Override PartName="/xl/drawings/drawing19.xml" ContentType="application/vnd.openxmlformats-officedocument.drawing+xml"/>
  <Override PartName="/xl/charts/chart123.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4.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5.xml" ContentType="application/vnd.openxmlformats-officedocument.drawingml.chart+xml"/>
  <Override PartName="/xl/charts/style122.xml" ContentType="application/vnd.ms-office.chartstyle+xml"/>
  <Override PartName="/xl/charts/colors1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autoCompressPictures="0"/>
  <mc:AlternateContent xmlns:mc="http://schemas.openxmlformats.org/markup-compatibility/2006">
    <mc:Choice Requires="x15">
      <x15ac:absPath xmlns:x15ac="http://schemas.microsoft.com/office/spreadsheetml/2010/11/ac" url="https://sumailsyr-my.sharepoint.com/personal/jpascu02_syr_edu/Documents/Desktop/SyracuseU/Research/Bioindicators/2017Report/"/>
    </mc:Choice>
  </mc:AlternateContent>
  <xr:revisionPtr revIDLastSave="2" documentId="13_ncr:1_{2A82A4D7-DE84-4E8E-BD82-0DBCC84837E2}" xr6:coauthVersionLast="47" xr6:coauthVersionMax="47" xr10:uidLastSave="{E1E12623-B442-406C-BAD9-557CBBB5DC48}"/>
  <bookViews>
    <workbookView xWindow="6630" yWindow="1875" windowWidth="21600" windowHeight="11295" tabRatio="946" activeTab="8" xr2:uid="{00000000-000D-0000-FFFF-FFFF00000000}"/>
  </bookViews>
  <sheets>
    <sheet name="CONTENTS" sheetId="1" r:id="rId1"/>
    <sheet name="AGRICULTURE SUMMARY" sheetId="4" r:id="rId2"/>
    <sheet name="CORN" sheetId="5" r:id="rId3"/>
    <sheet name="WHEAT" sheetId="31" r:id="rId4"/>
    <sheet name="BARLEY" sheetId="32" r:id="rId5"/>
    <sheet name="SORGHUM" sheetId="33" r:id="rId6"/>
    <sheet name="SOY" sheetId="34" r:id="rId7"/>
    <sheet name="COTTON" sheetId="35" r:id="rId8"/>
    <sheet name="PEANUTS" sheetId="36" r:id="rId9"/>
    <sheet name="SUNFLOWERS" sheetId="37" r:id="rId10"/>
    <sheet name="CANOLA" sheetId="38" r:id="rId11"/>
    <sheet name="ENERGY SUMMARY" sheetId="18" r:id="rId12"/>
    <sheet name="ETHANOL" sheetId="2" r:id="rId13"/>
    <sheet name="BIODIESEL" sheetId="3" r:id="rId14"/>
    <sheet name="WOOD PELLETS" sheetId="8" r:id="rId15"/>
    <sheet name="WASTE TO ENERGY" sheetId="15" r:id="rId16"/>
    <sheet name="BIOGAS" sheetId="25" r:id="rId17"/>
    <sheet name="BIOPRODUCTS" sheetId="10" r:id="rId18"/>
    <sheet name="BIOPLASTICS" sheetId="13" r:id="rId19"/>
    <sheet name="BIOCHEMICALS" sheetId="11" r:id="rId20"/>
    <sheet name="ENZYMES" sheetId="12" r:id="rId21"/>
    <sheet name="FOREST PRODUCTS" sheetId="14" r:id="rId22"/>
    <sheet name="APPAREL AND TEXTILES" sheetId="21" r:id="rId23"/>
    <sheet name="FEDERAL POLICY" sheetId="20" r:id="rId24"/>
    <sheet name="STATE POLICY" sheetId="26" r:id="rId25"/>
    <sheet name="INTERNATIONAL POLICY" sheetId="24" r:id="rId26"/>
    <sheet name="B2B POLICY" sheetId="23" r:id="rId27"/>
  </sheets>
  <definedNames>
    <definedName name="_Toc520283330" localSheetId="11">'ENERGY SUMMARY'!$F$59</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8" l="1"/>
  <c r="K90" i="10" l="1"/>
  <c r="C20" i="8" l="1"/>
  <c r="D20" i="8"/>
  <c r="E20" i="8"/>
  <c r="F20" i="8"/>
  <c r="G20" i="8"/>
  <c r="H20" i="8"/>
  <c r="I20" i="8"/>
  <c r="B20" i="8"/>
  <c r="E16" i="8" l="1"/>
  <c r="F16" i="8"/>
  <c r="G16" i="8"/>
  <c r="H16" i="8"/>
  <c r="D16" i="8"/>
  <c r="J44" i="10" l="1"/>
  <c r="J43" i="10"/>
  <c r="J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Pascual, Janire</author>
  </authors>
  <commentList>
    <comment ref="K22" authorId="0" shapeId="0" xr:uid="{00000000-0006-0000-0100-000001000000}">
      <text>
        <r>
          <rPr>
            <b/>
            <sz val="9"/>
            <color indexed="81"/>
            <rFont val="Tahoma"/>
            <family val="2"/>
          </rPr>
          <t>Pascual, Janire:</t>
        </r>
        <r>
          <rPr>
            <sz val="9"/>
            <color indexed="81"/>
            <rFont val="Tahoma"/>
            <family val="2"/>
          </rPr>
          <t xml:space="preserve">
Forecast</t>
        </r>
      </text>
    </comment>
    <comment ref="K23" authorId="0" shapeId="0" xr:uid="{00000000-0006-0000-0100-000002000000}">
      <text>
        <r>
          <rPr>
            <b/>
            <sz val="9"/>
            <color indexed="81"/>
            <rFont val="Tahoma"/>
            <family val="2"/>
          </rPr>
          <t>Pascual, Janire:</t>
        </r>
        <r>
          <rPr>
            <sz val="9"/>
            <color indexed="81"/>
            <rFont val="Tahoma"/>
            <family val="2"/>
          </rPr>
          <t xml:space="preserve">
Forecast</t>
        </r>
      </text>
    </comment>
    <comment ref="K24" authorId="0" shapeId="0" xr:uid="{00000000-0006-0000-0100-000003000000}">
      <text>
        <r>
          <rPr>
            <b/>
            <sz val="9"/>
            <color indexed="81"/>
            <rFont val="Tahoma"/>
            <family val="2"/>
          </rPr>
          <t>Pascual, Janire:</t>
        </r>
        <r>
          <rPr>
            <sz val="9"/>
            <color indexed="81"/>
            <rFont val="Tahoma"/>
            <family val="2"/>
          </rPr>
          <t xml:space="preserve">
Forecast</t>
        </r>
      </text>
    </comment>
    <comment ref="K25" authorId="0" shapeId="0" xr:uid="{00000000-0006-0000-0100-000004000000}">
      <text>
        <r>
          <rPr>
            <b/>
            <sz val="9"/>
            <color indexed="81"/>
            <rFont val="Tahoma"/>
            <family val="2"/>
          </rPr>
          <t>Pascual, Janire:</t>
        </r>
        <r>
          <rPr>
            <sz val="9"/>
            <color indexed="81"/>
            <rFont val="Tahoma"/>
            <family val="2"/>
          </rPr>
          <t xml:space="preserve">
Forecast</t>
        </r>
      </text>
    </comment>
    <comment ref="K26" authorId="0" shapeId="0" xr:uid="{00000000-0006-0000-0100-000005000000}">
      <text>
        <r>
          <rPr>
            <b/>
            <sz val="9"/>
            <color indexed="81"/>
            <rFont val="Tahoma"/>
            <family val="2"/>
          </rPr>
          <t>Pascual, Janire:</t>
        </r>
        <r>
          <rPr>
            <sz val="9"/>
            <color indexed="81"/>
            <rFont val="Tahoma"/>
            <family val="2"/>
          </rPr>
          <t xml:space="preserve">
Forecast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Hilliard, Taylor Elizabeth</author>
  </authors>
  <commentList>
    <comment ref="A22" authorId="0" shapeId="0" xr:uid="{00000000-0006-0000-0A00-000001000000}">
      <text>
        <r>
          <rPr>
            <sz val="11"/>
            <color theme="1"/>
            <rFont val="Calibri"/>
            <family val="2"/>
            <scheme val="minor"/>
          </rPr>
          <t>Note that numbers after the year 2011 are predicted estimations</t>
        </r>
      </text>
    </comment>
  </commentList>
</comments>
</file>

<file path=xl/sharedStrings.xml><?xml version="1.0" encoding="utf-8"?>
<sst xmlns="http://schemas.openxmlformats.org/spreadsheetml/2006/main" count="5700" uniqueCount="2841">
  <si>
    <t>Ethanol</t>
  </si>
  <si>
    <t>Biodiesel</t>
  </si>
  <si>
    <t>Wood Pellets</t>
  </si>
  <si>
    <t xml:space="preserve">Waste to Energy </t>
  </si>
  <si>
    <t>Agriculture</t>
  </si>
  <si>
    <t>BioProducts</t>
  </si>
  <si>
    <t>Biochemicals</t>
  </si>
  <si>
    <t>Enzymes</t>
  </si>
  <si>
    <t>Forest Products</t>
  </si>
  <si>
    <t>Apparel &amp; Textiles</t>
  </si>
  <si>
    <t>Policy</t>
  </si>
  <si>
    <t>ENERGY SUMMARY</t>
  </si>
  <si>
    <t>PHYSICAL</t>
  </si>
  <si>
    <t>BTUs of Ethanol Produced in the United States (trillions)</t>
  </si>
  <si>
    <t>EIA</t>
  </si>
  <si>
    <t>BTUs of Biodiesel Produced in the United States (trillions)</t>
  </si>
  <si>
    <t>BTUs of Energy Used for Transportation (trillions)</t>
  </si>
  <si>
    <t>BTUs of WTE Produced in the United States (trillions)</t>
  </si>
  <si>
    <t>EPA</t>
  </si>
  <si>
    <t>ECONOMICS</t>
  </si>
  <si>
    <t>Total Jobs Created in the Ethanol Industry</t>
  </si>
  <si>
    <t>RFA</t>
  </si>
  <si>
    <t>Total Jobs Created in the Biodiesel Industry</t>
  </si>
  <si>
    <t>Total Jobs Created in the Wood Pellet Industry</t>
  </si>
  <si>
    <t>Total Jobs Created in the Waste to Energy Industry</t>
  </si>
  <si>
    <t>Total Jobs Created in the Biogas Industry</t>
  </si>
  <si>
    <t>ETHANOL</t>
  </si>
  <si>
    <t>PRODUCTION</t>
  </si>
  <si>
    <t>USDA</t>
  </si>
  <si>
    <t>https://www.ers.usda.gov/data-products/us-bioenergy-statistics/</t>
  </si>
  <si>
    <t>FAPRI</t>
  </si>
  <si>
    <t>http://ethanolproducer.com/plants/listplants/US/Existing/Sugar-Starch/</t>
  </si>
  <si>
    <t>http://ethanolproducer.com/plants/listplants/US/Existing/Cellulosic</t>
  </si>
  <si>
    <t>Volume of Gasoline Blended with Ethanol (%)</t>
  </si>
  <si>
    <t>Ethanolʼs Share of Gasoline Supply (%)</t>
  </si>
  <si>
    <t>BIODIESEL</t>
  </si>
  <si>
    <t>Biodiesel Magazine</t>
  </si>
  <si>
    <t>http://www.biodieselmagazine.com/plants/listplants/USA/proposed/</t>
  </si>
  <si>
    <t>http://www.biodieselmagazine.com/plants/listplants/USA/construction/</t>
  </si>
  <si>
    <t>http://www.biodieselmagazine.com/plants/listplants/USA/existing/</t>
  </si>
  <si>
    <t>WOOD PELLETS</t>
  </si>
  <si>
    <t>https://www.eia.gov/biofuels/biomass/</t>
  </si>
  <si>
    <t>PRODUCTION + CONSUMPTION</t>
  </si>
  <si>
    <t>Hawkins Wright; REN21; FAO</t>
  </si>
  <si>
    <t>http://www.eia.gov/biofuels/biomass/</t>
  </si>
  <si>
    <t>Energy Recovery Council</t>
  </si>
  <si>
    <t>https://www.eia.gov/electricity/data/eia860m/</t>
  </si>
  <si>
    <t>http://www.eia.gov/electricity/annual/html/epa_05_07_a.html</t>
  </si>
  <si>
    <t>https://www.epa.gov/agstar/livestock-anaerobic-digester-database</t>
  </si>
  <si>
    <t xml:space="preserve">PRODUCTION </t>
  </si>
  <si>
    <t>NREL</t>
  </si>
  <si>
    <t>http://www.nrel.gov/docs/fy14osti/60283.pdf</t>
  </si>
  <si>
    <t>ECONOMICS IN THEORY</t>
  </si>
  <si>
    <t>In theory, if 11,000 biogas systems made it would generate:</t>
  </si>
  <si>
    <t>https://19january2017snapshot.epa.gov/sites/production/files/2015-12/documents/biogas-roadmap.pdf</t>
  </si>
  <si>
    <t>Short Term Construction Jobs</t>
  </si>
  <si>
    <t>Permanent Jobs</t>
  </si>
  <si>
    <t>AGRICULTURE</t>
  </si>
  <si>
    <t>Comments</t>
  </si>
  <si>
    <t>USDA-Ag Census</t>
  </si>
  <si>
    <t>Average Farm Size (acres)</t>
  </si>
  <si>
    <t>https://www.agcensus.usda.gov/Publications/2012/Online_Resources/Highlights/Farm_Demographics/</t>
  </si>
  <si>
    <t>https://www.agcensus.usda.gov/Publications/2012/Online_Resources/Highlights/Farms_and_Farmland/Highlights_Farms_and_Farmland.pdf</t>
  </si>
  <si>
    <t>Corn</t>
  </si>
  <si>
    <t>Total Volume of Corn Grown in the US (million metric tons)</t>
  </si>
  <si>
    <t>https://apps.fas.usda.gov/psdonline/app/index.html#/app/downloads</t>
  </si>
  <si>
    <t>Soy</t>
  </si>
  <si>
    <t>http://www.fao.org/faostat/en/#data/FO/visualize</t>
  </si>
  <si>
    <t>Direct Value of All Agriculture Grown in the United States</t>
  </si>
  <si>
    <t>Direct Value of All Soy Grown in the United States (billion dollars)</t>
  </si>
  <si>
    <t>LAND USE</t>
  </si>
  <si>
    <t>USDA-PSD</t>
  </si>
  <si>
    <t>Total Volume of Barley Grown in the US (million metric tons)</t>
  </si>
  <si>
    <t>Total Volume of Sorghum Grown in the US (million metric tons)</t>
  </si>
  <si>
    <t>USDA-NASS</t>
  </si>
  <si>
    <t>Ethanol production as percent of total corn use</t>
  </si>
  <si>
    <t>Percent Soybean Oil Used for Biodiesel</t>
  </si>
  <si>
    <t>Percent Canola Oil Used for Biodiesel</t>
  </si>
  <si>
    <t>Percent Corn Oil Used for Biodiesel</t>
  </si>
  <si>
    <t>Calculation</t>
  </si>
  <si>
    <t>https://www.ers.usda.gov/data-products/fertilizer-use-and-price.aspx</t>
  </si>
  <si>
    <t>WATER</t>
  </si>
  <si>
    <t>CORN</t>
  </si>
  <si>
    <t>Uses</t>
  </si>
  <si>
    <t>Fertilizer Use</t>
  </si>
  <si>
    <t>Top U.S. DDGS Customers</t>
  </si>
  <si>
    <t>China, Mexico, etc.</t>
  </si>
  <si>
    <t>USDA-GATS</t>
  </si>
  <si>
    <t>Top U.S. Corn Gluten Feed Customers</t>
  </si>
  <si>
    <t>Top U.S. Corn Gluten Meal Customers</t>
  </si>
  <si>
    <t>Egypt, Indonesia, etc.</t>
  </si>
  <si>
    <t>Top U.S. Ethanol Customers</t>
  </si>
  <si>
    <t>Canada, Brazil, etc.</t>
  </si>
  <si>
    <t>SOY</t>
  </si>
  <si>
    <t>BIOPRODUCTS SUMMARY</t>
  </si>
  <si>
    <t>BIOSCIENCE</t>
  </si>
  <si>
    <t>Number of U.S. Bioscience-Related Patents</t>
  </si>
  <si>
    <t>ECONOMIC</t>
  </si>
  <si>
    <t>https://www.biopreferred.gov/BPResources/files/BiobasedProductsEconomicAnalysis2016.pdf</t>
  </si>
  <si>
    <t>https://www.biopreferred.gov/BPResources/files/EconomicReport_6_12_2015.pdf</t>
  </si>
  <si>
    <t>BIOREFINERIES</t>
  </si>
  <si>
    <t>Gallons of Raw Materials used to Manufacture Biobased Products (millions)</t>
  </si>
  <si>
    <t>USDA BIOPREFFERED PROGRAM</t>
  </si>
  <si>
    <t>BioPreferred Program's Estimated Total Number of Biobased Products in the US</t>
  </si>
  <si>
    <t xml:space="preserve">Cumulative Number of Designated Categories </t>
  </si>
  <si>
    <t>Cumulative Number of Certification-Only Categories</t>
  </si>
  <si>
    <t>Total Cumulative Number of Categories</t>
  </si>
  <si>
    <t>Number of Products in the Mandatory Federal Purchasing Initiative Catalog</t>
  </si>
  <si>
    <t>15,000+</t>
  </si>
  <si>
    <t>Lewis, Elizabeth (2/1/2017). Email Correspondence. Amec Foster Wheeler</t>
  </si>
  <si>
    <t>Number of Biobased Products in USDA BioPreferred Program Database</t>
  </si>
  <si>
    <t>20,000 +</t>
  </si>
  <si>
    <t>Total Number of Products in the Catalog (FP &amp;/or certified)</t>
  </si>
  <si>
    <t>* Enzymes</t>
  </si>
  <si>
    <t>* Biobased Chemicals</t>
  </si>
  <si>
    <t>* Forest Products</t>
  </si>
  <si>
    <t>* Textiles</t>
  </si>
  <si>
    <t>Number of Certified Products in Catalogue by Type</t>
  </si>
  <si>
    <t>Number of FP Products in Catalogue by Type</t>
  </si>
  <si>
    <t>ENVIRONMENTAL</t>
  </si>
  <si>
    <t>TECHNOLOGY</t>
  </si>
  <si>
    <t>Number of Public Biotechnology Companies</t>
  </si>
  <si>
    <t>Number of Private Biotechnology Companies</t>
  </si>
  <si>
    <t>Total Number of Biotechnology Companies</t>
  </si>
  <si>
    <t>Carlson, R. (March 2016). "Estimating the biotech sector's contribution to the US economy." Nature Biotechnology, Volume 34, Number 3.</t>
  </si>
  <si>
    <t xml:space="preserve"> </t>
  </si>
  <si>
    <t xml:space="preserve">     </t>
  </si>
  <si>
    <t xml:space="preserve">   </t>
  </si>
  <si>
    <t xml:space="preserve">  </t>
  </si>
  <si>
    <t xml:space="preserve">             </t>
  </si>
  <si>
    <t xml:space="preserve">       </t>
  </si>
  <si>
    <t>PLASTICS</t>
  </si>
  <si>
    <t>US/GLOBAL PLASTICS</t>
  </si>
  <si>
    <t>Bureau of Economic Analysis</t>
  </si>
  <si>
    <t>www.bea.gov/industry/xls/GDPbyInd_VA_NAICS_1997-2012.xlsx</t>
  </si>
  <si>
    <t>Value Added of Manufacturing US Plastic and Rubber Products as Percentage of GDP (%)</t>
  </si>
  <si>
    <t>Full and Part Time Employees (thousands)</t>
  </si>
  <si>
    <t>GLOBAL BIOPLASTIC</t>
  </si>
  <si>
    <t>* Rigid Packaging</t>
  </si>
  <si>
    <t>* Flexible Packaging</t>
  </si>
  <si>
    <t>* Consumer Goods</t>
  </si>
  <si>
    <t>*Agriculture &amp; Horticulture</t>
  </si>
  <si>
    <t>* Automotive &amp; Transport</t>
  </si>
  <si>
    <t>* Building &amp; Construction</t>
  </si>
  <si>
    <t>* Others</t>
  </si>
  <si>
    <t>* Electronics</t>
  </si>
  <si>
    <t>Land Used for Bioplastics (million ha)</t>
  </si>
  <si>
    <t>Land Used For Bioplastics/Total Amount of Arable Land (1.4 billion ha) (%)</t>
  </si>
  <si>
    <t>Global Demand for Bioproducts </t>
  </si>
  <si>
    <t xml:space="preserve">GLOBAL BIO-BASED STRUCTURAL POLYMERS </t>
  </si>
  <si>
    <t>Total Production Capacity</t>
  </si>
  <si>
    <t>BIOCHEMICALS</t>
  </si>
  <si>
    <t>US CHEMICAL PRODUCTS</t>
  </si>
  <si>
    <t>Value Added of Manufacturing US Chemical Products as Percentage of GDP (%)</t>
  </si>
  <si>
    <t>American Chemistry Council</t>
  </si>
  <si>
    <t>GLOBAL CHEMICAL PRODUCTS</t>
  </si>
  <si>
    <t>US BIOCHEMICALS</t>
  </si>
  <si>
    <t>ENZYMES</t>
  </si>
  <si>
    <t>GLOBAL</t>
  </si>
  <si>
    <t>Global Markets for Enzymes in Industrial Applications (fka: Enzymes for Industrial Applications).” BCC Research (June 2014), executive summary</t>
  </si>
  <si>
    <t>“Global Markets for Enzymes in Industrial Applications.” BCC Research (June 2014), p. 57.</t>
  </si>
  <si>
    <t>FOREST PRODUCTS</t>
  </si>
  <si>
    <t>US WOOD PRODUCTS (NAICS)</t>
  </si>
  <si>
    <t>Value Added of Manufacturing US Wood Products as Percentage of GDP (%)</t>
  </si>
  <si>
    <t>US PAPER PRODUCTS (NAICS)</t>
  </si>
  <si>
    <t>Value Added of Manufacturing US Paper Products as Percentage of GDP (%)</t>
  </si>
  <si>
    <t>APPAREL AND TEXTILES</t>
  </si>
  <si>
    <t>US TEXTILE MILLS AND TEXTILE PRODUCT MILLS (NAICS)</t>
  </si>
  <si>
    <t>Value Added of Manufacturing US Textile Mills and Textile Product Mills as a Percentage of GDP (%)</t>
  </si>
  <si>
    <t>US APPAREL AND LEATHER AND ALLIED PRODUCTS (NAICS)</t>
  </si>
  <si>
    <t>FEDERAL</t>
  </si>
  <si>
    <t>NAME</t>
  </si>
  <si>
    <t>YEAR</t>
  </si>
  <si>
    <t>DESCRIPTION</t>
  </si>
  <si>
    <t>IMPORTANCE</t>
  </si>
  <si>
    <t>Energy Policy and Conservation Act</t>
  </si>
  <si>
    <t>http://www.afdc.energy.gov/laws/key_legislation</t>
  </si>
  <si>
    <t>Energy Tax Act</t>
  </si>
  <si>
    <t>Solar, wind, geothermal tax credits to private citizens</t>
  </si>
  <si>
    <t>Alternative Motor Fuel Act</t>
  </si>
  <si>
    <t>Created vehicle manufacturer incentives in the form of CAFE credits; the U.S. Department of Transportation, EPA and DOE will conduct a study and submit a report to Congress evaluating the success of the policy decision to offer CAFE credit calculation incentives for dual-fuel vehicles</t>
  </si>
  <si>
    <t>Energy Policy Act</t>
  </si>
  <si>
    <t>Biomass Research and Development Act</t>
  </si>
  <si>
    <t>Created the Biomass Research and Development Initiative that provides grants to universities, companies and government for the research and development of new methods to refine types of feedstock and crops into biofuels or biobased chemical and products</t>
  </si>
  <si>
    <t>Biomass Research and Development Initiative</t>
  </si>
  <si>
    <t>http://www.taxpayer.net/library/article/biomass-research-and-development-initiative</t>
  </si>
  <si>
    <t>Farm Bill</t>
  </si>
  <si>
    <t>Established a biobased products program</t>
  </si>
  <si>
    <t>Rural Energy for America Program</t>
  </si>
  <si>
    <t>https://www.epa.gov/sites/production/files/2015-01/documents/05042010_hagy.pdf</t>
  </si>
  <si>
    <t>Ethanol tax credit introduced</t>
  </si>
  <si>
    <t>Energy Independence and Security Act</t>
  </si>
  <si>
    <t>Renewable Fuels Standard</t>
  </si>
  <si>
    <t>Reauthorized the BioPreferred Program</t>
  </si>
  <si>
    <t>Energy Improvement and Extension Act</t>
  </si>
  <si>
    <t>Incentives towards renewable fuels</t>
  </si>
  <si>
    <t>Biomass Crop Assistance Program</t>
  </si>
  <si>
    <t>Authorized by 2008 Farm Bill: support the establishment and production of crops for conversion to bioenergy and assist with collection, harvest, storage and transportation of materials for biomass conversion</t>
  </si>
  <si>
    <t>Conversion to bioenergy</t>
  </si>
  <si>
    <t>Repowering Assistance</t>
  </si>
  <si>
    <t>Provides payments to existing bio-refineries to replace the fossil fuels used to heat or power for the renewable biomass</t>
  </si>
  <si>
    <t>Bioenergy Program for Advanced Biofuels</t>
  </si>
  <si>
    <t>Advanced biofuel production</t>
  </si>
  <si>
    <t>USDA/DOE's Biomass Research and Development Program</t>
  </si>
  <si>
    <t>Originally established with the Food, Conservation, and Energy Act of 2008</t>
  </si>
  <si>
    <t>Research and development</t>
  </si>
  <si>
    <t>USDA News Release No. 0102.12</t>
  </si>
  <si>
    <t>https://nifa.usda.gov/funding-opportunity/biomass-research-and-development-initiative-brdi</t>
  </si>
  <si>
    <t>American Recovery and Reinvestment Act</t>
  </si>
  <si>
    <t>Alternative fuel research and support</t>
  </si>
  <si>
    <t>Biofuels and Rural Economic Development</t>
  </si>
  <si>
    <t>Bioenergy and Biobased Products</t>
  </si>
  <si>
    <t>https://www.fs.fed.us/research/pdf/RD_Bioenergy_Strategy_March_2010.pdf</t>
  </si>
  <si>
    <t>21st Century Energy Independence Act</t>
  </si>
  <si>
    <t>Renewable fuel requirements and loan program</t>
  </si>
  <si>
    <t>Congress.gov</t>
  </si>
  <si>
    <t>https://www.congress.gov/bill/112th-congress/house-bill/230?r=89</t>
  </si>
  <si>
    <t xml:space="preserve">Renewable Fuels for America's Future Act </t>
  </si>
  <si>
    <t>Extends the biofuel credits</t>
  </si>
  <si>
    <t>Govtrack</t>
  </si>
  <si>
    <t>https://www.govtrack.us/congress/bills/112/hr404</t>
  </si>
  <si>
    <t>H.R. 1149</t>
  </si>
  <si>
    <t>Amends the Clean Air Act to include algae-based biofuel in the renewable fuel program and amends the Internal Revenue Code of 1986 to include algae-based biofuel in the cellulosic biofuel producer credit</t>
  </si>
  <si>
    <t>Includes algae as a biofuel</t>
  </si>
  <si>
    <t>https://www.congress.gov/bill/112th-congress/house-bill/1149</t>
  </si>
  <si>
    <t>Dual Fuel Vehicle Act</t>
  </si>
  <si>
    <t>American Tax Payer Relief</t>
  </si>
  <si>
    <t>Increases demand of biofuels and extends funding for critical programs</t>
  </si>
  <si>
    <t>Biofuels Market Expansion Act</t>
  </si>
  <si>
    <t>https://www.congress.gov/bill/113th-congress/senate-bill/1563</t>
  </si>
  <si>
    <t>Tax Increase Prevention Act</t>
  </si>
  <si>
    <t>Consolidated Appropriations Act</t>
  </si>
  <si>
    <t>Great Green Fleet</t>
  </si>
  <si>
    <t>Air Force</t>
  </si>
  <si>
    <t>NPR</t>
  </si>
  <si>
    <t>http://www.npr.org/2011/09/26/140702387/air-force-and-navy-turn-to-bio-fuels</t>
  </si>
  <si>
    <t xml:space="preserve">BioProducts </t>
  </si>
  <si>
    <t>Executive Order 13101</t>
  </si>
  <si>
    <t>https://www.epa.gov/greenerproducts/executive-order-13101-greening-government-through-waste-prevention-recycling-and</t>
  </si>
  <si>
    <t>Executive Order 13134</t>
  </si>
  <si>
    <t>Biobased products and energy</t>
  </si>
  <si>
    <t>FedCenter</t>
  </si>
  <si>
    <t>https://www.fedcenter.gov/Bookmarks/index.cfm?id=48&amp;pge_id=1606</t>
  </si>
  <si>
    <t>USDA BioPreferred program</t>
  </si>
  <si>
    <t>created by the 2002 Farm Bill, further supported by the 2008 Farm Bill and the 2014 Farm Bill</t>
  </si>
  <si>
    <t>Mandatory federal purchasing initiative and voluntary “USDA Certified Biobased Product” label. Federal agencies are required to purchase biobased products designated for mandatory federal purchasing under the BioPreferred program, except as provided by Federal Acquisition Regulation (FAR) Part 23.404(b). Federal agencies are required to give preference to qualified biobased products over traditional, non-biobased alternatives when purchases exceed $10,000 per fiscal year, as prescribed by Title 7 of the U.S. Code of Federal Regulations section 3201.3.</t>
  </si>
  <si>
    <t>Biorefinery, Renewable Chemical, and Biobased Product Manufacturing Assistance Program</t>
  </si>
  <si>
    <t xml:space="preserve">Renewable Chemicals Act </t>
  </si>
  <si>
    <t>Executive Order 13693</t>
  </si>
  <si>
    <t>Alternative Fuel and Advanced Vehicle Technology Research and Demonstration Bonds</t>
  </si>
  <si>
    <t>Qualified state, tribal, and local governments may issue Qualified Energy Conservation Bonds subsidized by the U.S. Department of Treasury at competitive rates to fund capital expenditures on qualified energy conservation projects. Government entities may choose to issue tax credit bonds or direct payment bonds to subsidize the borrowing costs.</t>
  </si>
  <si>
    <t>Low and Zero Emission Public Transportation Research, Demonstration, and Deployment Funding</t>
  </si>
  <si>
    <t>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Funding opportunities include the Public Transportation Innovation Program and the Low or No Emission (Low-No) Vehicle Program. </t>
  </si>
  <si>
    <t>Value-Added Producer Grants (VAPG)</t>
  </si>
  <si>
    <t>Second Generation Biofuel Production Property Depreciation Allowance</t>
  </si>
  <si>
    <t>Advanced Biofuel Production Grants and Loan Guarantees</t>
  </si>
  <si>
    <t>Biodiesel Education Grants</t>
  </si>
  <si>
    <t>Advanced Biofuel Production Payments</t>
  </si>
  <si>
    <t>Ethanol Infrastructure Grants and Loan Guarantees</t>
  </si>
  <si>
    <t>Qualified Plug-In Electric Drive Motor Vehicle Tax Credit</t>
  </si>
  <si>
    <t>The U.S. Department of Agriculture's National Institute of Food and Agriculture, in conjunction with U.S. Department of Energy's Office of Biomass Programs, provides grant funding for projects addressing research, development, and demonstration of biofuels and bio-based products and the methods, practices, and technologies for their production, under the Biomass Research and Development Initiative (Section 9008). The competitive award process focuses on three main technical areas: feedstock development; biofuels and bio-based products development; and biofuels development analysis. </t>
  </si>
  <si>
    <t>Biodiesel Mixture Excise Tax Credit</t>
  </si>
  <si>
    <t>Advanced Energy Research Project Grants</t>
  </si>
  <si>
    <t>Advanced Biofuel Feedstock Incentives</t>
  </si>
  <si>
    <t>Second Generation Biofuel Producer Tax Credit</t>
  </si>
  <si>
    <t>Improved Energy Technology Loans</t>
  </si>
  <si>
    <t>High Occupancy Vehicle (HOV) Lane Exemption</t>
  </si>
  <si>
    <t>Aftermarket Alternative Fuel Vehicle (AFV) Conversions</t>
  </si>
  <si>
    <t>Conventional original equipment manufacturer vehicles altered to operate on propane, natural gas, methane gas, ethanol, or electricity are classified as aftermarket AFV conversions. All vehicle conversions, except those that are completed for a vehicle to run on electricity, must meet current applicable U.S. Environmental Protection Agency (EPA) standards. </t>
  </si>
  <si>
    <t>Renewable Fuel Standard (RFS) Program</t>
  </si>
  <si>
    <t>Vehicle Incremental Cost Allocation</t>
  </si>
  <si>
    <t>The U.S. General Services Administration (GSA) must allocate the incremental cost of purchasing alternative fuel vehicles (AFVs) across the entire fleet of vehicles distributed by GSA. This mandate also applies to other federal agencies that procure vehicles for federal fleets. </t>
  </si>
  <si>
    <t xml:space="preserve">Alternative Fuel Labeling Requirements </t>
  </si>
  <si>
    <t>Alternative Fuel Definition</t>
  </si>
  <si>
    <t>The following fuels are defined as alternative fuels by the Energy Policy Act (EPAct) of 1992: pure methanol, ethanol, and other alcohols; blends of 85% or more of alcohol with gasoline; natural gas and liquid fuels domestically produced from natural gas; propane; coal-derived liquid fuels; hydrogen; electricity; pure biodiesel (B100); fuels, other than alcohol, derived from biological materials; and P-Series fuels. In addition, the U.S. Department of Energy may designate other fuels as alternative fuels, provided that the fuel is substantially non-petroleum, yields substantial energy security benefits, and offers substantial environmental benefits.</t>
  </si>
  <si>
    <t>Biofuel Compatibility Requirement for Underground Storage Tanks (USTs)</t>
  </si>
  <si>
    <t>Vehicle Acquisition and Fuel Use Requirements for Federal Fleets</t>
  </si>
  <si>
    <t>Vehicle Acquisition and Fuel Use Requirements for Private and Local Government Fleets</t>
  </si>
  <si>
    <t>State Energy Program (SEP) Funding</t>
  </si>
  <si>
    <t xml:space="preserve">SmartWay Transport Partnership </t>
  </si>
  <si>
    <t>The SmartWay Transport Partnership is a market-based public-private collaboration between the U.S. Environmental Protection Agency (EPA) and the domestic freight industry. This partnership is designed to reduce greenhouse gases and air pollution by accelerating the adoption of advanced technologies and operational practices which increase fuel efficiency and reduce emissions from goods movement. EPA provides partners with performance benchmarking tools, fleet management best practices, technology verification, public recognition and awards, and use of the SmartWay Transport Partner logo to demonstrate their leadership to customers, shareholders and other stakeholders.</t>
  </si>
  <si>
    <t>Clean Ports USA</t>
  </si>
  <si>
    <t>Voluntary Airport Low Emission (VALE) Program</t>
  </si>
  <si>
    <t>Clean Cities</t>
  </si>
  <si>
    <t>The mission of Clean Cities is to advance the energy, economic, and environmental security of the United States by supporting local initiatives to adopt practices that reduce the use of petroleum in the transportation sector. Clean Cities carries out this mission through a network of nearly 100 volunteer coalitions, which develop public/private partnerships to promote alternative fuels and advanced vehicles, fuel blends, fuel economy, hybrid vehicles, and idle reduction. Clean Cities provides information about financial opportunities, coordinates technical assistance projects, updates and maintains databases and websites, and publishes fact sheets, newsletters, and related technical and informational materials.</t>
  </si>
  <si>
    <t>National Clean Diesel Campaign (NCDC)</t>
  </si>
  <si>
    <t>Clean Agriculture USA</t>
  </si>
  <si>
    <t>Clean Construction USA</t>
  </si>
  <si>
    <t>Air Pollution Control Program</t>
  </si>
  <si>
    <t>Congestion Mitigation and Air Quality (CMAQ) Improvement Program</t>
  </si>
  <si>
    <t>U.S. EPA Finalizes Biomass-Based Diesel Volume Requirements for 2013</t>
  </si>
  <si>
    <t>U.S. EPA Releases Evaluation of E15 Registration Submission and Approves First Applications</t>
  </si>
  <si>
    <t>U.S. EPA Proposes Voluntary Quality Assurance Program for Verifying RINS</t>
  </si>
  <si>
    <t>U.S. EPA Proposes Revisions to Underground Storage Tank (UST) Regulations</t>
  </si>
  <si>
    <t>U.S. EPA Proposes 2013 Volume Requirements and Percentage Standards for RFS2</t>
  </si>
  <si>
    <t>STATE</t>
  </si>
  <si>
    <t>Gulf Hypoxia Action Plan</t>
  </si>
  <si>
    <t>12 states along the Mississippi River to develop strategies to reduce nutrient loading to the Gulf of Mexico. Each state has outlined their specific action plans.</t>
  </si>
  <si>
    <t>http://www.nutrientstrategy.iastate.edu/sites/default/files/documents/NRSfull-130529.pdf</t>
  </si>
  <si>
    <t>Massachusetts: Environmentally Preferable Products Procurement Program</t>
  </si>
  <si>
    <t>Ohio: Bio-based Products Preference Program</t>
  </si>
  <si>
    <t>http://www.betalabservices.com/ohio-biobased-products/</t>
  </si>
  <si>
    <t>California's 75 Percent Initiative</t>
  </si>
  <si>
    <t>http://www.calrecycle.ca.gov/75Percent/</t>
  </si>
  <si>
    <t>Iowa Nutrient Reduction Strategy</t>
  </si>
  <si>
    <t>Iowa: Biorenewable Chemical Tax Credit</t>
  </si>
  <si>
    <t>BIOENERGY POLICY</t>
  </si>
  <si>
    <t>INCENTIVES</t>
  </si>
  <si>
    <t>California</t>
  </si>
  <si>
    <t>Employer Invested Emissions Reduction Funding - South Coast</t>
  </si>
  <si>
    <t>Alternative Fuel and Vehicle Incentives</t>
  </si>
  <si>
    <t>Emissions Reductions Grants</t>
  </si>
  <si>
    <t>Heavy-Duty Vehicle Emissions Reduction Grants</t>
  </si>
  <si>
    <t>Low Emissions School Bus Grants</t>
  </si>
  <si>
    <t>Low Emission Vehicle Incentives and Technical Training - San Joaquin Valley</t>
  </si>
  <si>
    <t>Alternative Fuel and Advanced Vehicle Career Training</t>
  </si>
  <si>
    <t>Heavy-Duty Truck Vouchers San Joaquin Valley</t>
  </si>
  <si>
    <t>Biofuel Volume Rebate Program - Propel Fuels</t>
  </si>
  <si>
    <t>Alternative Fuel Vehicle (AFV) Parking Incentive Programs</t>
  </si>
  <si>
    <t>Freight Efficiency Action Plan</t>
  </si>
  <si>
    <t>Alternative Fuel and Vehicle Policy Development</t>
  </si>
  <si>
    <t>The California Energy Commission (CEC) must prepare and submit an Integrated Energy Policy Report (IEPR) to the governor on a biannual basis. The IEPR's primary purpose is to develop energy policies that conserve resources, protect the environment, ensure energy reliability, enhance the state's economy, and protect public health and safety.</t>
  </si>
  <si>
    <t>Low Emission Vehicle (LEV) Standards</t>
  </si>
  <si>
    <t>Vehicle Acquisition and Petroleum Reduction Requirements</t>
  </si>
  <si>
    <t>State Transportation Plan</t>
  </si>
  <si>
    <t>Alternative Fuel Tax</t>
  </si>
  <si>
    <t>Low Carbon Fuel Standard</t>
  </si>
  <si>
    <t>Through its Mobile Sources Program, the California Air Resources Board (ARB) has developed programs and policies to reduce emissions from on-road heavy-duty diesel vehicles through the installation of verified diesel emission control strategies (VDECS) and vehicle replacements.</t>
  </si>
  <si>
    <t>Fleet Emissions Reduction Requirements - South Coast</t>
  </si>
  <si>
    <t>Support for Advanced Biofuel Development</t>
  </si>
  <si>
    <t>The California Legislature urges the U.S. Congress or the U.S. Environmental Protection Agency to take action to amend the U.S. Renewable Fuel Standard to favor non-food crop biofuel feedstocks and promote the development of advanced fuels, such as cellulosic ethanol.</t>
  </si>
  <si>
    <t>Alternative Fuel Vehicle Retrofit Emissions Inspection Process</t>
  </si>
  <si>
    <t>Oregon</t>
  </si>
  <si>
    <t>Biofuels Production Property Tax Exemption</t>
  </si>
  <si>
    <t>Alternative Fuel Vehicle (AFV) Loan Program</t>
  </si>
  <si>
    <t>Alternative Fuel Loans</t>
  </si>
  <si>
    <t>Biodiesel Tax Exemption</t>
  </si>
  <si>
    <t>Alternative Fueling Infrastructure Tax Credit for Residents</t>
  </si>
  <si>
    <t>Alternative Fuel Vehicle (AFV) Parking Space Regulation</t>
  </si>
  <si>
    <t>Clean Transportation Fuel Standards</t>
  </si>
  <si>
    <t>Renewable Fuels Mandate</t>
  </si>
  <si>
    <t>Biodiesel Quality Testing Procedures</t>
  </si>
  <si>
    <t>Biofuels Program Impact Studies</t>
  </si>
  <si>
    <t>Washington</t>
  </si>
  <si>
    <t>Alternative Fuel Vehicle (AFV) Tax Exemption</t>
  </si>
  <si>
    <t>Biodiesel Feedstock Tax Exemption</t>
  </si>
  <si>
    <t>State Emissions Reductions Requirements</t>
  </si>
  <si>
    <t>Alternative Fuel Vehicle (AFV) Labeling Requirement</t>
  </si>
  <si>
    <t>Biofuel Blend Dispenser Labeling Requirement</t>
  </si>
  <si>
    <t>Biodiesel Storage Regulations</t>
  </si>
  <si>
    <t>Biodiesel Definition</t>
  </si>
  <si>
    <t>E85 Definition</t>
  </si>
  <si>
    <t>Biofuel Quality Program</t>
  </si>
  <si>
    <t>Provision for Alternative Fuels Corridor Pilot Projects</t>
  </si>
  <si>
    <t>Biofuels Production and Distribution Contracts</t>
  </si>
  <si>
    <t>Renewable Fuel Standard</t>
  </si>
  <si>
    <t>Idaho</t>
  </si>
  <si>
    <t>Alternative Fuels Tax Exemption and Refund for Government Fleet Vehicles</t>
  </si>
  <si>
    <t>Ethanol Blended Fuel Definition</t>
  </si>
  <si>
    <t>Nevada</t>
  </si>
  <si>
    <t>Funds for School District Alternative Fuel Use</t>
  </si>
  <si>
    <t>Alternative Fuel Vehicle (AFV) Acquisition Requirement</t>
  </si>
  <si>
    <t>Biodiesel Sales Requirements</t>
  </si>
  <si>
    <t>Biodiesel Producer Requirements</t>
  </si>
  <si>
    <t>Arizona</t>
  </si>
  <si>
    <t>Federal Fleet Operation Regulations</t>
  </si>
  <si>
    <t>Municipal Alternative Fuel Vehicle (AFV) Acquisition Requirements</t>
  </si>
  <si>
    <t>School District Alternative Fuel Vehicle Acquisition Requirements</t>
  </si>
  <si>
    <t>Biofuels Definitions and Specifications</t>
  </si>
  <si>
    <t>Clean Fuel Contracts for Heavy-Duty Equipment</t>
  </si>
  <si>
    <t xml:space="preserve">As part of the proposal process, any state agency that contracts for the use of on- or off-road heavy-duty diesel equipment in Maricopa, Pima, and Pinal Counties must provide incentives to bidders that use equipment retrofitted with diesel retrofit kits, newer clean diesel technologies and fuels, or biodiesel or other cleaner petroleum diesel alternatives. </t>
  </si>
  <si>
    <t>Utah</t>
  </si>
  <si>
    <t>By August 30, 2018, at least 50% of new or replacement light-duty state agency vehicles must meet Bin 2 emissions standards established in Title 40 of the U.S. Code of Federal Regulations, or be propelled to a significant extent by electricity, natural gas, propane, hydrogen, or biodiesel.</t>
  </si>
  <si>
    <t>Alternative Fuel Vehicle (AFV) Conversion Promotion</t>
  </si>
  <si>
    <t>Compressed Natural Gas (CNG) Vehicle Aftermarket Conversion Requirements</t>
  </si>
  <si>
    <t>Hawaii</t>
  </si>
  <si>
    <t>Renewable Fuels Production Incentive</t>
  </si>
  <si>
    <t>Alternative Fuel Tax Rate</t>
  </si>
  <si>
    <t>Biofuels Procurement Preference</t>
  </si>
  <si>
    <t>Alternative Fuel Standard Development</t>
  </si>
  <si>
    <t>Clean Transportation Promotion</t>
  </si>
  <si>
    <t>Alternative Fuel and Advanced Vehicle Acquisition Requirements</t>
  </si>
  <si>
    <t>Energy Feedstock Program</t>
  </si>
  <si>
    <t xml:space="preserve">The Hawaii Department of Agriculture established the Energy Feedstock Program to promote and support the production of energy feedstock development in Hawaii and to establish milestones and objectives for production of energy feedstock in the state to meet its energy requirements. Energy feedstock includes feedstock used to produce biofuels. </t>
  </si>
  <si>
    <t>New Mexico</t>
  </si>
  <si>
    <t>Biofuels Production Tax Deduction</t>
  </si>
  <si>
    <t>Biodiesel Tax Deduction</t>
  </si>
  <si>
    <t>Alternative Fuel Tax Exemption</t>
  </si>
  <si>
    <t>Biodiesel Blending Facility Loading Fee Deduction</t>
  </si>
  <si>
    <t>In calculating the annual petroleum products loading fee, a facility owner may deduct the number of biodiesel gallons delivered to be blended into petroleum products. The total deducted amount must be documented in the tax return associated with the facility in a format the New Mexico Taxation and Revenue Department approves.</t>
  </si>
  <si>
    <t>Alternative Fuel Vehicle (AFV) and Fueling Infrastructure Grants</t>
  </si>
  <si>
    <t>Biodiesel Blending Facility Tax Credit</t>
  </si>
  <si>
    <t>Biodiesel Blend Mandate</t>
  </si>
  <si>
    <t>Alternative Fuel Vehicle (AFV) and Hybrid Electric Vehicle (HEV) Acquisition Requirements</t>
  </si>
  <si>
    <t>Green Jobs Training Program</t>
  </si>
  <si>
    <t>Colorado</t>
  </si>
  <si>
    <t>Biogas Production Sales Tax Exemption</t>
  </si>
  <si>
    <t>Low Emission Vehicle (LEV) Sales Tax Exemption</t>
  </si>
  <si>
    <t>Alternative Fuel Vehicle (AFV) Weight Limit Exemption</t>
  </si>
  <si>
    <t>Alternative Fuel Vehicle (AFV) Fleet Technical Assistance</t>
  </si>
  <si>
    <t>Ethanol Infrastructure Grants</t>
  </si>
  <si>
    <t>Gasoline and Diesel Gallon Equivalent Definition</t>
  </si>
  <si>
    <t>Alternative Fuel Vehicle (AFV) Registration</t>
  </si>
  <si>
    <t>Inter-Agency Fleet Improvement Coordination</t>
  </si>
  <si>
    <t>Vehicle Fleet Maintenance and Fuel Cost-Savings Contracts</t>
  </si>
  <si>
    <t>Government fleets may finance the lease or purchase cost of alternative fuel vehicles and alternative fueling infrastructure through energy performance contracts where vehicle operational and fuel cost savings pay for the capital investment. Energy performance contracts must show that the annual cost savings associated with the fueling and maintenance of vehicles with higher efficiency ratings or alternative fueling methods is equal to or higher than the annual contract payments.</t>
  </si>
  <si>
    <t>Renewable and Alternative Fuel Storage Tank Regulations</t>
  </si>
  <si>
    <t>Wyoming</t>
  </si>
  <si>
    <t>Alternative Fuel Export Tax Exemption</t>
  </si>
  <si>
    <t>Alternative Fuel License Fee</t>
  </si>
  <si>
    <t>Montana</t>
  </si>
  <si>
    <t>Alternative Fuel Vehicle (AFV) Conversion Tax Credit</t>
  </si>
  <si>
    <t>Biodiesel Blending Tax Credit</t>
  </si>
  <si>
    <t>Biodiesel Tax Refund</t>
  </si>
  <si>
    <t>Biodiesel Production Facility Tax Credit</t>
  </si>
  <si>
    <t>Alternative Fuel and Vehicle Production Property Tax Incentive</t>
  </si>
  <si>
    <t>Ethanol Production Facility Property Tax Exemption</t>
  </si>
  <si>
    <t>Ethanol Production Incentive</t>
  </si>
  <si>
    <t>Ethanol Blend Mandate</t>
  </si>
  <si>
    <t>North Dakota</t>
  </si>
  <si>
    <t>Advanced Biofuel Incentives</t>
  </si>
  <si>
    <t>Biofuel Loan Program</t>
  </si>
  <si>
    <t>Agriculturally-Based Fuel Production Wage and Salary Tax Credit</t>
  </si>
  <si>
    <t>Biodiesel Blender Tax Credit</t>
  </si>
  <si>
    <t>Ethanol Blend Infrastructure Grants</t>
  </si>
  <si>
    <t>Agriculturally-Derived Fuel Production Facility Loan Guarantees</t>
  </si>
  <si>
    <t>Biodiesel Sales Equipment Tax Credit</t>
  </si>
  <si>
    <t>Biodiesel Production and Blending Equipment Tax Credit</t>
  </si>
  <si>
    <t>Alternative Fuel Tax Rates</t>
  </si>
  <si>
    <t>Alternative Fuel Labeling Requirements</t>
  </si>
  <si>
    <t>Biodiesel and Green Diesel Definitions</t>
  </si>
  <si>
    <t>Renewable Fuels Promotion</t>
  </si>
  <si>
    <t>South Dakota</t>
  </si>
  <si>
    <t>Ethanol and Biobutanol Production Incentive</t>
  </si>
  <si>
    <t>Biodiesel Blend Tax Credit</t>
  </si>
  <si>
    <t>Fuel Quality Standards</t>
  </si>
  <si>
    <t>Ethanol Production Facility Fee</t>
  </si>
  <si>
    <t>Biodiesel Tax</t>
  </si>
  <si>
    <t>Ethanol Blend Definition</t>
  </si>
  <si>
    <t>Ethanol and Methanol Tax</t>
  </si>
  <si>
    <t>Biofuel Franchising Contract Regulations</t>
  </si>
  <si>
    <t>Nebraska</t>
  </si>
  <si>
    <t>Alternative Fuel Vehicle (AFV) and Fueling Infrastructure Loans</t>
  </si>
  <si>
    <t>Cellulosic Ethanol Investment Tax Credit</t>
  </si>
  <si>
    <t>Ethanol and Biodiesel Tax Exemption</t>
  </si>
  <si>
    <t>Kansas</t>
  </si>
  <si>
    <t>Alternative Fuel Vehicle (AFV) Tax Credit</t>
  </si>
  <si>
    <t>Alternative Fueling Infrastructure Tax Credit</t>
  </si>
  <si>
    <t>Cellulosic Ethanol Production Financing</t>
  </si>
  <si>
    <t>Biofuel Production Facility Tax Exemption</t>
  </si>
  <si>
    <t>Biofuel Blending Equipment Tax Exemption</t>
  </si>
  <si>
    <t>Renewable Fuel Retailer Tax Incentive</t>
  </si>
  <si>
    <t>Biodiesel Rebates - Kansas Soybean Commission</t>
  </si>
  <si>
    <t>Natural Gas Vehicle Loans - Communication Federal Credit Union (CFCU)</t>
  </si>
  <si>
    <t>Natural Gas Vehicle (NGV) Rebate Pilot Program - Kansas Gas Service</t>
  </si>
  <si>
    <t>E85 Tax Rate and Definition</t>
  </si>
  <si>
    <t>Biodiesel and Renewable Fuel Definitions</t>
  </si>
  <si>
    <t>Ethanol Blend Dispenser Requirement</t>
  </si>
  <si>
    <t>Alternative Fuel Vehicle (AFV) Acquisition Requirements</t>
  </si>
  <si>
    <t>Oklahoma</t>
  </si>
  <si>
    <t>Biofuels Construction and Permitting Assistance</t>
  </si>
  <si>
    <t>Biofuels Tax Exemption</t>
  </si>
  <si>
    <t>Ethanol Sales Tax Exemption</t>
  </si>
  <si>
    <t>Ethanol Fuel Retailer Tax Credit</t>
  </si>
  <si>
    <t>Alternative Fuel Vehicle (AFV) Low-Interest Loans</t>
  </si>
  <si>
    <t>Natural Gas Vehicle (NGV) and Infrastructure Rebate - Oklahoma Natural Gas</t>
  </si>
  <si>
    <t>Alternative Fuels Technician Certificates</t>
  </si>
  <si>
    <t>Committee of Alternative Fuels Technician Examiners</t>
  </si>
  <si>
    <t>Ethanol Labeling Requirement</t>
  </si>
  <si>
    <t>Biodiesel Definition and Specifications</t>
  </si>
  <si>
    <t>Alternative Fuel Technician Training</t>
  </si>
  <si>
    <t>Access to State Alternative Fueling Stations</t>
  </si>
  <si>
    <t>Texas</t>
  </si>
  <si>
    <t>Clean Vehicle and Infrastructure Grants</t>
  </si>
  <si>
    <t>Clean School Bus Program</t>
  </si>
  <si>
    <t>Diesel Fuel Blend Tax Exemption</t>
  </si>
  <si>
    <t>Natural Gas Vehicle (NGV) and Fueling Infrastructure Rebates - Texas Gas Service</t>
  </si>
  <si>
    <t>Fuel Dispenser Labeling Requirement</t>
  </si>
  <si>
    <t>Renewable Fuel Promotion</t>
  </si>
  <si>
    <t>Louisiana</t>
  </si>
  <si>
    <t>Provision for Green Jobs Tax Credit</t>
  </si>
  <si>
    <t>Alternative Fuel Vehicle (AFV) and Fueling Infrastructure Tax Credit</t>
  </si>
  <si>
    <t>Compressed Natural Gas (CNG) and Propane Regulatory Authority</t>
  </si>
  <si>
    <t>Biofuels Feedstock Requirements</t>
  </si>
  <si>
    <t>Arkansas</t>
  </si>
  <si>
    <t>Alternative Fuel Vehicle and Infrastructure Rebate Program</t>
  </si>
  <si>
    <t>Alternative Fuel Definition and Specifications</t>
  </si>
  <si>
    <t>Alternative Fuels Tax and Reporting</t>
  </si>
  <si>
    <t>Alternative Fuel Vehicle Conversion</t>
  </si>
  <si>
    <t>Missouri</t>
  </si>
  <si>
    <t>Alternative Fuel Vehicle (AFV) Decal</t>
  </si>
  <si>
    <t>Renewable Fuel Distributor and Vehicle Manufacturer Liability Protection</t>
  </si>
  <si>
    <t>State Energy Plan</t>
  </si>
  <si>
    <t>The Missouri Biodiesel Fuel Revolving Fund uses the money generated by the sale of Energy Policy Act of 1992 credits to cover the incremental cost of purchasing fuel containing biodiesel blends of at least 20% (B20) for state fleet vehicle use.</t>
  </si>
  <si>
    <t>Alternative Fuel Promotion</t>
  </si>
  <si>
    <t>Iowa</t>
  </si>
  <si>
    <t>Ethanol Blend Retailer Tax Credit</t>
  </si>
  <si>
    <t>Biofuel Infrastructure Grants</t>
  </si>
  <si>
    <t>Alternative Fuel Production Tax Credits</t>
  </si>
  <si>
    <t>The High Quality Jobs Program offers state tax incentives to business projects for the production of biomass or alternative fuels. Incentives may include an investment tax credit equal to a percentage of the qualifying investment, amortized over five years; a refund of state sales, service, or use taxes paid to contractors or subcontractors during construction; an increase of the state's refundable research activities credit; and a local property tax exemption of up to 100% of the value added to the property.</t>
  </si>
  <si>
    <t>Mid-Level Ethanol Blend Retailer Tax Credit</t>
  </si>
  <si>
    <t>Biodiesel Producer Tax Refund</t>
  </si>
  <si>
    <t>E85 Retailer Tax Credit</t>
  </si>
  <si>
    <t>Biodiesel Blend Retailer Tax Credit</t>
  </si>
  <si>
    <t>Alternative Fuel Vehicle (AFV) Conversion Registration</t>
  </si>
  <si>
    <t>When a motor vehicle is modified to use a different fuel type or more than one type of fuel, the vehicle's registered owner must notify the county treasurer of the new fuel type or alternative fuel types within 30 days. If the vehicle uses, or may use, a special fuel, the county treasurer will issue a special fuel identification sticker.</t>
  </si>
  <si>
    <t>Biofuel Specifications</t>
  </si>
  <si>
    <t>Renewable Fuel Labeling Requirement</t>
  </si>
  <si>
    <t>Alternative Fuel Vehicle Acquisition Requirements</t>
  </si>
  <si>
    <t>Minnesota</t>
  </si>
  <si>
    <t>Ethanol Fueling Infrastructure Grants</t>
  </si>
  <si>
    <t>Ethanol Production Facility Environmental Assessment Exemption</t>
  </si>
  <si>
    <t>Biofuel Blend Mandate</t>
  </si>
  <si>
    <t>Authorization for E15 Infrastructure Grant Program</t>
  </si>
  <si>
    <t>Ethanol Fuel Blend Dispensing Regulations</t>
  </si>
  <si>
    <t>Authorization for Biofuel Incentive</t>
  </si>
  <si>
    <t>Wisconsin</t>
  </si>
  <si>
    <t>Renewable Fuel Producer Excise Tax and Inspection Exemption</t>
  </si>
  <si>
    <t>Alternative Fuel License</t>
  </si>
  <si>
    <t>Petroleum Reduction Requirements</t>
  </si>
  <si>
    <t>Biodiesel Labeling Requirement</t>
  </si>
  <si>
    <t>Alternative Fueling Infrastructure Development</t>
  </si>
  <si>
    <t>Renewable Fuel Sales Volume Goals</t>
  </si>
  <si>
    <t>Illinois</t>
  </si>
  <si>
    <t>Alternative Fuel Vehicle (AFV) and Alternative Fuel Rebates</t>
  </si>
  <si>
    <t>School Bus Retrofit Reimbursement</t>
  </si>
  <si>
    <t>Alternative Fuel Vehicle (AFV) Fleet Incentives</t>
  </si>
  <si>
    <t>E85 Fueling Infrastructure Grants</t>
  </si>
  <si>
    <t>Fuel-Efficient Vehicle Acquisition Goals</t>
  </si>
  <si>
    <t>Biofuels Education and Promotion</t>
  </si>
  <si>
    <t>Alternative Fuels Labeling Requirement</t>
  </si>
  <si>
    <t>Biodiesel Definition and Specification</t>
  </si>
  <si>
    <t>State Government Energy Initiative</t>
  </si>
  <si>
    <t>Biofuels Preference for State Vehicle Procurement</t>
  </si>
  <si>
    <t>Ethanol and Hydrogen Production Facility Permits</t>
  </si>
  <si>
    <t>Biodiesel Production Tax</t>
  </si>
  <si>
    <t>Indiana</t>
  </si>
  <si>
    <t>Diesel Vehicle Retrofit and Improvement Grants</t>
  </si>
  <si>
    <t>Vehicle Research and Development Grants</t>
  </si>
  <si>
    <t>Alternative Fuel Vehicle (AFV) Inspection and Maintenance Exemption</t>
  </si>
  <si>
    <t>Biodiesel Blend Tax Exemption</t>
  </si>
  <si>
    <t>Biodiesel Price Preference</t>
  </si>
  <si>
    <t>Certified Technology Park Designation</t>
  </si>
  <si>
    <t>Alternative Fuel and Special Fuel Definitions</t>
  </si>
  <si>
    <t>Immunity for Misuse of E85</t>
  </si>
  <si>
    <t>E85 Promotion and Education</t>
  </si>
  <si>
    <t>E85 Retail Sales Reporting</t>
  </si>
  <si>
    <t>Michigan</t>
  </si>
  <si>
    <t>Alternative Fuel Development Property Tax Exemption</t>
  </si>
  <si>
    <t>Biodiesel Retail and Storage Requirements</t>
  </si>
  <si>
    <t>Ohio</t>
  </si>
  <si>
    <t>Diesel Emissions Reduction Grant Program</t>
  </si>
  <si>
    <t>Alternative Fueling Infrastructure Incentive</t>
  </si>
  <si>
    <t>School Bus Replacement Grant Program</t>
  </si>
  <si>
    <t>Alternative Fuel Vehicle Conversion Grant Program</t>
  </si>
  <si>
    <t>Alternative Fuel Signage</t>
  </si>
  <si>
    <t>It is unlawful to tamper with vehicle emissions control systems unless the action is for the purpose of converting a motor vehicle to operate on an alternative fuel and is in compliance with the standards adopted under the Clean Air Act Amendments. </t>
  </si>
  <si>
    <t>Kentucky</t>
  </si>
  <si>
    <t>Alternative Fuel Production Tax Incentives</t>
  </si>
  <si>
    <t>Biodiesel Production and Blending Tax Credit</t>
  </si>
  <si>
    <t>Ethanol Production Tax Credit</t>
  </si>
  <si>
    <t>On-Farm Biofuel Production Grants</t>
  </si>
  <si>
    <t>Alternative Fuel Research, Development, and Promotion</t>
  </si>
  <si>
    <t>Natural Gas Vehicles Safety Regulations</t>
  </si>
  <si>
    <t>Clean Transportation Fuels for School Buses</t>
  </si>
  <si>
    <t>Alternative Fuel and Conversion Definitions</t>
  </si>
  <si>
    <t>Tennessee</t>
  </si>
  <si>
    <t>Biofuel Fueling Infrastructure Grants</t>
  </si>
  <si>
    <t>Supply of Petroleum Products for Blending with Biofuels</t>
  </si>
  <si>
    <t>Petroleum product refiners and suppliers must make all grades of gasoline and diesel fuel available to any wholesaler in a condition that allows for the fuel to be blended with ethanol or other bio-based products and sold in Tennessee. In addition, gasoline products must be available with detergent additives in sufficient concentrations such that after the addition of ethanol, the final product meets or exceeds the lowest additive concentrations that the U.S. Environmental Protection Agency requires.</t>
  </si>
  <si>
    <t>Biodiesel and Ethanol Definitions and Retail Requirements</t>
  </si>
  <si>
    <t>Biofuel Blending Contract Regulation</t>
  </si>
  <si>
    <t>Mississippi</t>
  </si>
  <si>
    <t>Alternative Fuel Vehicle (AFV) Revolving Loan Program</t>
  </si>
  <si>
    <t>Installation of Alternative Fuel Components in Vehicles</t>
  </si>
  <si>
    <t>Biodiesel and Renewable Diesel Definitions and Requirements</t>
  </si>
  <si>
    <t>Alabama</t>
  </si>
  <si>
    <t>Alternative Fuel and Idle Reduction Revolving Loan Program for Public Entities</t>
  </si>
  <si>
    <t>Biofuel Production Jobs Tax Credit</t>
  </si>
  <si>
    <t>Alternative Fuel and Idle Reduction Revolving Loan Program for Private Entities</t>
  </si>
  <si>
    <t>Alternative Fuels Promotion and Information</t>
  </si>
  <si>
    <t>Fuel-Efficient Green Fleets Policy and Fleet Management Program Development</t>
  </si>
  <si>
    <t>Georgia</t>
  </si>
  <si>
    <t>High Occupancy Vehicle (HOV) and High Occupancy Toll (HOT) Lane Exemption</t>
  </si>
  <si>
    <t>Alternative Fuel and Advanced Vehicle Job Creation Tax Credit</t>
  </si>
  <si>
    <t>Alternative Fuel Vehicle (AFV) Infrastructure Incentives Study</t>
  </si>
  <si>
    <t>Alternative Fuel Excise Tax</t>
  </si>
  <si>
    <t>Ethanol Blending Regulation</t>
  </si>
  <si>
    <t>Florida</t>
  </si>
  <si>
    <t>Natural Gas Vehicle (NGV) and Propane Vehicle Rebates</t>
  </si>
  <si>
    <t>Renewable Energy and Energy Efficient Technology Grant Matching Program</t>
  </si>
  <si>
    <t>Ethanol Production Credit</t>
  </si>
  <si>
    <t>Biofuels Investment Tax Credit</t>
  </si>
  <si>
    <t>Excise Tax Exemption for Biodiesel Produced by Schools</t>
  </si>
  <si>
    <t>Provision for Renewable Fuels Investment</t>
  </si>
  <si>
    <t>Biofuels Promotion</t>
  </si>
  <si>
    <t>Biodiesel Producer Fuel Tax</t>
  </si>
  <si>
    <t>Alternative Fuel Economic Development</t>
  </si>
  <si>
    <t>South Carolina</t>
  </si>
  <si>
    <t>Alternative Fuel Vehicle (AFV) Revolving Loan Program for Private Entities</t>
  </si>
  <si>
    <t>Biofuels Distribution Infrastructure Tax Credit</t>
  </si>
  <si>
    <t>Alternative Fuel Vehicle (AFV) Revolving Loan Program for Public Entities</t>
  </si>
  <si>
    <t>Biofuels Production Facility Tax Credit</t>
  </si>
  <si>
    <t>Clean Energy Advisory Commission</t>
  </si>
  <si>
    <t>State Agency Preference for Alternative Fuel and Advanced Vehicles</t>
  </si>
  <si>
    <t>Biofuel Blending Capability Requirements and Liability</t>
  </si>
  <si>
    <t>Biodiesel Blend Distribution Mandate</t>
  </si>
  <si>
    <t>North Carolina</t>
  </si>
  <si>
    <t>Alternative Fuel and Alternative Fuel Vehicle (AFV) Fund</t>
  </si>
  <si>
    <t>Alternative Fuel Vehicle (AFV) and Hybrid Electric Vehicle (HEV) Support</t>
  </si>
  <si>
    <t>Bond Exemption for Small Biofuels Suppliers</t>
  </si>
  <si>
    <t>Fuel blenders or suppliers of ethanol or biodiesel are not required to file a bond with the North Carolina Department of Revenue when the expected motor fuel tax liability is less than $2,000. </t>
  </si>
  <si>
    <t>Alternative Fuel and Idle Reduction Grants</t>
  </si>
  <si>
    <t>Biodiesel Warranty Requirement</t>
  </si>
  <si>
    <t>Ethanol Blend Labeling Requirements</t>
  </si>
  <si>
    <t>Ethanol Blend Requirement</t>
  </si>
  <si>
    <t>Suppliers that import gasoline for sale in North Carolina must offer fuel that is not pre-blended with fuel alcohol but that is suitable for future blending. Future contract provisions that restrict distributors or retailers from blending gasoline with fuel alcohol are void.</t>
  </si>
  <si>
    <t>Biodiesel Requirement for School Buses</t>
  </si>
  <si>
    <t>Alternative Fuel Vehicle (AFV) Acquisition Goal</t>
  </si>
  <si>
    <t>Virginia</t>
  </si>
  <si>
    <t>Green Jobs Tax Credit</t>
  </si>
  <si>
    <t>Biofuel Feedstock Registration Exemption</t>
  </si>
  <si>
    <t>Clean Energy Manufacturing Grants</t>
  </si>
  <si>
    <t>Alternative Fuel Vehicle and Fueling Infrastructure Loans</t>
  </si>
  <si>
    <t>Ethanol Production Equipment Tax Exemption</t>
  </si>
  <si>
    <t>Government Alternative Fuel Vehicle (AFV) Incentive</t>
  </si>
  <si>
    <t>Agriculture and Forestry Biofuel Production Grants</t>
  </si>
  <si>
    <t>Clean Transportation Technology Investment Funding</t>
  </si>
  <si>
    <t>Biodiesel Production Tax Credit</t>
  </si>
  <si>
    <t>Alternative Fuel Vehicle (AFV) Conversion Fund</t>
  </si>
  <si>
    <t>Alternative Fuel and Vehicle Tax</t>
  </si>
  <si>
    <t>Alternative Fuel School Bus Regulations</t>
  </si>
  <si>
    <t>Alternative Fuel Vehicle (AFV) Signs for School Buses</t>
  </si>
  <si>
    <t>Biofuels and Green Diesel Definitions</t>
  </si>
  <si>
    <t>West Virginia</t>
  </si>
  <si>
    <t>Alternative Fuel School Bus Incentive</t>
  </si>
  <si>
    <t>West Virginia higher education governing boards must use alternative fuels to the maximum extent feasible.</t>
  </si>
  <si>
    <t>Alternative Fuel Production Subsidy Prohibition</t>
  </si>
  <si>
    <t>Provision for Establishment of Alternative Fuel Vehicle (AFV) Acquisition Requirements</t>
  </si>
  <si>
    <t>Alternative Fuels Tax</t>
  </si>
  <si>
    <t>DC</t>
  </si>
  <si>
    <t>Alternative Fuel Vehicle Exemption from Driving Restrictions</t>
  </si>
  <si>
    <t>Maryland</t>
  </si>
  <si>
    <t>Innovative Transportation Project Competitive Grant Program</t>
  </si>
  <si>
    <t>Alternative Fuel Infrastructure Grants</t>
  </si>
  <si>
    <t>Biofuels Production Incentive</t>
  </si>
  <si>
    <t>Aftermarket Alternative Fuel Vehicle (AFV) Conversion Requirements</t>
  </si>
  <si>
    <t>Pennsylvania</t>
  </si>
  <si>
    <t>Alternative Fuel Vehicle (AFV) and Hybrid Electric Vehicle (HEV) Funding</t>
  </si>
  <si>
    <t>Taxes imposed on alternative fuels used in official vehicles for the United States government or any Delaware state government agency, including volunteer fire and rescue companies, are waived. Alternative fuel retailers must obtain a fuel supplier's license from the Delaware Department of Transportation (DelDOT), and operators or owners of vehicles using alternative fuel must obtain either a special fuel user's license from DelDOT or pay the special fuel tax. </t>
  </si>
  <si>
    <t>Alternative Fuel Vehicle (AFV) Rebates</t>
  </si>
  <si>
    <t>New Jersey</t>
  </si>
  <si>
    <t>Biofuel Use Requirements</t>
  </si>
  <si>
    <t>Low Emission or Alternative Fuel Bus Acquisition Requirement</t>
  </si>
  <si>
    <t>Biodiesel and Renewable Diesel Definitions</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</si>
  <si>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 </t>
  </si>
  <si>
    <t>New York</t>
  </si>
  <si>
    <t>Alternative Fuel Vehicle Research and Development Funding</t>
  </si>
  <si>
    <t>Biofuel Production Tax Credit</t>
  </si>
  <si>
    <t>Connecticut</t>
  </si>
  <si>
    <t>Biofuels Research Grants</t>
  </si>
  <si>
    <t>The Connecticut Department of Economic and Community Development administers a fuel diversification grant program to provide funding to Connecticut higher education or agricultural research institutions for research to promote biofuel production from agricultural products, algae, and waste grease, as well as biofuel quality testing.</t>
  </si>
  <si>
    <t>Alternative Fuel and Fuel-Efficient Vehicle Acquisition and Emissions Reduction Requirements</t>
  </si>
  <si>
    <t>Cars and light-duty trucks that a state agency purchases must: 1) have an average U.S. Environmental Protection Agency estimated fuel economy of at least 40 miles per gallon; 2) comply with state fleet vehicle acquisition requirements set forth under the Energy Policy Act of 1992 (EPAct); and 3) obtain the best achievable fuel economy per pound of carbon dioxide emitted for the applicable vehicle classes. all cars and light-duty trucks that the state purchases or leases must be hybrid electric vehicles, plug-in hybrid electric vehicles, or capable of using alternative fuel.</t>
  </si>
  <si>
    <t>Alternative Fuel Vehicle (AFV) Procurement Preference</t>
  </si>
  <si>
    <t>School Bus Emissions Reduction</t>
  </si>
  <si>
    <t>Emissions Reduction Credits</t>
  </si>
  <si>
    <t>Rhode Island</t>
  </si>
  <si>
    <t>State Agency Coordination to Address Climate Change</t>
  </si>
  <si>
    <t>Alternative Fuel Vehicle (AFV) and Zero Emission Vehicle (ZEV) Acquisition Requirements</t>
  </si>
  <si>
    <t>Alternative Transportation Fuel Study</t>
  </si>
  <si>
    <t>Massachusetts</t>
  </si>
  <si>
    <t>Alternative Fuel Vehicle and Infrastructure Grants</t>
  </si>
  <si>
    <t>Cellulosic Biofuel Tax Exemption</t>
  </si>
  <si>
    <t>Alternative Fuel Offering Requirement</t>
  </si>
  <si>
    <t>State Hybrid Electric (HEV) Alternative Fuel Vehicle (AFV) Acquisition Requirements</t>
  </si>
  <si>
    <t>Voluntary Biofuels Program</t>
  </si>
  <si>
    <t>Vermont</t>
  </si>
  <si>
    <t>Alternative Fuel and Advanced Vehicle Research and Development Tax Credit</t>
  </si>
  <si>
    <t>State Agency Energy Plan Transportation Requirements</t>
  </si>
  <si>
    <t>Carbon Reduction Procurement Policies</t>
  </si>
  <si>
    <t>The Vermont Department of Buildings and General Services must consider AFVs when purchasing vehicles for state use, provided that the alternative fuel is suitable for the vehicle's operation, is available in the region where the vehicle will be used, and is competitively priced with conventional fuels.</t>
  </si>
  <si>
    <t>New Hampshire</t>
  </si>
  <si>
    <t>Diesel Emissions Reduction Grants</t>
  </si>
  <si>
    <t>Biodiesel Blend Purchase Requirement</t>
  </si>
  <si>
    <t>State Energy Strategy Development</t>
  </si>
  <si>
    <t>Biodiesel Distributor License and Recordkeeping Requirements</t>
  </si>
  <si>
    <t>Maine</t>
  </si>
  <si>
    <t>Biodiesel Fuel Tax Exemption</t>
  </si>
  <si>
    <t>Provision for Establishment of Clean Fuel Vehicle Insurance Incentives</t>
  </si>
  <si>
    <t>Prohibition of the Sale of Ethanol-Blended Gasoline</t>
  </si>
  <si>
    <t>State Plan to Reduce Petroleum Consumption</t>
  </si>
  <si>
    <t>Biodiesel-Blended Diesel Documentation Requirement</t>
  </si>
  <si>
    <t>Alaska</t>
  </si>
  <si>
    <t>The Alaska Department of Transportation and Public Facilities (Department) must evaluate the cost, efficiency, and commercial availability of alternative fuels for automotive purposes every five years, and purchase or convert to vehicles that operate using alternative fuels whenever practical. The Department may participate in joint ventures with public or private partners to foster the availability of alternative fuels for consumers.</t>
  </si>
  <si>
    <t>Ethanol Fuel Blend Tax Rate</t>
  </si>
  <si>
    <t>BUSINESS TO BUSINESS</t>
  </si>
  <si>
    <t>Higg Index</t>
  </si>
  <si>
    <t>Created by the Sustainable Apparel Coalition, the Higg Index is a set of self-assessment tools to measure a company's environmental, social and labor impacts. </t>
  </si>
  <si>
    <t>Base line for companies to compare</t>
  </si>
  <si>
    <t>Sustainable Apparel Coalition</t>
  </si>
  <si>
    <t>http://apparelcoalition.org/the-higg-index/</t>
  </si>
  <si>
    <t>B Lab</t>
  </si>
  <si>
    <t>Certification (looking into how companies can incorporate bioindicators)</t>
  </si>
  <si>
    <t>https://www.bcorporation.net/what-are-b-corps/about-b-lab</t>
  </si>
  <si>
    <t>Fair Trade</t>
  </si>
  <si>
    <t>http://fairtradeusa.org</t>
  </si>
  <si>
    <t>American Chemistry Council (ACC)</t>
  </si>
  <si>
    <t>Research development</t>
  </si>
  <si>
    <t>http://apparelcoalition.org/the-coalition/</t>
  </si>
  <si>
    <t>Outdoor Industry Alliance</t>
  </si>
  <si>
    <t>Potential to introduce biofuel and products as an alternative option</t>
  </si>
  <si>
    <t>https://outdoorindustry.org</t>
  </si>
  <si>
    <t>Biotechnology Innovation Organization</t>
  </si>
  <si>
    <t>https://www.bio.org/bio-initiatives</t>
  </si>
  <si>
    <t>Airlines</t>
  </si>
  <si>
    <t>https://www.environmentalleader.com/2017/02/reduce-aviation-emissions-ground-sky/</t>
  </si>
  <si>
    <t>INTERNATIONAL</t>
  </si>
  <si>
    <t>General Agreement on Tariffs and Trade</t>
  </si>
  <si>
    <t>World Trade Organization Agreements</t>
  </si>
  <si>
    <t>Everything But Arms</t>
  </si>
  <si>
    <t>Caribbean Basin Initiative </t>
  </si>
  <si>
    <t>China</t>
  </si>
  <si>
    <t>Nigeria</t>
  </si>
  <si>
    <t>http://allafrica.com/stories/201702080445.html</t>
  </si>
  <si>
    <t>WASTE TO ENERGY</t>
  </si>
  <si>
    <t>BIOGAS</t>
  </si>
  <si>
    <t>Wood Pellets Exported From US (in billion $)</t>
  </si>
  <si>
    <t>U.S. Farmland Used as Permanent Pasture (million acres)</t>
  </si>
  <si>
    <t>U.S. Farmland Used as Cropland (million acres)</t>
  </si>
  <si>
    <t>U.S. Cropland Harvested (million acres)</t>
  </si>
  <si>
    <t>U.S. Farmland Used as Woodland (million acres)</t>
  </si>
  <si>
    <t>U.S. Farmland Used for other purposes (million acres)</t>
  </si>
  <si>
    <t>Total Volume of Cotton Grown in the US (million metric tons)</t>
  </si>
  <si>
    <t>Total Volume of Sunflowers Grown in the US (million metric tons)</t>
  </si>
  <si>
    <t>Total Volume of Canola Grown in the U.S. (million metric tons)</t>
  </si>
  <si>
    <t>Total Volume of Peanuts Grown in the U.S. (million metric tons)</t>
  </si>
  <si>
    <t>http://usda.mannlib.cornell.edu/MannUsda/viewDocumentInfo.do?documentID=1259</t>
  </si>
  <si>
    <t>Retrieved April 2018</t>
  </si>
  <si>
    <t>Retrieved April 2018 
1 bushel of corn=0.025 metric tons</t>
  </si>
  <si>
    <t>Retrieved April 2018
1 bushel of soy=0.027 metric tons</t>
  </si>
  <si>
    <t>https://data.ers.usda.gov/reports.aspx?ID=17831#P5ad1f2ee59b64ca79e89cf9cf47f78f1_2_105iT0R0x0</t>
  </si>
  <si>
    <t>https://www.ers.usda.gov/data-products/farm-income-and-wealth-statistics/data-files-us-and-state-level-farm-income-and-wealth-statistics/</t>
  </si>
  <si>
    <t>https://quickstats.nass.usda.gov/results/5C42EA33-506B-37F7-871A-178A7B2FDB70</t>
  </si>
  <si>
    <t>https://quickstats.nass.usda.gov/results/616E13D1-D39B-350E-9E93-142A3459195C</t>
  </si>
  <si>
    <t>https://quickstats.nass.usda.gov/results/08484567-6CF0-3161-9235-4A95DDAEA6D9</t>
  </si>
  <si>
    <t>https://quickstats.nass.usda.gov/results/7539B9E8-3C98-3BA5-AB49-19F9CC39402E</t>
  </si>
  <si>
    <t>Total Volume of Wheat Grown in the US (million metric tons)</t>
  </si>
  <si>
    <t>https://quickstats.nass.usda.gov/results/6470F0BD-2744-3376-97E7-7B7F46D09C66</t>
  </si>
  <si>
    <t>https://quickstats.nass.usda.gov/results/25621CF1-71CE-3AF9-9CE4-69B2C52D0D72</t>
  </si>
  <si>
    <t>https://quickstats.nass.usda.gov/results/BCCC15CB-5216-3401-B519-C2BB83E644E4</t>
  </si>
  <si>
    <t>https://quickstats.nass.usda.gov/results/E68DC303-733D-3F66-898C-4A7BB3564A21</t>
  </si>
  <si>
    <t>https://quickstats.nass.usda.gov/results/B064DE81-3626-3F18-B562-BBF6B877613A</t>
  </si>
  <si>
    <t>https://quickstats.nass.usda.gov/results/775E91AB-2C7E-3E11-8F6F-1E6167569EC2</t>
  </si>
  <si>
    <t>https://quickstats.nass.usda.gov/results/3E3F6BD7-760C-3963-ABF0-5229957F939D</t>
  </si>
  <si>
    <t>https://quickstats.nass.usda.gov/results/FDBAF890-6232-3032-8271-F98ED7B43DEE</t>
  </si>
  <si>
    <t>Corn Prices (dollars per metric ton)</t>
  </si>
  <si>
    <t>Barley Prices (dollars per metric ton)</t>
  </si>
  <si>
    <t>Wheat Prices (dollars per metric ton)</t>
  </si>
  <si>
    <t>Retrieved April 2018 
1 bushel of barley=0.021 metric tons</t>
  </si>
  <si>
    <t>Retrieved April 2018 
1 bushel of sorghum=0.025 metric tons
1 cwt = 0.04536 metric tons</t>
  </si>
  <si>
    <t>Sorghum Prices (dollars per metric ton)</t>
  </si>
  <si>
    <t>Retrieved April 2018 
1 bushel of wheat=0.027 metric tons</t>
  </si>
  <si>
    <t>Yield of Corn grown in U.S. (metric tons per acre)</t>
  </si>
  <si>
    <t>Retrieved April 2018
1 acre=0.404686 Ha</t>
  </si>
  <si>
    <t>Source  Name</t>
  </si>
  <si>
    <t>Source  URL</t>
  </si>
  <si>
    <t>https://quickstats.nass.usda.gov/results/B791A232-7671-30D0-8EE5-6B0928C41BFF</t>
  </si>
  <si>
    <t>https://quickstats.nass.usda.gov/results/80C57AAB-11C8-3F8B-904C-3200C4A13C2F</t>
  </si>
  <si>
    <t>https://quickstats.nass.usda.gov/results/3E507DA6-3070-3BED-B57D-AF15AA455D65</t>
  </si>
  <si>
    <t>https://quickstats.nass.usda.gov/results/31BEFE18-3EC9-362D-897A-11FF412FD0CA</t>
  </si>
  <si>
    <t>Soybean Oil Price (dollars per metric ton)</t>
  </si>
  <si>
    <t>Cottonseed Oil Price (dollars per metric ton)</t>
  </si>
  <si>
    <t>Sunflower Oil Price (dollars per metric ton)</t>
  </si>
  <si>
    <t>Canola Oil Price (dollars per metric ton)</t>
  </si>
  <si>
    <t>Peanut Oil Price (dollars per metric ton)</t>
  </si>
  <si>
    <t>Corn Oil Price (dollars per metric ton)</t>
  </si>
  <si>
    <t>https://www.ers.usda.gov/publications/pub-details/?pubid=86740</t>
  </si>
  <si>
    <t>USDA-ERS (Oil Crops Outlook 2018)</t>
  </si>
  <si>
    <t>Retrieved April 2018
1 metric ton = 2,204.622 pounds</t>
  </si>
  <si>
    <t>https://www.eia.gov/totalenergy/data/monthly/pdf/sec10_7.pdf</t>
  </si>
  <si>
    <t>https://www.eia.gov/totalenergy/data/monthly/pdf/sec10_8.pdf</t>
  </si>
  <si>
    <t>https://www.eia.gov/totalenergy/data/monthly/pdf/sec2_3.pdf</t>
  </si>
  <si>
    <t>https://www.eia.gov/totalenergy/data/monthly/pdf/sec10_3.pdf</t>
  </si>
  <si>
    <t>https://www.eia.gov/totalenergy/data/monthly/pdf/mer.pdf</t>
  </si>
  <si>
    <t>Retrieved April 2018
1 kwh = 3412 BTUs</t>
  </si>
  <si>
    <t>Source</t>
  </si>
  <si>
    <t>EESI
Biodiesel.org</t>
  </si>
  <si>
    <r>
      <rPr>
        <sz val="11"/>
        <rFont val="Calibri"/>
        <family val="2"/>
        <scheme val="minor"/>
      </rPr>
      <t xml:space="preserve">[2012] </t>
    </r>
    <r>
      <rPr>
        <u/>
        <sz val="11"/>
        <color theme="10"/>
        <rFont val="Calibri"/>
        <family val="2"/>
        <scheme val="minor"/>
      </rPr>
      <t xml:space="preserve"> http://www.eesi.org/papers/view/fact-sheet-jobs-in-renewable-energy-and-energy-efficiency
</t>
    </r>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 xml:space="preserve">[2015-2016] </t>
    </r>
    <r>
      <rPr>
        <u/>
        <sz val="11"/>
        <color theme="10"/>
        <rFont val="Calibri"/>
        <family val="2"/>
        <scheme val="minor"/>
      </rPr>
      <t>http://www.eesi.org/papers/view/fact-sheet-jobs-in-renewable-energy-and-energy-efficiency-2017</t>
    </r>
  </si>
  <si>
    <t>https://www.eia.gov/dnav/pet/hist/LeafHandler.ashx?n=PET&amp;s=MFEIMUS1&amp;f=A</t>
  </si>
  <si>
    <t>Retrieved April 2018
1 barrel of ethanol = 42 gallons</t>
  </si>
  <si>
    <t>https://www.eia.gov/dnav/pet/hist/LeafHandler.ashx?n=pet&amp;s=m_epooxe_eex_nus-z00_mbbl&amp;f=a</t>
  </si>
  <si>
    <t>https://www.eia.gov/totalenergy/data/monthly/pdf/sec10_5.pdf</t>
  </si>
  <si>
    <t>http://www.fapri.iastate.edu/outlook/2012/tables/5-Biofuels.pdf</t>
  </si>
  <si>
    <t>Ethanol producer</t>
  </si>
  <si>
    <t>https://www.epa.gov/fuels-registration-reporting-and-compliance-help/2017-renewable-fuel-standard-data</t>
  </si>
  <si>
    <t>http://www.ethanolrfa.org/pocket-guide/</t>
  </si>
  <si>
    <t xml:space="preserve">EIA
RFA </t>
  </si>
  <si>
    <r>
      <rPr>
        <sz val="11"/>
        <color theme="1"/>
        <rFont val="Calibri"/>
        <family val="2"/>
        <scheme val="minor"/>
      </rPr>
      <t xml:space="preserve">[2011-2012] </t>
    </r>
    <r>
      <rPr>
        <u/>
        <sz val="11"/>
        <color theme="10"/>
        <rFont val="Calibri"/>
        <family val="2"/>
        <scheme val="minor"/>
      </rPr>
      <t xml:space="preserve">http://www.eia.gov/petroleum/ethanolcapacity/
</t>
    </r>
    <r>
      <rPr>
        <sz val="11"/>
        <color theme="1"/>
        <rFont val="Calibri"/>
        <family val="2"/>
        <scheme val="minor"/>
      </rPr>
      <t xml:space="preserve">[2013-2017] </t>
    </r>
    <r>
      <rPr>
        <u/>
        <sz val="11"/>
        <color theme="10"/>
        <rFont val="Calibri"/>
        <family val="2"/>
        <scheme val="minor"/>
      </rPr>
      <t>http://www.ethanolrfa.org/pocket-guide/</t>
    </r>
  </si>
  <si>
    <t xml:space="preserve">RFA </t>
  </si>
  <si>
    <t>Source Name</t>
  </si>
  <si>
    <t>Source URL</t>
  </si>
  <si>
    <t>https://www.eia.gov/biofuels/biodiesel/production/archive/</t>
  </si>
  <si>
    <t>Retrieved April 2018
1 barrel of biodiesel = 42 gallons</t>
  </si>
  <si>
    <t>Retrieved April 2018
1 gallon of biodiesel = 127,595 BTUs</t>
  </si>
  <si>
    <t>LMC International
biodiesel.org</t>
  </si>
  <si>
    <t>LMC International</t>
  </si>
  <si>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[2015]</t>
    </r>
    <r>
      <rPr>
        <u/>
        <sz val="11"/>
        <color theme="10"/>
        <rFont val="Calibri"/>
        <family val="2"/>
        <scheme val="minor"/>
      </rPr>
      <t xml:space="preserve"> http://biodiesel.org/docs/default-source/policy--federal/lmc-study-for-nbb_economic-impact-of-biodiesel_june-2016-final.pdf?sfvrsn=4</t>
    </r>
    <r>
      <rPr>
        <sz val="11"/>
        <rFont val="Calibri"/>
        <family val="2"/>
        <scheme val="minor"/>
      </rPr>
      <t/>
    </r>
  </si>
  <si>
    <t>http://task32.ieabioenergy.com/wp-content/uploads/2017/03/03-Fiona_Matthews.pdf</t>
  </si>
  <si>
    <t>Energy Summary</t>
  </si>
  <si>
    <t>Biogas</t>
  </si>
  <si>
    <t>Agriculture Summary</t>
  </si>
  <si>
    <t>Starch</t>
  </si>
  <si>
    <t>Federal Policy</t>
  </si>
  <si>
    <t>International Policy</t>
  </si>
  <si>
    <t>TABLE OF CONTENTS</t>
  </si>
  <si>
    <t>Biobased products</t>
  </si>
  <si>
    <t>Business-to-Business (B-2-B) Policy</t>
  </si>
  <si>
    <t>Bioplastics</t>
  </si>
  <si>
    <t>Retrieved April 2018
1  ton = 0.9072 metric tons</t>
  </si>
  <si>
    <t>https://www.ers.usda.gov/data-products/us-bioenergy-statistics/us-bioenergy-statistics/</t>
  </si>
  <si>
    <t>Soybean Oil Going to Biodiesel (million metric tons)</t>
  </si>
  <si>
    <t>Retrieved April 2018
1 short ton=0.907185 metric tons</t>
  </si>
  <si>
    <t>https://www.bea.gov/iTable/iTable.cfm?ReqID=51&amp;step=1#reqid=51&amp;step=2&amp;isuri=1</t>
  </si>
  <si>
    <t>Valued Added of Manufacturing US Apparel and Leather and Allied Products as a Percentage of GDP (%)</t>
  </si>
  <si>
    <t>https://www.americanchemistry.com/2017-Elements-of-the-Business-of-Chemistry.pdf</t>
  </si>
  <si>
    <r>
      <rPr>
        <sz val="11"/>
        <rFont val="Calibri"/>
        <family val="2"/>
        <scheme val="minor"/>
      </rPr>
      <t>[2008-2012]</t>
    </r>
    <r>
      <rPr>
        <u/>
        <sz val="11"/>
        <color theme="10"/>
        <rFont val="Calibri"/>
        <family val="2"/>
        <scheme val="minor"/>
      </rPr>
      <t xml:space="preserve"> www.bea.gov/industry/xls/GDPbyInd_VA_NAICS_1997-2012.xlsx
</t>
    </r>
    <r>
      <rPr>
        <sz val="11"/>
        <rFont val="Calibri"/>
        <family val="2"/>
        <scheme val="minor"/>
      </rPr>
      <t>[2013-2016]</t>
    </r>
    <r>
      <rPr>
        <u/>
        <sz val="11"/>
        <color theme="10"/>
        <rFont val="Calibri"/>
        <family val="2"/>
        <scheme val="minor"/>
      </rPr>
      <t xml:space="preserve">  https://www.americanchemistry.com/2017-Elements-of-the-Business-of-Chemistry.pdf</t>
    </r>
  </si>
  <si>
    <t>Bureau of Economic Analysis
American Chemistry Council</t>
  </si>
  <si>
    <t>https://www.americanchemistry.com/Jobs/EconomicStatistics/Industry-Profile/Trade/</t>
  </si>
  <si>
    <t>https://www.ers.usda.gov/data-products/feed-grains-database/feed-grains-yearbook-tables.aspx</t>
  </si>
  <si>
    <t>NA</t>
  </si>
  <si>
    <t xml:space="preserve"> NA </t>
  </si>
  <si>
    <t>Total Volume of Corn Consumed for Feed (million metric tons)</t>
  </si>
  <si>
    <t>Total Volume of Corn consumption (million metric tons)</t>
  </si>
  <si>
    <t>Corn imports (million metric tons)</t>
  </si>
  <si>
    <t>Corn exports (million metric tons)</t>
  </si>
  <si>
    <t>Beginning stocks (million metric tons)</t>
  </si>
  <si>
    <t>Ending stocks (million metric tons)</t>
  </si>
  <si>
    <t>https://grains.org/markets-tools-data/tools/top-u-s-export-customers/</t>
  </si>
  <si>
    <t>Mexico, South Korea, Vietnam</t>
  </si>
  <si>
    <t>European Union, Turkey, Israel</t>
  </si>
  <si>
    <t>Brazil, Canada, India</t>
  </si>
  <si>
    <t xml:space="preserve">Carlson, R. (March 2016). </t>
  </si>
  <si>
    <t>Planted Acreage of Cotton Planted in the United States (million acres)</t>
  </si>
  <si>
    <t>Planted Acreage of Sunflower Planted in the United States (million acres)</t>
  </si>
  <si>
    <t>Planted Acreage of Canola Planted in the United States (million acres)</t>
  </si>
  <si>
    <t>Planted Acreage of Peanuts Planted in the United States (million acres)</t>
  </si>
  <si>
    <t>Planted Acreage of Corn in the United States (million acres)</t>
  </si>
  <si>
    <t>Planted Acreage of Barley Planted in the United States (million acres)</t>
  </si>
  <si>
    <t>Planted Acreage of Sorghum Planted in the United States (million acres)</t>
  </si>
  <si>
    <t>Planted Acreage of Wheat in the United States (million acres)</t>
  </si>
  <si>
    <t>Acreage of Agriculture in the United States (million acres)</t>
  </si>
  <si>
    <t>Soybean Imports (million metric tons)</t>
  </si>
  <si>
    <t>Soybean Exports (million metric tons)</t>
  </si>
  <si>
    <t>Average Soy Price (dollar per metric tons)</t>
  </si>
  <si>
    <t>Yield of Soy grown in the United States (metric tons per acre)</t>
  </si>
  <si>
    <t>Total volume of soy consumption (million metric tons)</t>
  </si>
  <si>
    <t>https://www.ers.usda.gov/data-products/oil-crops-yearbook/oil-crops-yearbook/</t>
  </si>
  <si>
    <t>Acreage of Soybeans planted in the United States (million acres)</t>
  </si>
  <si>
    <t>Acreage of Soybeans harvested in the United States (million acres)</t>
  </si>
  <si>
    <t>Total Volume of Soy Consumed for Seed, feed and residual (million metric tons)</t>
  </si>
  <si>
    <t>Total Volume of Soy Consumed for Crush (million metric tons)</t>
  </si>
  <si>
    <t>Total Volume of Soybean Grown in the US (million metric tons)</t>
  </si>
  <si>
    <t>Total volume of Cotton consumption (million metric tons)</t>
  </si>
  <si>
    <t>Total volume of Sunflowers consumption (million metric tons)</t>
  </si>
  <si>
    <t>Total volume of Canola consumption (million metric tons)</t>
  </si>
  <si>
    <t>Total volume of Peanuts consumption (million metric tons)</t>
  </si>
  <si>
    <t>Cotton imports (million metric tons)</t>
  </si>
  <si>
    <t>Sunflowers imports (million metric tons)</t>
  </si>
  <si>
    <t>Canola imports (million metric tons)</t>
  </si>
  <si>
    <t>Peanuts imports (million metric tons)</t>
  </si>
  <si>
    <t>Cotton exports (million metric tons)</t>
  </si>
  <si>
    <t>Sunflowers exports (million metric tons)</t>
  </si>
  <si>
    <t>Canola exports (million metric tons)</t>
  </si>
  <si>
    <t>Peanuts exports (million metric tons)</t>
  </si>
  <si>
    <t>Calculation (Oil for biodiesel/total oil)</t>
  </si>
  <si>
    <t>BTUs of Biomass Produced  in the United States  (trillions)</t>
  </si>
  <si>
    <t>Number of Ethanol Plants installed in the United States</t>
  </si>
  <si>
    <t>Number of  Ethanol Plants Operational in the United States</t>
  </si>
  <si>
    <t>Number of Existing Plants that Were Put on Standby</t>
  </si>
  <si>
    <t>Number of Existing Plants that Were Closed-Shut Down</t>
  </si>
  <si>
    <t>Number of States which have an Ethanol Production Facility </t>
  </si>
  <si>
    <t xml:space="preserve">Number of Existing Plants Under Construction </t>
  </si>
  <si>
    <t>Number Proposed Ethanol Plants in the United States-Sugar</t>
  </si>
  <si>
    <t>Number of direct jobs working with ethanol production</t>
  </si>
  <si>
    <t>Number of  indirect and induced jobs working with ethanol production</t>
  </si>
  <si>
    <t xml:space="preserve">Total corn used for Fuel ethanol use (million metric tons) </t>
  </si>
  <si>
    <t>GDP Influence from the Ethanol Industry (billion dollars)</t>
  </si>
  <si>
    <t>GDP Influence from the Biodiesel Industry (billion dollars)</t>
  </si>
  <si>
    <t>GDP Influence from the Wood Pellets Industry (billion dollars)</t>
  </si>
  <si>
    <t>GDP Influence from the Waste to Energy Industry (billion dollars)</t>
  </si>
  <si>
    <t>GDP Influence from the Biogas Industry (billion dollars)</t>
  </si>
  <si>
    <t>Production Volume of Corn Stover Plants (million metric tons)</t>
  </si>
  <si>
    <t>GDP influence (billion dollars)</t>
  </si>
  <si>
    <t>Household income from industry (billion dollars)</t>
  </si>
  <si>
    <t>Tax Revenue (billion dollars)</t>
  </si>
  <si>
    <t>Price for Ethanol Per gallon (dollar per gallon)</t>
  </si>
  <si>
    <t>Number of Biodiesel Plants in the United States</t>
  </si>
  <si>
    <t>Number of Proposed Biodiesel Plants</t>
  </si>
  <si>
    <t xml:space="preserve">Number of New Biodiesel Plants that Went on Line </t>
  </si>
  <si>
    <t xml:space="preserve">Number of Biodiesel stations </t>
  </si>
  <si>
    <t>Number of Biodiesel Plants in the United States-Soy Oil</t>
  </si>
  <si>
    <t>Number of Biodiesel Plants in the United States-Distillers Corn Oil </t>
  </si>
  <si>
    <t>Number of Biodiesel Plants in the United States- Multi-feedstock</t>
  </si>
  <si>
    <t>Number of Biodiesel Plants in the United States- Used Cooking Oil </t>
  </si>
  <si>
    <t>Number of Biodiesel Plants in the United States- Used Canola Oil </t>
  </si>
  <si>
    <t>Number of Biodiesel Plants in the United States- Used Virgin Oil </t>
  </si>
  <si>
    <t>Number of Biodiesel Plants in the United States- Used Yellow Grease</t>
  </si>
  <si>
    <t>Number of Biodiesel Plants in the United States- Waste Vegetable Oil</t>
  </si>
  <si>
    <t>Number of Biodiesel Plants in the United States- Animal Fats</t>
  </si>
  <si>
    <t>Number of States which have an WP Production Facility </t>
  </si>
  <si>
    <t>Number of WP Plants in the United States</t>
  </si>
  <si>
    <t>Number of Proposed WP Plants</t>
  </si>
  <si>
    <t>Number of New WP Plants that Went on Line </t>
  </si>
  <si>
    <t>Wood pellet production worldwide (million metric tons)</t>
  </si>
  <si>
    <t>Annual Biomass Capacity by Region: West (million metric tons)</t>
  </si>
  <si>
    <t>Annual Biomass Capacity by Region: South (million metric tons)</t>
  </si>
  <si>
    <t>Annual Biomass Capacity by Region: East (million metric tons)</t>
  </si>
  <si>
    <t>Number of WTE Plants in the United States</t>
  </si>
  <si>
    <t>Number of States which have an WTE Fuel Switching Production Facility </t>
  </si>
  <si>
    <t>Number of anaerobic digestion (AD) Plants</t>
  </si>
  <si>
    <t>Number of States which have an AD Production Facility </t>
  </si>
  <si>
    <t>Methane potential for biogas from landfills (million metric tons)</t>
  </si>
  <si>
    <t>Methane potential for biogas from wastewater (million metric tons)</t>
  </si>
  <si>
    <t>Methane potential for biogas from animal manure (million metric tons)</t>
  </si>
  <si>
    <t>Methane potential for biogas from organic waste (million metric tons)</t>
  </si>
  <si>
    <t>In theory, if  2,647 dairy operations were installed it would have a market potential of (billion dollars):</t>
  </si>
  <si>
    <t>BTUs of Biogas Produced in the United States (trillions)</t>
  </si>
  <si>
    <t>Number of Farms in the United States (million farms)</t>
  </si>
  <si>
    <t>Number of People Indirectly Employed in Agriculture in the US (million people)</t>
  </si>
  <si>
    <t>Total Volume of Forestry Material Used for Fuel (million gallons)</t>
  </si>
  <si>
    <t>Net cash income (billion dollars)</t>
  </si>
  <si>
    <t>Net farm income (billion dollars)</t>
  </si>
  <si>
    <t>Total Farm Assets (billion dollars)</t>
  </si>
  <si>
    <t>Total Farm Debt (billion dollars)</t>
  </si>
  <si>
    <t>Total Farm Equity (billion dollars)</t>
  </si>
  <si>
    <t>Retrieved April 2018
1  cubic meter = 264.172 gallons</t>
  </si>
  <si>
    <t>Value of Corn Used for Starch Ethanol (billion dollars)</t>
  </si>
  <si>
    <t>Total Volume of Cotton Grown in the US (billion dollars)</t>
  </si>
  <si>
    <t>Total Volume of Sunflowers Grown in the US (billion dollars)</t>
  </si>
  <si>
    <t>Total Volume of Canola Grown in the U.S. (billion dollars)</t>
  </si>
  <si>
    <t>Total Volume of Peanuts Grown in the U.S. (billion dollars)</t>
  </si>
  <si>
    <t>Average Price for Nitrogen Fertilizer (dollar per metric ton)</t>
  </si>
  <si>
    <t>Average Price for Phosphorous Fertilizer (dollar per metric ton)</t>
  </si>
  <si>
    <t>Average Price for Potassium Fertilizer (dollar per metric ton)</t>
  </si>
  <si>
    <t>Total Fertilizer Used in US (million metric tons)</t>
  </si>
  <si>
    <t>Nitrogen Applied to Farms (million metric tons)</t>
  </si>
  <si>
    <t>Phosphorous Applied to Farms (million metric tons)</t>
  </si>
  <si>
    <t>Potassium Applied to Farms (million metric tons)</t>
  </si>
  <si>
    <t>Number of Farms Growing Corn in the United States (thousand farms)</t>
  </si>
  <si>
    <t>Number of Farms Growing Soy in the United States</t>
  </si>
  <si>
    <t>Nitrogen (million metric tons)</t>
  </si>
  <si>
    <t>Phosphate (million metric tons)</t>
  </si>
  <si>
    <t>Potash (million metric tons)</t>
  </si>
  <si>
    <t>Direct Value of All Corn Grown in the United States (billion dollars)</t>
  </si>
  <si>
    <t>U.S. Textile Mills and Textile Product Mills Value Added (billion dollars)</t>
  </si>
  <si>
    <t>Gross Output of US Textile Mills and Textile Product Mills (billion dollars)</t>
  </si>
  <si>
    <t>Compensation of Employees, Value Added of Textile Mills &amp; Textile Product Mills (billion dollars)</t>
  </si>
  <si>
    <t>Gross Operating Surplus of Textile Mills &amp; Textile Product Mills Products (billion dollars)</t>
  </si>
  <si>
    <t>Taxes of Production and Imports, Less Subsides of US Textile Mills &amp; Textile Product Mills (billion dollars)</t>
  </si>
  <si>
    <t>Apparel and Leather and Allied Products Value Added (billion dollars)</t>
  </si>
  <si>
    <t>Gross Output of US Apparel and Leather and Allied Products  (billion dollars)</t>
  </si>
  <si>
    <t>Compensation of Employees, Value Added of Apparel and Leather and Allied Products (billion dollars)</t>
  </si>
  <si>
    <t>Taxes of Production and Imports, Less Subsides of US Apparel and Leather and Allied Products (billion dollars)</t>
  </si>
  <si>
    <t>Gross Operating Surplus of Apparel and Leather and Allied Products Products (billion dollars)</t>
  </si>
  <si>
    <t>U.S. Wood Products Value Added (billion dollars)</t>
  </si>
  <si>
    <t>Gross Output of US Wood Products (billion dollars)</t>
  </si>
  <si>
    <t>Compensation of Employees, Value Added of Wood Products (billion dollars)</t>
  </si>
  <si>
    <t>Taxes of Production and Imports, Less Subsides of US Wood Products (billion dollars)</t>
  </si>
  <si>
    <t>Gross Operating Surplus of Wood Products (billion dollars)</t>
  </si>
  <si>
    <t>U.S. Paper Products Value Added (billion dollars)</t>
  </si>
  <si>
    <t>Compensation of Employees, Value Added of Paper Products (billion dollars)</t>
  </si>
  <si>
    <t>Taxes of Production and Imports, Less Subsides of US Paper Products (billion dollars)</t>
  </si>
  <si>
    <t>Gross Operating Surplus of Paper Products (billion dollars)</t>
  </si>
  <si>
    <t>Global Industrial Enzyme Market (billion dollars)
By market:</t>
  </si>
  <si>
    <t>* Food (billion dollars)</t>
  </si>
  <si>
    <t>* Feed (billion dollars)</t>
  </si>
  <si>
    <t>* Technical (billion dollars)</t>
  </si>
  <si>
    <t>* Detergent (billion dollars)</t>
  </si>
  <si>
    <t>Value Added of U.S. Chemical Products (billion dollars)</t>
  </si>
  <si>
    <t>Gross Output of US Chemical Products (billion dollars)</t>
  </si>
  <si>
    <t>Compensation of Employees, Value Added of Chemical Products (billion dollars)</t>
  </si>
  <si>
    <t>Taxes of Production and Imports, Less Subsides of US Chemical Products (billion dollars)</t>
  </si>
  <si>
    <t>Gross Operating Surplus of Chemical Products (billion dollars)</t>
  </si>
  <si>
    <t>Revenue of US Chemical Industry (billion dollars)</t>
  </si>
  <si>
    <t>Value of Chemical Shipments (billion dollars)</t>
  </si>
  <si>
    <t>Value of Chemical Imports into the US (billion dollars)</t>
  </si>
  <si>
    <t>Value of Chemical Exports from the US (billion dollars)</t>
  </si>
  <si>
    <t>Biochemical Revenues in the US (billion dollars)</t>
  </si>
  <si>
    <t>Global Cellulose Fibers (million metric tons)</t>
  </si>
  <si>
    <t>Global Sythetic Fibers (million metric tons)</t>
  </si>
  <si>
    <t>U.S. Plastic and Rubber Products Value Added (billion dollars)</t>
  </si>
  <si>
    <t>https://www.bea.gov/iTable/iTable.cfm?ReqID=51&amp;step=1#reqid=51&amp;step=51&amp;isuri=1&amp;5114=a&amp;5102=1</t>
  </si>
  <si>
    <t>https://www.bea.gov/iTable/iTable.cfm?ReqID=51&amp;step=1#reqid=51&amp;step=51&amp;isuri=1&amp;5114=a&amp;5102=5</t>
  </si>
  <si>
    <t>Gross Output of US Plastic and Rubber Products (billion dollars)</t>
  </si>
  <si>
    <t>Compensation of Employees, Value Added of Plastics and Rubber Products (billion dollars)</t>
  </si>
  <si>
    <t>Taxes of Production and Imports, Less Subsides of US Plastics and Rubber Products (billion dollars)</t>
  </si>
  <si>
    <t>Gross Operating Surplus of Plastics and Rubber Product Products (billion dollars)</t>
  </si>
  <si>
    <t>Plastics Europe</t>
  </si>
  <si>
    <t>https://www.plasticseurope.org/en/resources/market-data</t>
  </si>
  <si>
    <t>Global Plastic Production (million metric tons)</t>
  </si>
  <si>
    <t>Global production capacity of biodegradable bioplastics (million metric tons)</t>
  </si>
  <si>
    <t>Global production capacity of non-biodegradable bioplastics (million metric tons)</t>
  </si>
  <si>
    <t>Global production capacities of  biodegradable and non-biodegradable bioplastics (million metric tons)</t>
  </si>
  <si>
    <r>
      <rPr>
        <sz val="11"/>
        <rFont val="Calibri"/>
        <family val="2"/>
        <scheme val="minor"/>
      </rPr>
      <t>[2008-2009]</t>
    </r>
    <r>
      <rPr>
        <sz val="11"/>
        <color theme="10"/>
        <rFont val="Calibri"/>
        <family val="2"/>
        <scheme val="minor"/>
      </rPr>
      <t xml:space="preserve"> </t>
    </r>
    <r>
      <rPr>
        <u/>
        <sz val="11"/>
        <color theme="10"/>
        <rFont val="Calibri"/>
        <family val="2"/>
        <scheme val="minor"/>
      </rPr>
      <t xml:space="preserve">http://www.sustainableplant.com/2011/05/bioplastic-production-to-exceed-one-million-tonnes-in-2011/
</t>
    </r>
    <r>
      <rPr>
        <sz val="11"/>
        <rFont val="Calibri"/>
        <family val="2"/>
        <scheme val="minor"/>
      </rPr>
      <t>[2010-2011]</t>
    </r>
    <r>
      <rPr>
        <u/>
        <sz val="11"/>
        <color theme="10"/>
        <rFont val="Calibri"/>
        <family val="2"/>
        <scheme val="minor"/>
      </rPr>
      <t xml:space="preserve"> http://biomassmagazine.com/articles/9845/bioplastic-market-expected-to-increase-significantly-through-2017
</t>
    </r>
    <r>
      <rPr>
        <sz val="11"/>
        <rFont val="Calibri"/>
        <family val="2"/>
        <scheme val="minor"/>
      </rPr>
      <t>[2012-2017]</t>
    </r>
    <r>
      <rPr>
        <u/>
        <sz val="11"/>
        <color theme="10"/>
        <rFont val="Calibri"/>
        <family val="2"/>
        <scheme val="minor"/>
      </rPr>
      <t xml:space="preserve"> http://www.bio-based.eu/market_study/media/files/15-05-13_Bio-based_Polymers_and_Building_Blocks_in_the_World-nova_Booklet.pdf</t>
    </r>
  </si>
  <si>
    <r>
      <rPr>
        <sz val="11"/>
        <rFont val="Calibri"/>
        <family val="2"/>
        <scheme val="minor"/>
      </rPr>
      <t>[2013]</t>
    </r>
    <r>
      <rPr>
        <u/>
        <sz val="11"/>
        <color theme="10"/>
        <rFont val="Calibri"/>
        <family val="2"/>
        <scheme val="minor"/>
      </rPr>
      <t xml:space="preserve"> http://www.bio-based.eu/market_study/media/files/15-05-13_Bio-based_Polymers_and_Building_Blocks_in_the_World-nova_Booklet.pdf
</t>
    </r>
    <r>
      <rPr>
        <sz val="11"/>
        <rFont val="Calibri"/>
        <family val="2"/>
        <scheme val="minor"/>
      </rPr>
      <t>[2014]</t>
    </r>
    <r>
      <rPr>
        <u/>
        <sz val="11"/>
        <color theme="10"/>
        <rFont val="Calibri"/>
        <family val="2"/>
        <scheme val="minor"/>
      </rPr>
      <t xml:space="preserve"> https://www.kunststoffe.de/en/news/overview/artikel/global-bioplastics-production-capacities-continue-to-grow-1253170.html
</t>
    </r>
    <r>
      <rPr>
        <sz val="11"/>
        <rFont val="Calibri"/>
        <family val="2"/>
        <scheme val="minor"/>
      </rPr>
      <t>[2016]</t>
    </r>
    <r>
      <rPr>
        <u/>
        <sz val="11"/>
        <color theme="10"/>
        <rFont val="Calibri"/>
        <family val="2"/>
        <scheme val="minor"/>
      </rPr>
      <t xml:space="preserve"> https://www.ifbb-hannover.de/de/facts-and-statistics.html
</t>
    </r>
    <r>
      <rPr>
        <sz val="11"/>
        <rFont val="Calibri"/>
        <family val="2"/>
        <scheme val="minor"/>
      </rPr>
      <t>[2017]</t>
    </r>
    <r>
      <rPr>
        <u/>
        <sz val="11"/>
        <color theme="10"/>
        <rFont val="Calibri"/>
        <family val="2"/>
        <scheme val="minor"/>
      </rPr>
      <t xml:space="preserve"> http://docs.european-bioplastics.org/publications/EUBP_Facts_and_figures.pdf</t>
    </r>
  </si>
  <si>
    <t>Percentage of Bioplastic in Total Global Plastic Consumption</t>
  </si>
  <si>
    <t>https://www.ifbb.wp.hs-hannover.de/downloads/index.php?site=Statistics&amp;nav=5-3-0-0-0</t>
  </si>
  <si>
    <t>Institute for bioplastics and biocomposites</t>
  </si>
  <si>
    <r>
      <rPr>
        <sz val="11"/>
        <rFont val="Calibri"/>
        <family val="2"/>
        <scheme val="minor"/>
      </rPr>
      <t xml:space="preserve">[2012-2014] </t>
    </r>
    <r>
      <rPr>
        <u/>
        <sz val="11"/>
        <color theme="10"/>
        <rFont val="Calibri"/>
        <family val="2"/>
        <scheme val="minor"/>
      </rPr>
      <t xml:space="preserve">http://www.bio-based.eu/market_study/media/16-12-16-Bio-based-Building-Blocks-and-Polymers-short-version.pdf
</t>
    </r>
    <r>
      <rPr>
        <sz val="11"/>
        <rFont val="Calibri"/>
        <family val="2"/>
        <scheme val="minor"/>
      </rPr>
      <t xml:space="preserve">[2013] </t>
    </r>
    <r>
      <rPr>
        <u/>
        <sz val="11"/>
        <color theme="10"/>
        <rFont val="Calibri"/>
        <family val="2"/>
        <scheme val="minor"/>
      </rPr>
      <t>http://www.bio-based.eu/market_study/media/files/15-05-13_Bio-based_Polymers_and_Building_Blocks_in_the_World-nova_Booklet.pdf</t>
    </r>
  </si>
  <si>
    <t>BBC Research</t>
  </si>
  <si>
    <t>Statistica</t>
  </si>
  <si>
    <t>https://www.statista.com/statistics/271651/global-production-of-the-chemical-fiber-industry/</t>
  </si>
  <si>
    <t>Biotechnology Industry Organization</t>
  </si>
  <si>
    <r>
      <rPr>
        <sz val="11"/>
        <rFont val="Calibri"/>
        <family val="2"/>
        <scheme val="minor"/>
      </rPr>
      <t xml:space="preserve">[2009-2011] </t>
    </r>
    <r>
      <rPr>
        <u/>
        <sz val="11"/>
        <color theme="10"/>
        <rFont val="Calibri"/>
        <family val="2"/>
        <scheme val="minor"/>
      </rPr>
      <t xml:space="preserve">https://www.bio.org/sites/default/files/files/Battelle-BIO-2014-Industry.pdf
</t>
    </r>
    <r>
      <rPr>
        <sz val="11"/>
        <rFont val="Calibri"/>
        <family val="2"/>
        <scheme val="minor"/>
      </rPr>
      <t xml:space="preserve">[2012-2015] </t>
    </r>
    <r>
      <rPr>
        <u/>
        <sz val="11"/>
        <color theme="10"/>
        <rFont val="Calibri"/>
        <family val="2"/>
        <scheme val="minor"/>
      </rPr>
      <t>https://www.bio.org/sites/default/files/BIO%202016_Report_FINAL_DIGITAL.pdf</t>
    </r>
  </si>
  <si>
    <t>U.S. Academic Bioscience R&amp;D Expenditures (billion dollars)</t>
  </si>
  <si>
    <t>U.S. Bioscience Venture Capital Investments (billion dollars)</t>
  </si>
  <si>
    <t>Golden et al.</t>
  </si>
  <si>
    <r>
      <rPr>
        <sz val="11"/>
        <rFont val="Calibri"/>
        <family val="2"/>
        <scheme val="minor"/>
      </rPr>
      <t xml:space="preserve">[2013]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https://www.biopreferred.gov/BPResources/files/BiobasedProductsEconomicAnalysis2016.pdf</t>
    </r>
  </si>
  <si>
    <r>
      <rPr>
        <sz val="11"/>
        <rFont val="Calibri"/>
        <family val="2"/>
        <scheme val="minor"/>
      </rPr>
      <t xml:space="preserve">[2012-2013]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https://www.biopreferred.gov/BPResources/files/BiobasedProductsEconomicAnalysis2016.pdf</t>
    </r>
  </si>
  <si>
    <t>USDA Golden et al.</t>
  </si>
  <si>
    <t>Direct Value Added to the U.S. Economy from Sales from the U.S. Bioproducts Industry (billion dollars)</t>
  </si>
  <si>
    <t>Indirect/Induced Value Added to the U.S. Economy from Sales from the U.S. Bioproducts Industry (billion dollars)</t>
  </si>
  <si>
    <t>Total Value Added to the U.S. Economy from Sales from the U.S. Bioproducts Industry (billion dollars)</t>
  </si>
  <si>
    <t>Number of Direct Jobs Contributed to the U.S. Economy by the U.S. Bioproducts Industry (millions)</t>
  </si>
  <si>
    <t>Number of Indirect or Induced Jobs Contributed to the U.S. Economy by the U.S. Bioproducts Industry (millions)</t>
  </si>
  <si>
    <t>Total Number of Jobs Contributed to the U.S. Economy by the U.S. Bioproducts Industry (millions)</t>
  </si>
  <si>
    <t>Amec Foster Wheeler</t>
  </si>
  <si>
    <t>Annual Budget of the Program (million dollars)</t>
  </si>
  <si>
    <t>Approximate Number of Certified Products each year (add footnote on bias of numbers)</t>
  </si>
  <si>
    <t>Number of Barrels of Petroleum Displacement due to Biochemical Feedstocks &amp; Biobased Product Alternatives </t>
  </si>
  <si>
    <t>GHG Emission Reductions from Biobased Products Industry (million metric tons of CO2 equivalent)</t>
  </si>
  <si>
    <t>https://www.statista.com/statistics/197930/number-of-united-states-biotech-companies-by-type/</t>
  </si>
  <si>
    <t>Carlson, R.</t>
  </si>
  <si>
    <t>https://www.nature.com/articles/nbt.3491.pdf</t>
  </si>
  <si>
    <t>Biotech Revenues in the US (billion dollars)</t>
  </si>
  <si>
    <t>Biotech Revenue Growth (billion dollars)</t>
  </si>
  <si>
    <t>Retrieved February 2017</t>
  </si>
  <si>
    <r>
      <t xml:space="preserve">Retrieved February 2017
</t>
    </r>
    <r>
      <rPr>
        <b/>
        <sz val="11"/>
        <rFont val="Calibri"/>
        <family val="2"/>
        <scheme val="minor"/>
      </rPr>
      <t>Footnote</t>
    </r>
    <r>
      <rPr>
        <sz val="11"/>
        <color theme="1"/>
        <rFont val="Calibri"/>
        <family val="2"/>
        <scheme val="minor"/>
      </rPr>
      <t>: And because many biobased products are distributed in multiple counties, it could be considered a rough estimate of a world-wide number</t>
    </r>
  </si>
  <si>
    <t>Retrieved April 2018 
Retrieved February 2017</t>
  </si>
  <si>
    <t>Retrieved March 2017</t>
  </si>
  <si>
    <t>https://data.worldbank.org/indicator/SL.AGR.EMPL.ZS?locations=US&amp;name_desc=true</t>
  </si>
  <si>
    <t>Total Volume of Ethanol Consumed (billion gallons)</t>
  </si>
  <si>
    <t>Total Volume of Ethanol Imported into the US (billion gallons)</t>
  </si>
  <si>
    <t>Total Volume of Ethanol Exported From the US (billion gallons)</t>
  </si>
  <si>
    <t>Total Production of Biodiesel in US (billion gallons)</t>
  </si>
  <si>
    <t>Total Volume of Biodiesel Consumed for Transportation (billion gallons)</t>
  </si>
  <si>
    <t>Total Volume of Ethanol  Produced in US (billion gallons)</t>
  </si>
  <si>
    <t>Production Volume of Cellulosic Feedstock Ethanol (million metric tons)</t>
  </si>
  <si>
    <t>Retrieved April 2018
I gallon of cellulose=0.0057 metri tons</t>
  </si>
  <si>
    <t>Revenue from waste electricity generation in the U.S. (billion dollars)</t>
  </si>
  <si>
    <t>https://info.aee.net/aen-2017-market-report#download</t>
  </si>
  <si>
    <t>AEE</t>
  </si>
  <si>
    <r>
      <rPr>
        <sz val="11"/>
        <rFont val="Calibri"/>
        <family val="2"/>
        <scheme val="minor"/>
      </rPr>
      <t xml:space="preserve">[2012] </t>
    </r>
    <r>
      <rPr>
        <u/>
        <sz val="11"/>
        <color theme="10"/>
        <rFont val="Calibri"/>
        <family val="2"/>
        <scheme val="minor"/>
      </rPr>
      <t xml:space="preserve">http://www.esf.edu/fnrm/sem/2013.06.factsheet.pdf
</t>
    </r>
    <r>
      <rPr>
        <sz val="11"/>
        <rFont val="Calibri"/>
        <family val="2"/>
        <scheme val="minor"/>
      </rPr>
      <t xml:space="preserve">[2013] </t>
    </r>
    <r>
      <rPr>
        <u/>
        <sz val="11"/>
        <color theme="10"/>
        <rFont val="Calibri"/>
        <family val="2"/>
        <scheme val="minor"/>
      </rPr>
      <t xml:space="preserve">http://energyrecoverycouncil.org/wp-content/uploads/2016/01/ERC_2014_Directory.pdf
</t>
    </r>
    <r>
      <rPr>
        <sz val="11"/>
        <rFont val="Calibri"/>
        <family val="2"/>
        <scheme val="minor"/>
      </rPr>
      <t>[2014]</t>
    </r>
    <r>
      <rPr>
        <u/>
        <sz val="11"/>
        <color theme="10"/>
        <rFont val="Calibri"/>
        <family val="2"/>
        <scheme val="minor"/>
      </rPr>
      <t xml:space="preserve"> https://www.worldenergy.org/wp-content/uploads/2017/03/WEResources_Waste_to_Energy_2016.pdf</t>
    </r>
  </si>
  <si>
    <t>Permanent pasture</t>
  </si>
  <si>
    <t>Cropland</t>
  </si>
  <si>
    <t>Woodland</t>
  </si>
  <si>
    <t>Other purposes</t>
  </si>
  <si>
    <r>
      <rPr>
        <sz val="11"/>
        <rFont val="Calibri"/>
        <family val="2"/>
        <scheme val="minor"/>
      </rPr>
      <t>[2011]</t>
    </r>
    <r>
      <rPr>
        <u/>
        <sz val="11"/>
        <color theme="10"/>
        <rFont val="Calibri"/>
        <family val="2"/>
        <scheme val="minor"/>
      </rPr>
      <t xml:space="preserve"> https://www.wasteinfo.com/overview.htm
</t>
    </r>
    <r>
      <rPr>
        <sz val="11"/>
        <rFont val="Calibri"/>
        <family val="2"/>
        <scheme val="minor"/>
      </rPr>
      <t xml:space="preserve">[2013] </t>
    </r>
    <r>
      <rPr>
        <u/>
        <sz val="11"/>
        <color theme="10"/>
        <rFont val="Calibri"/>
        <family val="2"/>
        <scheme val="minor"/>
      </rPr>
      <t>http://energyrecoverycouncil.org/wp-content/uploads/2016/01/ERC_2014_Directory.pdf</t>
    </r>
  </si>
  <si>
    <t>Waste info
ERC</t>
  </si>
  <si>
    <r>
      <rPr>
        <sz val="11"/>
        <rFont val="Calibri"/>
        <family val="2"/>
        <scheme val="minor"/>
      </rPr>
      <t>[2012]</t>
    </r>
    <r>
      <rPr>
        <u/>
        <sz val="11"/>
        <color theme="10"/>
        <rFont val="Calibri"/>
        <family val="2"/>
        <scheme val="minor"/>
      </rPr>
      <t xml:space="preserve"> http://biodiesel.org/reports/20121127_gen-429.pdf
</t>
    </r>
    <r>
      <rPr>
        <sz val="11"/>
        <rFont val="Calibri"/>
        <family val="2"/>
        <scheme val="minor"/>
      </rPr>
      <t xml:space="preserve">[2013-2014] </t>
    </r>
    <r>
      <rPr>
        <u/>
        <sz val="11"/>
        <color theme="10"/>
        <rFont val="Calibri"/>
        <family val="2"/>
        <scheme val="minor"/>
      </rPr>
      <t xml:space="preserve">http://biodiesel.org/reports/20131113_GEN-431.pdf
</t>
    </r>
    <r>
      <rPr>
        <sz val="11"/>
        <rFont val="Calibri"/>
        <family val="2"/>
        <scheme val="minor"/>
      </rPr>
      <t>[2015]</t>
    </r>
    <r>
      <rPr>
        <u/>
        <sz val="11"/>
        <color theme="10"/>
        <rFont val="Calibri"/>
        <family val="2"/>
        <scheme val="minor"/>
      </rPr>
      <t xml:space="preserve"> http://biodiesel.org/docs/default-source/policy--federal/lmc-study-for-nbb_economic-impact-of-biodiesel_june-2016-final.pdf?sfvrsn=4
</t>
    </r>
    <r>
      <rPr>
        <sz val="11"/>
        <rFont val="Calibri"/>
        <family val="2"/>
        <scheme val="minor"/>
      </rPr>
      <t>[2016]</t>
    </r>
    <r>
      <rPr>
        <u/>
        <sz val="11"/>
        <color theme="10"/>
        <rFont val="Calibri"/>
        <family val="2"/>
        <scheme val="minor"/>
      </rPr>
      <t xml:space="preserve"> http://biodiesel.org/news/news-display/2017/06/29/made-in-the-usa-biodiesel-supports-jobs-fourth-of-july-values</t>
    </r>
  </si>
  <si>
    <t>NAICS</t>
  </si>
  <si>
    <t>https://www.naics.com/naics-code-description/?code=321999</t>
  </si>
  <si>
    <t>Retrieved May 2018</t>
  </si>
  <si>
    <t>Biomass Industry Directory</t>
  </si>
  <si>
    <t>UN Comtrade Database</t>
  </si>
  <si>
    <t>https://comtrade.un.org/data/</t>
  </si>
  <si>
    <t>Methane potential for biogas from landfills</t>
  </si>
  <si>
    <t>Methane potential for biogas from wastewater</t>
  </si>
  <si>
    <t xml:space="preserve">Methane potential for biogas from manure </t>
  </si>
  <si>
    <t xml:space="preserve">Methane potential for biogas from organic waste </t>
  </si>
  <si>
    <t xml:space="preserve">     Corn Processed into High Fructose Corn Syrup (million metric tons)</t>
  </si>
  <si>
    <t xml:space="preserve">     Corn Processed into Glucose and Dextrose (million metric tons)</t>
  </si>
  <si>
    <t xml:space="preserve">     Corn Processed into Starch (million metric tons)</t>
  </si>
  <si>
    <t xml:space="preserve">     Corn Used as Cereal (million metric tons)</t>
  </si>
  <si>
    <t xml:space="preserve">     Corn Processed into Alcoholic Beverages (million metric tons)</t>
  </si>
  <si>
    <t xml:space="preserve">     Corn Saved for Seed (million metric tons)</t>
  </si>
  <si>
    <t>Total Volume of Corn Consumed for Food, alcohol and industrial use (million metric tons):</t>
  </si>
  <si>
    <t>Feed</t>
  </si>
  <si>
    <t>High Fructose Corn Syrup</t>
  </si>
  <si>
    <t>Glucose and Dextrose</t>
  </si>
  <si>
    <t>Cereal</t>
  </si>
  <si>
    <t>Alcoholic Beverages</t>
  </si>
  <si>
    <t>Seed</t>
  </si>
  <si>
    <t>Fuel Alcohol</t>
  </si>
  <si>
    <t>Number of direct jobs working with biodiesel production</t>
  </si>
  <si>
    <t>Biomass Industry Directory, published by BBI International</t>
  </si>
  <si>
    <t>Indirect Value of Agriculture Grown (machinery, fertilizers etc.)</t>
  </si>
  <si>
    <t>Employment in agriculture in the US (Percentage of total employment)</t>
  </si>
  <si>
    <t>Value of Soybeans Used for Biodiesel (billion dollars)</t>
  </si>
  <si>
    <t>Value of Canola Used for Biodiesel (billion dollars)</t>
  </si>
  <si>
    <t>Value of Corn Used for Biodiesel (billion dollars)</t>
  </si>
  <si>
    <t>Volume of Cottonseed Crushed  (million metric tons)</t>
  </si>
  <si>
    <t>Volume of Sunflowers Crushed (million metric tons)</t>
  </si>
  <si>
    <t>Volume of Canola Crushed (million metric tons)</t>
  </si>
  <si>
    <t>Canola Oil Going to Biodiesel (million metric tons)</t>
  </si>
  <si>
    <t>Volume of Peanuts Crushed (million metric tons)</t>
  </si>
  <si>
    <t>Corn Oil Going to Biodiesel (million metric tons)</t>
  </si>
  <si>
    <t>Planted acreage of corn for ethanol production in the United States (million acres)</t>
  </si>
  <si>
    <t xml:space="preserve">     Corn Processed into Fuel Alcohol (million metric tons)</t>
  </si>
  <si>
    <t>Ireland, Israel, etc.</t>
  </si>
  <si>
    <t>Statista</t>
  </si>
  <si>
    <t>Jobs Multiplier (for every 1,000 jobs, x more job are supported in the U.S.</t>
  </si>
  <si>
    <t>* Bioplastics</t>
  </si>
  <si>
    <t xml:space="preserve">European Plastics
Institute for bioplastics and biocomposites
Nova Institute for Ecology and Innovation </t>
  </si>
  <si>
    <t xml:space="preserve">Nova Institute for Ecology and Innovation </t>
  </si>
  <si>
    <t>Cellulose Acetate (CA) Production Capacities (tones)</t>
  </si>
  <si>
    <t>Epoxies Production Capacities (tones)</t>
  </si>
  <si>
    <t> Ethylene Propylene Diene Monomer Rubber (EPDM) Production Capacities (tones)</t>
  </si>
  <si>
    <t>Polyamides (PA) Production Capacities (tones)</t>
  </si>
  <si>
    <t>Poly (butylene adipate-co-terephthalate) (PBAT) Production Capacities (tones)</t>
  </si>
  <si>
    <t>Polybutylene Succinate (PBS) Production Capacities (tones)</t>
  </si>
  <si>
    <t>Polyethylene (PE) Production Capacities (tones)</t>
  </si>
  <si>
    <t>Polyethylene Terephthalate (PET) Production Capacities (tones)</t>
  </si>
  <si>
    <t>Polyhydroxyalkanoates (PHA) Production Capacities (tones)</t>
  </si>
  <si>
    <t>Polylactic Acid (PLA) Production Capacities (tones)</t>
  </si>
  <si>
    <t>Polytrimethylene Terephthalate (PTT) Production Capacities (tones)</t>
  </si>
  <si>
    <t>Polyurethanes (PUR) Production Capacities (tones)</t>
  </si>
  <si>
    <t>Starch Blends Production Capacities (tones)</t>
  </si>
  <si>
    <t>Gross Output of US Paper Products (billion dollars)</t>
  </si>
  <si>
    <t xml:space="preserve">Biofuel Policies (data from The Biofuel Atlas from NREL) </t>
  </si>
  <si>
    <t>Alternative Fuel Infrastructure Tax Credit</t>
  </si>
  <si>
    <t>Vehicle Acquisition and Fuel Use Requirements for State and Alternative Fuel Provider Fleets</t>
  </si>
  <si>
    <t xml:space="preserve">Biofuels </t>
  </si>
  <si>
    <t>The Bank of North Dakota offers loan guarantees for eligible entities constructing facilities using biomass for agriculturally-derived fuel production. The total value of loan guarantees under this program may not exceed $25 million at any one time.</t>
  </si>
  <si>
    <t>Cotonou Agreement</t>
  </si>
  <si>
    <t xml:space="preserve">Production (billion dollars) </t>
  </si>
  <si>
    <t>https://quickstats.nass.usda.gov/results/FE8787AE-F141-38C3-A8D7-17EC943640FB</t>
  </si>
  <si>
    <t xml:space="preserve">Retrieved May 2018 </t>
  </si>
  <si>
    <t>Imports (billion dollars)</t>
  </si>
  <si>
    <t>Exports (billion dollars)</t>
  </si>
  <si>
    <t>https://www.ers.usda.gov/data-products/foreign-agricultural-trade-of-the-united-states-fatus/us-agricultural-trade-data-update/</t>
  </si>
  <si>
    <t>USGS</t>
  </si>
  <si>
    <t>Retrieved June 2018</t>
  </si>
  <si>
    <t>Total Volume of Barley consumed in the US (million metric tons)</t>
  </si>
  <si>
    <t>Total Volume of Sorghum consumed in the US (million metric tons)</t>
  </si>
  <si>
    <t>Total Volume of Wheat consumed in the US (million metric tons)</t>
  </si>
  <si>
    <t>Barley Imports (million metric tons)</t>
  </si>
  <si>
    <t>Sorghum Imports (million metric tons)</t>
  </si>
  <si>
    <t>Wheat Imports (million metric tons)</t>
  </si>
  <si>
    <t>Barley Exports (million metric tons)</t>
  </si>
  <si>
    <t>Sorghum Exports (million metric tons)</t>
  </si>
  <si>
    <t>Wheat Exports (million metric tons)</t>
  </si>
  <si>
    <t xml:space="preserve">     Groundwater withdrawals (million acre-feet year)</t>
  </si>
  <si>
    <t xml:space="preserve">     Surface water withdrawals (million acre-feet year)</t>
  </si>
  <si>
    <t>Withdrawals (million acre-feet year)</t>
  </si>
  <si>
    <t>Irrigated Land in the U.S. (million acres)</t>
  </si>
  <si>
    <t xml:space="preserve">     Irrigated by sprinkler (millionacres)</t>
  </si>
  <si>
    <t xml:space="preserve">     Irrigated by microirrigation (million acres)</t>
  </si>
  <si>
    <t xml:space="preserve">     Irrigated by surface water (million acres)</t>
  </si>
  <si>
    <t xml:space="preserve">     Number Ethanol Plants in the United States-Sugar</t>
  </si>
  <si>
    <t xml:space="preserve">     Number Ethanol Plants in the United States-Cellulosic</t>
  </si>
  <si>
    <t xml:space="preserve">     Number of Ethanol Plants in the United States-Corn Stover</t>
  </si>
  <si>
    <t xml:space="preserve">CORN FOR ETHANOL </t>
  </si>
  <si>
    <t>Total Volume of Ethanol Consumed: Transportation  (billion gallons)</t>
  </si>
  <si>
    <t>Total Volume of Ethanol Consumed: Industrial sector  (billion gallons)</t>
  </si>
  <si>
    <t>Retrieved April 2018
1 gallon of ethanol = 77566 BTUs</t>
  </si>
  <si>
    <t xml:space="preserve">Number of States which have a Biodiesel Production Facility </t>
  </si>
  <si>
    <t>https://www.afdc.energy.gov/fuels/prices.html</t>
  </si>
  <si>
    <t>Price for Ethanol Per gallon (dollar per gge)</t>
  </si>
  <si>
    <t>Price for E85 Per gallon (dollar per gge)</t>
  </si>
  <si>
    <t>Price for gasoline Per gallon (dollar per gge)</t>
  </si>
  <si>
    <t>Retrieved April 2018
1.5 gallons ethanol =  1 gallon gasoline</t>
  </si>
  <si>
    <t>Retrieved July 2018</t>
  </si>
  <si>
    <t>AFD</t>
  </si>
  <si>
    <t xml:space="preserve">Price Per Gallon of Diesel (dollar per gge) </t>
  </si>
  <si>
    <t xml:space="preserve">Price Per Gallon of Biodiesel (dollar per gallon) </t>
  </si>
  <si>
    <t>Price Per Gallon of B20 (dollar per gge)</t>
  </si>
  <si>
    <t>Price Per Gallon of B99/100 (dollar per gge)</t>
  </si>
  <si>
    <t>Energy Consumption from Wood in US (trillion BTUs)</t>
  </si>
  <si>
    <t xml:space="preserve">     Residential Sector</t>
  </si>
  <si>
    <t xml:space="preserve">     Commercial Sector</t>
  </si>
  <si>
    <t xml:space="preserve">     Industrial Sector</t>
  </si>
  <si>
    <t xml:space="preserve">     Electric Power Sector</t>
  </si>
  <si>
    <t>Electricity Net Generation from Wood (trillion BTUs)</t>
  </si>
  <si>
    <t>Wood pellets Production (million metric tons)</t>
  </si>
  <si>
    <t>Wood pellets Imports (million metric tons)</t>
  </si>
  <si>
    <t>Wood pellets Exports (million metric tons)</t>
  </si>
  <si>
    <t>Wood Pellets Imported From US (in billion $)</t>
  </si>
  <si>
    <t>Retrieved May 2019</t>
  </si>
  <si>
    <t>FAOSTAT</t>
  </si>
  <si>
    <t>http://www.fao.org/faostat/en/#data/FO</t>
  </si>
  <si>
    <t>Wood pellets Consumption (million metric tons)</t>
  </si>
  <si>
    <t>Estimation</t>
  </si>
  <si>
    <t xml:space="preserve">     Recycled and composted</t>
  </si>
  <si>
    <t xml:space="preserve">     Combusted with Energy recovery</t>
  </si>
  <si>
    <t>https://www.epa.gov/sites/production/files/2016-11/documents/2014_smm_tablesfigures_508.pdf</t>
  </si>
  <si>
    <t>Municipal solid waste generation in the United States (million  metric tons)</t>
  </si>
  <si>
    <t xml:space="preserve">     Landfilled</t>
  </si>
  <si>
    <t>Biogenic Municipal Solid Waste: Consumption for Electricity Generation (million metric tons)</t>
  </si>
  <si>
    <t xml:space="preserve">     Independent power producers</t>
  </si>
  <si>
    <t xml:space="preserve">     Commercial sector</t>
  </si>
  <si>
    <t xml:space="preserve">     Electric utilities</t>
  </si>
  <si>
    <t>Retrieved July 2018
1  ton = 0.9072 metric tons</t>
  </si>
  <si>
    <t>Landfill gas: energy consumption (million cubic feet)</t>
  </si>
  <si>
    <t>Anaerobic digestion: Biogas generated (million cubic feet)</t>
  </si>
  <si>
    <t>Anaerobic digestion: Biogas generated (trillion BTU)</t>
  </si>
  <si>
    <t>https://www.eia.gov/electricity/annual/html/epa_05_06_c.html</t>
  </si>
  <si>
    <t>Anaerobic digestion: Total Methane Emission Reductions (million metric tons of CO2)</t>
  </si>
  <si>
    <t>Landfill gas: energy consumption (trillion BTU)</t>
  </si>
  <si>
    <t xml:space="preserve">     Used for Electricity</t>
  </si>
  <si>
    <t xml:space="preserve">     Used for Boiler/Furnace</t>
  </si>
  <si>
    <t xml:space="preserve">     Used for "Flare Full Time"</t>
  </si>
  <si>
    <t xml:space="preserve">     Used for Cogeneration</t>
  </si>
  <si>
    <t xml:space="preserve">Number of Existing AD Plants Under Construction </t>
  </si>
  <si>
    <t>Number of New AD Plants that Went on Line from livestock</t>
  </si>
  <si>
    <t>Number Of AD Plants that Shut Down</t>
  </si>
  <si>
    <t>Number of landfill Plants</t>
  </si>
  <si>
    <t>Number of States which have a landfill  Facility </t>
  </si>
  <si>
    <t>Landfill gas: Total Methane Emission Reductions (million metric tons of CO2)</t>
  </si>
  <si>
    <t>https://www.epa.gov/lmop/landfill-technical-data</t>
  </si>
  <si>
    <t>Total Volume of Biodiesel Imported into the US ( billion gallons)</t>
  </si>
  <si>
    <t>Total Volume of Biodiesel Exported From the US (billion gallons)</t>
  </si>
  <si>
    <t>Heating from Wood in the US (trillion BTUs)</t>
  </si>
  <si>
    <r>
      <rPr>
        <sz val="11"/>
        <rFont val="Calibri"/>
        <family val="2"/>
        <scheme val="minor"/>
      </rPr>
      <t>[2010-2016]</t>
    </r>
    <r>
      <rPr>
        <u/>
        <sz val="11"/>
        <color theme="10"/>
        <rFont val="Calibri"/>
        <family val="2"/>
        <scheme val="minor"/>
      </rPr>
      <t xml:space="preserve"> http://energyrecoverycouncil.org/wp-content/uploads/2016/06/ERC-2016-directory.pdf
</t>
    </r>
    <r>
      <rPr>
        <sz val="11"/>
        <rFont val="Calibri"/>
        <family val="2"/>
        <scheme val="minor"/>
      </rPr>
      <t>[2017]</t>
    </r>
    <r>
      <rPr>
        <u/>
        <sz val="11"/>
        <color theme="10"/>
        <rFont val="Calibri"/>
        <family val="2"/>
        <scheme val="minor"/>
      </rPr>
      <t xml:space="preserve"> https://www.eia.gov/electricity/data/eia860m/</t>
    </r>
  </si>
  <si>
    <t>Energy Recovery Council 
EIA</t>
  </si>
  <si>
    <t>Number of WTE Plants Proposed  in US</t>
  </si>
  <si>
    <t>Number of WTE Existing Plants that Were Put on Standby</t>
  </si>
  <si>
    <t>Number of WTE Existing Plants that Were Closed-Shut Down</t>
  </si>
  <si>
    <t>Number of WTE Fuel Switching Plants  in US</t>
  </si>
  <si>
    <t>Biogenic Municipal Solid Waste: Consumption for Energy Generation (million metric tons)</t>
  </si>
  <si>
    <t>Biogenic Municipal Solid Waste: Consumption for Heating Generation (million metric tons)</t>
  </si>
  <si>
    <t>Biogenic Municipal Solid Waste: Consumption for Electricity Generation (Trillion BTUs)</t>
  </si>
  <si>
    <t>Biogenic Municipal Solid Waste: Consumption for Heating Generation (Trillion BTUs)</t>
  </si>
  <si>
    <t>Biogenic Municipal Solid Waste: Consumption for Energy Generation (Trillion BTUs)</t>
  </si>
  <si>
    <t>Bioenergy</t>
  </si>
  <si>
    <t>*  Packaging</t>
  </si>
  <si>
    <t>Asia</t>
  </si>
  <si>
    <t>South America</t>
  </si>
  <si>
    <t>North America</t>
  </si>
  <si>
    <t>Europe</t>
  </si>
  <si>
    <t>Created the Corporate Average Fuel Economy (CAFE) standards beginning with cars modeled in 1978 and required the distribution of fuel economy information to consumers from the DOE; in response to the 1973 oil crisis;  increase energy production and supply, reduce energy demand, provide energy efficiency, and give the executive branch additional powers to respond to disruptions in energy supply</t>
  </si>
  <si>
    <t>U.S. Department of Energy- Energy Efficiency &amp; Renewable Energy- Alternative Fuels Data Center</t>
  </si>
  <si>
    <t>Reduce energy demand and provide energy efficiency</t>
  </si>
  <si>
    <t> Provides tax incentives for actions that would conserve energy or substitute alternative sources of energy for oil and gas. The Act provides residential energy credit, a gas guzzler tax, subsidies for gasohol, reduced excise taxes on buses, and incentives for vanpooling. It also provides for changes in the investment tax credit to promote conservation, the introduction of percentage depletion, and the accounting as expenses the intangibles connected with producing geothermal energy</t>
  </si>
  <si>
    <t>https://www.congress.gov/bill/95th-congress/house-bill/5263</t>
  </si>
  <si>
    <t>Any fuel not derived from petroleum;  incentivize alternative fuel vehicle development</t>
  </si>
  <si>
    <t>Established regulations requiring certain federal, state, and alternative fuel provider fleets to build an inventory of Alternative Fuel Vehicles in order to reduce U.S. dependence on petroleum and improve air quality by addressing all aspects of energy supply and demand, including alternative fuels, renewable energy, and energy efficiency;       EPAct 1992 encourages the use of alternative fuels through both regulatory and voluntary activities and approaches the U.S. Department of Energy (DOE) carries out. It requires federal, state, and alternative fuel provider fleets to acquire alternative fuel vehicles. EPAct 1992 also defines "alternative fuels" as: methanol, ethanol, and other alcohols; blends of 85% or more of alcohol with gasoline (E85); natural gas and liquid fuels domestically produced from natural gas; propane; hydrogen; electricity; biodiesel (B100); coal-derived liquid fuels; fuels, other than alcohol, derived from biological materials; and P-Series fuels, which were added to the definition in 1999. Under EPAct 1992, DOE has the authority to add more alternative fuels to the list of authorized alternative fuels if certain criteria are met. </t>
  </si>
  <si>
    <t>Authorizes research and development programs to discover alternative fuel sources- methanol, ethanol, and other alcohols</t>
  </si>
  <si>
    <t>Taxpayers for Common Sense</t>
  </si>
  <si>
    <t>promote the development of bio-refineries, provide incentives to feedstock producers and to realize education programmes for farmers, local authorities and civil society promoting the benefits of biofuel production and utilization ; Authorized USDA to implement an initiative to certify biobased products that are deemed eligible to display the “USDA Certified Biobased Product” label (mandatory federal purchasing inititative)-- funds everything from nutrition assistance programs and broadband internet to agricultural subsidies for the production of crops such as corn and soybeans. </t>
  </si>
  <si>
    <t>http://www.taxpayer.net/agriculture/biomass-research-and-development-initiative/</t>
  </si>
  <si>
    <t>Provides grants and loans to help agricultural producers and rural small businesses purchasing renewable energy systems and make energy efficiency improvements-  Grants up to $500,000 or 25% of total project costs, Loan guarantees up to $25 million</t>
  </si>
  <si>
    <t>Grant and loan program for renewables, energy audits, &amp; feasibility studies</t>
  </si>
  <si>
    <t>American Jobs Creation Act</t>
  </si>
  <si>
    <t>Introduced the Volumetric Ethanol Excise Tax Credit (51 cents per gallon of ethanol for blenders and retailers)-- To amend the Internal Revenue Code of 1986 to remove impediments in such Code and make our manufacturing, service, and high-technology businesses  and workers more competitive and productive both at home and abroad.</t>
  </si>
  <si>
    <t>https://www.congress.gov/bill/108th-congress/house-bill/4520/text</t>
  </si>
  <si>
    <t>EPA- United States Environmental Protection Agency- Laws and Regulations</t>
  </si>
  <si>
    <t>https://www.epa.gov/laws-regulations/summary-energy-policy-act</t>
  </si>
  <si>
    <t xml:space="preserve"> Promotes energy efficiency. Encouraging use of ethanol</t>
  </si>
  <si>
    <t>Extended the Volumetric Ethanol Excise Tax Credit (see the Jobs Creation Act) through to 2010 and now includes biodiesel (producers who use agricultural feedstocks are eligible for a tax credit of US $1.00 per gallon and waste-grease biodiesel producers can receive a credit of 50 cents per gallon).Addresses energy production in the United States, including: (1) energy efficiency; (2) renewable energy; (3) oil and gas; (4) coal; (5) Tribal energy; (6) nuclear matters and security; (7) vehicles and motor fuels, including ethanol; (8) hydrogen; (9) electricity; (10) energy tax incentives; (11) hydropower and geothermal energy; and (12) climate change technology. Provides loan guarantees for entities that develop or use innovative technologies that avoid the by-production of greenhouse gases. Increases the amount of biofuel that must be mixed with gasoline sold in the United States.</t>
  </si>
  <si>
    <t>Aims to move the United States toward greater energy independence and security;
increase the production of clean renewable fuels; protect consumers; increase the efficiency of products, buildings, and vehicles; promote research on and deploy greenhouse gas capture and storage options; improve the energy performance of the Federal Government; and increase U.S. energy security, develop renewable fuel production, and improve vehicle fuel economy.</t>
  </si>
  <si>
    <t>Promotes greater energy independence and securityfor the US, improves energy performance</t>
  </si>
  <si>
    <t>EPA- United States Environmental Protection Agency- Laws and Regulations</t>
  </si>
  <si>
    <t>https://www.epa.gov/laws-regulations/summary-energy-independence-and-security-act</t>
  </si>
  <si>
    <t> Requires transportation fuel sold in the United States to contain a minimum volume of renewable fuels. Requires renewable fuel to be blended into transportation fuel in increasing amounts each year, escalating to 36 billion gallons by 2022. Each renewable fuel category in the RFS program must emit lower levels of greenhouse gases (GHGs) relative to the petroleum fuel it replaces. Entities regulated by RFS include oil refiners and gasoline and diesel importers. The volumes required of each obligated party are based on a percentage of its petroleum product sales. Obligated parties can meet their renewable volume obligations (RVOs) by either selling required biofuels volumes or purchasing RINs from parties that exceed their requirements. Failure to meet requirements results in a significant fine.</t>
  </si>
  <si>
    <t>Requires transportation fuel to have renewable fuels</t>
  </si>
  <si>
    <t>https://www.afdc.energy.gov/laws/RFS</t>
  </si>
  <si>
    <t>Increases in Food Stamp benefits, increased support for the production of cellulosic ethanol, and money for the research of pests, diseases and other agricultural problems. Reduced the tax credit for maize-based ethanol from 51 to 45 cents per gallon and introduced a tax credit of US$1.01 per gallon for cellulose based ethanol </t>
  </si>
  <si>
    <t>https://www.govtrack.us/congress/bills/110/hr2419/summary</t>
  </si>
  <si>
    <t>To amend the Internal Revenue Code of 1986 to provide incentives for energy production and conservation, to extend certain expiring provisions, to provide individual income tax relief, and for other purposes.</t>
  </si>
  <si>
    <t>https://www.govtrack.us/congress/bills/110/hr6049</t>
  </si>
  <si>
    <t>Provides payments to eligible agricultural producers to support and ensure an expanding production of advanced bio-fuels--- payments of $14.5 million awarded to 136 producers.   intended to pay advanced biofuels producers to expand their production levels.  Other than corn starch ethanol, nearly every other type of biofuel is eligible for the program, including ethanol, biogas, butanol, or biodiesel derived from cellulose (like perennial grasses or agricultural residues), sugar or starches, waste materials, sugarcane, or woody biomass.</t>
  </si>
  <si>
    <t>EPA
Taxpayers for Common Sense</t>
  </si>
  <si>
    <t>https://www.epa.gov/sites/production/files/2015-01/documents/05042010_hagy.pdf
https://www.taxpayer.net/agriculture/bioenergy-program-for-advanced-biofuels-fact-sheet/</t>
  </si>
  <si>
    <t>Joint program with the USDA and the DOE: Research and development in advanced biofuels, bioenergy and high- value biobased products; develop economically and environmentally sustainable sources of renewable biomass and increase the availability of renewable fuels and biobased products that can help replace the need for gasoline and diesel in vehicles and diversify our energy portfolio. investments will help cut America's oil imports, develop clean alternative energy technologies, and protect American families and businesses from the ups and downs of the global oil market.</t>
  </si>
  <si>
    <t>https://www.usda.gov/wps/portal/usda/usdahome?contentid=2012/03/0102.xml
https://nifa.usda.gov/funding-opportunity/biomass-research-and-development-initiative-brdi</t>
  </si>
  <si>
    <t>Appropriated nearly $800 billion towards job creation, economic growth, tax relief, improvements in education and healthcare, infrastructure modernization, and investments in energy independence and renewable energy technologies. ARRA supports a variety of alternative fuel and advanced vehicle technologies through grant programs, tax credits, research and development, fleet funding, and other measures</t>
  </si>
  <si>
    <t>Developing the Nation’s first comprehensive biofuel market development program; coordinating infrastructure policies affecting the supply, secure transport, and distribution of biofuels; and identifying new policy options to promote the environmental sustainability of biofuels feedstock production.
Wood is an abundant, sustainable, homegrown cellulosic resource that can significantly contribute to meeting 30 percent of U.S. petroleum consumption from biomass sources by 2030 and help create a more stable energy future, improve environmental quality, and increase economic opportunities.</t>
  </si>
  <si>
    <t>Biofuel market development program</t>
  </si>
  <si>
    <t>The Department of Energy must ensure that there is an availability of 200% of the volume of renewable fuels required in the United States by 2013 under the Energy Policy Act of 2005 and the reduction of carbon dioxide emissions from the production and use of renewable fuels by 25%. Establishes a loan guarantee program. Directs the Secretary to establish a loan guarantee program for up to 80% of the cost of a project for: (1) the harvesting, storing, and delivery of agriculture residues for use in cellulosic or traditional ethanol production plants; (2) cellulosic ethanol production technologies that will reduce the initial capital cost to $2.50 per annual gallon, and operation and maintenance costs to 125% of those at traditional corn ethanol plants; (3) advanced biomass gasifiers that can provide specified thermal input requirements for traditional ethanol plants to produce syngas; and (4) scaled catalytic conversion projects to convert syngas to liquid fuels.
Permits such loan guarantees for: (1) a traditional ethanol plant only if the agriculture residue products are used as feedstock to replace thermal input requirements otherwise provided by fossil fuels; and (2) an existing ethanol plant only if the applicant demonstrates the potential to reduce carbon dioxide emissions related to ethanol production by at least 75%.
Authorizes the Secretary to provide grants for up to 50% of the capital costs of the initial commercialization for certain cellulosic ethanol production technologies.</t>
  </si>
  <si>
    <t>Extends and modifies credits for alcohol used as a fuel and other purposes-- require a reduction in the income and excise tax credits for alcohol used for fuel by the amount of alcohol used to meet the taxpayer's renewable fuel obligation under the Clean Air Act; Extends such credits and payments for alcohol fuel mixtures through 2016. Amends the Harmonized Tariff Schedule of the United States to extend until 2017 the additional tariff on ethyl alcohol blends (ethanol) used as fuel. Requires automobile manufacturers to ensure that at least 50% of 2013 and 2014 model year automobiles and light duty trucks manufactured for sale in the United States are dual fueled. Increases the minimum to 90% for later model years. (Excludes automobiles and light duty trucks that operate only on electricity.) Requires the Secretary of Energy to make grants to eligible facilities to pay the federal share of: (1) installing blender pump fuel infrastructure, including infrastructure necessary for the direct retail sale of ethanol fuel blends (including E-85 fuel) and to directly market such fuels to gas retailers; and (2) providing subgrants to direct retailers of such fuels for the installation of fuel infrastructure for the direct retail sale of such fuels. Defines: (1) "E-85 fuel" as a blend of gasoline at least 85% derived from ethanol; and (2) "ethanol fuel blend" as a blend of gasoline and ethanol, with a minimum of 0% and maximum of 85% derived from denatured ethanol.
Requires the Secretary to promulgate regulations to ensure that each major fuel distributor that sells or introduces gasoline into commerce in the United States through majority-owned stations or branded stations installs one or more blender pumps that dispense E-85 fuel and ethanol fuel blends at specified minimum percentages of such stations for specified years in each state. Allows major fuel distributors to earn and sell credits if they exceed such percentages.</t>
  </si>
  <si>
    <t>Requires automobile manufacturers to ensure that at least 50% of 2014 and 2015 model year automobiles and light duty trucks manufactured for sale in the United States are dual fueled (capable of operating on alternative fuel and on gasoline or diesel fuel or a mixture of biodiesel and diesel fuel). Increases the minimum to 90% for later model years. (Excludes automobiles and light duty trucks that operate only on electricity.)</t>
  </si>
  <si>
    <t>Increase demand of ethanol- ensure the availability of dual fueled automobiles and light duty trucks, and for other purposes.</t>
  </si>
  <si>
    <t>Congress.gov
Govtrack</t>
  </si>
  <si>
    <t>https://www.congress.gov/bill/112th-congress/senate-bill/152
https://www.govtrack.us/congress/bills/112/s152</t>
  </si>
  <si>
    <t>Extends and reinstates several alternative fuel incentives; effective through December 31, 2013) reinstates the alternative fuel infrastructure tax credit, biodiesel income tax credit, biodiesel mixture excise tax credit, and alternative fuel mixture excise tax credits and incorporates a tax credit for two- and three-wheeled plug-in electric vehicles. It also extends until December 31, 2013, the second generation biofuel producer tax credit and second generation biofuel plant depreciation deduction allowance. In addition, it extends discretionary funding for the U.S. Department of Agriculture's Advanced Biofuel Production Grants and Loan Guarantees, Advanced Biofuel Production Payments, Biodiesel Education Grants, Biomass Research and Development Initiative, and Ethanol Infrastructure Grants and Loan Guarantees</t>
  </si>
  <si>
    <t> Amends the Petroleum Marketing Practices Act, with respect to the installation of renewable fuel pumps and tanks, to revise the ethanol content requirements for renewable fuel to mean any fuel which is at least 10% ethanol by volume. Requires automobile manufacturers to ensure that at least 50% of 2015 and 2016 model year automobiles and light duty trucks manufactured for sale in the United States are dual fueled. Increases the minimum to 90% for 2017 and subsequent model years. (Excludes automobiles and light duty trucks that operate only on electricity.)</t>
  </si>
  <si>
    <t>Revise ethanol content requirements for renewable fuel. Increase manufacturing of vehicles that are dual fueled</t>
  </si>
  <si>
    <t>(Also known as Agricultural Act of 2014 &amp; 2014 Farm Act) Authorization for the programs and services. Allows USDA to continue to record accomplishments and expand the agricultural product market. makes major changes in commodity programs, adds new crop insurance options, streamlines conservation programs, modifies some provisions of the Supplemental Nutrition Assistance Program (SNAP), and expands programs for specialty crops, organic farmers, bioenergy, rural development, and beginning farmers and ranchers. </t>
  </si>
  <si>
    <t>Continuation of critical programs- SNAP, specialty crops, organic farmers, bioenergy</t>
  </si>
  <si>
    <t>USDA- Economic ResearchService</t>
  </si>
  <si>
    <t>https://www.ers.usda.gov/agricultural-act-of-2014-highlights-and-implications/</t>
  </si>
  <si>
    <t>Reinstates several alternative fuel tax incentives. The law reinstates, effective through December 31, 2014, the alternative fuel infrastructure tax credit, the excise tax credit for alternative fuels, the tax credit for second generation biofuel production, the income and excise tax credit for biodiesel and renewable diesel fuel mixtures, and the special depreciation allowance for second generation biofuel plant property.</t>
  </si>
  <si>
    <t>Reinstates alternative fuel tax incentives</t>
  </si>
  <si>
    <t>U.S. Department of Energy- Energy Efficiency &amp; Renewable Energy-Alternative Fuels Data Center</t>
  </si>
  <si>
    <t>https://www.afdc.energy.gov/laws/key_legislation#tipa2014</t>
  </si>
  <si>
    <t>Reinstates and extends several alternative fuel tax incentives. The law reinstates, effective through December 31, 2016, the alternative fuel infrastructure tax credit, the excise tax credit for alternative fuels and alternative fuel mixtures, the tax credit for second generation biofuel production, the income and excise tax credit for biodiesel and renewable diesel fuel mixtures, the fuel cell motor vehicle tax credit, and the special depreciation allowance for second generation biofuel plant property. It also reinstates the tax credit for qualified two- or three-wheeled plug-in electric-drive motor vehicles.</t>
  </si>
  <si>
    <t>Fuel tax credits</t>
  </si>
  <si>
    <t>U.S. Department of Energy- Energy Efficiency &amp; Renewable Energy- Alternative Fuels Data Center</t>
  </si>
  <si>
    <t>https://www.afdc.energy.gov/laws/key_legislation#conap2016</t>
  </si>
  <si>
    <t>2009-2016</t>
  </si>
  <si>
    <t>The Air Force and the Navy have been busy testing their aircraft — everything from fighter jets to unmanned spy planes — on jet biofuel. Together with the Departments of Energy and Agriculture, the Navy has launched a project to invest up to half a billion dollars in biofuel refineries. Estimated to get 50% of the Navy's fuel for aircraft and surface ships from renewable sources by 2020 because dependence on foreign oil makes the U.S. military vulnerable.</t>
  </si>
  <si>
    <t>Investing in biofuel refineries</t>
  </si>
  <si>
    <t>Department of the Navy Inititative: demonstrates the sea service’s efforts to transform its energy use. Deploys on alternative fuels, including nuclear power for the carrier and a blend of advanced biofuel made from beef fat and traditional petroleum for its escort ships. Purpose of the GGF was to make our Sailors and Marines better warfighters, able to go farther, stay longer and deliver more firepower.  The GGF has helped usher in the next era of Dept. of Navy energy innovation.</t>
  </si>
  <si>
    <t>Internal program beginning to use biofuel options, energy innovation</t>
  </si>
  <si>
    <t>U.S. Navy- Energy, Environment, and Climate Change</t>
  </si>
  <si>
    <t>http://navysustainability.dodlive.mil/energy/great-green-fleet/
http://www.navy.mil/submit/display.asp?story_id=95398</t>
  </si>
  <si>
    <t>"Greening the Government": activate pollution prevention whenever feasible; waste prevention, recycling, agencies shall use environmentally preferable products and services; pollution that cannot be prevented or recycled should be treated in an environmentally safe manner</t>
  </si>
  <si>
    <t>First steps to bioproducts within government agencies; Agencies shall comply with executive branch policies for the acquisition and use of environmentally preferable products and services and implement cost-effective procurement preference programs favoring the purchase of these products and services.</t>
  </si>
  <si>
    <t>Developing and Promoting Biobased Products and Bioenergy- research, development, and private sector incentives used to stimulate the creation and early adoption of technologies needed to make biobased products and bioenergy cost-competitive in large national and international markets.</t>
  </si>
  <si>
    <t>Federal purchasing initiative and voluntary label, mandatory purchasing requirements</t>
  </si>
  <si>
    <t xml:space="preserve">USDA- BioPreferred </t>
  </si>
  <si>
    <t>https://www.biopreferred.gov/BioPreferred/</t>
  </si>
  <si>
    <t>Loan guarantees up to $250 million for the development, construction and retrofitting of new and emerging technologies for advanced biofuels, renewable chemicals and biobased products (developed from the Biorefinery Loan Guarentee Program)</t>
  </si>
  <si>
    <t>Projects eligible for the program: Biorefineries and Biobased Manufacturing facilities.</t>
  </si>
  <si>
    <t>USDA- Rural Development</t>
  </si>
  <si>
    <t>https://www.rd.usda.gov/programs-services/biorefinery-renewable-chemical-and-biobased-product-manufacturing-assistance
https://energy.gov/savings/usda-biorefinery-assistance-program</t>
  </si>
  <si>
    <t>Give a tax credit of $0.15 per pound of biobased content for producers of renewable chemicals who meet certain criteria. This credit would have an aggregate limit of $500 million and would be distributed over five years</t>
  </si>
  <si>
    <t>Tax credits- provide credits for the production of renewable chemicals and investments in renewable chemical production facilities, and for other purposes.</t>
  </si>
  <si>
    <t>USDA- Biobased Products Economic Analysis 2016</t>
  </si>
  <si>
    <t>https://www.usda.gov/oce/energy/files/BIOINDICATORS.pdf</t>
  </si>
  <si>
    <t>Planning for Federal Sustainability in the Next Decade: Cut the government's greenhouse gas emmisions by 40% in next decade (2008 levels) and increase the share of electricity the government consumes from renewable energy to at least 30% by fiscal year 2025</t>
  </si>
  <si>
    <t>Governmental footprint- national greenhouse gas emissions reduction</t>
  </si>
  <si>
    <t>The White House
Office of Energy Efficiency and Renewable Energy </t>
  </si>
  <si>
    <t>https://obamawhitehouse.archives.gov/the-press-office/2015/03/19/executive-order-planning-federal-sustainability-next-decade
https://energy.gov/eere/femp/articles/white-house-announces-new-executive-order-reduce-greenhouse-gas-emissions-federal</t>
  </si>
  <si>
    <t>Competitive rates on bonds to fund capital expenditures. This promotes qualified energy conservation projects.</t>
  </si>
  <si>
    <t>U.S. Department of Energy- Energy Efficiency &amp; Renewable Energy- Alternative Fuels Data Center</t>
  </si>
  <si>
    <t>https://www.afdc.energy.gov/laws/10612</t>
  </si>
  <si>
    <t>Funding for public transportation vehicles with low or zero emission</t>
  </si>
  <si>
    <t>https://www.afdc.energy.gov/laws/11552</t>
  </si>
  <si>
    <t>Fueling equipment for natural gas, propane, liquefied hydrogen, electricity, E85, or diesel fuel blends containing a minimum of 20% biodiesel installed through December 31, 2017, is eligible for a tax credit of 30% of the cost, not to exceed $30,000. Permitting and inspection fees are not included in covered expenses. Fueling station owners who install qualified equipment at multiple sites are allowed to use the credit towards each location. Consumers who purchased qualified residential fueling equipment prior to December 31, 2017, may receive a tax credit of up to $1,000. Unused credits that qualify as general business tax credits, as defined by the Internal Revenue Service (IRS), may be carried backward one year and carried forward 20 years</t>
  </si>
  <si>
    <t>expired 12/31/2017</t>
  </si>
  <si>
    <t>https://www.afdc.energy.gov/laws/laws_expired?jurisdiction=US</t>
  </si>
  <si>
    <t>Available to help independent agricultural producers enter into or expand value-added activities, including innovative uses of agricultural projects, such as biofuels production. No more than 10% of program funds may be awarded to majority-controlled producer-based business ventures. Grants are awarded to projects determined to be economically viable and sustainable. Generate new products, create and expand marketing opportunities, and increase producer income. Maximal grant amount: Planning Grants $75,000; Working Capital Grants: $250,000</t>
  </si>
  <si>
    <t> competitive grant program administered by the Rural Business-Cooperative Service of USDA that provides funding to farmers and groups of farmers to create or develop value-added producer-owned businesses. Generate new products, create and expand marketing opportunities, and increase producer income</t>
  </si>
  <si>
    <t>USDA - Rural Development- Value Added Producer Grants</t>
  </si>
  <si>
    <t>https://www.rd.usda.gov/programs-services/value-added-producer-grants</t>
  </si>
  <si>
    <t>An owner of a second generation biofuel production plant may be eligible for a 50% special depreciation allowance to recover the cost of qualified property. To be eligible, the plant must function solely for the purpose of second generation biofuel production, be put into service by the current owner before January 1, 2018, and produce fuel that meets the U.S. Environmental Protection Agency fuel and fuel additive registration requirements. Second generation biofuel is defined as liquid fuel produced from any lignocellulosic or hemicellulosic matter that is available on a renewable basis or any cultivated algae, cyanobacteria, or lemna</t>
  </si>
  <si>
    <t>Depreciation allowance to recover cost of qualified property to qualified</t>
  </si>
  <si>
    <t>The Biorefinery Assistance Program (Section 9003) provides loan guarantees for the development, construction, and retrofitting of commercial-scale biorefineries that produce advanced biofuels. Grants for demonstration scale biorefineries are also available.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</si>
  <si>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Promoting increase of biorefineries that produce advanced biofuels</t>
  </si>
  <si>
    <t>https://www.afdc.energy.gov/laws/8502</t>
  </si>
  <si>
    <t>Competitive grants are available through the Biodiesel Fuel Education Program (Section 9006) to educate governmental and private entities that operate vehicle fleets, the public, and other interested entities about the benefits of biodiesel use. Eligible applicants are non-profit organizations or institutes of higher education that have demonstrated knowledge of biodiesel fuel production, use, or distribution; and have demonstrated the ability to conduct educational and technical support programs. Funded through fiscal year 2018 (verified December 2017), but is subject to congressional appropriations thereafter.</t>
  </si>
  <si>
    <t>Educating people on the benefits of biodiesel use</t>
  </si>
  <si>
    <t>https://www.afdc.energy.gov/laws/8504</t>
  </si>
  <si>
    <t>Supports and ensures an expanding production of advanced biofuels by paying advanced biofuel producers for finished advanced biofuel products. Any entity that produces and sells advanced biofuel is eligible to apply. Eligible advanced biofuels:
Meet the definition of an advanced biofuel in 7 CFR Part 4288.102; are a liquid, gas, or solid; must be a final product; are produced in the United States; and are ones where the buyers and sellers act independently and have no relationship to each other.  Funding available: Quarterly payments for actual quantity of eligible advanced biofuel produced during the quarter. Annual incremental payment for producers who increase production over the previous fiscal year (excludes forest biomass advanced biofuel production)</t>
  </si>
  <si>
    <t>Pays advanced biofuel producers for finished advanced biofuel products in order to ensure expanding production of advanced biofuels</t>
  </si>
  <si>
    <t>https://www.rd.usda.gov/programs-services/advanced-biofuel-payment-program</t>
  </si>
  <si>
    <t>The Rural Energy for America Program (REAP) provides loan guarantees and grants to agricultural producers and rural small businesses to purchase renewable energy systems or make energy efficiency improvements. Eligible renewable energy systems include flexible fuel pumps, or blender pumps, that dispense intermediate ethanol blends. The maximum loan guarantee is $25 million and the maximum grant funding is 25% of project costs. At least 20% of the grant funds awarded must be for grants of $20,000 or less. (Program is funded through fiscal year 2018 (verified December 2017); subject to congressional appropriations thereafter)</t>
  </si>
  <si>
    <t>Incentives of loans and grants toward purchasing renewable energy systems or make energy efficiency improvements</t>
  </si>
  <si>
    <t>U.S. Department of Energy- Energy Efficiency &amp; Renewable Energy- Alternative Fuels Data Center- Ethanol Infrastructure Grants and Loan Guarantees</t>
  </si>
  <si>
    <t>https://www.afdc.energy.gov/laws/9172</t>
  </si>
  <si>
    <t>Internal Revenue Code Section 30D provides a credit for Qualified Plug-in Electric Drive Motor Vehicles including passenger vehicles and light trucks.   For vehicles acquired after December 31, 2009, the credit is equal to $2,500 plus, for a vehicle which draws propulsion energy from a battery with at least 5 kilowatt hours of capacity, $417, plus an additional $417 for each kilowatt hour of battery capacity in excess of 5 kilowatt hours. The total amount of the credit allowed for a vehicle is limited to $7,500.
The credit begins to phase out for a manufacturer’s vehicles when at least 200,000 qualifying vehicles have been sold for use in the United States (determined on a cumulative basis for sales after December 31, 2009).</t>
  </si>
  <si>
    <t>reduce tax bill by claiming the qualified plug-in electric drive motor vehicle tax credit</t>
  </si>
  <si>
    <t>IRS</t>
  </si>
  <si>
    <t>https://www.irs.gov/businesses/plug-in-electric-vehicle-credit-irc-30-and-irc-30d</t>
  </si>
  <si>
    <t>2008/2009</t>
  </si>
  <si>
    <t>Supports the development of a biomass-based industry in the United States</t>
  </si>
  <si>
    <t>NIFA- USDA</t>
  </si>
  <si>
    <t>An alternative fuel blender that is registered with the Internal Revenue Service (IRS) may be eligible for a tax incentive on the sale or use of the alternative fuel blend (mixture) for use as a fuel in the blender's trade or business. The credit is in the amount of $0.50 per gallon of alternative fuel used to produce a mixture containing at least 0.1% gasoline, diesel, or kerosene. Qualified alternative fuels are: compressed natural gas (based on 121 cubic feet), liquefied natural gas, liquefied hydrogen, propane, P-Series fuel, liquid fuel derived from coal through the Fischer-Tropsch process, and compressed or liquefied gas derived from biomass. The incentive must first be taken as a credit against the blender's alternative fuel tax liability; any excess over this fuel tax liability may be claimed as a direct payment from the IRS. The tax credit is not allowed if an incentive for the same alternative fuel is also determined under the rules for the ethanol or biodiesel tax credits.
Under current law, this tax credit is applicable to fuel sold or used through December 31, 2017. For more information about claiming the credit, see IRS Form 4136, which is available on the IRS Forms and Publications website. (Reference Public Law 115-123, Public Law 114-113, and 26 U.S. Code 6426)</t>
  </si>
  <si>
    <t>Tax incentives</t>
  </si>
  <si>
    <t>Funds projects that will develop transformational technologies that reduce the nation's dependence on foreign energy imports; reduce U.S. energy related emissions, including greenhouse gases; improve energy efficiency across all sectors of the economy; and ensure that the United States maintains its leadership in developing and deploying advanced energy technologies. The ARPA-E focuses on various concepts in multiple program areas including, but not limited to, vehicle technologies, biomass energy, and energy storage. </t>
  </si>
  <si>
    <t>Developing new advanced energy technologies for reducing dependence on foreign energy imports and reduce US energy related emissions</t>
  </si>
  <si>
    <t>U.S. Department of Energy</t>
  </si>
  <si>
    <t>https://www.afdc.energy.gov/laws/8082</t>
  </si>
  <si>
    <t>The Biomass Crop Assistance Program (BCAP; Section 9010) provides financial assistance to landowners and operators that establish, produce, and deliver biomass feedstock crops for advanced biofuel production facilities. Qualified feedstock producers are eligible for a reimbursement of 50% of the cost of establishing a biomass feedstock crop, as well as annual payments for up to five years for herbaceous feedstocks and up to 15 years for woody feedstocks. BCAP provides qualified biomass feedstock crop producers matching payments for the collection, harvest, storage, and transportation of their crops to advanced biofuel production facilities for up to two years. The matching payments are $1 for each $1 per dry ton paid by a qualified advanced biofuel production facility, up to $20 per dry ton. This program is funded through fiscal year 2018 (verified December 2017), but is subject to congressional appropriations thereafter.</t>
  </si>
  <si>
    <t>Provides financial assistance to landowners and operators that establish, produce, and deliver biomass feedstock crops for advanced biofuel production facilities</t>
  </si>
  <si>
    <t>https://www.afdc.energy.gov/laws/10292</t>
  </si>
  <si>
    <t>A second generation biofuel producer that is registered with the Internal Revenue Service (IRS) may be eligible for a tax incentive in the amount of up to $1.01 per gallon of second generation biofuel that is: sold and used by the purchaser in the purchaser's trade or business to produce a second generation biofuel mixture; sold and used by the purchaser as a fuel in a trade or business; sold at retail for use as a motor vehicle fuel; used by the producer in a trade or business to produce a second generation biofuel mixture; or used by the producer as a fuel in a trade or business. expired December 31, 2016 </t>
  </si>
  <si>
    <t>Tax incentive for second generation biofuel producers</t>
  </si>
  <si>
    <t>RFA (Renewable Fuels Association)</t>
  </si>
  <si>
    <t>http://www.ethanolrfa.org/issues/tax/</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</si>
  <si>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 </t>
  </si>
  <si>
    <t>Promotes reducing air pollution and greenhouse gases and provides loan guarantees for those using advanced technologies- biofuels and alernative fuel vehicles</t>
  </si>
  <si>
    <t>https://www.afdc.energy.gov/laws/392</t>
  </si>
  <si>
    <t>A driver may operate a qualified Inherently Low Emission Vehicle (ILEV) or a hybrid electric vehicle (HEV) in an HOV lane at any time, regardless of the number of passengers, provided that the vehicle is certified and labeled in accordance with federal regulations. All eligible ILEVs and HEVs must comply with the minimum fuel economy standards set forth in Title 23 of the U.S. Code of Federal Regulations. Special fees may apply. Vehicles with decals may also use any HOV lane designated as a HOV toll lane without paying the toll.States are allowed to exempt certified alternative fuel vehicles (AFVs) and plug-in electric vehicles (PEVs) from HOV lane requirements within the state.</t>
  </si>
  <si>
    <t>Access to the HOV lane for drivers of ILEVs and HEV</t>
  </si>
  <si>
    <t>https://www.afdc.energy.gov/laws/5733</t>
  </si>
  <si>
    <t>Ensuring that vehicles are meeting U.S EPA standards</t>
  </si>
  <si>
    <t>https://www.afdc.energy.gov/laws/388</t>
  </si>
  <si>
    <t>Promotes the reduction of greenhouse gas emissions and expands the nation’s renewable fuels sector while reducing reliance on imported oil. This program was authorized under the Energy Policy Act of 2005 and expanded under the Energy Independence and Security Act of 2007. </t>
  </si>
  <si>
    <t>Promotes energy independence and aims to reduce greenhouse gas emissions</t>
  </si>
  <si>
    <t>EPA- United States Environmental Protection Agency- Renewable Fuel Standard Program</t>
  </si>
  <si>
    <t>https://www.epa.gov/renewable-fuel-standard-program</t>
  </si>
  <si>
    <t xml:space="preserve"> Cost distribution</t>
  </si>
  <si>
    <t>https://www.afdc.energy.gov/laws/344</t>
  </si>
  <si>
    <t>Retailers offering alternative fuel for sale must ensure dispensers are labeled with information to help consumers make informed decisions about fueling a vehicle, including price, name, and main components of the alternative fuel or alternative fuel blend being sold. Labels may also list the percentage of other fuel components. The labeling must follow established labeling specifications for petroleum-based fuels. An alternative fuel producer may provide the retailer with a label promoting the benefits of the alternative fuel if the label meets the specified requirements.  Alcohol fuel blends containing at least 1% of alcohol by volume must also be clearly labeled at the dispenser and on any price advertisements. </t>
  </si>
  <si>
    <t>Consumers are provided information on fueling aspects</t>
  </si>
  <si>
    <t>https://www.afdc.energy.gov/laws/6234</t>
  </si>
  <si>
    <t>Defining alternative fuels</t>
  </si>
  <si>
    <t>https://www.afdc.energy.gov/laws/391</t>
  </si>
  <si>
    <t>Fueling station owners and operators must notify the appropriate state and local implementing agencies at least 30 days before switching USTs to store ethanol blends greater than 10%, biodiesel blends greater than 20%, or any other regulated fuel the agency has identified. Minimizing the risk of a release from UST systems due to incompatibility.</t>
  </si>
  <si>
    <t xml:space="preserve">Compatibility requirements for precaution </t>
  </si>
  <si>
    <t>EPA- United States Environmental Protection Agency- Underground Storage Tanks</t>
  </si>
  <si>
    <t>https://www.epa.gov/ust/ust-system-compatibility-biofuels</t>
  </si>
  <si>
    <t>Under the Energy Policy Act (EPAct) of 1992, as amended, certain state government and alternative fuel provider fleets are required to acquire alternative fuel vehicles (AFVs) as a portion of their annual light-duty vehicle acquisitions. Compliance is required by fleets that operate, lease, or control 50 or more light-duty vehicles within the United States. Of those 50 vehicles, at least 20 must be used primarily within a single Metropolitan Statistical Area/Consolidated Metropolitan Statistical Area, and those same 20 vehicles must also be capable of being centrally fueled for the fleet to be subject to the regulatory requirements.
Under Standard Compliance, the AFVs that covered fleets acquire help them achieve compliance, with each AFV acquired earning the fleet one AFV-acquisition credit. Covered fleets may earn additional credits for AFVs earned in excess of their requirements, and these credits may be banked for future use toward compliance or traded with other fleets. Additionally, fleets that use fuel blends containing at least 20% biodiesel (B20) in medium- and heavy-duty vehicles may earn credits toward their annual AFV-acquisition requirements. A fleet may also earn credits that may be used toward compliance or banked once the fleet achieves compliance for investments in alternative fuel infrastructure, mobile non-road equipment, and emerging technologies associated with certain electric drive vehicle technologies.
Fleets may also opt into Alternative Compliance, which allows fleets the option to choose a petroleum reduction path in lieu of acquiring AFVs under Standard Compliance. Interested fleets must obtain from DOE a waiver from Standard Compliance by submitting a plan that demonstrates a path by which they will achieve a certain level of petroleum reduction specific to their fleet composition.</t>
  </si>
  <si>
    <t>Compliance measures</t>
  </si>
  <si>
    <t>https://www.afdc.energy.gov/laws/347</t>
  </si>
  <si>
    <t>Under the Energy Policy Act (EPAct) of 1992, 75% of new light-duty vehicles acquired by covered federal fleets must be alternative fuel vehicles (AFVs). As amended in January 2008, Section 301 of EPAct 1992 defines AFVs to include hybrid electric vehicles, fuel cell vehicles, and advanced lean burn vehicles. Fleets that use fuel blends containing at least 20% biodiesel (B20) may earn credits toward their annual requirements. Federal fleets are also required to use alternative fuels in dual-fuel vehicles unless the U.S. Department of Energy (DOE) determines an agency's vehicle requests qualify for waivers; grounds for a waiver include lack of alternative fuel availability and cost restrictions (per EPAct 2007, section 701).
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</si>
  <si>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Federal fleet requirements</t>
  </si>
  <si>
    <t>https://www.afdc.energy.gov/laws/357</t>
  </si>
  <si>
    <t>Under the Energy Policy Act (EPAct) of 1992, the U.S. Department of Energy (DOE) was directed to determine whether private and local government fleets should be mandated to acquire alternative fuel vehicles (AFVs). In January 2004, DOE published a final rule announcing its decision not to implement an AFV acquisition mandate for private and local government fleets. In response to a March 2006 ruling by a U.S. District Court, DOE issued a subsequent final rulemaking on the new Replacement Fuel Goal in March 2007, which extended the EPAct 1992 goal to 2030. The goal is to achieve a domestic production capacity for replacement fuels sufficient to replace 30% of the U.S. motor fuel consumption. In March 2008, DOE issued its determination not to implement a fleet compliance mandate for private and local government fleets, concluding that such a mandate is not necessary to achieve the Replacement Fuel Goal.</t>
  </si>
  <si>
    <t xml:space="preserve">Fuel use requirements </t>
  </si>
  <si>
    <t>https://www.afdc.energy.gov/laws/358</t>
  </si>
  <si>
    <t>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t>
  </si>
  <si>
    <t>Enhancing energy security and decreasing energy waste</t>
  </si>
  <si>
    <t>Energy.gov- Office of Energy Efficiency and Renewable Energy</t>
  </si>
  <si>
    <t>https://www.energy.gov/eere/wipo/state-energy-program</t>
  </si>
  <si>
    <t>Increasing nation's energy independence. Saved over $29 billion in fuel costs since 2004.</t>
  </si>
  <si>
    <t>EPA- SmartWay</t>
  </si>
  <si>
    <t>https://www.epa.gov/smartway</t>
  </si>
  <si>
    <t>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</si>
  <si>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Help communities reduce emissions from older diesel school buses</t>
  </si>
  <si>
    <t>EPA- United States Environmental Protection Agency- Clean Diesel</t>
  </si>
  <si>
    <t>https://www.epa.gov/cleandiesel/clean-school-bus</t>
  </si>
  <si>
    <t>Clean Ports USA is an incentive-based program designed to reduce emissions by encouraging port authorities and terminal operators to retrofit and replace older diesel engines with new technologies and use cleaner fuels. EPA's National Clean Diesel Campaign offers funding to port authorities and public entities to help them overcome barriers that impede the adoption of cleaner diesel technologies and strategies</t>
  </si>
  <si>
    <t> Replace the old diesel engines with new technologies and use cleaner fuels</t>
  </si>
  <si>
    <t>https://www.afdc.energy.gov/laws/325</t>
  </si>
  <si>
    <t>Improves airport air quality and provides air quality credits for future airport development.  Through VALE, airport sponsors can use Airport Improvement Program (AIP) funds and Passenger Facility Charges (PFCs) to finance low emission vehicles, refueling and recharging stations, gate electrification, and other airport air quality improvements.</t>
  </si>
  <si>
    <t>Better air quality and providing air quality credits. Funds and financing available for improvement plans</t>
  </si>
  <si>
    <t>U.S. Department of Transportation- Federal Aviation Administration</t>
  </si>
  <si>
    <t>https://www.faa.gov/airports/environmental/vale/</t>
  </si>
  <si>
    <t>Advance the energy, economic, and environmental security of the United States by supporting local initiatives to adopt practices that reduce the use of petroleum in the transportation sector</t>
  </si>
  <si>
    <t>U.S. Department of Energy-  Energy Efficiency &amp; Renewable Energy-  Alternative Fuels Data Center</t>
  </si>
  <si>
    <t>https://www.afdc.energy.gov/laws/288</t>
  </si>
  <si>
    <t>The NCDC was established by the U.S. Environmental Protection Agency to reduce pollution emitted from diesel engines through the implementation of varied control strategies and the involvement of national, state, and local partners. The NCDC includes programs for existing diesel fleets, regulations for clean diesel engines and fuels, and regional collaborations and partnerships.   Program is for projects that will use technologies not yet verified and/or commercialized but on EPA’s emerging technology list</t>
  </si>
  <si>
    <t>Reducing pollution from diesel engines </t>
  </si>
  <si>
    <t>https://www.epa.gov/sites/production/files/documents/DERA.pdf</t>
  </si>
  <si>
    <t>Part of the National Clean Diesel Campaign (NCDC), Clean Construction USA is an innovative
program designed to promote the reduction of diesel emissions from construction equipment
and vehicles. Encourage contractors, owners and operators of construction equipment to:
REDUCE IDLING: Eliminating unnecessary idling not only reduces diesel emissions, but reduces fuel
costs and engine maintenance costs.RETROFIT ENGINES: Verified technologies, such as Diesel Particulate Filters (DPFs) and Diesel Oxidation Catalysts (DOCs), both of which fit on engines like mufflers, can dramatically reduce diesel emissions, improving the air quality for the site workers and the local community. SWITCH TO CLEANER FUELS: Switching to fuels that contain lower levels of sulfur (such as ultralow sulfur diesel) reduces particulate matter,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</si>
  <si>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reduction of diesel emissions</t>
  </si>
  <si>
    <t>EPA- Clean Construction USA</t>
  </si>
  <si>
    <t>https://www.epa.gov/sites/production/files/documents/CleanConstruction.pdf</t>
  </si>
  <si>
    <t>Part of the National Clean Diesel Campaign (NCDC), Clean Agriculture USA is an innovative
program designed to promote the reduction of diesel emissions from agricultural equipment.
o There are more than 2 million agricultural diesel engines in the field in the U.S.
o The agricultural sector contributes nearly one-quarter of the nitrogen oxides (NOx) and onethird
particulate matter (PM) of all land-based nonroad diesel emissions.
o There are new regulations in place that will ensure that new engines after 2010 will be the
cleanest in the world; however, the legacy fleet in the fields today will continue to contribute
significant levels of harmful emissions over the next 20 years. Encourage those with agricultural equipment to: REDUCE IDLING: Eliminating unnecessary idling not only reduces diesel emissions, but reduces fuel costs and engine maintenance costs. RETROFIT ENGINES: Verified technologies, such as Diesel Particulate Filters (DPFs) and Diesel Oxidation Catalysts (DOCs), can dramatically reduce diesel emissions.
SWITCH TO CLEANER FUELS: Switching to fuels that contain lower levels of sulfur (such as ultralow
sulfur diesel)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</si>
  <si>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the reduction of diesel emissions from agricultural equipment.</t>
  </si>
  <si>
    <t>https://www.epa.gov/sites/production/files/documents/CleanAg.pdf</t>
  </si>
  <si>
    <t>Assist State, Tribal, Municipal, Intermunicipal, and Interstate agencies in planning, developing, establishing, improving, and maintaining adequate programs for the continuing prevention and control of air pollution and/or in the implementation of national primary and secondary air quality standards. The Office of Air and Radiation's National Program Manager (NPM) Guidance identifies key priorities and activities expected to be undertaken by EPA Headquarters and Regional offices and implementing air agencies in national areas of focus. The associated grant guidance provides information on the State and Tribal Grant program (STAG). The Guidance provides the basis for grant negotiations between HQ and regions and between regions and air agencies as to resource allocation and expected performance. Specific expectations and deliverables will be established through negotiations in grant agreements between regions and air agencies, and OAR encourages air agencies to engage EPA on activities where there may be opportunities for flexibility.</t>
  </si>
  <si>
    <t>Prevent and control air pollution</t>
  </si>
  <si>
    <t>https://www.nal.usda.gov/ric/66001</t>
  </si>
  <si>
    <t>Through the close of the MAP-21 period in 2015, the CMAQ program has provided more than $30 billion to fund over 30,000 transportation related environmental projects for State DOTs, metropolitan planning organizations, and other sponsors throughout the US. As with its predecessor legislation, the FAST Act provides funding to areas in nonattainment or maintenance for ozone, carbon monoxide, and/or particulate matter. In addition, those States that have no nonattainment or maintenance areas still receive a minimum apportionment of CMAQ funding for either air quality projects or other elements of flexible federal aid highway spending.</t>
  </si>
  <si>
    <t>Air quality</t>
  </si>
  <si>
    <t>U.S. Department of Transportation- Federal Aviation Administration</t>
  </si>
  <si>
    <t>https://www.fhwa.dot.gov/environment/air_quality/cmaq/</t>
  </si>
  <si>
    <t>Final Rule for Additional Qualifying Renewable Fuel Pathways under the Renewable Fuel Standard Program</t>
  </si>
  <si>
    <t>EPA has finalized pathways for production of renewable fuel from giant reed (Arundo donax) and napier grass (Pennisetum purpureum) as feedstocks. These pathways are for cellulosic biofuel, for purposes of the RFS. In response to comments on the proposal concerning the potential for these crops to behave as invasive species, EPA is adopting additional registration, recordkeeping, and reporting requirements that were developed to address the potential for GHG emissions related to these concerns. On February 27, 2012, EPA published a notice to withdraw the amendments to the RFS2 regulations issued via direct final rule on January 5, 2012. The amendments would have expanded Table 1 of § 80.1426 to identify additional renewable fuel production pathways and pathway components that could be used in producing qualifying renewable fuel under the RFS2 program. EPA intends to address all comments in a subsequent final action, which will be based on the parallel proposed rule also published on January 5, 2012 (77 FR 462). As stated in the direct final rule and the parallel proposed rule, we will not institute a second comment period on this action.</t>
  </si>
  <si>
    <t>EPA is adopting additional registration, recordkeeping, and reporting requirements that were developed to address the potential for GHG emissions</t>
  </si>
  <si>
    <t>EPA- US Environmental Protection Agency</t>
  </si>
  <si>
    <t>https://www.epa.gov/renewable-fuel-standard-program/final-rule-additional-qualifying-renewable-fuel-pathways-under</t>
  </si>
  <si>
    <t>Environmental Protection Agency’s (EPA) fiscal year (FY) 2013 annual report on the Agency’s performance</t>
  </si>
  <si>
    <t xml:space="preserve">EPAct of 1992 requires that in FY 1999 and beyond, 75% of all non-exempt vehicle acquisitions by federal agencies must be alternative fuel vehicles (AFVs). EO 13423 requires federal agencies to increase alternative fuel consumption by 10% annually compared to the previous year’s alternative fuel usage requirement. EO 13423 also sets a goal for non-exempt federal agencies to reduce petroleum consumption by 2% annually relative to a FY 2005 baseline. In FY 2013, EPA acquired 75 AFVs and received two credits for biodiesel consumption for a total of 77 EPAct credits. Compared to the EPAct requirement of 53 credits (75% of the 70 non-exempt acquisitions), the Agency achieved 110% EPAct compliance with this criteria for FY 20134. EPA has exceeded this EPAct requirement every year since FY 1999
</t>
  </si>
  <si>
    <t>Acquired 75 AFVs; with additional 2 credits, 2 achieved 77 credits total, or 110% of non-exempt acquisitions</t>
  </si>
  <si>
    <t>United States Environmental Protection Agency- FISCAL YEAR 2013
ALTERNATIVE FUEL
VEHICLE ACQUISITION
REPORT</t>
  </si>
  <si>
    <t>https://www.epa.gov/sites/production/files/2015-09/documents/2013afvrpt_508.pdf</t>
  </si>
  <si>
    <t>EPA is establishing an applicable volume of 1.28 bill gallons for biomass-based diesel (BBD) for 2013. EPA is setting this volume based on consideration of the factors specified in the statute, including a consideration of biodiesel production, consumption, and infrastructure issues. As required under the statute, EPA also assessed the likely impact of BBD production and use in a variety of areas.</t>
  </si>
  <si>
    <t>BBD volume requirements</t>
  </si>
  <si>
    <t>https://www.epa.gov/renewable-fuel-standard-program/2013-biomass-based-diesel-volume-renewable-fuel-standard-program</t>
  </si>
  <si>
    <t> EPA concludes that the emissions and health effects information requirements for an E15 registration application would be satisfied by the RFA/Growth Energy submissions. • On three previous occasions, EPA has found that health effects testing of a new F/FA is not required because previous testing provided information that is reasonably comparable to the information that testing of the new F/FA would produce. The registration regulations allow for the developers of the health and emissions information to require reimbursement. However, on February 3, 2012, RFA and Growth Energy sent EPA a letter stating that F/FA manufacturers may rely on the RFA/Growth Energy submission free-of-charge in registering E15.</t>
  </si>
  <si>
    <t>Emissions and health effects information requirements for an E15 registration application would be satisfied by the RFA/Growth Energy submissions</t>
  </si>
  <si>
    <t xml:space="preserve">EPA  </t>
  </si>
  <si>
    <t>https://www.epa.gov/sites/production/files/2015-09/documents/420f12013.pdf</t>
  </si>
  <si>
    <t>U.S. EPA Finalizes 2014 Renewable Fuel Standards Under the Renewable Fuel Standard Program</t>
  </si>
  <si>
    <t>EPA is proposing the volume requirements and associated percentage standards that would apply under the RFS2 program in calendar year 2014 for cellulosic biofuel, biomass-based diesel, advanced biofuel, and total renewable fuel. The proposed standards would ensure that transportation fuel sold in the United State contains a minimum volume of renewable fuel as required by the Energy Independence and Security Act of 2007. 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</si>
  <si>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Ensure that transportation fuel sold in the United State contains a minimum volume of renewable fuel as required by the Energy Independence and Security Act of 2007</t>
  </si>
  <si>
    <t>https://www.epa.gov/renewable-fuel-standard-program/2014-renewable-fuel-standards-under-renewable-fuel-standard-program</t>
  </si>
  <si>
    <t>U.S. EPA Finalizes 2012 Standards Under the Renewable  Fuel Standard Program</t>
  </si>
  <si>
    <t>EPA is establishing the volume requirements and associated percentage standards that will apply under the RFS2 program in calendar year 2012 for cellulosic biofuel, biomass-based diesel, advanced biofuel, and total renewable fuel. The standards will ensure that transportation fuel sold in the United State contains a minimum volume of renewable fuel as required by the Energy Independence and Security Act of 2007. </t>
  </si>
  <si>
    <t>Volume requirements set</t>
  </si>
  <si>
    <t>https://www.epa.gov/renewable-fuel-standard-program/2012-standards-renewable-fuel-standard-program-final-rulemaking</t>
  </si>
  <si>
    <t>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</si>
  <si>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 establish a voluntary quality assurance program (QAP) for verifying the validity of Renewable Identification Numbers (RINs) </t>
  </si>
  <si>
    <t>https://www.epa.gov/renewable-fuel-standard-program/epa-finalizes-voluntary-quality-assurance-plan-renewable-fuel</t>
  </si>
  <si>
    <t>The U.S. Environmental Protection Agency (EPA) proposed revisions to the federal UST regulations to increase emphasis on properly operating and maintaining UST equipment. These revisions will help prevent and detect UST releases that can cause groundwater contamination. Among other changes, owners and operators storing gasoline blended with ethanol in quantities greater than 10% (E10) or diesel fuel blended with biodiesel in quantities greater than 20% (B20) must demonstrate compliance with federal regulations requiring USTs to be compatible with the fuel stored. For Secondary Containment and Operator Training. The revisions will help prevent and detect UST releases, which are a leading source of groundwater contamination. The revisions will also help ensure all USTs in the United States, including those in Indian country, meet the same minimum standards. This is the first major revision to the federal UST regulations since 1988.</t>
  </si>
  <si>
    <t>for Secondary Containment and Operator Training</t>
  </si>
  <si>
    <t>https://www.epa.gov/ust/revising-underground-storage-tank-regulations-revisions-existing-requirements-and-new</t>
  </si>
  <si>
    <t>EPA is establishing the volume requirements and associated percentage standards that apply under the RFS2 program in calendar year 2013 for cellulosic biofuel, biomass-based diesel, advanced biofuel, and total renewable fuel. The standards ensure that transportation fuel sold in the United State contains a minimum volume of renewable fuel as required by the Energy Independence and Security Act of 2007. 
This regulatory action establishes the 2013 annual percentage standards for the Renewable Fuels Standard (RFS) program for cellulosic biofuel, biomass-based diesel, advanced biofuel, and total renewable fuel. These standards apply to all gasoline and diesel produced or imported in 2013. The Environmental Protection Agency (EPA) is also providing additional lead time to obligated parties to demonstrate compliance with the 2013 standards by extending the compliance deadline from February 28, 2014 to June 30, 2014.</t>
  </si>
  <si>
    <t>Ensure that transportation fuel sold in the United State contains a minimum volume of renewable fuel as required by the Energy Independence and Security Act of 2007. </t>
  </si>
  <si>
    <t>https://www.epa.gov/renewable-fuel-standard-program/2013-renewable-fuel-standards-renewable-fuel-standard-program-rfs2</t>
  </si>
  <si>
    <t>U.S. EPA Finalizes Underground Storage Tank Guidance for Biofuels- with Ethanol Blends Greater Than 10 Percent and Biodiesel Blends Greater Than 20 Percent</t>
  </si>
  <si>
    <t>EPA developed guidance which provides options for underground storage tank (UST) owners to use in complying with the federal compatibility requirement for UST systems storing gasoline containing greater than 10 percent ethanol or diesel containing greater than 20 percent biodiesel.</t>
  </si>
  <si>
    <t>https://www.epa.gov/ust/guidance-compatibility-ust-systems-ethanol-blends-greater-10-percent-and-biodiesel-blends</t>
  </si>
  <si>
    <t>U.S. DOT Proposed Waiver under the Buy America Program for Alternative Fuel Vehicle Projects</t>
  </si>
  <si>
    <t>Lists number of vehicles by locality- Street Sweepers and Street Trolleys</t>
  </si>
  <si>
    <t>Buy America Waiver Requests for Alternative Fuel Vehicle Projects</t>
  </si>
  <si>
    <t>U.S. Department of Transportation- Federal Highway Administration</t>
  </si>
  <si>
    <t>https://www.fhwa.dot.gov/construction/contracts/cmaq131115.cfm</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</si>
  <si>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t>
  </si>
  <si>
    <t>Reducing air pollution and greenhouse gases and advance technologies</t>
  </si>
  <si>
    <t>https://www.afdc.energy.gov/fuels/laws/BIOD/US</t>
  </si>
  <si>
    <t>New Policies on Biofuels</t>
  </si>
  <si>
    <t>The White House is expected to announce changes in biofuels policies, including a plan to count ethanol exports toward federal biofuels usage quotas and allowing year-round sale of E15. The changes are aimed at easing tensions between the oil and corn industries, which have been clashing for months over the future of the U.S. Renewable Fuel Standard. Senator Charles Grassley, an Iowa Republican and biofuels advocate, said in a statement on Sunday that allowing exports of biofuels to count toward mandates "exposes the U.S. to trade cases and retaliation from countries like Canada and others." He added that allowing the sale of E15 "isn't anywhere near enough to offset the impact" of the ethanol export credits. "I’m not convinced this is a win-win."</t>
  </si>
  <si>
    <t>Possbily count ethanol exports toward federal biofuels usage quotas and allow year-round sale of E15. The changes are aimed at easing tensions between the oil and corn industries</t>
  </si>
  <si>
    <t xml:space="preserve">AG WEB- Farm Journal </t>
  </si>
  <si>
    <t>https://www.agweb.com/blog/cash-grain-insights-156/new-policies-on-biofuels/</t>
  </si>
  <si>
    <t>Carbon Tax</t>
  </si>
  <si>
    <t>A carbon tax is essentially a tax that companies have to pay for the amount of CO2 emissions they produce. For companies in Europe, where the tax hangs around $20 per ton of CO2, S&amp;P 500 companies would have to cough up a collective $60 to $80 billion each year.  A carbon tax is different from a cap-and-trade agreement, in which a governing body sets a maximum amount of carbon emissions and companies trade carbon emissions tickets amongst themselves.  The proposal from the CLC and WRI calls for a gradually rising, but substantial carbon tax with the revenue going back to taxpayers.  If priced right, a carbon tax can encourage CO2 emitters to scale back on their emissions and seek alternative, cleaner energy sources. A tax puts the pressure on the companies that not only produce the most carbon emissions but who also have the power to cut emissions. According to her team’s research, to reduce carbon emissions enough to keep global warming in check, developed countries need to have a carbon tax of at least $75 per ton.</t>
  </si>
  <si>
    <t> Pay for the amount of CO2 emissions  produced. Keep global warming in check</t>
  </si>
  <si>
    <t>Global Citizen</t>
  </si>
  <si>
    <t>https://www.globalcitizen.org/en/content/us-companies-propose-carbon-tax-to-reduce-co2-emis/</t>
  </si>
  <si>
    <t>Mass.gov</t>
  </si>
  <si>
    <t>http://www.mass.gov/anf/budget-taxes-and-procurement/procurement-info-and-res/procurement-prog-and-serv/epp-procurement-prog/
http://www.mass.gov/anf/budget-taxes-and-procurement/procurement-info-and-res/procurement-prog-and-serv/epp-procurement-prog/green-products-and-serv/specific-epp-statewide-contracts/</t>
  </si>
  <si>
    <t>establishes specifications for sustainable products on statewide contracts, fosters cost effective responsible purchasing choices that help reduce impacts on public health and the environment, and works with agencies, departments and others to encourage their use in public operations. Purchasing decisions affect our local environment and the health of our citizens and workers as well as the global community. As part of the largest procurement group in the nation (representing over 20% of the GNP) federal, state and local governments can use the clout of their buying practices to direct manufacturers toward making more responsible products that are reasonably priced and do less harm to the environment and public health. A number of EPPs available on the market today are less expensive than their conventional counterparts that serve the same purpose (e.g. remanufactured toner cartridges and office panels, retread tires, and energy efficient equipment / appliances). A wide range of other EPPs are equal or comparable in cost (e.g. carpet, cleaning products, janitorial paper products, and remanufactured antifreeze and traffic cones). A third segment of EPPs may cost more at the time of purchase, but often have a short "payback period" after which time they represent a significant ongoing cost savings in the maintenance, use, and disposal of the product (e.g. compact fluorescent light bulbs, plastic lumber, integrated pest management).</t>
  </si>
  <si>
    <t>State agencies and institutions of higher learning are obligated to purchase products with the highest percentage of biobased content as determined via ASTM D6866.  Law requiring state agencies and state-supported colleges and universities to buy biobased products. Senate Bill 131, introduced in June 2009 by Ohio Senator Karen Gillmor (R-Tiffin), became effective May 31, 2010. Obligated parties may not prefer procurement of a biobased product if (a) it is not readily available within a reasonable period, (b) it does not meet performance standards, and (c) if its price is unreasonable, i.e. price is more than the fair market value of a substantially equivalent nonbiobased product. ASTM D6866 determines the percentage of a product that came from renewable sources by measuring the quantity of carbon-14 present in a material. Carbon-14 is only present in living and recently expired matter from renewable sources. Fossil materials no longer have carbon-14 in them. Thus, it is easy to correlate a material’s carbon-14 and biobased content. A product wholly made from plants has a biobased content of 100%, while a product from fossil inputs has a biobased content of 0%. A product with both plants and fossil inputs has a biobased content greater than 0% but lesser than 100%. The value will depend on the percentage of the product that came from renewable sources.</t>
  </si>
  <si>
    <t>Beta Analytic Testing Labratory</t>
  </si>
  <si>
    <t>Goal of 75 percent recycling, composting or source reduction of solid waste by 2020 (statewide approach to decreasing California's reliance on landfills) Makes current landfill diversion programs equal partners with materials management program to achieve the highest and best use of all materials in California. This mindset is also reflected in ongoing reforms within the Beverage Container Recycling Program to safeguard the recycling fund, combat fraud and maximize resource use. Moving Organics Out of the Landfill
Expanding the Recycling/Manufacturing Infrastructure: Permitting/Compliance Assistance and Financing. Exploring New Models for State and Local Funding of Materials Management Programs. Promoting State Procurement of Postconsumer Recycled Content Products. Promoting Extended Producer Responsibility. Concepts are also included for three additional focus areas: Source Reduction, Commercial Recycling, &amp; Other Products (packaging, waste tires, e-waste and used oil) CalRecycle drafted a discussion document in May 2012, held workshops, and solicited survey responses to gather stakeholder input. The drafts organized the existing efforts and new ideas into “focus areas” which provided a framework for the statewide strategy. After additional input, a refined concept list and summaries of stakdeholder comments was published in October 2013. Based on that input, CalRecycle’s recommendations were presented as a report to the Legislature.</t>
  </si>
  <si>
    <t>CA.gov- Cal Recycle</t>
  </si>
  <si>
    <t>The	Iowa	Nutrient	ReducLon	Strategy	is	a	science	and	technology-based	approach	to	assess	and	
reduce	nutrients	delivered	to	Iowa	waterways	and	the	Gulf	of	Mexico.	The	strategy	outlines	
voluntary	efforts	to	reduce	nutrients	in	surface	water	from	both	point	sources,	such	as	
wastewater	treatment	plants	and	industrial	faciliLes,	and	nonpoint	sources,	including	farm	fields	
and	urban	areas,	in	a	scienLfic,	reasonable	and	cost	effective	manner</t>
  </si>
  <si>
    <t xml:space="preserve">Nutrient Strategy- IOWA	NUTRIENT	REDUCTION	STRATEGY	</t>
  </si>
  <si>
    <t>The credit will create an income tax credit equal to 5¢ per pound of qualified chemicals produced. It allows new businesses (those operating less than five years) up to $1 million, while existing businesses can receive $500,000. The credit is limited to $10 million per fiscal year in total awards.n April 2016, the Iowa legislature passed the Biorenewable Chemical Tax Credit Program, a unique, revenue-neutral tax incentive and economic development package designed to attract national biochemical companies and pioneering new businesses to the state. In allocating $100 million in tax credits over ten years to be applied to the manufacturing of 40 key building block chemicals, the program represents the strongest incentive package for the biochemicals industry anywhere in the world. As the national leader in biomass availability, and biofuels, agricultural feedstocks and chemical production, and as the site of the National Science Foundation’s Engineering Center for Biorenewable Chemicals, Iowa contains by far the nation’s strongest biorenewables infrastructure. With these essential pieces already in place, the passing of this bill further cements Iowa’s position as an innovative leader in a growing industry that accounts for more $250 billion in revenue and thousands of jobs each year.</t>
  </si>
  <si>
    <t>Iowa State University- Bioeconomy Institute
CultivationCorridor</t>
  </si>
  <si>
    <t>http://www.biorenew.iastate.edu/2016/04/08/biotaxcredit/
http://www.cultivationcorridor.org/biochem/</t>
  </si>
  <si>
    <t>North Dakota: Foundation for Agricultural and Rural Resources Management and Sustainability (FARRMS) </t>
  </si>
  <si>
    <t> Works to ensure the sustainability, health, and diversity of small farms and communities across North Dakota. Through their educational programs and opportunities, FARRMS aims to cultivate the next generation of organic farmers. Their work focuses on giving farmers the tools to build and sustain thriving organic farms, promoting the purchase of locally grown produce, and expanding agricultural education in schools. Grants to Grow program offers low interest loans and grants for sustainable farm improvements or enterprise startups. The application process is very simple and interest is not charged on an annual payment for the first three years of the 10 year note. Also, one-third of the total amount is given by way of a grant that does not have to be paid back.</t>
  </si>
  <si>
    <t>Foodtank</t>
  </si>
  <si>
    <t>https://foodtank.com/news/2015/07/growing-north-dakota-sustainably-one-small-farm-at-a-time/</t>
  </si>
  <si>
    <t>Georgia Tech- Renewable Bioproducts Institute</t>
  </si>
  <si>
    <t>RBI is focused on the development of sustainable manufacturing processes that produce value-added products from forest biomass. Our areas of interest include addressing technological barriers for future processes and new products from forest biomaterials. This effort includes lower energy manufacturing and new scope biorefineries and nanocellulose production technologies. Technologies such as light dry crepe and through-air drying, non-woven technologies such as spunbond, meltblown and spunlace are included in the expertise of our faculty. The application of biomaterials will be expanded in consumer products within the next few years across the spectrum of disposables to create a more sustainable world within this segment of the industry. Some of the new product innovations include smart packaging, coating solutions, printed electronics, renewable binders and adhesives and other chemicals with high value to customers, consumers and society as a whole. </t>
  </si>
  <si>
    <t>http://rbi1.gatech.edu/research/sustainable-manufacturing</t>
  </si>
  <si>
    <t>Louisiana: Sustainable Bioproducts Initiative</t>
  </si>
  <si>
    <t>A Regional Program for Production of Multiple Agricultural Feedstocks and Processing to Biofuels and Biobased Chemicals led by Louisiana State University (LSU) AgCenter is using energy cane and sweet sorghum to produce butanol, aviation fuel, and other industrial chemicals. Studying the regular production of biomass for economically viable conversion to biofuels and bioenergy using existing refinery infrastructure. Through new and existing industrial partnerships, this project is using energy cane and sweet sorghum to help reinvigorate the Louisiana sugar and chemical industries. </t>
  </si>
  <si>
    <t>USDA
LSU AgCenter</t>
  </si>
  <si>
    <t>https://nifa.usda.gov/sustainable-bioproduct-initiative-project-subi#
http://www.lsuagcenter.com/topics/crops/bioenergy/biofuels_bioprocessing/subi</t>
  </si>
  <si>
    <t>Nutrient Strategy</t>
  </si>
  <si>
    <t>The Alabama Department of Economic and Community Affairs provides low-interest energy efficiency loans through its Local Government Energy Loan program to local governments and educational institutions. Eligible energy efficiency improvement projects include those involving idle reduction equipment and natural gas and propane vehicle conversions or purchases. Dedicated and bi-fuel vehicles are eligible, and the loan may cover incremental and conversion costs. Local governments and public colleges and universities can borrow up to $350,000; K-12 public schools may borrow up to $350,000 per campU.S. or $500,000 per school system. The minimum loan amount is $50,000 and the maximum loan term is five years. The program is not currently accepting applications (verified June 2018).</t>
  </si>
  <si>
    <t>https://www.afdc.energy.gov/laws/11556</t>
  </si>
  <si>
    <t>U.S. Department of Energy- Energy Efficiency &amp; Renewable Energy-  Alternative Fuel Data Center- Alternative Fuel and Idle Reduction Revolving Loan Program for Public Entities</t>
  </si>
  <si>
    <t>The Alabama Department of Economic and Community Affairs provides an energy efficiency and renewable energy loan through its AlabamaSAVES program to commercial, indU.S.trial, and non-profit entities. Eligible energy efficiency improvements include those involving idle reduction equipment, natural gas and propane vehicle conversions or purchases, and alternative fueling infrastructure installation at existing facilities in Alabama. Dedicated and bi-fuel vehicles are eligible, and the loan may cover incremental and conversion costs. </t>
  </si>
  <si>
    <t>https://www.afdc.energy.gov/laws/11649</t>
  </si>
  <si>
    <t>U.S. Department of Energy- Energy Efficiency &amp; Renewable Energy-  Alternative Fuel Data Center- Alternative Fuel and Idle Reduction Revolving Loan Program for Private Entities</t>
  </si>
  <si>
    <t>Companies that invest in the development of a biofuel production facility may be eligible for a tax credit of 3% of the previous year's annual employee wages. Companies may claim this credit against the utility gross receipts and utility service use taxes for up to 10 years; the credit may be refundable during the incentive period or claimed as a credit against utility taxes paid with a carryforward for earned but unused amounts. Companies may also be eligible for a tax credit of 1.5% of qualified capital investment annually for up to 10 years. Companies may claim this credit against the income tax, estimated income taxes, financial institution excise tax, or the insurance premium tax; the credit may be claimed as a credit against taxes paid with a carryforward for earned but unused amounts. For the purposes of the credit, biofuel is defined as a motor vehicle fuel that is produced from grain, starch, oilseeds, vegetable, algae, animal materials, or other biomass. To be eligible for the tax credits, companies must execute a project agreement with the Governor.</t>
  </si>
  <si>
    <t>https://www.afdc.energy.gov/laws/11694</t>
  </si>
  <si>
    <t>U.S. Department of Energy- Energy Efficiency &amp; Renewable Energy-  Alternative Fuel Data Center- Biofuel Production Jobs Tax Credit</t>
  </si>
  <si>
    <t>328 fueling stations. Alabama has 1 coalition: Alabama Clean Fuels Coalition. updated 7/11/2018- Idle Reduction and Natural Gas Vehicle (NGV) Weight Exemption- Any motor vehicle equipped with an auxiliary power unit (APU) or other idle reduction technology may exceed the gross, axle, tandem, or bridge formula weight limits by up to 400 pounds (lbs.). To be eligible for the weight exemption, the vehicle operator must be able to provide written proof or certification of the weight of the APU and demonstrate or certify that the idle reduction technology is fully functional at all times. Any NGV may exceed the limits by up to 2,000 lbs.</t>
  </si>
  <si>
    <t>https://www.afdc.energy.gov/states/al</t>
  </si>
  <si>
    <t>U.S. Department of Energy- Energy Efficiency &amp; Renewable Energy-  Alternative Fuel Data Center- Alabama Transportation Data for Alternative Fuels and Vehicles</t>
  </si>
  <si>
    <t>The Alabama Green Fleets Review Committee (Committee) established a Green Fleets Policy (Policy) outlining a procedure for procuring state vehicles based on criteria that includes fuel economy and life cycle costing. State fleet managers must classify their vehicle inventory for compliance with the Policy and submit annual plans for procuring fuel-efficient vehicles. These plans must reflect a 4% annual increase in average fleet fuel economy for light-duty vehicles, a 3% annual increase in average fleet fuel economy for medium-duty vehicles, and a 2% annual increase in average fleet fuel economy for heavy-duty vehicles per fiscal year. The Policy will also require that government entities manage and operate their fleets in a manner that is energy efficient, minimizes emissions, and reduces petroleum dependency by using specified proven technology the Committee identifies.  In addition, the Alabama Department of Transportation appointed and employed a fleet manager to develop a statewide fleet management program (Program). The Office of Fleet Management will propose fleet management policies, procedures, and guidelines for all state agency, board, commission, and department fleets and will address future cooperation between the Department of Finance and the Committee to ensure compliance with the Green Fleets Policy.</t>
  </si>
  <si>
    <t>https://www.afdc.energy.gov/laws/all?state=AL</t>
  </si>
  <si>
    <t>U.S. Department of Energy- Energy Efficiency &amp; Renewable Energy-  Alternative Fuel Data Center- Alabama Laws and Incentives</t>
  </si>
  <si>
    <t>Alternative Fuel Vehicle Acquistion Requirement</t>
  </si>
  <si>
    <t>https://www.afdc.energy.gov/fuels/laws/LPG/AK</t>
  </si>
  <si>
    <t>U.S. Department of Energy- Energy Efficiency &amp; Renewable Energy- Alternative Fuels Data Center- Alaska Laws and Incentives for Propane</t>
  </si>
  <si>
    <t>The tax rate on fuel containing ethanol is $0.06 per gallon less than the tax rate on other motor fuels in certain geographic areas. This reduced rate is in effect during months ethanol fuel blends must be sold, transferred, or used to operate motor vehicles to reduce carbon monoxide emissions and attain federal or state air quality standards.</t>
  </si>
  <si>
    <t>https://www.afdc.energy.gov/laws/6403</t>
  </si>
  <si>
    <t>U.S. Department of Energy- Energy Efficiency &amp; Renewable Energy-  Alternative Fuel Data Center- Ethanol Fuel Blend Tax Rate</t>
  </si>
  <si>
    <t>Biodiesel is a fuel that is produced from nonpetroleum renewable resources and meets ASTM specification D6751 and the U.S. Environmental Protection Agency registration requirements for fuels and fuel additives established in Section 211 of the Clean Air Act. E85 is defined as a blend of fuel ethanol and gasoline that meets ASTM specification D5798. The Arizona Department of Weights and Measures must adopt rules to establish and enforce federal standards and ASTM test methods for biofuels and biofuel blends, and blenders of biodiesel must follow the established reporting requirements [74]</t>
  </si>
  <si>
    <t>https://www.afdc.energy.gov/fuels/laws/ETH/AZ</t>
  </si>
  <si>
    <t>U.S. Department of Energy- Energy Efficiency &amp; Renewable Energy- Alternative Fuels Data Center- Arizona Laws and Incentives for Ethanol</t>
  </si>
  <si>
    <t>State Vehicle Acquisition and Fuel use Requirements</t>
  </si>
  <si>
    <t>Arizona state agencies, boards, and commissions must purchase hybrid electric vehicles (HEVs), alternative fuel vehicles (AFVs), or vehicles that meet set greenhouse gas emissions standards; or use alternative fuels. At least 75% of light-duty state fleet vehicles operating in counties with a population of more than 250,000 people must be capable of operating on alternative fuels. If the AFVs operate in counties with populations of more than 1.2 million people, those vehicles must meet U.S. Environmental Protection Agency emissions standards for Low Emission Vehicles. Alternatively, the state fleet may meet AFV acquisition requirements through biodiesel or alternative fuel use or apply for waivers. For the purpose of these requirements, alternative fuels include propane, natural gas, electricity, hydrogen, qualified diesel fuel substitutes, E85, and a blend of hydrogen with propane or natural gas.</t>
  </si>
  <si>
    <t>https://www.afdc.energy.gov/laws/5188</t>
  </si>
  <si>
    <t>U.S. Department of Energy- Energy Efficiency &amp; Renewable Energy-  Alternative Fuel Data Center- State Vehicle Acquisition and Fuel Use Requirements</t>
  </si>
  <si>
    <t>Local governments in Maricopa, Pinal, and Yavapai counties with a population of more than 1.2 million people must develop and implement vehicle fleet plans to encourage and increase the use of alternative fuels in municipal fleets. At least 75% of the total municipal fleet must operate on alternative fuels. Alternatively, municipal fleets may meet AFV acquisition requirements through biodiesel or other alternative fuel use or apply for waivers. Local governments in counties with populations of more than 500,000 people with Bus fleets must purchase or convert Buses to operate on alternative fuels. For the purpose of these requirements, alternative fuels include propane, natural gas, electricity, hydrogen, qualified diesel fuel substitutes, E85, and a blend of hydrogen with propane or natural gas.</t>
  </si>
  <si>
    <t>https://www.afdc.energy.gov/laws/8400</t>
  </si>
  <si>
    <t>U.S. Department of Energy- Energy Efficiency &amp; Renewable Energy-  Alternative Fuel Data Center- Municipal Alternative Fuel Vehicle (AFV) Acquisition Requirements</t>
  </si>
  <si>
    <t>Federal fleets based in Arizona that operate primarily in counties with a population of more than 1.2 million people must be comprised of at least 90% alternative fuel vehicles. Alternatively, federal fleets may meet acquisition requirements through alternative fuel use or apply for waivers. For the purpose of these requirements, alternative fuels include propane, natural gas, electricity, hydrogen, qualified diesel fuel substitutes, E85, and a blend of hydrogen with propane or natural gas.</t>
  </si>
  <si>
    <t>https://www.afdc.energy.gov/laws/8402</t>
  </si>
  <si>
    <t>U.S. Department of Energy- Energy Efficiency &amp; Renewable Energy-  Alternative Fuel Data Center- Federal Fleet Operation Regulations</t>
  </si>
  <si>
    <t>The following was repealed by House Bill 2190, 2016: Within Maricopa, Pinal, and Yavapai counties, school districts with an average student population of more than 3,000 students must ensure that 50% of the portion of the fleet with a gross vehicle weight rating of at least 17,500 pounds per vehicle operates on alternative fuels or meets specified emissions standards. Alternatively, school districts may meet acquisition requirements through alternative fuel use. For the purpose of these requirements, alternative fuels include propane, natural gas, electricity, hydrogen, qualified diesel fuel substitutes, E85, and a blend of hydrogen with propane or natural gas.</t>
  </si>
  <si>
    <t>https://www.afdc.energy.gov/laws/laws_expired?jurisdiction=AZ</t>
  </si>
  <si>
    <t>U.S. Department of Energy- Energy Efficiency &amp; Renewable Energy-  Alternative Fuel Data Center- Expired, Repealed, and Archived Arizona Incentives and Laws</t>
  </si>
  <si>
    <t>The Office of Energy, a division of the Arkansas Department of Environmental Quality, administers the Arkansas Alternative Fuel Vehicle Rebate Program (Program), funded by the Alternative Motor Fuel Development Fund. The Program provides 50% of the incremental cost, up to $4,500, to purchase a qualified hydrogen fuel cell, natural gas, or propane vehicle, 50% of the conversion cost, up to $2,500, for converting a hydrogen fuel cell, natural gas, or propane vehicle, and 50% of the incremental cost, up to $2,500, to purchase a qualified plug-in electric vehicle.  Rebates are available for natural gas and propane fueling stations in the amount of 75% of qualifying costs, up to $400,000, and up to 50% of qualifying costs for private and public electric vehicle supply equipment, up to $900 and $5,000 respectively. Compressed natural gas (CNG) must be delivered to a vehicle at 3,000 pounds (lbs.) per square inch and metered on a gasoline gallon equivalent (GGE); liquefied natural gas (LNG) must be metered on a diesel gallon equivalent (DGE). One GGE of CNG is equal to 5.66 lbs. and one DGE of LNG is equal to 6.22 lbs.  The Office of Energy reviews and processes vehicle rebate applications on a first-come, first-served basis. The Program is currently closed and no funding is available (verified April 2018)</t>
  </si>
  <si>
    <t>https://www.afdc.energy.gov/fuels/laws/NG/AR</t>
  </si>
  <si>
    <t>U.S. Department of Energy- Energy Efficiency &amp; Renewable Energy- Alternative Fuels Data Center- Arkansas Laws and Incentives for Natural Gas</t>
  </si>
  <si>
    <t>Alternative fuels include biofuel, ethanol, methanol, hydrogen, coal-derived liquid fuels, electricity, natural gas, propane gas, or a synthetic transportation fuel. Biofuel is defined as a renewable, biodegradable, comBustible liquid or gaseoU.S. fuel derived from biomass or other renewable resources that can be used as transportation fuel, comBustion fuel, or refinery feedstock and that meets ASTM specifications and federal quality requirements for each category or grade of fuel. Biofuel includes biodiesel or renewable diesel, renewable gasoline, renewable jet fuel and naphtha, biocrude, biogas, and other renewable, biodegradable, mono alkyl ester comBustible fuel derived from biomass. Ethanol is ethyl alcohol derived from biomass that meets ASTM D4806-04a and federal quality requirements. Synthetic transportation fuel is a liquid fuel produced from biomass by a gasification process or other refining process that meets any applicable state or federal environmental requirement. </t>
  </si>
  <si>
    <t>U.S. Department of Energy- Energy Efficiency &amp; Renewable Energy- Alternative Fuels Data Center- Arkansas Laws and Incentives for Natural Gas</t>
  </si>
  <si>
    <t>Excise taxes on alternative fuels are imposed on a gasoline gallon equivalent (GGE) basis. The tax rate for each alternative fuel type is based on the number of motor vehicles licensed in the state that use the specific fuel, not including vehicles the federal government owns or leases. The Arkansas Department of Finance and Administration (DFA) and the Arkansas State Highways and Transportation Department must prepare an annual report with the number of alternative fuel vehicles licensed in the state and the tax revenue generated. The DFA must establish the annual tax rate by April 1st. Licensed alternative fuel suppliers must pay alternative fuel taxes for product dispensed, sold to a dealer or user, or used in a motor vehicle owned or operated by the alternative fuel supplier. Alternative fuel suppliers must prepare a monthly report on the number of GGEs of alternative fuels sold and possess a sufficient number of credits (also known as sales tickets) to cover the alternative fuel sales tax. </t>
  </si>
  <si>
    <t>Alternative Fuel Vehicle Conversion Notification</t>
  </si>
  <si>
    <t xml:space="preserve">Any individual or company who converts a vehicle to operate on an alternative fuel must report the conversion to the Arkansas Department of Finance and Administration (DFA) within 10 days of the conversion. An owner or operator who fails to report such a conversion may be subject to a penalty. </t>
  </si>
  <si>
    <t>https://www.afdc.energy.gov/laws/5817</t>
  </si>
  <si>
    <t>U.S. Department of Energy- Energy Efficiency &amp; Renewable Energy-  Alternative Fuel Data Center- Alternative Fuel Vehicle Conversion Notification</t>
  </si>
  <si>
    <t>Biodiesel use Requirement</t>
  </si>
  <si>
    <t xml:space="preserve">All diesel-powered motor vehicles, light trucks, and equipment owned or leased by a state agency must operate using diesel fuel that contains a minimum of 2% biodiesel (B2). For the purpose of this requirement, biodiesel includes renewable diesel and other renewable, biodegradable mono alkyl ester comBustible fuel derived from biomass. The Department of Finance and Administration may grant waivers to the B2 requirement for state agency vehicles if the fuel is not available in certain geographic areas, the fuel price is at least $0.15 more per gallon then the petroleum equivalent, or compliance with the standard is not otherwise economically feasible. </t>
  </si>
  <si>
    <t>https://www.afdc.energy.gov/laws/6193</t>
  </si>
  <si>
    <t>U.S. Department of Energy- Energy Efficiency &amp; Renewable Energy-  Alternative Fuel Data Center- Biodiesel Use Requirement</t>
  </si>
  <si>
    <t>California Initiative for Large Molecule sustainable Fuels (CILMSF)</t>
  </si>
  <si>
    <t>In 2011, The California Energy Commission awarded the then San Diego Center for Algae Biotechnology a three-year, two million dollar grant to support innovative collaborative projects that advance sustainable biofuels production. These projects are intended to maintain California as a leader in developing sustainable biofuels, from both algae and other promising alternative sources.</t>
  </si>
  <si>
    <t>http://algae.ucsd.edu/research/cilmsf/index.html</t>
  </si>
  <si>
    <t>UC San Diego- California Center for Algae Biotechnology</t>
  </si>
  <si>
    <t>Integrated action plan by July 2016 that establishes clear targets to improve freight efficiency, transition to zero-emission technologies, and increase competitiveness of California’s freight system.</t>
  </si>
  <si>
    <t>http://dot.ca.gov/hq/tpp/offices/ogm/cs_freight_action_plan/main.html</t>
  </si>
  <si>
    <t>CA.gov- Caltrans- The California sustainable Freight Action Plan</t>
  </si>
  <si>
    <t>The District develops and administers a comprehensive suite of highly-successful voluntary incentive programs targeted at reducing harmful emissions throughout the Valley. These innovative programs provide an opportunity for Valley residents, businesses, public agencies and other organizations to get involved and make a positive impact on the Valley’s air quality. The District is constantly updating existing programs and developing new programs as new, cleaner technologies emerge to ensure we remain on the cutting edge of emission reduction technology. Additionally, the District is consistently working to ensure that the Valley receives its fair share of available federal, state and local funding for incentives. Through a combined public/private investment of more than $2 billion, the District has been able to reduce tens of thoU.S.ands of tons of harmful emissions through a variety of cost-effective, voluntary and often first-of-their-kind incentive programs.</t>
  </si>
  <si>
    <t>http://valleyair.org/grants/</t>
  </si>
  <si>
    <t>San Joaquin Valley Air Pollution Control District</t>
  </si>
  <si>
    <t>CTP 2040- Improve transit by completing the entire California High-Speed Rail Authority business Plan
Phase 1 High-Speed Rail System by 2029, and making it the backbone of an integrated statewide
transit system linking all transit operators with one-stop ticketing and well-coordinated transfers. Reduce long-run repair and maintenance costs by using “fix-it first”, smart asset management, and life-cycle costing, to maintain our transportation infrastructure in good condition–this shouldinclude developing a comprehensive assessment of climate-related vulnerabilities, and actions to ensure system resiliency and adaptation to extreme events. Improve highways and roads by using management systems and technologies to maximize system efficiency through integrated multimodal corridor management (intelligent transportation system, high-occupancy toll lanes, and Bus rapid transit lanes, which are managed in coordination with active transportation and rail lines), and through new technologies and services including autonomoU.S. and connected vehicles, smart parking, vehicle-to-vehicle communications, infrastructure-to-vehicle communication, and vehicle sharing and ride-sharing services. Improve freight efficiency and the economy by completing the California sustainable Freight Action Plan outlined in Executive Order B-32-15, and through creation of dedicated federal and State freight funding programs to invest in California’s primary trade corridor, including multimodal last mile connections to major freight facilities including ports and hubs. Improve communities through the region-led sustainable Communities Strategies, which will be updated as the State moves toward 2030 and 2050 greenhouse gas reduction targets–the State can continue to partner with regions through the investment of Greenhouse Gas Reduction Funds and other measures such as better use of highway corridors for recreation and to reconnect communities. Reduce transportation-system deaths and injuries through multi-agency coordination that implements the Toward Zero Deaths vision, and public engagement to reduce distracted driving, impaired driving, and unsafe work-zone driving. Expand the use and safety of bike and pedestrian facilities by utilizing the Active Transportation Program to support a broad range of investments that go beyond individual projects to encourage corridor-wide and citywide strategies, and also through improved State and local implementation of Complete Streets strategies that will increase active transportation for short trips, first/last mile transit trips, and school trips. Make our vehicles and transportation fuels cleaner through incentives and regulations to increase zero-emission vehicles and other methods outlined in the California Air Resources Board’s Assembly Bill 32 Scoping Plan.  Improve public health and achieve climate and other environmental goals through the strategies above and through implementation of roBust advanced mitigation to streamline transportation projects and maximize the biological benefit.  Secure permanent, stable, and sufficient transportation revenue from transportation users to achieve the state of good repair, freight efficiency, and other investments outlined in this plan. </t>
  </si>
  <si>
    <t>http://www.dot.ca.gov/hq/tpp/californiatransportationplan2040/Final%20CTP/FINALCTP2040-Report-PRINT-NoBleed_secured.pdf</t>
  </si>
  <si>
    <t>Dot.ca.gov</t>
  </si>
  <si>
    <t>http://www.energy.ca.gov/2018_energypolicy/</t>
  </si>
  <si>
    <t>CA.gov- California Energy Commission</t>
  </si>
  <si>
    <t>The San Joaquin Valley Air Pollution Control District (Valley Air District) is committed to improving the health and quality of life for all Valley residents through effective and cooperative air quality programs. Air District Advocates for Fairness in Federal Law that Protects Valley Residents from Devastating Economic Sanctions for Pollution from Sources Under State and Federal Jurisdiction that Fall Outside the District’s Authority</t>
  </si>
  <si>
    <t>http://www.valleyair.org/Home.htm</t>
  </si>
  <si>
    <t>San Joaquin Valley Air Pollution Control District</t>
  </si>
  <si>
    <t>Propel Fuels offers a rebate to qualified fleet customers for monthly purchases of more than 500 gallons of biodiesel blends and E85. Fleet customers must purchase the fuel directly from Propel public retail locations using the Propel CleanDrive Fleet Card. The program offers a rebate of $0.03 per gallon for purchases of less than 1,000 gallons of biofuel per month, and $0.05 per gallon for purchases of 1,000 gallons or more per month. The rebate is applied at the end of each monthly billing cycle</t>
  </si>
  <si>
    <t>https://www.afdc.energy.gov/fuels/laws/BIOD/CA</t>
  </si>
  <si>
    <t>U.S. Department of Energy- Alternative Fuels Data Center- California Laws and Incentives for Biodiesel</t>
  </si>
  <si>
    <t>The California Department of General Services (DGS) and California Department of Transportation (DOT) must develop and implement AFV parking incentive programs in public parking facilities operated by DGS with 50 or more parking spaces and park-and-ride lots owned and operated by DOT. The incentives must provide meaningful and tangible benefits to drivers, such as preferential spaces, reduced fees, and fueling infrastructure. Fueling infrastructure built at park-and-ride lots is not subject to restricted use by those using bicycles, public transit, or ridesharing.</t>
  </si>
  <si>
    <t>https://www.afdc.energy.gov/laws/10393</t>
  </si>
  <si>
    <t>U.S. Department of Energy- Energy Efficiency &amp; Renewable Energy- Alternative Fuels Data Center- Alternative Fuel Vehicle (AFV) Parking Incentive Programs</t>
  </si>
  <si>
    <t>https://www.afdc.energy.gov/laws/11160</t>
  </si>
  <si>
    <t>U.S. Department of Energy- Energy Efficiency &amp; Renewable Energy-  Alternative Fuel Data Center- Support for Advanced Biofuel Development</t>
  </si>
  <si>
    <t>State Agency Low Carbon Fuel use Requirement</t>
  </si>
  <si>
    <t>Beginning January 1, 2017, at least 3% of the aggregate amount of bulk transportation fuel purchased by the state government must be from very low carbon transportation fuel sources. Beginning January 1, 2018, the required amount of very low carbon transportation fuel purchased will increase by 1% annually until January 1, 2024. Some exemptions may apply, as determined by the California Department of General Services (DGS). Very low carbon fuel is defined as a transportation fuel having no greater than 40% of the carbon intensity of the closest comparable petroleum fuel for that year, as measured by the methodology in California Code of Regulations Title 17, Sections 95480-95486. DGS will submit an annual progress report to the California Legislature.</t>
  </si>
  <si>
    <t>https://www.afdc.energy.gov/laws/11658</t>
  </si>
  <si>
    <t>U.S. Department of Energy- Energy Efficiency &amp; Renewable Energy-  Alternative Fuel Data Center- State Agency Low Carbon Fuel Use Requirement</t>
  </si>
  <si>
    <t>The excise tax imposed on compressed natural gas (CNG), liquefied natural gas (LNG), and liquefied petroleum gas (LPG or propane) used to operate a vehicle can be paid through an annual flat rate sticker tax based on vehicle weights. Alternatively, owners and operators may pay an excise tax on CNG of $0.0887 per gasoline gallon equivalent (GGE) measured at standard pressure and temperature, $0.1017 for each diesel gallon equivalent (DGE) of LNG, and $0.06 per gallon of propane. One GGE is equal to 5.66 lbs. of CNG and one DGE is equal to 6.06 lbs. of LNG. The excise tax on ethanol and methanol fuel blends containing up to 15% gasoline or diesel fuel is one-half the tax on gasoline and diesel prescribed by California Revenue and Taxation Code section 8651.</t>
  </si>
  <si>
    <t>https://www.afdc.energy.gov/laws/4246</t>
  </si>
  <si>
    <t>U.S. Department of Energy- Energy Efficiency &amp; Renewable Energy-  Alternative Fuel Data Center- Alternative Fuel Tax Rate</t>
  </si>
  <si>
    <t>Lower-Emission School Bus Program provides grant funding for the replacement of older school Buses and for the purchase of air pollution control equipment for in-use Buses. The air pollution control devices must reduce particulate matter emissions by at least 85% for each retrofitted school Bus.Public school districts in California that own their Buses are eligible to receive funding. Private school transportation providers that contract with public school districts in California to provide transportation services are also eligible to receive funding for the retrofit of in-use Buses. New Buses purchased to replace older Buses may be fueled with diesel or an alternative fuel, provided that the required emissions standards specified in the current guidelines for the Program are met. Funds are also available for replacing on-board natural gas tanks on older school Buses and for updating deteriorating natural gas fueling infrastructure. Commercially available hybrid electric school Buses may be eligible for partial funding.</t>
  </si>
  <si>
    <t>https://www.afdc.energy.gov/laws/5357</t>
  </si>
  <si>
    <t xml:space="preserve">U.S. Department of Energy- Alternative Fuels Data Center- Low Emissions School Bus Grants
</t>
  </si>
  <si>
    <t>The South Coast Air Quality Management District (SCAQMD) requires government fleets and private contractors under contract with public entities to purchase non-diesel lower emission and alternative fuel vehicles. The rule applies to transit Bus, school Bus, refuse hauler, and other vehicle fleets of at least 15 vehicles that operate in Los Angeles, San Bernardino, Riverside, and Orange counties.</t>
  </si>
  <si>
    <t>https://www.afdc.energy.gov/laws/5502</t>
  </si>
  <si>
    <t>U.S. Department of Energy- Energy Efficiency &amp; Renewable Energy-  Alternative Fuel Data Center- Fleet Emissions Reduction Requirements - South Coast</t>
  </si>
  <si>
    <t>Provides financial incentives for businesses, vehicle and technology manufacturers, workforce training partners, fleet owners, consumers, and academic institutions with the goal of developing and deploying alternative and renewable fuels and advanced transporation technologies.  The CEC must prepare and adopt an annual Investment Plan (PDF) for the ARFVTP to establish funding priorities and opportunities that reflect program goals and to describe how program funding will complement other public and private investments. Funded projects include: Commercial alternative fuel vehicle (AFV) demonstrations and deployment; Alternative and renewable fuel production; Research and development of alternative and renewable fuels and innovative technologies; AFV manufacturing; Workforce training; and Public education, outreach, and promotion.The program will be available until January 1, 2024</t>
  </si>
  <si>
    <t>https://www.afdc.energy.gov/laws/6307</t>
  </si>
  <si>
    <t xml:space="preserve">U.S. Department of Energy- Energy Efficiency &amp; Renewable Energy-  Alternative Fuel Data Center- Alternative Fuel and Vehicle Incentives
</t>
  </si>
  <si>
    <t>Reduce emissions from on-road heavy-duty diesel vehicles through the installation of verified diesel emission control strategies (VDECS) and vehicle replacements._x000D_
An on-road heavy-duty diesel vehicle rule (truck and Bus regulation) requires the retrofit and replacement of nearly all privately owned vehicles operated in California with a gross vehicle weight rating (GVWR) greater than 14,000 pounds. School Buses owned by private and public entities and federal government owned vehicles are also included in the scope of the rule. By January 1, 2023, nearly all vehicles must have engines certified to the 2010 engine standard or equivalent. A drayage/port truck rule regulates heavy-duty diesel-fueled vehicles that transport cargo to and from California's ports and intermodal rail facilities. The rule requires that certain drayage trucks be equipped with VDECS and that all applicable vehicles have engines certified to the 2007 emissions standards. By January 1, 2023, all applicable vehicles must have engines certified to 2010 standards. A public transit agency fleet rule regulates public transit fleets and sets emissions reduction standards for new transit vehicles. A solid waste collection vehicle rule regulates solid waste collection vehicles with a gross vehicle weight rating of 14,000 pounds or more that operate on diesel fuel, have 1960 through 2006 engine models, and collect waste for a fee. The fleet rule for public agencies and utilities requires fleets to install VDECS on vehicles or purchase vehicles that run on alternative fuels or use advanced technologies to achieve emissions requirements by specified implementation dates.</t>
  </si>
  <si>
    <t>https://www.afdc.energy.gov/laws/6308</t>
  </si>
  <si>
    <t>U.S. Department of Energy- Energy Efficiency &amp; Renewable Energy-  Alternative Fuel Data Center- Low Carbon Fuel Standard</t>
  </si>
  <si>
    <t>Alternative Fuel and PlU.S.-in Hybrid Electric Vehicle Retrofit Regulations</t>
  </si>
  <si>
    <t>Converting a vehicle to operate on an alternative fuel in lieu of the original gasoline or diesel fuel is prohibited unless the California Air Resources Board (ARB) has evaluated and certified the retrofit system. ARB will issue certification to the manufacturer of the system in the form of an Executive Order once the manufacturer demonstrates compliance with the emissions, warranty, and durability requirements. A manufacturer is defined as a person or company who manufactures or assembles an alternative fuel retrofit system for sale in California; this definition does not include individuals wishing to convert vehicles for personal use. Individuals interested in converting their vehicles to operate on an alternative fuel must ensure that the alternative fuel retrofit systems used for their vehicles have been ARB certified. A hybrid electric vehicle that is Model Year 2000 or newer and is a passenger car, light-duty truck, or medium-duty vehicle may be converted to incorporate off-vehicle charging capability if the manufacturer demonstrates compliance with emissions, warranty, and durability requirements. ARB issues certification to the manufacturer and the vehicle must meet California emissions standards for the model year of the original vehicle.</t>
  </si>
  <si>
    <t>https://www.afdc.energy.gov/laws/6490</t>
  </si>
  <si>
    <t>U.S. Department of Energy- Energy Efficiency &amp; Renewable Energy-  Alternative Fuel Data Center- Alternative Fuel and Plug-in Hybrid Electric Vehicle Retrofit Regulations</t>
  </si>
  <si>
    <t>California's LEV II exhaU.S.t emissions standards apply to Model Year (MY) 2004 and subsequent model year passenger cars, light-duty trucks, and medium-duty passenger vehicles meeting specified exhaU.S.t standards. The LEV II standards represent the maximum exhaU.S.t emissions for LEVs, Ultra Low Emission Vehicles, and Super Ultra Low Emission Vehicles, including flexible fuel, bi-fuel, and dual-fuel vehicles when operating on an alternative fuel. MY 2009 and subsequent model year passenger cars, light-duty trucks, and medium-duty passenger vehicles must meet specified fleet average greenhouse gas (GHG) exhaU.S.t emissions requirements. Each manufacturer must comply with these fleet average GHG requirements, which are based on California Air Resources Board (ARB) calculations. Bi-fuel, flexible fuel, dual-fuel, and grid-connected hybrid electric vehicles may be eligible for an alternative compliance method. In December 2012, ARB finalized regulatory requirements, referred to as LEV III, which allow vehicle manufacturer compliance with the U.S. Environmental Protection Agency's GHG requirements for MY 2017-2025 to serve as compliance with California's adopted GHG emissions requirements for those same model years.</t>
  </si>
  <si>
    <t>https://www.afdc.energy.gov/laws/6493</t>
  </si>
  <si>
    <t>U.S. Department of Energy- Energy Efficiency &amp; Renewable Energy-  Alternative Fuel Data Center- Low Emission Vehicle (LEV) Standards</t>
  </si>
  <si>
    <t>The California Department of Health and Safety may adopt a process by which state designated referees inspect vehicles that present prohibitive inspection circumstances, such as vehicles equipped with alternative fuel retrofit systems</t>
  </si>
  <si>
    <t>https://www.afdc.energy.gov/laws/8846</t>
  </si>
  <si>
    <t>U.S. Department of Energy- Energy Efficiency &amp; Renewable Energy-  Alternative Fuel Data Center- Alternative Fuel Vehicle Retrofit Emissions Inspection Process</t>
  </si>
  <si>
    <t>The California Department of General Services (DGS) is responsible for maintaining specifications and standards for passenger cars and light-duty trucks that are purchased or leased for state office, agency, and department use. These specifications include minimum vehicle emissions standards and encourage the purchase or lease of fuel-efficient and alternative fuel vehicles (AFVs). Specifically, DGS must reduce or displace the fleet's consumption of petroleum products by 20% by January 1, 2020, as compared to the 2003 consumption level. Beginning in fiscal year 2024, DGS must also ensure that at least 50% of the light-duty vehicles purchased by the state are zero emission vehicles (ZEVs). Further, at least 15% of DGS' fleet of new vehicles with a gross vehicle weight rating of 19,000 pounds or more must be ZEVs by 2025, and at least 30% by 2030.</t>
  </si>
  <si>
    <t>https://www.afdc.energy.gov/laws/all?state=CA</t>
  </si>
  <si>
    <t>U.S. Department of Energy- Energy Efficiency &amp; Renewable Energy-  Alternative Fuel Data Center- California Laws and Incentives</t>
  </si>
  <si>
    <t>The Clean Technology and Renewable Energy Job Training, Career Technical Education, and Dropout Prevention Program provides grant funding to school districts for occupational training programs that focU.S. on employment in clean technology and renewable energy businesses, such as clean vehicle technologies, and cellulosic ethanol, biodiesel, biomass power, green waste, and fuel cell production. This program is subject to funding appropriation and expires June 30, 2017</t>
  </si>
  <si>
    <t>https://www.afdc.energy.gov/laws/laws_expired?jurisdiction=CA</t>
  </si>
  <si>
    <t>U.S. Department of Energy- Energy Efficiency &amp; Renewable Energy-  Alternative Fuel Data Center- Expired, Repealed, and Archived California Incentives and Laws</t>
  </si>
  <si>
    <t>Low Carbon Transportation Investments and Air Quality Improvement Program-  provide mobile source incentives to reduce greenhouse gas (GHG) emissions, criteria pollutants, and air toxics through the development of advanced technology and clean transportation. Low Carbon Transportation investments are supported by California Cap-and-Trade auction proceeds projects.  AQIP, established by the California Alternative and Renewable Fuel, Vehicle Technology, Clean Air, and Carbon Reduction Act of 2007 (AB 118, Statutes of 2007, Chapter 750), is a voluntary incentive program administered by CARB to fund clean vehicle and equipment projects, research of biofuels production. Per statute these funds must be used to further the purposes of Assembly Bill 32 (AB 32; Nuñez, Chapter 488, Statutes of 2006).  Each year, the legislature appropriates funding to CARB for low carbon transportation and the air quality impacts of alternative fuels, and workforce training.</t>
  </si>
  <si>
    <t>https://www.arb.ca.gov/msprog/aqip/aqip.htm</t>
  </si>
  <si>
    <t>California Air Resources Board- Low Carbon Transportation Investments and Air Quality Improvement Program (AQIP)</t>
  </si>
  <si>
    <t>The Carl Moyer Memorial Air Quality Standards Attainment Program provides incentives to cover the incremental cost of purchasing engines and equipment that are cleaner than required by law. Achieves reductions in emissions of key pollutants which are necessary for California to meet its clean air commitments under regulatory requirements. Eligible projects include cleaner on-road trucks, school and transit Buses, off-road equipment, marine vessels, locomotives, agricultural equipment, light duty vehicle scrap, and lawn mowers.</t>
  </si>
  <si>
    <t>https://www.arb.ca.gov/msprog/moyer/moyer.htm</t>
  </si>
  <si>
    <t>California Air Resources Board- Carl Moyer Memorial Air Quality Standards Attainment Program</t>
  </si>
  <si>
    <t>Mobile Source Emission Reduction Credits Program</t>
  </si>
  <si>
    <t>https://www.arb.ca.gov/msprog/mserc/hdcrguid.pdf</t>
  </si>
  <si>
    <t>State of California- California Environmental Protection Agency</t>
  </si>
  <si>
    <t>The Goods Movement Emission Reduction Program- FUNDING FOR THE REPLACEMENT OF HEAVY-DUTY GOODS MOVEMENT TRUCKS &amp; TRANSPORT REFRIGERATION UNITS</t>
  </si>
  <si>
    <t>https://www.gladstein.org/gna_webinars_vidoes/funding-replacement-of-hd-goods-movement-trucks-and-trU.S./</t>
  </si>
  <si>
    <t>Gladstein, Neandross &amp; Associates</t>
  </si>
  <si>
    <t>The Colorado Corn blender Pump Pilot Program provides up to $5,000 for each qualified station dispensing mid- level ethanol blends. Projects must meet the application requirements and receive approval from Colorado corn and the Colorado Department of Oil and Public Safety. </t>
  </si>
  <si>
    <t>http://www.ethanolretailer.com/images/uploads/ethanol_state_incentives_2014.pdf</t>
  </si>
  <si>
    <t>GROWTH ENERGY MARKET DEVELOPMENT</t>
  </si>
  <si>
    <t>The Colorado Energy Office, Department of Transportation (CDOT), Department of Public Health and Environment, and Department of Personnel and Administration (DPA) will establish a State Fleet Sub-Council (Sub-Council) to help develop, implement, and improve programs, plans, and policies that save money, reduce emissions, promote domestic fuel use, and conserve natural resources. The Sub-Council will: Develop standard procedures and formulas for modeling and monitoring potential alternative fuel vehicles (AFVs) and fuel reduction efforts that link acquisition and operations budgets;
Create an idle reduction policy for state agencies;
Create a process that allows fleet coordinators to replace vehicles with AFVs before standard retirement age if the replacement is cost-effective;
Identify and evaluate other fuel-saving practices and develop procedures for their implementation; and
Evaluate alternative financing options for state fleet vehicles including leasing, energy performance contracting, and other options that may reduce costs. In addition, DPA and CDOT will establish policies and procedures to promote the cost-effective use of non-petroleum fuel vehicles and other fleet efficiency improvements. The policies must strive for the use of non-petroleum based fuels at least 90% of the time when cost-effective.</t>
  </si>
  <si>
    <t>https://www.afdc.energy.gov/fuels/laws/BIOD/CO</t>
  </si>
  <si>
    <t>U.S. Department of Energy- Energy Efficiency &amp; Renewable Energy- Alternative Fuels Data Center- Colorado Laws and Incentives for Biodiesel</t>
  </si>
  <si>
    <t>U.S. Department of Energy- Energy Efficiency &amp; Renewable Energy- Alternative Fuels Data Center- Colorado Laws and Incentives for Biodiesel</t>
  </si>
  <si>
    <t>The Colorado Department of Labor and Employment, Division of Oil and Public Safety, enforces rules concerning the placement of underground and aboveground storage tanks that contain alternative and renewable fuel. For the purpose of these regulations, an alternative fuel is a motor fuel that combines petroleum-based fuel products with renewable fuels; a renewable fuel is a motor vehicle fuel produced from plant or animal products or wastes. </t>
  </si>
  <si>
    <t>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 Alternative fuel does not include any fuel product that contains or is treated with methyl tertiary butyl ether (MTBE)</t>
  </si>
  <si>
    <t>Biogas production systems, including sales and storage systems, that create a transportation fuel or renewable natural gas, are exempt from state sales and use tax. Towns, cities, and/or counties that currently have production sales or use taxes may choose to individually enforce or exempt producers from their local taxes</t>
  </si>
  <si>
    <t>https://www.afdc.energy.gov/laws/11489</t>
  </si>
  <si>
    <t>U.S. Department of Energy- Energy Efficiency &amp; Renewable Energy-  Alternative Fuel Data Center- Biogas Production Sales Tax Exemption</t>
  </si>
  <si>
    <t>Refuel Colorado works to build self-sU.S.taining alternative fuel markets by working with a variety of stakeholders, including, but not limited to, fleets, communities, fuel providers, dealerships, and advocacy groups. Local technicians help fleet identify monetary savings and other advantages from converting to alternative fuels. Technicians are available statewide and free-of-charge</t>
  </si>
  <si>
    <t>https://www.afdc.energy.gov/laws/11565</t>
  </si>
  <si>
    <t>U.S. Department of Energy- Energy Efficiency &amp; Renewable Energy-  Alternative Fuel Data Center- Alternative Fuel Vehicle Fleet Technical Assistance</t>
  </si>
  <si>
    <t>Advanced industries Accelerator Program Grants</t>
  </si>
  <si>
    <t xml:space="preserve">The Accelerator Programs promote growth and sU.S.tainability in Colorado's advanced industries. Grants may be available for advanced industries such as vehicle and component manufacturing and biofuels. Four types of grants are available, including Proof of Concept, Early-Stage Capital &amp; Retention, Infrastructure Funding, and AI Exports. </t>
  </si>
  <si>
    <t>https://www.afdc.energy.gov/laws/11629</t>
  </si>
  <si>
    <t>U.S. Department of Energy- Energy Efficiency &amp; Renewable Energy-  Alternative Fuel Data Center- Advanced industries (AI) Accelerator Program Grants</t>
  </si>
  <si>
    <t xml:space="preserve">Vehicles, vehicle power sources, or parts used for converting a vehicle power source to reduce emissions are exempt from state sales and use tax. Exempt vehicles include vehicles certified to federal LEV standards that have a gross vehicle weight rating (GVWR) of over 26,000 pounds. The exemption also applies if the GVWR is greater than 10,000 pounds and if the vehicle, power source, or parts used for converting the power source meet the definition of a category 4, 4A, 4B, 4C, 7, or 7A truck, as defined in Colorado Revised Statutes 39-22-516.8. The vehicle power source includes the engine or motor and associated wiring, fuel lines, engine coolant system, fuel storage containers, and other components. </t>
  </si>
  <si>
    <t>https://www.afdc.energy.gov/laws/202</t>
  </si>
  <si>
    <t>U.S. Department of Energy- Energy Efficiency &amp; Renewable Energy-  Alternative Fuel Data Center- Low Emission Vehicle (LEV) Sales Tax Exemption</t>
  </si>
  <si>
    <t>Gross vehicle weight rating limits for AFVs are 2,000 pounds greater than those for comparable conventional vehicles, as long as the AFVs operate using an alternative fuel or both alternative and conventional fuel, when operating on a highway that is not part of the interstate system. For the purpose of this exemption, 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t>
  </si>
  <si>
    <t>https://www.afdc.energy.gov/laws/4272</t>
  </si>
  <si>
    <t>U.S. Department of Energy- Energy Efficiency &amp; Renewable Energy- Alternative Fuel Data Center- Alternative Fuel Vehicle (AFV) Weight Limit Exemption</t>
  </si>
  <si>
    <t xml:space="preserve">Motor fuels, including alternative fuels, may be sold by gasoline gallon equivalent (GGE) or diesel gallon equivalent (DGE) as long as the dispenser used for the sale of motor fuel in GGEs or DGEs clearly displays the applicable conversion factor and other required information. </t>
  </si>
  <si>
    <t>https://www.afdc.energy.gov/laws/4274</t>
  </si>
  <si>
    <t>U.S. Department of Energy- Energy Efficiency &amp; Renewable Energy-  Alternative Fuel Data Center- Gasoline and Diesel Gallon Equivalent Definition</t>
  </si>
  <si>
    <t>State Agency Alternative Fuel use and Vehicle Acquisition Requirement</t>
  </si>
  <si>
    <t>The Colorado Department of Personnel and Administration (DPA) requires all state-owned diesel vehicles and equipment to be fueled with a fuel blend of 20% biodiesel (B20), subject to the availability of the fuel and so long as the price differential is not greater than $0.10 more per gallon as compared to conventional diesel. Biodiesel is defined as fuel composed of mono-alkyl esters of long chain fatty acids derived from plant or animal matter that meets ASTM specifications and is produced in Colorado. Additionally, DPA has adopted a policy to increase the use of alternative fuels and establish objectives to increase its use for each succeeding year. DPA must purchase motor vehicles that operate on compressed natural gas (CNG), plug-in hybrid electric vehicles, or vehicles that operate on other alternative fuels, subject to the availability of vehicles and adequate fueling infrastructure and assuming the incremental base or life cycle cost of the vehicle is not more than 10% over the cost of a comparable dedicated conventional vehicle. DPA has adopted a policy to allow some vehicles to be exempt from this requirement if available alternative fuel vehicles (AFVs) do not meet application requirements. On or before November 1 of each year, DPA must submit a report to the general assembly outlining vehicle purchases, including alternative fuel and conventional vehicles; alternative fueling infrastructure availability in the state; AFV purchase exemptions; administrative policies in place to facilitate the purchase of AFVs; suggested changes to facilitate the gradual conversion of the motor vehicle fleet to AFVs; and a plan for the necessary infrastructure development.</t>
  </si>
  <si>
    <t>https://www.afdc.energy.gov/laws/5619</t>
  </si>
  <si>
    <t>U.S. Department of Energy- Energy Efficiency &amp; Renewable Energy-  Alternative Fuel Data Center- State Agency Alternative Fuel Use and Vehicle Acquisition Requirement</t>
  </si>
  <si>
    <t xml:space="preserve">Upon registering a motor vehicle with the Colorado Department of Revenue Division of Motor Vehicles, the vehicle owner must report the type of alternative fuel used to operate the vehicle and whether the vehicle is dedicated to one alternative fuel or uses more than one fuel. The Department of Revenue provides forms for the purpose of registering motor vehicles and must include space for the following fuel types: gasoline, diesel, propane, electricity, natural gas, methanol/M85, ethanol/E85, biodiesel, and other. </t>
  </si>
  <si>
    <t>https://www.afdc.energy.gov/laws/5887</t>
  </si>
  <si>
    <t>U.S. Department of Energy- Energy Efficiency &amp; Renewable Energy-  Alternative Fuel Data Center- Alternative Fuel Vehicle (AFV) Registration</t>
  </si>
  <si>
    <t>https://www.afdc.energy.gov/fuels/laws/BIOD/CT</t>
  </si>
  <si>
    <t>U.S. Department of Energy- Energy Efficiency &amp; Renewable Energy- Alternative Fuels Data Center- Connecticut Laws and Incentives for Biodiesel</t>
  </si>
  <si>
    <t>Each full-sized school Bus with a Model Year (MY) 1994 or newer engine must be equipped with specific emissions control systems, including either: a closed crankcase filtration system and a level 1, level 2, or level 3 device; an engine that the U.S. Environmental Protection Agency (EPA) has certified as meeting MY 2007 emissions standards; or use of compressed natural gas or other alternative fuel that EPA or the California Air Resources Board has certified to reduce particulate matter emissions by at least 85% as compared to ultra-low sulfur diesel fuel.</t>
  </si>
  <si>
    <t>All AFV conversions must meet current applicable U.S. Environmental Protection Agency or California Air Resources Board standards for aftermarket conversions. Aftermarket systems must be properly certified for the specific vehicle or engine family that is being converted. An aftermarket AFV conversion is defined as a conventional original equipment manufacturer vehicle altered to operate on propane, natural gas, methane, ethanol, or electricity.</t>
  </si>
  <si>
    <t>https://www.afdc.energy.gov/laws/11244</t>
  </si>
  <si>
    <t>U.S. Department of Energy- Energy Efficiency &amp; Renewable Energy-  Alternative Fuel Data Center- Aftermarket Alternative Fuel Vehicle (AFV) Conversion Requirements</t>
  </si>
  <si>
    <t>Any motor vehicle fuel sold at retail containing more than 1% ethanol or methanol must be labeled according to Connecticut Department of Consumer Protection specifications to indicate the percentage of ethanol in the fuel.</t>
  </si>
  <si>
    <t>https://www.afdc.energy.gov/laws/6070</t>
  </si>
  <si>
    <t>U.S. Department of Energy- Energy Efficiency &amp; Renewable Energy-  Alternative Fuel Data Center- Ethanol Labeling Requirement</t>
  </si>
  <si>
    <t>https://www.afdc.energy.gov/laws/all?state=CT</t>
  </si>
  <si>
    <t>U.S. Department of Energy- Energy Efficiency &amp; Renewable Energy-  Alternative Fuel Data Center- Connecticut Laws and Incentives</t>
  </si>
  <si>
    <t>In determining the lowest responsible qualified bidder for the award of state contracts, the Connecticut Department of Administrative Services may give a price preference of up to 10% for the purchase of AFVs or for the purchase of conventional vehicles plU.S. the conversion equipment to convert the vehicles to dual or dedicated alternative fuel use. For these purposes, alternative fuels are natural gas, hydrogen, propane, or electricity used to operate a motor vehicle</t>
  </si>
  <si>
    <t>Any state mobile emissions reduction credits program must allow credits for emissions reductions achieved by converting a vehicle to operate on an alternative fuel, even if the conversion took place before the credit program began.</t>
  </si>
  <si>
    <t>Alternative Fuel Vehicle (AFV) Conversion and Infrastructure Tax Credit</t>
  </si>
  <si>
    <t>businesses and individuals are eligible for an income tax credit of 50% of the equipment and labor costs for the conversion of qualified AFVs, up to $19,000 per vehicle. A tax credit is also available for 50% of the equipment and labor costs for the purchase and installation of alternative fuel infrastructure on qualified AFV fueling property. The maximum credit is $1,000 per residential electric vehicle charging station, and $10,000 per publicly accessible AFV fueling station. Qualified alternative fuels include, ethanol blends of at least 85%, compressed natural gas, liquefied natural gas, propane, biodiesel, electricity, and hydrogen. This incentive expires December 31, 2026.</t>
  </si>
  <si>
    <t>https://www.afdc.energy.gov/laws/11493</t>
  </si>
  <si>
    <t>U.S. Department of Energy- Energy Efficiency &amp; Renewable Energy-  Alternative Fuel Data Center- Alternative Fuel Vehicle (AFV) Conversion and Infrastructure Tax Credit</t>
  </si>
  <si>
    <t>Certified clean fuel vehicles are exempt from time-of-day and day-of-week restrictions and commercial vehicle bans, if these vehicles are part of a fleet that operates at least 10 vehicles in the District of Columbia, a Clean Air Act designated ozone nonattainment area. This exemption does not permit unrestricted access to High Occupancy Vehicle lanes, except for covered fleet vehicles that have been certified by the U.S. Environmental Protection Agency as Inherently Low Emission Vehicles (ILEV) and continue to be in compliance with applicable ILEV emission standards.</t>
  </si>
  <si>
    <t>https://www.afdc.energy.gov/laws/all?state=DC</t>
  </si>
  <si>
    <t>U.S. Department of Energy- Energy Efficiency &amp; Renewable Energy- Alternative Fuels Data Center- District of Columbia Laws and Incentives</t>
  </si>
  <si>
    <t>Fleets that operate at least 10 vehicles in the District of Columbia, a Clean Air Act designated ozone nonattainment area, must ensure that 70% of newly purchased vehicles with a gross vehicle weight rating (GVWR) of 8,500 pounds (lbs.) or less and 50% of vehicles with a GVWR between 8,500 lbs. and 26,000 lbs. are clean fuel vehicles. For these purposes, a clean fuel is any fuel, including diesel, ethanol (including E85), hydrogen, liquefied petroleum gas (propane), natural gas, reformulated gasoline, or other power source (including electricity) used in a clean fuel vehicle that complies with standards and requirements applicable to such vehicles.</t>
  </si>
  <si>
    <t>U.S. Department of Energy- Energy Efficiency &amp; Renewable Energy- Alternative Fuels Data Center- District of Columbia Laws and Incentives</t>
  </si>
  <si>
    <t>Deleware</t>
  </si>
  <si>
    <t>https://www.afdc.energy.gov/fuels/laws/BIOD/DE</t>
  </si>
  <si>
    <t>U.S. Department of Energy- Energy Efficiency &amp; Renewable Energy- Alternative Fuels Data Center- Delaware Laws and Incentives for Biodiesel</t>
  </si>
  <si>
    <t>All new light-duty vehicles that Delaware state agencies, departments, and offices purchase must be hybrid electric, alternative fuel, fuel-efficient, or low emission vehicles, unless such a purchase compromises health, safety, or law enforcement needs. Additionally, the state must develop procedures for diesel fleet vehicles to use biodiesel fuel blends of the highest practical percent. </t>
  </si>
  <si>
    <t>U.S. Department of Energy- Energy Efficiency &amp; Renewable Energy- Alternative Fuels Data Center- Delaware Laws and Incentives for Biodiesel</t>
  </si>
  <si>
    <t>As part of the Delaware Clean Transportation Incentive Program, the Delaware Department of Natural Resources and Environmental Control offers rebates for new, leased, or converted AFVs. The following rebate amounts are applicable for vehicles purchased between November 1, 2016, and December 31, 2019 All-electric vehicle (EV)	$3,500
Plug-in hybrid electric vehicle (PHEV; including vehicles with gasoline range extenders)	$1,500
Converted EV and PHEV	$1,500
EV or PHEV over $60,000	$1,000
Dedicated propane or natural gas vehicle (NGV)	$1,500
Bi-fuel propane or NGV	$1,350
Dedicated heavy-duty NGV	$20,000
Eligible applicants include Delaware residents, businesses, organizations, and government entities. Rebate applications must be signed by both the purchaser and a dealer representative. Rebates are limited to six vehicles per fleet and one vehicle per individual. All vehicles purchased through this rebate program must be titled and registered in the state. Additional terms and conditions apply.</t>
  </si>
  <si>
    <t>https://www.afdc.energy.gov/laws/all?state=DE</t>
  </si>
  <si>
    <t>Biodiesel fuel manufactured by a public or private secondary school is exempt from the diesel fuel excise tax and the associated registration requirements. To qualify for the exemption, total annual production of biodiesel must be less than 1,000 gallons and may only be used by the school, its employees, or its students</t>
  </si>
  <si>
    <t>https://www.afdc.energy.gov/fuels/laws/BIOD/FL</t>
  </si>
  <si>
    <t xml:space="preserve">U.S. Department of Energy- Energy Efficiency &amp; Renewable Energy- Alternative Fuels Data Center- Florida Laws and Incentives for Biodiesel
</t>
  </si>
  <si>
    <t>To create jobs and improve the state's general infrastructure, the Florida State Board of Administration may invest up to 1.5% of the net assets of the system trU.S.t fund in technology and growth investments of businesses operating in Florida, including businesses related to biofuels, renewable energy, and other related applications</t>
  </si>
  <si>
    <t>U.S. Department of Energy- Energy Efficiency &amp; Renewable Energy- Alternative Fuels Data Center- Florida Laws and Incentives for Biodiesel</t>
  </si>
  <si>
    <t>The Florida Department of Management Services (DMS), in coordination with the Florida Department of Transportation (DOT), must conduct an analysis of fuel additives and biofuels DOT uses through its central fueling facilities. The DMS must also encourage other state government entities to analyze transportation fuel usage, including the types and percentages of fuels consumed, and report this information to the DMS</t>
  </si>
  <si>
    <t>Municipalities, counties, or school districts producing biodiesel must file a return documenting their biodiesel production activities and pay $0.03 of the $0.04 tax required under Florida Statutes 206.87(1)(a), (b), and (c) each month to the Florida Department of Revenue</t>
  </si>
  <si>
    <t>To stimulate local economic development, landowners may apply to amend the local government comprehensive plan to expand existing uses of rural agricultural industrial centers to include facilities that prepare biomass materials that can be used for the production of fuel, renewable energy, bioenergy, or alternative fuel. In addition, permitting agencies may expedite applications and local comprehensive plan amendments submitted for projects resulting in the production of biofuels or construction of a biofuel processing facility.</t>
  </si>
  <si>
    <t>The Florida Department of Agriculture and Consumer Services offers a rebate for up to 50% of the incremental cost to purchase or lease a new original equipment manufacturer NGV or propane vehicle, or convert a vehicle to run on natural gas or propane, up to $25,000 per vehicle and $250,000 per applicant per fiscal year. To qualify, the dedicated or bi-fuel vehicle must be part of a public or private fleet and must be placed into service on or after July 1, 2013. Of the funds available for these rebates, 40% is reserved for government applicants; the remaining funds are allocated to commercial applicants. Funding for this program is not currently available (verified March 2018)</t>
  </si>
  <si>
    <t>https://www.afdc.energy.gov/fuels/laws/NG/FL</t>
  </si>
  <si>
    <t>U.S. Department of Energy- Energy Efficiency &amp; Renewable Energy- Alternative Fuels Data Center- Florida Laws and Incentives for Natural Gas</t>
  </si>
  <si>
    <t>The Renewable Energy and Energy-Efficient Technologies (REET) Grant Matching Program provides matching grants of $50,000 to $400,000 for demonstration, commercialization, research, and development projects relating to renewable energy technologies, bioenergy, and innovative technologies that significantly increase energy efficiency for vehicles. Higher education institutions and non-profits may request grant funds for indirect costs, up to 10% of grant funds requested, and may use indirect costs as matching contribution, capped at 10% of grant funds less the percentage of indirect costs claimed for grant funds. Awards are subject to state funding availability</t>
  </si>
  <si>
    <t>https://www.afdc.energy.gov/laws/6072</t>
  </si>
  <si>
    <t>U.S. Department of Energy- Energy Efficiency &amp; Renewable Energy- Alternative Fuels Data Center- Renewable Energy and Energy Efficient Technology Grant Matching Program</t>
  </si>
  <si>
    <t>Fuel-Efficient Vehicle Acquisition and Alternative Fuel use Requirements</t>
  </si>
  <si>
    <t>When procuring new vehicles under a state purchasing plan, all Florida state agency, state university, community college, and local government fleets must select the vehicles with the greatest fuel efficiency available for a given use class, when fuel economy data is available. Exceptions may be made for emergency responder vehicles if these entities provide documentation. In addition, all state agencies must use ethanol and biodiesel blended fuels when available. State agencies administering central fueling operations for state-owned vehicles must purchase ethanol and biodiesel fuels to use in their vehicle fleet as much as possible.</t>
  </si>
  <si>
    <t>https://www.afdc.energy.gov/laws/6421</t>
  </si>
  <si>
    <t>U.S. Department of Energy- Energy Efficiency &amp; Renewable Energy-  Alternative Fuel Data Center- Fuel-Efficient Vehicle Acquisition and Alternative Fuel Use Requirements</t>
  </si>
  <si>
    <t>County governments are eligible to apply waste reduction credits towards their recycling goal, up to one-half of the goal, by using yard clippings, clean wood waste, or paper waste as feedstock for the production of clean-burning fuels such as ethanol.</t>
  </si>
  <si>
    <t>https://www.afdc.energy.gov/laws/all?state=FL</t>
  </si>
  <si>
    <t>U.S. Department of Energy- Energy Efficiency &amp; Renewable Energy- Alternative Fuels Data Center- Florida Laws and Incentives</t>
  </si>
  <si>
    <t>An income tax credit is available for 75% of all capital, operation, maintenance, and research and development costs incurred in connection with an investment in the production, storage, and distribution of biodiesel (B10-B100), ethanol (E10-E100), or other renewable fuel in the state, up to $1 million annually per taxpayer and $10 million annually for all taxpayers combined. Costs associated with retrofitting gasoline fueling station dispenser retrofits for B10-B100, E10-E100, or other renewable fuel distribution also qualify. Taxpayers must incur costs between July 1, 2012, and June 30, 2016. If the credit is not fully used in any one tax year, the unused amount may be carried forward through December 31, 2018. Any entity that is allowed the investment tax credit may transfer the credit, in whole or in part, to any taxpayer by written agreement without transferring ownership interest in the qualified property. Renewable fuel is defined as a fuel produced from biomass that is used to replace or reduce conventional fuel use.</t>
  </si>
  <si>
    <t>https://www.afdc.energy.gov/laws/laws_expired?jurisdiction=</t>
  </si>
  <si>
    <t>U.S. Department of Energy- Energy Efficiency &amp; Renewable Energy- Alternative Fuels Data Center- Expired, Repealed, and Archived Incentives and Laws</t>
  </si>
  <si>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t>
  </si>
  <si>
    <t>https://www.afdc.energy.gov/laws/10253</t>
  </si>
  <si>
    <t>U.S. Department of Energy- Energy Efficiency &amp; Renewable Energy- Alternative Fuels Data Center- Alternative Fuel and Advanced Vehicle Job Creation Tax Credit</t>
  </si>
  <si>
    <t xml:space="preserve">The Georgia Joint Alternative Fuels Infrastructure Study Committee evaluated how providing market incentives for AFV fueling infrastructure may lead to AFV and infrastructure deployment. </t>
  </si>
  <si>
    <t>https://www.afdc.energy.gov/laws/11693</t>
  </si>
  <si>
    <t>U.S. Department of Energy- Energy Efficiency &amp; Renewable Energy-  Alternative Fuel Data Center- Alternative Fuel Vehicle (AFV) Infrastructure Incentives Study</t>
  </si>
  <si>
    <t>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The Georgia Department of Revenue may adjU.S.t tax rates annually based on vehicle fuel economy and the Consumer Price Index through July 1, 2018. A GGE of compressed natural gas (CNG) must be at least 110,000 British thermal units and a GGE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The Georgia Department of Revenue may assess, levy, and collect tax for any other motor fuels used on public highways using a GGE rate</t>
  </si>
  <si>
    <t>https://www.afdc.energy.gov/laws/4345</t>
  </si>
  <si>
    <t>U.S. Department of Energy- Energy Efficiency &amp; Renewable Energy-  Alternative Fuel Data Center- Alternative Fuel Excise Tax</t>
  </si>
  <si>
    <t xml:space="preserve">Alternative fuel vehicles (AFVs) displaying the proper alternative fuel license plate may use HOV and HOT lanes, regardless of the number of passengers. Qualified AFVs may also use the HOT lanes toll-free. AFVs include plug-in electric vehicles and bi-fuel or dual-fuel vehicles that operate on natural gas or propane. Applicants must provide proof they have paid registration fees in full before receiving the license plate. This exemption expires September 30, 2019. </t>
  </si>
  <si>
    <t>https://www.afdc.energy.gov/laws/5183</t>
  </si>
  <si>
    <t>U.S. Department of Energy- Energy Efficiency &amp; Renewable Energy-  Alternative Fuel Data Center- High Occupancy Vehicle (HOV) and High Occupancy Toll (HOT) Lane Exemption</t>
  </si>
  <si>
    <t xml:space="preserve">Gasoline suppliers who provide fuel to distributors in the state must offer gasoline that is suitable for blending with fuel alcohol. Suppliers may not prevent or inhibit a gasoline distributor from being a blender or from qualifying for any federal or state tax credit offered to blenders. </t>
  </si>
  <si>
    <t>https://www.afdc.energy.gov/laws/6516</t>
  </si>
  <si>
    <t>U.S. Department of Energy- Energy Efficiency &amp; Renewable Energy- Alternative Fuels Data Center- Ethanol Blending Regulation</t>
  </si>
  <si>
    <t>State and county agencies must purchase light-duty vehicles that reduce petroleum consumption and meet the needs of the agency. The priority to be used for purchasing such vehicles is as follows:  Plug-in electric vehicles;
Hydrogen or fuel cell vehicles;
Other alternative fuel vehicles;
Hybrid electric vehicles; and
Vehicles identified as top performers for fuel economy in the U.S. Environmental Protection Agency's annual "Fuel Economy Leaders" report.    State agencies must purchase alternative fuels and ethanol blended gasoline when available, evaluate a purchase preference for biodiesel blends, and promote the efficient operation of vehicles. For the purpose of this requirement, an alternative fuel is defined as an alcohol fuel, an alcohol fuel blend containing at least 85% alcohol, natural gas, liquefied petroleum gas (propane), hydrogen, biodiesel, a biodiesel blend containing at least 20% biodiesel, a fuel derived from biological materials, or electricity generated from off-board energy sources.</t>
  </si>
  <si>
    <t>https://www.afdc.energy.gov/fuels/laws/NG/HI</t>
  </si>
  <si>
    <t>U.S. Department of Energy- Energy Efficiency &amp; Renewable Energy- Alternative Fuels Data Center- Hawaii Laws and Incentives for Natural Gas</t>
  </si>
  <si>
    <t>Renewable fuels produced from renewable feedstocks, such as ethanol, hydrogen, biodiesel, and biofuel, may qualify for an income tax credit equal to $0.20 per 76,000 British thermal units (BTU.S.) of renewable fuels sold for distribution in Hawaii. The facility must produce at least 15 billion BTU.S. of its nameplate capacity annually to receive the tax credit and may claim the tax credit for up to five years, not to exceed $3,000,000 per calendar year. Qualifying renewable fuel production facilities must provide written notification of their intent to produce renewable fuels before becoming eligible for the tax credit._x000D_
_x000D_
Producers must file a statement with the Department of business, Economic Development, and Tourism within 30 days following the close of the calendar year. The statement must provide information on fuels produced and sold during the previous calendar year, the feedstock used for each qualified fuel, the proposed income tax credit amount for each calendar year, the cumulative tax credit amount received during the current calendar year, the number of full- and part-time employees, and the number and location of all renewable fuel production facilities within and outside of the state.</t>
  </si>
  <si>
    <t>https://www.afdc.energy.gov/laws/11706</t>
  </si>
  <si>
    <t>U.S. Department of Energy- Energy Efficiency &amp; Renewable Energy-  Alternative Fuel Data Center- Renewable Fuels Production Incentive</t>
  </si>
  <si>
    <t>A distributor of any alternative fuel used to operate an internal comBustion engine must pay a license tax of $0.0025 for each gallon of alternative fuel the distributor sells or uses. In addition, a distributor must pay a license tax for each gallon of fuel sold or used by the distributor for operating a motor vehicle on state public highways according to the following rates: 
Ethanol	0.145 times the rate for diesel
Methanol	0.11 times the rate for diesel
Biodiesel	0.25 times the rate for diesel
Propane	0.33 times the rate for diesel                                  For other alternative fuels, the rate is based on the energy content of the fuels as compared to diesel fuel, using a lower heating value of 130,000 British thermal units per gallon as a standard for diesel, so that the tax rate, on an energy content basis, is equal to one-quarter the rate for diesel fuel. Counties may impose additional taxes. </t>
  </si>
  <si>
    <t>https://www.afdc.energy.gov/laws/5451</t>
  </si>
  <si>
    <t>U.S. Department of Energy- Energy Efficiency &amp; Renewable Energy-  Alternative Fuel Data Center- Alternative Fuel Tax Rate</t>
  </si>
  <si>
    <t xml:space="preserve">State and county agency contracts awarded for the purchase of diesel fuel must give preference to bids for biofuels or blends of biofuel and petroleum fuel. When purchasing fuel for use in diesel engines, the price preference is $0.05 per gallon of B100. For blends containing both biodiesel and petroleum-based diesel, the preference is applied only to the biodiesel portion of the blend. For the purpose of this requirement, biodiesel is a vegetable oil-based fuel that meets ASTM specification D6751 and biofuel is a fuel from non-petroleum plant- or animal-based sources that can be used for the generation of heat or power. </t>
  </si>
  <si>
    <t>https://www.afdc.energy.gov/laws/6077</t>
  </si>
  <si>
    <t>U.S. Department of Energy- Energy Efficiency &amp; Renewable Energy-  Alternative Fuel Data Center- Biofuels Procurement Preference</t>
  </si>
  <si>
    <t>The state of Hawaii is responsible for facilitating the development of alternative fuels and supporting the attainment of a statewide alternative fuels standard. According to this standard, alternative fuels will provide 20% of highway fuel demand by 2020 and 30% by 2030. For the purposes of the alternative fuels standard, cellulosic ethanol is equivalent to 2.5 gallons of non-cellulosic ethanol.</t>
  </si>
  <si>
    <t>https://www.afdc.energy.gov/laws/6078</t>
  </si>
  <si>
    <t>U.S. Department of Energy- Energy Efficiency &amp; Renewable Energy-  Alternative Fuel Data Center- Alternative Fuel Standard Development</t>
  </si>
  <si>
    <t>https://www.afdc.energy.gov/laws/6230</t>
  </si>
  <si>
    <t>U.S. Department of Energy- Energy Efficiency &amp; Renewable Energy-  Alternative Fuel Data Center- Energy Feedstock Program</t>
  </si>
  <si>
    <t>The state of Hawaii has signed a memorandum of understanding (MOU) with the U.S. Department of Energy to collaborate to produce 70% of the state's energy needs from energy-efficient and renewable sources by 2030 and 100% of the state's energy needs from energy-efficient and renewable sources by 2045. This effort is part of the Hawaii Clean Energy Initiative. The goals of the partnership include defining the structural transformation required to transition the state to a clean energy-dominated economy; demonstrating and fostering innovation in the use of clean energy, including alternative fuels and advanced vehicle technologies; creating opportunities for the widespread distribution of clean energy benefits; establishing an open learning model for other states and entities to adopt; and building a workforce with cross-cutting skills to support a clean energy economy in the state</t>
  </si>
  <si>
    <t>https://www.afdc.energy.gov/laws/6416</t>
  </si>
  <si>
    <t>U.S. Department of Energy- Energy Efficiency &amp; Renewable Energy-  Alternative Fuel Data Center- Clean Transportation Promotion</t>
  </si>
  <si>
    <t>Biofuels Production Land use Allowance and Exemption</t>
  </si>
  <si>
    <t>Lands originally zoned as agricultural land use districts may be used for renewable energy production, storage, and distribution, including the production of biofuels. Biofuels production facilities must be integrated with an agricultural activity and may not adversely impact agricultural land and other agricultural uses in the vicinity. Biofuels production facilities include those that produce liquid or gaseoU.S. fuels from organic sources such as biomass crops, agricultural residues, food wastes, animal residues and wastes, and oil crops including palm, canola, soybean, and waste cooking oils. Additionally, biofuels production facilities are exempt from subdivision requirements for leases and easements within agricultural land use districts. The exemption from subdivision requirements is effective through July 1, 2020.</t>
  </si>
  <si>
    <t>https://www.afdc.energy.gov/laws/6417</t>
  </si>
  <si>
    <t>U.S. Department of Energy- Energy Efficiency &amp; Renewable Energy-  Alternative Fuel Data Center- Biofuels Production Land Use Allowance and Exemption</t>
  </si>
  <si>
    <t>Biodiesel is defined as any fuel derived in whole or in part from agricultural products, animal fats, or the wastes from these products, and is suitable for use in diesel engines. A biodiesel blend is defined as any fuel produced by blending biodiesel with petroleum-based diesel to produce a fuel suitable for use in diesel engines</t>
  </si>
  <si>
    <t>https://www.afdc.energy.gov/fuels/laws/BIOD/ID</t>
  </si>
  <si>
    <t>U.S. Department of Energy- Energy Efficiency &amp; Renewable Energy- Alternative Fuels Data Center- Idaho Laws and Incentives for Biodiesel</t>
  </si>
  <si>
    <t>State excise tax does not apply to special fuels, including gaseoU.S. special fuels, when used in state or federal government owned vehicles. Special fuels include natural gas, propane, hydrogen, and fuel suitable for use in diesel engines. In addition, state excise tax paid on special fuels used in state or federal government vehicles is subject to a refund, as long as the tax was originally paid directly to a special fuel vendor. The tax refund is not available for special fuels used while idling. Idling means a period of time greater than 15 minutes when the motor vehicle is stationary with the engine operating</t>
  </si>
  <si>
    <t>https://www.afdc.energy.gov/fuels/laws/NG/ID</t>
  </si>
  <si>
    <t>U.S. Department of Energy- Energy Efficiency &amp; Renewable Energy- Alternative Fuels Data Center- Idaho Laws and Incentives for Natural Gas</t>
  </si>
  <si>
    <t>Ethanol blended fuel, such as gasohol, is defined as any gasoline blended with 10% or more of anhydroU.S. ethanol.</t>
  </si>
  <si>
    <t>https://www.afdc.energy.gov/laws/6183</t>
  </si>
  <si>
    <t>U.S. Department of Energy- Energy Efficiency &amp; Renewable Energy-  Alternative Fuel Data Center- Ethanol Blended Fuel Definition</t>
  </si>
  <si>
    <t>License Exemptions for Biodiesel Production for Personal use</t>
  </si>
  <si>
    <t>A biodiesel producer that produces up to 5,000 gallons of biodiesel fuel in a calendar year for personal consumption is exempt from the requirement to obtain an Idaho motor fuel distributor's license</t>
  </si>
  <si>
    <t>https://www.afdc.energy.gov/laws/all?state=ID</t>
  </si>
  <si>
    <t>U.S. Department of Energy- Energy Efficiency &amp; Renewable Energy-  Alternative Fuel Data Center- Idaho Laws and Incentives</t>
  </si>
  <si>
    <t>The Illinois Department of Education will reimburse any qualifying school district for the cost of converting gasoline Buses to more fuel-efficient engines or to engines using alternative fuels. </t>
  </si>
  <si>
    <t>https://www.afdc.energy.gov/fuels/laws/ELEC/IL</t>
  </si>
  <si>
    <t>U.S. Department of Energy- Energy Efficiency &amp; Renewable Energy- Alternative Fuels Data Center- Illinois Laws and Incentives for Electricity</t>
  </si>
  <si>
    <t>The Green Governments Illinois Act (Act) demonstrates the state's commitment to reduce negative environmental impacts, reduce greenhouse gases, and preserve resources for current and future generations. The Act also aims to strengthen the capacity of local governments and educational institutions to enable a more environmentally sustainable future. The Act established the Green Governments Coordinating Council (Council) to fully integrate cost-effective environmental sU.S.tainability measures into the ongoing management systems, long-range planning, and daily operations of state agencies. The Council will focU.S. on initiatives that relate to energy efficiency, renewable energy, and alternative fuel vehicles. Local governments and educational institutes are not required to participate in the provisions of the Act.</t>
  </si>
  <si>
    <t>The Promote Illinois Ethanol and Biodiesel Act requires state agencies, including state-supported universities and colleges, to provide links from their websites to sites containing information on ethanol and biodiesel fuels. The links must connect to websites maintained and operated by state agencies and may also include links to private websites</t>
  </si>
  <si>
    <t>https://www.afdc.energy.gov/fuels/laws/ETH/IL</t>
  </si>
  <si>
    <t>U.S. Department of Energy- Energy Efficiency &amp; Renewable Energy- Alternative Fuels Data Center- Illinois Laws and Incentives for Ethanol</t>
  </si>
  <si>
    <t>Sales and use taxes apply to 100% of the proceeds from the sale of fuel blends containing 10% ethanol (E10) made after July 1, 2017, and to 80% of the proceeds from the sale of fuel blends containing between 1% and 10% biodiesel made between July 1, 2003 and December 31, 2018. If at any time these taxes are imposed at a rate of 1.25%, the tax on biodiesel blends will apply to 100% of the proceeds of sales. These taxes do not apply to the proceeds from the sale of biodiesel blends containing more than 10% biodiesel up to 99% biodiesel or fuels containing between 70% and 90% ethanol (E70-E90) sold between July 1, 2003, and December 31, 2023. Taxes will apply to 100% of the proceeds from biodiesel and ethanol fuel blend sales made after December 31, 2023</t>
  </si>
  <si>
    <t>https://www.afdc.energy.gov/laws/5697</t>
  </si>
  <si>
    <t>U.S. Department of Energy- Energy Efficiency &amp; Renewable Energy-  Alternative Fuel Data Center- Biofuels Tax Exemption</t>
  </si>
  <si>
    <t>hen awarding contracts that require vehicle procurement, state agencies may give preference to an otherwise qualified bidder who will fulfill the contract through the use of vehicles powered by ethanol produced from Illinois corn or biodiesel produced from Illinois soybeans.</t>
  </si>
  <si>
    <t>https://www.afdc.energy.gov/laws/5699</t>
  </si>
  <si>
    <t>U.S. Department of Energy- Energy Efficiency &amp; Renewable Energy-  Alternative Fuel Data Center- Biofuels Preference for State Vehicle Procurement</t>
  </si>
  <si>
    <t>Biodiesel Blend use Requirement</t>
  </si>
  <si>
    <t>https://www.afdc.energy.gov/laws/5993</t>
  </si>
  <si>
    <t>U.S. Department of Energy- Energy Efficiency &amp; Renewable Energy-  Alternative Fuel Data Center- Biodiesel Blend Use Requirement</t>
  </si>
  <si>
    <t>A private biodiesel producer that produces less than 5,000 gallons of biodiesel annually is subject to the annual state motor fuel tax. The return and payment of taxes for a given year are due by January 20 of the following year. A private biodiesel producer that produces more than 5,000 gallons of biodiesel annually must file returns and make state motor fuel tax payments on a monthly basis. The return and payment of taxes are due by the 20th day of each calendar month for the preceding calendar month. A private biodiesel fuel producer is defined as a person whose only activities with respect to motor fuel are: the conversion of any biomass materials into biodiesel fuel that is produced exclU.S.ively for personal use and not for sale, or the blending of biodiesel fuel resulting in biodiesel blends that are produced exclU.S.ively for personal use and not for sale.</t>
  </si>
  <si>
    <t>https://www.afdc.energy.gov/laws/6328</t>
  </si>
  <si>
    <t>U.S. Department of Energy- Energy Efficiency &amp; Renewable Energy-  Alternative Fuel Data Center- Biodiesel Production Tax</t>
  </si>
  <si>
    <t>15% of all vehicles purchased with state funds must be fueled by electricity, natural gas, or liquefied petroleum gas (propane), with the exception of Department of Corrections, Department of State Police patrol, and Secretary of State vehicles (except mid-sized sedans).</t>
  </si>
  <si>
    <t>https://www.afdc.energy.gov/laws/6329</t>
  </si>
  <si>
    <t>U.S. Department of Energy- Energy Efficiency &amp; Renewable Energy-  Alternative Fuel Data Center- Alternative Fuels Labeling Requirement</t>
  </si>
  <si>
    <t>Advanced Vehicle Acquisition and Biodiesel Fuel use Requirement</t>
  </si>
  <si>
    <t>All gasoline-powered vehicles purchased with state funds must be flex fuel vehicles (FFVs) or fuel-efficient hybrid electric vehicles (HEVs). FFVs are defined as automobiles or light trucks that operate on either gasoline or 85% ethanol (E85) fuel. Fuel-efficient HEVs are defined as automobiles or light trucks that use a gasoline or diesel engine and an electric motor to provide power and that gain at least a 20% increase in combined U.S. Environmental Protection Agency city-highway fuel economy over the equivalent or most-similar conventionally-powered model. Furthermore, any vehicle purchased with state funds that is fueled with diesel fuel must be certified by the manufacturer to run on 5% biodiesel (B5) fuel.  15% of all vehicles purchased with state funds must be fueled by electricity, natural gas, or liquefied petroleum gas (propane), with the exception of Department of Corrections, Department of State Police patrol, and Secretary of State vehicles (except mid-sized sedans)._x000D_
The Chief Procurement Officer may determine that certain vehicle procurements are exempt from these requirements based on intended use or other reasonable considerations such as health and safety of Illinois citizens.</t>
  </si>
  <si>
    <t>https://www.afdc.energy.gov/laws/6331</t>
  </si>
  <si>
    <t>U.S. Department of Energy- Energy Efficiency &amp; Renewable Energy-  Alternative Fuel Data Center- Advanced Vehicle Acquisition and Biodiesel Fuel Use Requirement</t>
  </si>
  <si>
    <t>The Promote Illinois Ethanol and Biodiesel Act requires state agencies, including state-supported universities and colleges, to provide links from their websites to sites containing information on ethanol and biodiesel fuels.</t>
  </si>
  <si>
    <t>https://www.afdc.energy.gov/laws/6485</t>
  </si>
  <si>
    <t>U.S. Department of Energy- Energy Efficiency &amp; Renewable Energy-  Alternative Fuel Data Center- Biofuels Education and Promotion</t>
  </si>
  <si>
    <t>llinois state agencies must work towards meeting the following goals: By July 1, 2025, at least 60% of new passenger vehicles purchased must be hybrid electric vehicles (HEVs) and 15% must be battery electric vehicles (EVs).
Agencies that operate medium- and heavy-duty vehicles must implement strategies to reduce fuel consumption through diesel emission control devices, HEV and EVs technologies, alternative fuel use, and fuel-efficient technologies.
Agencies must also implement strategies to promote the use of biofuels in state vehicles; reduce the environmental impacts of employee travel; and encourage employees to adopt alternative travel methods.   Vehicles designated as specialty, police, and emergency vehicles by the Illinois Department of Central Management Services, are exempt from these goals, but should make all reasonable efforts to minimize petroleum usage.</t>
  </si>
  <si>
    <t>https://www.afdc.energy.gov/laws/6623</t>
  </si>
  <si>
    <t>U.S. Department of Energy- Energy Efficiency &amp; Renewable Energy-  Alternative Fuel Data Center- Fuel-Efficient Vehicle Acquisition Goals</t>
  </si>
  <si>
    <t>The Chief Procurement Officer may determine that certain vehicle procurements are exempt from these requirements based on intended use or other reasonable considerations such as health and safety of Illinois citizens.</t>
  </si>
  <si>
    <t>https://www.afdc.energy.gov/laws/8906</t>
  </si>
  <si>
    <t>U.S. Department of Energy- Energy Efficiency &amp; Renewable Energy-  Alternative Fuel Data Center- Biodiesel Definition and Specification</t>
  </si>
  <si>
    <t>The Illinois Environmental Protection Agency (EPA) may issue air pollution control permits through the Bureau of Air for thermochemical conversion technology facilities that are constructed and operated to demonstrate the process of applying heat to woody biomass to produce ethanol or hydrogen for use as transportation fuel. Permit applicants must perform emissions testing during the permit period as the Illinois EPA requires. They must submit the results of that testing to the Illinois EPA within 60 days after the completion of testing.</t>
  </si>
  <si>
    <t>https://www.afdc.energy.gov/laws/8907</t>
  </si>
  <si>
    <t>U.S. Department of Energy- Energy Efficiency &amp; Renewable Energy-  Alternative Fuel Data Center- Ethanol and Hydrogen Production Facility Permits</t>
  </si>
  <si>
    <t>he Illinois Alternate Fuels Rebate Program provides a rebate for 80%, up to $4,000, of the incremental cost of purchasing an AFV; 80%, up to $4,000, of the cost of converting a conventional vehicle to an AFV using a federally certified conversion; and the incremental cost of purchasing alternative fuels. Eligible fuels for the program include E85, fuel blends containing at least 20% biodiesel (B20), natural gas, propane, electricity, and hydrogen. A vehicle may receive one rebate in its lifetime. Only AFVs purchased from an Illinois-based company or vendor may qualify, except if the vehicle is a heavy-duty specialty vehicle that is not sold in Illinois. To qualify for a fuel rebate, the entity or individual must purchase the majority of E85 or biodiesel fuel from Illinois retail stations or fuel suppliers. The E85 fuel rebate is up to $450 per year (depending on vehicle miles traveled) for up to three years for each flexible fuel vehicle that uses E85 at least half the time. The biodiesel fuel rebate (for B20 and higher blends) is for 80% of the incremental cost of the biodiesel fuel, as compared to conventional diesel. Rebates are part of the Illinois Green Fleets Program and are available to all qualified Illinois residents, businesses, government units (except federal government), and organizations located in Illinois. This program is suspended indefinitely (verified August 2016).</t>
  </si>
  <si>
    <t>https://www.afdc.energy.gov/laws/laws_expired?jurisdiction=IL</t>
  </si>
  <si>
    <t>U.S. Department of Energy- Energy Efficiency &amp; Renewable Energy-  Alternative Fuel Data Center- Expired, Repealed, and Archived Illinois Incentives and Laws</t>
  </si>
  <si>
    <t>The Illinois Green Fleets Program recognizes and provides additional marketing opportunities for fleets in Illinois that have a significant number of AFVs and use clean, domestically produced fuels.</t>
  </si>
  <si>
    <t>The Illinois Department of Commerce and Economic Opportunity's (Department) Renewable Fuels Development Program is partnered with the Illinois Corn Marketing Board to fund new E85 fueling infrastructure at retail gasoline stations. The American Lung Association of Illinois-Iowa administers grants of up to $15,000 for a blender pump installation, $10,000 for a new E85 dispenser installation, and $7,500 to convert existing stations to dispense E85. The maximum grant amount is $15,000 per facility or $75,000 for four or more facilities.</t>
  </si>
  <si>
    <t>Biofuels Blend use Requirement</t>
  </si>
  <si>
    <t>Whenever possible, governmental entities and state educational institutions must fuel diesel vehicles with biodiesel blends containing at least 2% biodiesel (B2), gasoline vehicles with mid-level ethanol blends between 20% and 73%, and flexible fuel vehicles with E85. This requirement does not apply if such blends are prohibited under federal regulations or have not been approved by the vehicle manufacturer. </t>
  </si>
  <si>
    <t>https://www.afdc.energy.gov/fuels/laws/BIOD/IN</t>
  </si>
  <si>
    <t>U.S. Department of Energy- Energy Efficiency &amp; Renewable Energy- Alternative Fuels Data Center- Indiana Laws and Incentives for Biodiesel</t>
  </si>
  <si>
    <t>Special Fuel Motor Carrier Fuel Tax</t>
  </si>
  <si>
    <t>A person who operates a commercial motor vehicle on any highway in Indiana is subject to a surcharge tax on the consumption of motor fuel. The tax rate is $0.11 per diesel gallon equivalent (DGE) for liquefied natural gas or biodiesel and $0.11 per gasoline gallon equivalent (GGE) for compressed natural gas. Beginning July 1, 2017, the tax rate will be determined based on the lesser of the tax rate determined by the special fuel tax index factor or $0.21 per DGE or GGE. From July 1, 2018, through July 1, 2024, the tax rate will be determined each year based on the special fuel tax index factor. </t>
  </si>
  <si>
    <t>https://www.afdc.energy.gov/fuels/laws/NG/IN</t>
  </si>
  <si>
    <t>U.S. Department of Energy- Energy Efficiency &amp; Renewable Energy- Alternative Fuels Data Center- Indiana Laws and Incentives for Natural Gas</t>
  </si>
  <si>
    <t>The Indiana Department of Environmental Management (IDEM) administers the DieselWise Indiana grant programs to support projects that reduce diesel emissions. The Clean Diesel Across Indiana program provides grants ranging from $10,000 to $75,000 for projects throughout the state. Eligible applicants include private and public entities that operate equipment serving the public, including private Bus fleets and sanitation fleets. Eligible projects include replacing or converting a diesel vehicle or vehicle component with one that operates on alternative fuel, as well as installing exhaU.S.t retrofit technologies, idle reduction technologies, aerodynamic technologies, and low rolling resistance tires.</t>
  </si>
  <si>
    <t>https://www.afdc.energy.gov/laws/10795</t>
  </si>
  <si>
    <t>U.S. Department of Energy- Energy Efficiency &amp; Renewable Energy- Alternative Fuels Data Center- Diesel Vehicle Retrofit and Improvement Grants</t>
  </si>
  <si>
    <t>Dedicated AFVs are exempt from inspection and maintenance requirements if they operate exclU.S.ively on natural gas, propane, ethanol, hydrogen, or methanol.</t>
  </si>
  <si>
    <t>https://www.afdc.energy.gov/laws/10796</t>
  </si>
  <si>
    <t>U.S. Department of Energy- Energy Efficiency &amp; Renewable Energy- Alternative Fuels Data Center- Alternative Fuel Vehicle (AFV) Inspection and Maintenance Exemption</t>
  </si>
  <si>
    <t>The definition of alternative fuel includes liquefied petroleum gas (propane). Special fuel is defined as all comBustible gases and liquids that are suitable for powering an internal comBustion engine or motor or are used exclU.S.ively for heating, indU.S.trial, or farm purposes. Special fuels include biodiesel, blended biodiesel, and natural gas products, including liquefied and compressed natural gas</t>
  </si>
  <si>
    <t>https://www.afdc.energy.gov/laws/10938</t>
  </si>
  <si>
    <t>U.S. Department of Energy- Energy Efficiency &amp; Renewable Energy-  Alternative Fuel Data Center-Alternative Fuel and Special Fuel Definitions</t>
  </si>
  <si>
    <t>Special Fuel Tax Exemption</t>
  </si>
  <si>
    <t>The sale of biodiesel, blended biodiesel, compressed natural gas, and liquefied natural gas used to power an internal comBustion engine or motor is exempt from state gross retail tax.</t>
  </si>
  <si>
    <t>https://www.afdc.energy.gov/laws/11804</t>
  </si>
  <si>
    <t>U.S. Department of Energy- Energy Efficiency &amp; Renewable Energy-  Alternative Fuel Data Center- Special Fuel Tax Exemption</t>
  </si>
  <si>
    <t>A governmental body, state educational institution, or instrumentality of the state that performs essential governmental functions on a statewide or local basis is entitled to a 10% price preference for the purchase of fuels containing at least 20% biodiesel (B20) by volume or fuels that are primarily ester-derived (other than alcohol) made from biological materials, such as oilseeds and animal fats, for use in operating compression and ignition engines</t>
  </si>
  <si>
    <t>https://www.afdc.energy.gov/laws/4402</t>
  </si>
  <si>
    <t>U.S. Department of Energy- Energy Efficiency &amp; Renewable Energy-  Alternative Fuel Data Center- Biodiesel Price Preference</t>
  </si>
  <si>
    <t>The Indiana Economic Development Corporation (IDEC) may designate an area as a certified technology park if certain criteria are met, including a commitment from at least one business engaged in a high technology activity that creates a significant number of jobs. The establishment of high technology activities and public facilities within a technology park serves a public purpose and benefits the public's general welfare by encouraging investment, job creation and retention, and economic growth and diversity. High technology activities include advanced vehicles technology, which is any technology that involves electric vehicles, hybrid electric vehicles, or alternative fuel vehicles, or components used in the construction of these vehicles.</t>
  </si>
  <si>
    <t>https://www.afdc.energy.gov/laws/5200</t>
  </si>
  <si>
    <t>U.S. Department of Energy- Energy Efficiency &amp; Renewable Energy-  Alternative Fuel Data Center- Certified Technology Park Designation</t>
  </si>
  <si>
    <t>The Indiana State Department of Agriculture must work with automobile manufacturers to improve awareness and labeling of E85 and must coordinate with the appropriate companies to include E85 fueling stations in updates of global positioning navigation software.</t>
  </si>
  <si>
    <t>https://www.afdc.energy.gov/laws/6033</t>
  </si>
  <si>
    <t>U.S. Department of Energy- Energy Efficiency &amp; Renewable Energy-  Alternative Fuel Data Center- E85 Promotion and Education</t>
  </si>
  <si>
    <t>E85 is a fuel blend nominally consisting of 85% ethanol and 15% gasoline by volume that meets ASTM specification D5798.</t>
  </si>
  <si>
    <t>https://www.afdc.energy.gov/laws/6035</t>
  </si>
  <si>
    <t>U.S. Department of Energy- Energy Efficiency &amp; Renewable Energy-  Alternative Fuel Data Center- E85 Definition</t>
  </si>
  <si>
    <t xml:space="preserve">Biodiesel is defined as a renewable, biodegradable fuel derived from agricultural plant oils or animal fats that meet ASTM specification D6751. Blended biodiesel is a blend of biodiesel with petroleum diesel fuel so that the volume percentage of biodiesel in the blend is at least 2% (B2). </t>
  </si>
  <si>
    <t>https://www.afdc.energy.gov/laws/6036</t>
  </si>
  <si>
    <t>U.S. Department of Energy- Energy Efficiency &amp; Renewable Energy-  Alternative Fuel Data Center- Biodiesel Definition</t>
  </si>
  <si>
    <t>The Indiana 21st Century Research and Technology Fund provides grants and loans to support economic development in high technology industry clU.S.ters. Incentives are available for qualified alternative fuel technologies and fuel-efficient vehicle development and production</t>
  </si>
  <si>
    <t>https://www.afdc.energy.gov/laws/6219</t>
  </si>
  <si>
    <t>U.S. Department of Energy- Energy Efficiency &amp; Renewable Energy-  Alternative Fuel Data Center- Vehicle Research and Development Grants</t>
  </si>
  <si>
    <t>E85 Fuel use Incentive</t>
  </si>
  <si>
    <t>A political subdivision that purchases E85 for use in flexible fuel vehicles (FFVs) may be entitled to a monthly incentive payment of $33.33 for each FFV owned by the political subdivision for fewer than five years. The political subdivision is eligible if 75% of its motor vehicle fuel purchases were E85 in the previous month. A political subdivision is defined as a municipal corporation or special taxing district. This incentive expires January 1, 2019.</t>
  </si>
  <si>
    <t>https://www.afdc.energy.gov/laws/6221</t>
  </si>
  <si>
    <t>U.S. Department of Energy- Energy Efficiency &amp; Renewable Energy-  Alternative Fuel Data Center- E85 Fuel Use Incentive</t>
  </si>
  <si>
    <t xml:space="preserve">Biodiesel blends of at least 20% (B20) that are used for personal, noncommercial use by the individual that produced the biodiesel portion of the fuel are exempt from the special fuel license tax. The maximum number of gallons of fuel for which the exemption may be claimed is based on the percentage volume of biodiesel in each gallon used. </t>
  </si>
  <si>
    <t>https://www.afdc.energy.gov/laws/6222</t>
  </si>
  <si>
    <t>U.S. Department of Energy- Energy Efficiency &amp; Renewable Energy-  Alternative Fuel Data Center- Biodiesel Blend Tax Exemption</t>
  </si>
  <si>
    <t>A retailer who dispenses E85 must report to the Indiana Department of State Revenue the total number of gallons of E85 sold from a metered pump.</t>
  </si>
  <si>
    <t>https://www.afdc.energy.gov/laws/laws_expired?jurisdiction=IN</t>
  </si>
  <si>
    <t>U.S. Department of Energy- Energy Efficiency &amp; Renewable Energy-  Alternative Fuel Data Center- Expired, Repealed, and Archived Indiana Incentives and Laws</t>
  </si>
  <si>
    <t>E85 sellers, suppliers, distributors, manufacturers, and refiners are immune from civil liability for personal injury or property damage resulting from a person fueling any vehicle with E85 that is not a flexible fuel vehicle. This includes any vehicle equipped to operate when fueled entirely with E85. This immunity does not apply if an E85 seller, supplier, distributor, manufacturer, or refiner does not display all E85 warning signs that federal or state laws require.</t>
  </si>
  <si>
    <t>https://www.afdc.energy.gov/laws/search?ir%5Bregulation%5D%5B%5D=REGIS&amp;loc%5B%5D=IN</t>
  </si>
  <si>
    <t>U.S. Department of Energy- Energy Efficiency &amp; Renewable Energy-  Alternative Fuel Data Center- Search Federal and State Laws and Incentives</t>
  </si>
  <si>
    <t>Compressed natural gas used as a special motor fuel is subject to the state fuel excise tax of $0.31 per gasoline gallon equivalent, measured at 5.66 pounds (lbs.) or 126.67 cubic feet at a base temperature of 60 degrees Fahrenheit and a pressure of 14.73 lbs. per square inch. Liquefied natural gas is subject to the excise tax of $0.325 per diesel gallon equivalent, measured at 6.06 lbs. Liquefied petroleum gas (propane) is subject to the excise tax of $0.30 per gallon. E85 is subject to the excise tax of $0.290 per gallon</t>
  </si>
  <si>
    <t>https://www.afdc.energy.gov/laws/11480</t>
  </si>
  <si>
    <t>U.S. Department of Energy- Energy Efficiency &amp; Renewable Energy-  Alternative Fuel Data Center- Alternative Fuel Tax</t>
  </si>
  <si>
    <t>At least 10% of new light-duty vehicles purchased by institutions under the control of the state fleet director, including the Iowa Department of Transportation, Board of Directors of Community Colleges, Board of Regents, Commission for the Blind, and Department of Corrections must be capable of operating on alternative fuels. Vehicles and trucks purchased and directly used for law enforcement and off-road maintenance work are exempt from this requirement</t>
  </si>
  <si>
    <t>https://www.afdc.energy.gov/laws/4413</t>
  </si>
  <si>
    <t>U.S. Department of Energy- Energy Efficiency &amp; Renewable Energy-  Alternative Fuel Data Center- Alternative Fuel Vehicle Acquisition Requirements</t>
  </si>
  <si>
    <t>Biodiesel Fuel use</t>
  </si>
  <si>
    <t>The Iowa Department of Transportation (IDOT) may purchase biodiesel for use in IDOT vehicles through the biodiesel fuel revolving fund created in the state treasury. The fund consists of money received from the sale of Energy Policy Act of 1992 credits IDOT has banked and other income IDOT has obtained or accepted for deposit in the fund</t>
  </si>
  <si>
    <t>https://www.afdc.energy.gov/laws/5235</t>
  </si>
  <si>
    <t>U.S. Department of Energy- Energy Efficiency &amp; Renewable Energy-  Alternative Fuel Data Center- Biodiesel Fuel Use</t>
  </si>
  <si>
    <t>The Ethanol Promotion Tax Credit is available to any fuel retailer for up to $0.08 per gallon of pure ethanol blended into gasoline, as long as the retailer sells a certain percentage of renewable fuels (ethanol and biodiesel) as part of their total motor fuel sales on a company-wide or a site-by-site basis. Retailers must meet the following annual renewable fuel goals to be eligible for the credit: 	% Biofuel (retailers
selling &gt;200,000 
gallons of motor 
fuel)	% Biofuel (retailers 
selling &lt;200,000 
gallons of motor 
fuel)
2018	23%	19%
2019	25%	21%
2020	25%	25%      For retailers within 2% of meeting these goals, the tax credit will be $0.06 for every gallon of pure ethanol blended into gasoline sold. For retailers within 4% of meeting these goals, the tax credit will be $0.04 for every gallon of pure ethanol sold. The governor may adjU.S.t the percentages if certain flexible fuel vehicle registration targets are not met or if there is a shortage of biofuel feedstock. The tax credit expires December 31, 2020</t>
  </si>
  <si>
    <t>https://www.afdc.energy.gov/laws/5237</t>
  </si>
  <si>
    <t>U.S. Department of Energy- Energy Efficiency &amp; Renewable Energy-  Alternative Fuel Data Center- Ethanol Blend Retailer Tax Credit</t>
  </si>
  <si>
    <t>Biodiesel, biobutanol, and ethanol blend dispensers must be affixed with decals identifying the type of fuel blend. If fuel blends containing more than 10% ethanol are being dispensed, the decal must include the following statement: "For Flexible Fuel Vehicles Only." The Iowa Department of Agriculture and Land Stewardship (Department) may approve an application to place a decal in a special location on a pump with special lettering or colors that are clear and conspicuoU.S. to the consumer. The application must be made in writing to the Department.</t>
  </si>
  <si>
    <t>https://www.afdc.energy.gov/laws/5432</t>
  </si>
  <si>
    <t>U.S. Department of Energy- Energy Efficiency &amp; Renewable Energy-  Alternative Fuel Data Center- Renewable Fuel Labeling Requirement</t>
  </si>
  <si>
    <t>https://www.afdc.energy.gov/laws/5574</t>
  </si>
  <si>
    <t>U.S. Department of Energy- Energy Efficiency &amp; Renewable Energy-  Alternative Fuel Data Center- Alternative Fuel Vehicle (AFV) Conversion Registration</t>
  </si>
  <si>
    <t>The Renewable Fuels Infrastructure Program provides financial assistance to qualified E85 or dual E15 and biodiesel retailers. Cost-share grants are available to upgrade or install new E85 or dual E15 and biodiesel infrastructure. Three-year cost-share grants are available for up to 50% of the total cost of the total project, up to $30,000, and five-year cost-share grants are available for up to 70% of the total cost of the project, up to $50,000. Biodiesel distributors may apply for cost-share grants for infrastructure upgrades and installations at biodiesel terminal facilities. Facilities blending or dispensing blends ranging from 2% biodiesel (B2) to 98% biodiesel (B98) are eligible for up to 50% of the total project, up to $50,000. Facilities blending or dispensing B99 or B100 are eligible for up to 50% of the total project, up to $100,000. The Renewable Fuels Infrastructure Board receives administrative support from staff within the Iowa Department of Agriculture and Land Stewardship and the 11-member board has authority to determine the eligibility of applicants</t>
  </si>
  <si>
    <t>https://www.afdc.energy.gov/laws/6081</t>
  </si>
  <si>
    <t>U.S. Department of Energy- Energy Efficiency &amp; Renewable Energy-  Alternative Fuel Data Center- Biofuel Infrastructure Grants</t>
  </si>
  <si>
    <t>Beginning January 1, 2018, retailers selling biodiesel blends containing a minimum of 5% biodiesel (B5) are eligible for a state income tax credit of $0.035 per gallon of biodiesel sold. Biodiesel blends containing a minimum of 11% biodiesel (B11) are eligible for a state income tax of $0.055 per gallon Sold. The tax credit expires December 31, 2024.</t>
  </si>
  <si>
    <t>https://www.afdc.energy.gov/laws/6082</t>
  </si>
  <si>
    <t>U.S. Department of Energy- Energy Efficiency &amp; Renewable Energy-  Alternative Fuel Data Center- Biodiesel Blend Retailer Tax Credit</t>
  </si>
  <si>
    <t>E85 Fuel ExclU.S.ivity Contract Regulations</t>
  </si>
  <si>
    <t>Any motor fuel franchisor must provide for the delivery of E85 as requested by the motor fuel dealer or allow the franchisee to purchase E85 from another source.</t>
  </si>
  <si>
    <t>https://www.afdc.energy.gov/laws/6117</t>
  </si>
  <si>
    <t>U.S. Department of Energy- Energy Efficiency &amp; Renewable Energy-  Alternative Fuel Data Center- E85 Fuel Exclusivity Contract Regulations</t>
  </si>
  <si>
    <t>https://www.afdc.energy.gov/laws/6226</t>
  </si>
  <si>
    <t>U.S. Department of Energy- Energy Efficiency &amp; Renewable Energy-  Alternative Fuel Data Center- Alternative Fuel Production Tax Credits</t>
  </si>
  <si>
    <t>Retail stations dispensing gasoline fuel blends of E85 (70%-85% ethanol) for use in motor vehicles may be eligible for a tax credit in the amount of $0.16 per gallon sold. The tax credit expires after December 31, 2024. Eligible taxpayers may also claim the Ethanol Blend Retailer Tax Credit for the same ethanol gallons and tax year.</t>
  </si>
  <si>
    <t>https://www.afdc.energy.gov/laws/6425</t>
  </si>
  <si>
    <t>U.S. Department of Energy- Energy Efficiency &amp; Renewable Energy-  Alternative Fuel Data Center- E85 Retailer Tax Credit</t>
  </si>
  <si>
    <t xml:space="preserve">An ethanol retailer selling a blend of at least 9% ethanol by volume must use gasoline storage and dispensing infrastructure that the Iowa Department of Natural Resources and state fire marshal have determined is compatible with the ethanol blend being dispensed. </t>
  </si>
  <si>
    <t>https://www.afdc.energy.gov/laws/8308</t>
  </si>
  <si>
    <t>U.S. Department of Energy- Energy Efficiency &amp; Renewable Energy-  Alternative Fuel Data Center- Ethanol Blend Dispenser Requirement</t>
  </si>
  <si>
    <t>Retail stations dispensing mid-level blends of ethanol in gasoline between 15% (E15) up to 69% (E69) for use in motor vehicles may be eligible for a tax credit. Credit amounts vary by date: September 16 through May 31 the credit is equal to $0.03 per gallon and June 1 through September 15 the credit is equal to $0.10 per gallon. The tax credit expires December 31, 2024.</t>
  </si>
  <si>
    <t>https://www.afdc.energy.gov/laws/9293</t>
  </si>
  <si>
    <t>U.S. Department of Energy- Energy Efficiency &amp; Renewable Energy-  Alternative Fuel Data Center- Mid-Level Ethanol Blend Retailer Tax Credit</t>
  </si>
  <si>
    <t>Ethanol-blended gasoline must conform to ASTM D4814, E85 must conform to ASTM D4806, and biodiesel-blended fuel containing at least 6%, but no more than 20%, biodiesel must conform to ASTM D7467. Additionally, biobutanol must be an agriculturally derived isobutyl alcohol that meets ASTM D7862 for butanol for blending with gasoline for use as a motor fuel. Gasoline blended with biobutanol must conform to ASTM D4814. The state defers to the U.S. Environmental Protection Agency for potential changes in specifications.</t>
  </si>
  <si>
    <t>https://www.afdc.energy.gov/laws/9294</t>
  </si>
  <si>
    <t>U.S. Department of Energy- Energy Efficiency &amp; Renewable Energy-  Alternative Fuel Data Center- Biofuel Specifications</t>
  </si>
  <si>
    <t>A biodiesel producer may apply for a refund of Iowa state sales or use taxes paid on purchases. To qualify, the producer must be registered with the U.S. Environmental Protection Agency and any biodiesel produced must be used in biodiesel fuel blends. The refund amount is based on the total gallons of biodiesel produced in the state multiplied by the designated rate of $0.02. A biodiesel producer is only eligible to receive a refund for up to 25 million gallons of biodiesel produced during each calendar year through 2017. The producer must file refund claims with the Iowa Department of Revenue on a quarterly basis. Refunds received may not be included as income for Iowa individual and corporation income tax purposes. The incentive expires December 24, 2024.</t>
  </si>
  <si>
    <t>https://www.afdc.energy.gov/laws/laws_expired?jurisdiction=IA</t>
  </si>
  <si>
    <t>U.S. Department of Energy- Energy Efficiency &amp; Renewable Energy-  Alternative Fuel Data Center- Expired, Repealed, and Archived Iowa Incentives and Laws</t>
  </si>
  <si>
    <t>The State of Kansas promotes renewable fuel, offering direct financial incentives for production and sale of ethanol. The incentive rate is $0.035 for each gallon sold by the producer. (The previous rate was $0.075) In addition, $875,000 per quarter is planned to be added to the fund for distribution. If production exceeds the fund balance, the fund will be distributed on a prorate share. This incentive shall be payable for no more than seven years to any one producer. 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 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 Producers seeking this incentive should file necessary forms with the Kansas Department of Revenue. The program sunsets July 1, 2018.</t>
  </si>
  <si>
    <t>http://www.kansascommerce.com/1150/Incentives-for-Ethanol-Production</t>
  </si>
  <si>
    <t>Kansas Department of Commerce- Incentives for Ethanol Production</t>
  </si>
  <si>
    <t>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t>
  </si>
  <si>
    <t>https://www.afdc.energy.gov/fuels/laws/BIOD/KS</t>
  </si>
  <si>
    <t>U.S. Department of Energy- Energy Efficiency &amp; Renewable Energy- Alternative Fuels Data Center- Kansas Laws and Incentives for Biodiesel</t>
  </si>
  <si>
    <t>Producers seeking this incentive should file necessary forms with the Kansas Department of Revenue. The program sunsets July 1, 2018.</t>
  </si>
  <si>
    <t>U.S. Department of Energy- Energy Efficiency &amp; Renewable Energy- Alternative Fuels Data Center- Kansas Laws and Incentives for Biodiesel</t>
  </si>
  <si>
    <t>Biofuels use Requirement</t>
  </si>
  <si>
    <t>State-owned diesel-powered vehicles and equipment must use a biodiesel blend that contains at least 2% biodiesel (B2), where available, as long as the price of the biodiesel blend is not more than $0.10 per gallon as compared to the price of diesel fuel. Individuals operating state-owned motor vehicles must purchase fuel blends containing at least 10% ethanol (E10), as long as these fuel blends are not more than $0.10 per gallon as compared to the price per gallon of regular gasoline fuel</t>
  </si>
  <si>
    <t>CFCU offers loans to individuals and businesses that purchase new or converted compressed natural gas (CNG) vehicles. Conversion systems must be U.S. Environmental Protection Agency certified and installed by an insured and state licensed facility. New vehicle loans are available at amounts up to the manufacturer's suggested retail price plU.S. the cost of the conversion. Pre-owned or CFCU member owned vehicles with a CNG fuel system or conversion installation are eligible for loans at up to 115% of the National Automobile Dealers Association suggested retail value. All financing is at CFCU standard auto loan rates. CFCU also offers loans for the cost of home fueling equipment. </t>
  </si>
  <si>
    <t>https://www.afdc.energy.gov/fuels/laws/NG/KS</t>
  </si>
  <si>
    <t>U.S. Department of Energy- Energy Efficiency &amp; Renewable Energy- Alternative Fuels Data Center- Kansas Laws and Incentives for Natural Gas</t>
  </si>
  <si>
    <t>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t>
  </si>
  <si>
    <t>https://www.afdc.energy.gov/laws/11722</t>
  </si>
  <si>
    <t>U.S. Department of Energy- Energy Efficiency &amp; Renewable Energy-  Alternative Fuel Data Center- Natural Gas Vehicle (NGV) Rebate Pilot Program - Kansas Gas Service</t>
  </si>
  <si>
    <t>An income tax credit is available for 40% of the incremental or conversion cost for qualified AFVs, based on gross vehicle weight rating (GVWR) as outlined in the table below. Qualified AFVs include vehicles that operate on a comBustible liquid derived from grain starch, oil seed, animal fat, or other biomass, or produced from a biogas source. Less than 10,000 pounds (lbs.)	Up to $2,400
10,000 to 26,000 lbs.	Up to $4,000
Over 26,000 lbs.	Up to $40,000    Alternatively, a tax credit of 5% of the cost of the AFV, up to $750, is available for the purchase of an original equipment manufacturer AFV. This credit is allowed only to the first individual to take title of the vehicle. For motor vehicles capable of operating on E85, the individual claiming the credit must provide evidence of purchasing at least 500 gallons of E85 between the time the vehicle was purchased and December 31, of the following calendar year. Excess credits may be carried over for up to three years after the year in which the expenditures were made. The credit is only available to entities with corporate income tax liability.</t>
  </si>
  <si>
    <t>https://www.afdc.energy.gov/laws/5169</t>
  </si>
  <si>
    <t xml:space="preserve">U.S. Department of Energy- Energy Efficiency &amp; Renewable Energy-  Alternative Fuel Data Center- Alternative Fuel Vehicle (AFV) Tax Credit
</t>
  </si>
  <si>
    <t>An income tax credit is available for 40% of the total cost to install alternative fueling infrastructure. Qualified property must be directly related to the delivery of alternative fuel into the fuel tank of a motor vehicle propelled by such fuel. The tax credit may not exceed $100,000 per fueling station. Alternative fuels are defined as comBustible liquids derived from grain starch, oil seed, animal fat, or other biomass, or produced from a biogas source. Excess credits may be carried over for up to three years after the year in which the expenditures were made. The credit is only available to entities with corporate income tax liability</t>
  </si>
  <si>
    <t>https://www.afdc.energy.gov/laws/5171</t>
  </si>
  <si>
    <t>U.S. Department of Energy- Energy Efficiency &amp; Renewable Energy-  Alternative Fuel Data Center- Alternative Fueling Infrastructure Tax Credit</t>
  </si>
  <si>
    <t>The minimum motor vehicle fuel tax rate on E85 is $0.17 per gallon, compared to the conventional motor fuel tax rate of $0.24 per gallon. E85 is defined as an alternative fuel that is a blend of denatured ethanol and hydrocarbon and typically contains 85% ethanol by volume, but must contain at least 70% ethanol by volume and complies with ASTM specification D5798-99.</t>
  </si>
  <si>
    <t>https://www.afdc.energy.gov/laws/6203</t>
  </si>
  <si>
    <t>U.S. Department of Energy- Energy Efficiency &amp; Renewable Energy-  Alternative Fuel Data Center- E85 Tax Rate and Definition</t>
  </si>
  <si>
    <t>The Kansas Development Finance Authority may issue revenue bonds to cover the costs of construction or expansion of a biomass-to-energy facility. A qualifying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t>
  </si>
  <si>
    <t>https://www.afdc.energy.gov/laws/6404</t>
  </si>
  <si>
    <t>U.S. Department of Energy- Energy Efficiency &amp; Renewable Energy-  Alternative Fuel Data Center- Cellulosic Ethanol Production Financing</t>
  </si>
  <si>
    <t>Qualified equipment used for storing and blending petroleum-based fuel with biodiesel, ethanol, or other biofuel is exempt from state property taxes. The exemption begins at the time of installation at a fuel terminal, refinery, or biofuel production plant, and ends 10 taxable years following the year in which the equipment was installed. Equipment used only for denaturing ethyl alcohol is not eligible</t>
  </si>
  <si>
    <t>https://www.afdc.energy.gov/laws/8304</t>
  </si>
  <si>
    <t>U.S. Department of Energy- Energy Efficiency &amp; Renewable Energy-  Alternative Fuel Data Center- Biofuel Blending Equipment Tax Exemption</t>
  </si>
  <si>
    <t xml:space="preserve">Any newly constructed or expanded biomass-to-energy facility is exempt from state property taxes for up to 10 taxable years immediately following the taxable year in which construction or installation is completed. A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 </t>
  </si>
  <si>
    <t>https://www.afdc.energy.gov/laws/8306</t>
  </si>
  <si>
    <t>U.S. Department of Energy- Energy Efficiency &amp; Renewable Energy-  Alternative Fuel Data Center- Biofuel Production Facility Tax Exemption</t>
  </si>
  <si>
    <t>A licensed retail motor fuel dealer may receive a quarterly incentive from the Kansas Retail Dealer Incentive Fund for selling and dispensing renewable fuels, including biodiesel. A qualified motor fuel dealer is eligible for up to $0.065 for every gallon of renewable fuel sold and up to $0.03 for every gallon of biodiesel sold, if the required threshold percentage is met. The threshold is determined by calculating the percent of total gasoline sales that is renewable fuel or biodiesel. For renewable fuel, the threshold increases incrementally on an annual basis from 10% in 2009 to 25% beginning on January 1, 2024. For biodiesel, the threshold increases incrementally on an annual basis from 2% in 2009 to 25% in 2025.</t>
  </si>
  <si>
    <t>https://www.afdc.energy.gov/laws/all?state=KS</t>
  </si>
  <si>
    <t>U.S. Department of Energy- Energy Efficiency &amp; Renewable Energy-  Alternative Fuel Data Center- Kansas Laws and Incentives</t>
  </si>
  <si>
    <t>A retail motor fuel dispenser that dispenses fuel containing more than 10% ethanol by volume must be labeled with the capital letter "E" followed by the numerical value representing the volume percentage of ethanol, such as E85, as specified in Kansas Department of Agriculture guidelines</t>
  </si>
  <si>
    <t xml:space="preserve">State agencies must purchase flexible fuel vehicles (FFVs) capable of operating on E85 fuel unless the desired vehicle model is not available with an E85-capable engine or the cost of the vehicle is at least $250 more than a comparable vehicle that does not use E85. When leasing motor vehicles, state agencies must lease FFVs unless no such vehicles are available for lease. </t>
  </si>
  <si>
    <t>All school Buses for which bids are made or bid contracts awarded shall meet the standards and specifications of the Kentucky Department of Education. The term "school Bus," as used in this section, shall mean any motor vehicle which
meets the standards and specifications for school Buses as provided by law or by the standards or specifications of the Kentucky Department of Education authorized by law and used solely in transporting school children and school employees to and
from school under the supervision and control and at the direction of school authorities, and shall further include school Bus accessory equipment and supplies and replacement equipment considered to be reasonably adaptable for purchase
from price contract agreements.  Except in cases of emergencies or for the transportation of students with disabilities,
only school Buses as defined in subsection (1) of this section shall be used for transporting students to and from school along regular Bus routes. Districts may use district-owned vehicles that were designed and built by the manufacturer for
passenger transportation when transporting nine or fewer passengers, including the driver, for approved school activities. Vehicles used under this subsection shall be clearly marked as transporting students and shall be safety inspected no less than
once every thirty (30) days.  As part of its regular procedure for establishing and updating school Bus standards and specifications, the Kentucky Department of Education shall consider allowing school Buses to operate using clean transportation fuels, as defined in KRS 186.750. If the department determines that school Buses may operate using clean transportation fuels while maintaining the same or a higher degree of safety as fuels currently allowed, it shall update its standards and specifications to allow for such
use. Effective: June 25, 2013</t>
  </si>
  <si>
    <t>http://www.lrc.ky.gov/statutes/statute.aspx?id=42410</t>
  </si>
  <si>
    <t>School bus standards -- "School bus" defined -- Use of clean transportation fuels</t>
  </si>
  <si>
    <t>To apply for the incentive, an eligible taxpayer must submit a $1,000 non-refundable application fee and remit payment for any other fees in connection with the project, including administrative, legal, and consulting fees</t>
  </si>
  <si>
    <t>https://www.afdc.energy.gov/fuels/laws/NG/KY</t>
  </si>
  <si>
    <t>U.S. Department of Energy- Energy Efficiency &amp; Renewable Energy- Alternative Fuels Data Center- Kentucky Laws and Incentives for Natural Gas</t>
  </si>
  <si>
    <t>Vehicles converted to operate on compressed natural gas (CNG), liquefied natural gas (LNG), or a bi-fuel system must be inspected for compliance with applicable Federal Motor Vehicle Safety Standards (FMVSS). The inspection must occur at the time of the conversion; every three years or 36,000 miles after the conversion, whichever comes first; and following any collision in which the vehicle was traveling at five miles per hour or greater. Vehicles originally designed and manufactured to use CNG or LNG must also be inspected for safety following any collision in which a vehicle was traveling at five miles per hour or greater. Any person who performs natural gas vehicle conversions must certify to the vehicle owner that the conversion does not affect any existing vehicle emissions or diagnostic systems, except as necessary for the conversion. The Kentucky Transportation Cabinet may establish regulations to qualify persons to perform safety inspections; modify FMVSS for state use; and identify converted vehicles and ensure compliance with applicable regulations.</t>
  </si>
  <si>
    <t>U.S. Department of Energy- Energy Efficiency &amp; Renewable Energy- Alternative Fuels Data Center- Kentucky Laws and Incentives for Natural Gas</t>
  </si>
  <si>
    <t xml:space="preserve">The Governor's Office of Agricultural Policy provides grants through the County Agricultural Investment Program for on-farm energy efficiency and renewable energy production projects, including funding for equipment, structures, or other supplies necessary to convert biomass crops into useable energy or to convert grains and oilseeds into ethanol or biodiesel for use in on-farm equipment. Fuels produced on a farm with assistance through this program may not be used as transportation fuels for highway use. Applicants are encouraged to review manufacturers' warranties and specifications before using the fuels in any on-farm equipment. </t>
  </si>
  <si>
    <t>https://www.afdc.energy.gov/laws/10738</t>
  </si>
  <si>
    <t>U.S. Department of Energy- Energy Efficiency &amp; Renewable Energy- Alternative Fuels Data Center- Alternative Fuel School Bus Regulations</t>
  </si>
  <si>
    <t>Clean transportation fuels include propane, compressed natural gas (CNG), liquefied natural gas (LNG), electricity, and other transportation fuels determined to be comparable with respect to emissions. Propane is defined as a hydrocarbon mixture produced as a by-product of natural gas processing and petroleum refining and condensed into liquid form for sale or use as a motor fuel. CNG is defined as pipeline-quality natural gas that is compressed and provided for sale or use as a motor vehicle fuel. LNG is defined as pipeline-quality natural gas treated to remove water, hydrogen sulfide, carbon dioxide, and other components that will freeze and condense into liquid form for sale or use as a motor vehicle fuel. 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</si>
  <si>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https://www.afdc.energy.gov/laws/10741</t>
  </si>
  <si>
    <t>U.S. Department of Energy- Energy Efficiency &amp; Renewable Energy- Alternative Fuels Data Center- Alternative Fuel and Conversion Definitions</t>
  </si>
  <si>
    <t>An excise tax rate of 9% of the average wholesale price on a per gallon basis applies to all special fuels, including diesel, natural gas, liquefied petroleum gas (propane), ethanol, biodiesel, hydrogen, and any other combustible gases and liquids, excluding gasoline, used to propel motor vehicles. Additionally, a highway motor fuel tax of $0.02 per gallon applies to all special fuels. For taxation purposes, one gasoline gallon equivalent (GGE) of compressed natural gas (CNG) is equal to 5.66 pounds (lbs.) or 126.67 cubic feet. One GGE of liquefied natural gas (LNG) is equal to 6.06 lbs</t>
  </si>
  <si>
    <t>https://www.afdc.energy.gov/laws/all?state=KY</t>
  </si>
  <si>
    <t>U.S. Department of Energy- Energy Efficiency &amp; Renewable Energy-  Alternative Fuel Data Center- Kentucky Laws and Incentives</t>
  </si>
  <si>
    <t>Alternative Fuel Production Tax Incentives - Kentucky Enterprise Initiative Act (KEIA)</t>
  </si>
  <si>
    <t>Effective July 14, 2018, companies engaged in energy-efficient alternative fuel production, alternative fuel production, and gasification may be eligible for an incentive through KEIA. KEIA provides a refund of Kentucky sales and use tax paid by approved companies for building and construction materials for the acquisition, construction, or expansion of a new or existing facility or eligible equipment used in research and development. Energy-efficient alternative fuels are defined as homogeneoU.S. fuels that are produced from processes designed to densify feedstocks such as coal, waste coal, or biomass resources and have an energy content that is greater than the feedstock.</t>
  </si>
  <si>
    <t>https://www.afdc.energy.gov/laws/11974</t>
  </si>
  <si>
    <t>U.S. Department of Energy- Energy Efficiency &amp; Renewable Energy-  Alternative Fuel Data Center- Alternative Fuel Production Tax Incentives - Kentucky Enterprise Initiative Act (KEIA)</t>
  </si>
  <si>
    <t>Alternative Fuel Production Tax Incentives - Kentucky business Investment (KBI) Program</t>
  </si>
  <si>
    <t xml:space="preserve">Effective July 14, 2018, companies engaged in energy-efficient alternative fuel production, alternative fuel production, and gasification may be eligible for the KBI Program. The KBI Program provides income tax credits and wage assessment incentives to eligible companies that locate or expand operations in Kentucky. Energy-efficient alternative fuels are defined as homogeneoU.S. fuels that are produced from processes designed to densify feedstocks such as coal, waste coal, or biomass resources and have an energy content that is greater than the feedstock. The incentive offsets eligible expenses for up to 15 years for an economic development project located in an enhanced incentive county or 10 years for an economic development project located in another county. An approved company may be eligible for a credit of up to 100% of the Kentucky corporate income or limited liability entity tax liability and wage assessment fees are available. </t>
  </si>
  <si>
    <t>https://www.afdc.energy.gov/laws/11975</t>
  </si>
  <si>
    <t>U.S. Department of Energy- Energy Efficiency &amp; Renewable Energy-  Alternative Fuel Data Center- Alternative Fuel Production Tax Incentives - Kentucky Business Investment (KBI) Program</t>
  </si>
  <si>
    <t>Qualified biodiesel producers or blenders are eligible for an income tax credit of $1.00 per gallon of pure biodiesel (B100) or renewable diesel produced or used in the blending process. Re-blending of blended biodiesel does not qualify for the tax credit. The total amount of credits claimed by all biodiesel producers may not exceed the annual biodiesel tax credit cap of $10 million. Unused credits may not be carried forward. For the purpose of this credit, biodiesel must meet ASTM specification D6751, and renewable diesel is defined as a renewable, biodegradable, non-ester comBustible liquid derived from biomass resources that meets ASTM specification D975.</t>
  </si>
  <si>
    <t>https://www.afdc.energy.gov/laws/5831</t>
  </si>
  <si>
    <t>U.S. Department of Energy- Energy Efficiency &amp; Renewable Energy-  Alternative Fuel Data Center- Biodiesel Production and Blending Tax Credit</t>
  </si>
  <si>
    <t>Through the Incentives for Energy Independence Act program, the Kentucky Economic Development Finance Authority (KEDFA) provides tax incentives to construct, retrofit, or upgrade an alternative fuel production or gasification facility that uses coal or biomass as a feedstock. KEDFA also provides tax incentives for energy-efficient alternative fuel production facilities and for up to five alternative fuel production facilities that use natural gas or natural gas liquids as a feedstock. Energy-efficient alternative fuels are defined as homogeneoU.S. fuels that are produced from processes designed to densify feedstocks such as coal, waste coal, or biomass resources and have an energy content that is greater than the feedstock. The incentives may consist of: 1) a refund of up to 100% of the state sales tax paid on the purchase of personal property used to construct, retrofit, or upgrade the facility; 2) a credit of up to 100% of an approved company's state income tax and limited liability entity tax that the project generates; 3) up to 4% of the wage assessment of employees whose jobs were created as a result of the construction, retrofit, upgrade, or operation of a qualified facility; and 4) a credit for up to 80% of the severance tax paid for coal, natural gas, or natural gas liquids used as a feedstock. KEDFA may allow advance incentive disbursement to encourage the use of in-state labor for facility construction.</t>
  </si>
  <si>
    <t>https://www.afdc.energy.gov/laws/6294</t>
  </si>
  <si>
    <t>U.S. Department of Energy- Energy Efficiency &amp; Renewable Energy-  Alternative Fuel Data Center- Alternative Fuel Production Tax Incentives</t>
  </si>
  <si>
    <t>Qualified ethanol producers are eligible for an income tax credit of $1.00 per gallon of corn- or cellulosic-based ethanol that meets ASTM specification D4806. The total credit amount available for producers is $5 million for each fuel type in each taxable year. Unused ethanol credits from one ethanol-based cap, such as corn, may be applied to another ethanol-based cap, such as cellulosic, in the same taxable year. Unused credits may not be carried forward. Feedstock eligibility restrictions may apply.</t>
  </si>
  <si>
    <t>https://www.afdc.energy.gov/laws/6409</t>
  </si>
  <si>
    <t>U.S. Department of Energy- Energy Efficiency &amp; Renewable Energy-  Alternative Fuel Data Center- Ethanol Production Tax Credit</t>
  </si>
  <si>
    <t>Vehicle Acquisition Priorities and Alternative Fuel use Requirement</t>
  </si>
  <si>
    <t>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</si>
  <si>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https://www.afdc.energy.gov/laws/laws_expired?jurisdiction=KY</t>
  </si>
  <si>
    <t>U.S. Department of Energy- Energy Efficiency &amp; Renewable Energy-  Alternative Fuel Data Center- Expired, Repealed, and Archived Kentucky Incentives and Laws</t>
  </si>
  <si>
    <t xml:space="preserve">The Louisiana Department of Natural Resources' Office of Conservation has regulatory authority over CNG safety, including fueling stations and the installation of conversion equipment in a vehicle. Vehicles capable of operating on, liquefied petroleum gas (propane) must have passed a safety inspection from the Louisiana Liquefied Petroleum Gas Commission. </t>
  </si>
  <si>
    <t>https://www.afdc.energy.gov/laws/5283</t>
  </si>
  <si>
    <t>U.S. Department of Energy- Energy Efficiency &amp; Renewable Energy-  Alternative Fuel Data Center- Compressed Natural Gas (CNG) and Propane Regulatory Authority</t>
  </si>
  <si>
    <t>Within six months following the point at which monthly production of denatured ethanol produced in Louisiana equals or exceeds a minimum annualized production volume of 50 million gallons, at least 2% of the total gasoline sold by volume in the state must be denatured ethanol. Ethanol is defined an ethyl alcohol that has a purity of at least 99%, exclU.S.ive of added denaturants; meets U.S. Bureau of Alcohol, Tobacco, Firearms, and Explosives and ASTM specification D4806; and is produced from domestic agricultural or biomass products. This requirement will not be effective until six months after the average wholesale price of a gallon of Louisiana-manufactured ethanol, less any federal tax incentives or credits, is equal to or below the average wholesale price of a gallon of regular unleaded gasoline in Louisiana for a period of not less than 60 days, as determined by the Louisiana Department of Agriculture and Forestry (Department). Within six months following the point at which monthly production of biodiesel produced in the state equals or exceeds a minimum annualized production volume of 10 million gallons, at least 2% of the total diesel sold by volume in the state must be biodiesel produced from domestically grown feedstock. Biodiesel is a fuel comprised of mono-alkyl esters of long chain fatty acids derived from renewable resources and meeting the requirements of ASTM specification D6751, or a diesel fuel substitute produced from non-petroleum renewable resources such as vegetable oils and animal fats that meet U.S. Environmental Protection Agency fuel and fuel additive requirements. Alternatively, these requirements may be met through the production of an alternate renewable fuel, defined as a liquid fuel that is domestically produced from renewable biomass, can be used in place of ethanol or biodiesel, and meets the definition of renewable fuel in the Energy Policy Act of 2005. Within six months following the point at which cumulative monthly production of an alternate renewable fuel produced in the state equals or exceeds a minimum annual production volume of 20 million gallons, at least 2% of the total motor fuel sold by volume in the state must be the alternate renewable fuel produced from domestically grown feedstock. This requirement may not exceed 2% of the total motor fuel sold by volume by owners or operators of fuel distribution terminals. Blenders and retailers will have six months to meet the new minimum ethanol, biodiesel, or alternate renewable fuel content requirements, unless the Commission of Weights and Measures determines that the quality or supply of ethanol or biodiesel in the state is insufficient or fuel distributors are unable to blend ethanol due to delays in obtaining permits or constructing ethanol blending or storage equipment. Any combination of alternative fuels, including but not limited to denatured ethanol, biodiesel, and alternative renewable fuel may be used to meet these requirements. Fuels containing ethanol or biodiesel will not be required to be sold in ozone nonattainment areas. The Department will adopt rules and regulations requiring incentives to compensate for any costs associated with achieving the minimum ethanol and biodiesel standards. The Department defines domestically grown feedstock to include any feedstock produced in the United States. Because in-state volume requirements are currently being met through the U.S. Renewable Fuel Standard, the state has not implemented any formal procedures to enforce the regulation. The Louisiana Legislature encourages in-state restaurants to provide their waste fats, oils, and grease to biodiesel production facilities and store their waste fats, oils, and grease in a manner that facilitates the use of these products in a biodiesel production facility.</t>
  </si>
  <si>
    <t>https://www.afdc.energy.gov/laws/6103</t>
  </si>
  <si>
    <t>U.S. Department of Energy- Energy Efficiency &amp; Renewable Energy-  Alternative Fuel Data Center- Renewable Fuel Standard</t>
  </si>
  <si>
    <t>The minimum percentage of Louisiana-harvested corn and soybeans used to produce renewable fuel in Louisiana facilities must be at least the same percentage of corn and soybeans used nationally to produce renewable fuel as reported by the U.S. Department of Agriculture's Office of the Chief Economist. To ensure that the appropriate amounts of Louisiana-harvested feedstocks are available for renewable fuel production, renewable fuel manufacturing facilities are responsible for communicating their anticipated production levels and specific feedstock requirements to the Department of Agriculture and Forestry 180 days before the start of commercial operation and on an annual basis thereafter. Additionally, all renewable fuel manufacturing plants must provide an annual report to the state that includes certification that the plant has purchased Louisiana feedstock; production levels; the amount, type, and origination of feedstock used; and any financial benefits the state has provided, including grants, financing, and exemptions</t>
  </si>
  <si>
    <t>https://www.afdc.energy.gov/laws/6104</t>
  </si>
  <si>
    <t>U.S. Department of Energy- Energy Efficiency &amp; Renewable Energy-  Alternative Fuel Data Center- Biofuels Feedstock Requirements</t>
  </si>
  <si>
    <t>The Louisiana Division of Administration must purchase dedicated alternative fuel vehicles (AFVs) capable of operating on natural gas or liquefied petroleum gas (propane), or bi-fuel vehicles capable of operating on conventional fuel or natural gas, propane, or any non-ethanol advanced biofuel. State agency vehicles may be granted a waiver if fueling stations are not available within a 25 mile radiU.S., the agency cannot recoup the incremental cost of the vehicle within 60 months, or the available vehicles do not meet agency specifications. Any AFV a state agency purchases or leases must have a minimum fuel economy of 18 miles per gallon (mpg) for city driving, 28 mpg for highway driving, or a combined city/highway average of 24 mpg. Law enforcement vehicles, certified emergency vehicles, and state agency vehicles with prior written authorization are exempt from this requirement.</t>
  </si>
  <si>
    <t>https://www.afdc.energy.gov/laws/6456</t>
  </si>
  <si>
    <t>U.S. Department of Energy- Energy Efficiency &amp; Renewable Energy-  Alternative Fuel Data Center- Alternative Fuel and Advanced Vehicle Acquisition Requirements</t>
  </si>
  <si>
    <t>The state offers a nonrefundable income tax credit of 30% of the cost of converting a vehicle to operate on an alternative fuel and the cost of alternative fueling equipment. For new original equipment manufacturer AFVs, a taxpayer may take a tax credit of 10% of the cost of the motor vehicle, up to $2,500. To qualify for the tax credit, vehicles must be dedicated AFVs and registered in Louisiana. Commercial vehicles should primarily be used in Louisiana and operate for at least four years. For the purpose of this incentive, alternative fuels include natural gas; propane; non-ethanol based advanced biofuels (excluding flexible fuel vehicles); and electricity if the vehicle has at least four wheels, is primarily for on-street use, can attain a minimum speed of 55 miles per hour, has a minimum battery capacity of four kilowatt-hours, and can be charged externally.</t>
  </si>
  <si>
    <t>https://www.afdc.energy.gov/laws/6603</t>
  </si>
  <si>
    <t>U.S. Department of Energy- Energy Efficiency &amp; Renewable Energy-  Alternative Fuel Data Center- Alternative Fuel Vehicle (AFV) and Fueling Infrastructure Tax Credit</t>
  </si>
  <si>
    <t xml:space="preserve">Pending available funding, the Louisiana Department of Economic Development will offer a corporate or income tax credit for qualified capital infrastructure projects in Louisiana that are directly related to industries including, but not limited to, the advanced drivetrain vehicle and biofuels industries. The tax credit is for 7.2% to 18% of the project costs, calculated based on the investment costs, up to $720,000 per state-certified green project. The portion of the base investment expended on payroll for Louisiana residents employed in connection with the construction of the project may be eligible for an additional 7.2% tax credit on the payroll. Annual credits caps apply and credits will be distributed on a first-come, first-served basis to eligible recipients. Restrictions may apply. Effective July 1, 2018, the credit amounts and total allowable funding will increase. </t>
  </si>
  <si>
    <t>https://www.afdc.energy.gov/laws/6604</t>
  </si>
  <si>
    <t>U.S. Department of Energy- Energy Efficiency &amp; Renewable Energy-  Alternative Fuel Data Center- Provision for Green Jobs Tax Credit</t>
  </si>
  <si>
    <t>An individual that produces biodiesel for personal use or use by a member of his or her immediate family is exempt from the state fuel excise tax. </t>
  </si>
  <si>
    <t>https://www.afdc.energy.gov/fuels/laws/BIOD/ME</t>
  </si>
  <si>
    <t>U.S. Department of Energy- Energy Efficiency &amp; Renewable Energy- Alternative Fuels Data Center- Maine Laws and Incentives for Biodiesel</t>
  </si>
  <si>
    <t>An insurer may credit or refund any portion of the premium charged for an insurance policy on a clean fuel vehicle in order to encourage its policyholders to use clean fuel vehicles, as long as insurance premiums on other vehicles are not increased to fund these credits or refunds. Clean fuels include, but are not limited to, natural gas, propane, hydrogen, alcohol fuels containing not less than 85% alcohol by volume, and electricity.</t>
  </si>
  <si>
    <t>U.S. Department of Energy- Energy Efficiency &amp; Renewable Energy- Alternative Fuels Data Center- Maine Laws and Incentives for Biodiesel</t>
  </si>
  <si>
    <t>Blended fuels that contain at least 10% gasoline or diesel are taxed at the full tax rates of gasoline ($0.30 per gallon) or diesel ($0.312 per gallon). E85	$0.30 per gallon
Biodiesel blends of up to 90%	$0.312 per gallon
Biodiesel blends of 90-100%	$0.287 per gallon
Propane	$0.219 per gallon
Compressed natural gas (CNG)	$0.243 per 100 cubic feet
Liquefied natural gas	$0.178 per gallon
Hydrogen	$0.07 per 100 cubic feet
Hydrogen CNG	$0.208 per 100 cubic feet</t>
  </si>
  <si>
    <t>The Governor's Energy Office developed the Comprehensive Energy Plan in in an effort to advance the principles, programs, and integrated plans necessary to secure a safe, clean, and affordable energy future for the citizens of Maine. The plan is updated triennially. The plan published in February 2015, suggests that the state should consider public-private partnerships to evaluate mass transit options and expand natural gas, propane, and electric vehicles in fleets.</t>
  </si>
  <si>
    <t>A person that sells or transfers a title to a biomass-based diesel or biodiesel blend for resale purposes must document the transfer. The document may be in the form of an invoice, bill of sale, or other written document, and must include the name of the transferor, transferee, date of transfer, volume in gallons of the product transferred, and the amount of biomass-based diesel contained in the product. The transfer document must be kept for a period of four years from the transfer date</t>
  </si>
  <si>
    <t>A person or distributor may not offer, sell, or distribute gasoline that contains ethanol at a level greater than 10% (E10) or contains corn-based ethanol as an additive. For a person, the prohibition does not take effect until at least two of the six New England states have enacted laws that prevent the sale of these fuel blends. For a distributor, the prohibition does not take effect until at least ten other states or a number of states with a collective population of 30 million have enacted laws preventing the sale of these fuel blends.</t>
  </si>
  <si>
    <t>https://www.afdc.energy.gov/laws/all?state=ME</t>
  </si>
  <si>
    <t>U.S. Department of Energy- Energy Efficiency &amp; Renewable Energy-  Alternative Fuel Data Center- Maine Laws and Incentives</t>
  </si>
  <si>
    <t>The board may not certify biodiesel production credits for more than five million gallons per calendar year, of which at least two million gallons must be from soybean oil produced in a facility that began operating after December 31, 2004. The program ends in 2017</t>
  </si>
  <si>
    <t>https://www.afdc.energy.gov/laws/11243</t>
  </si>
  <si>
    <t>The Maryland Energy Administration (MEA) provides funds to deploy "game changing" or innovative transportation projects that increase the use of alternative fuel vehicles, such as workplace charging. Projects must be located in Maryland and have the potential to significantly advance the clean energy market through commercially available technologies. Projects can include clean energy conversion technologies, systems, or applications used in other states or regions of the world, but not commonly used in Maryland. Grant awards are available for up to 30% of the total project cost with individual awards ranging from $50,000 to $250,000. The program is not currently accepting applications (verified May 2018)</t>
  </si>
  <si>
    <t>https://www.afdc.energy.gov/laws/11611</t>
  </si>
  <si>
    <t>U.S. Department of Energy- Energy Efficiency &amp; Renewable Energy-  Alternative Fuel Data Center- Innovative Transportation Project Competitive Grant Program</t>
  </si>
  <si>
    <t>U.S. Department of Energy- Energy Efficiency &amp; Renewable Energy-  Alternative Fuel Data Center-U.S. Department of Energy- Energy Efficiency &amp; Renewable Energy-  Alternative Fuel Data Center-</t>
  </si>
  <si>
    <t>https://www.afdc.energy.gov/laws/11645</t>
  </si>
  <si>
    <t>U.S. Department of Energy- Energy Efficiency &amp; Renewable Energy-  Alternative Fuel Data Center- Alternative Fuel Infrastructure Grants</t>
  </si>
  <si>
    <t>Alternative Fuel use Requirement</t>
  </si>
  <si>
    <t>https://www.afdc.energy.gov/laws/6053</t>
  </si>
  <si>
    <t>U.S. Department of Energy- Energy Efficiency &amp; Renewable Energy-  Alternative Fuel Data Center- Alternative Fuel Use Requirement</t>
  </si>
  <si>
    <t>Under the Renewable Fuels Promotion Act of 2005, ethanol and biodiesel producers may apply to the Renewable Fuels Incentive Board for ethanol and biodiesel production credits. Biodiesel production credits are: (1) $0.20 per gallon of biodiesel produced from soybean oil (the soybean oil must be produced in a facility or the expanded capacity of a facility that began operating after December 31, 2004), and (2) $0.05 per gallon for biodiesel produced from other feedstocks (including soybean oil produced in a facility that began operating on or before December 31, 2004).</t>
  </si>
  <si>
    <t>https://www.cga.ct.gov/2005/rpt/2005-R-0904.htm</t>
  </si>
  <si>
    <t>OLR Research Report</t>
  </si>
  <si>
    <t>The Massachusetts Department of Transportation may not enter into, renew, or renegotiate a contract with a fuel provider for services on the Massachusetts Turnpike without requiring the provider to offer alternative fuel. Alternative fuel is defined as an energy source that is used to power a vehicle and is not gasoline or diesel.</t>
  </si>
  <si>
    <t>https://www.afdc.energy.gov/fuels/laws/BIOD/MA</t>
  </si>
  <si>
    <t>U.S. Department of Energy- Energy Efficiency &amp; Renewable Energy- Alternative Fuels Data Center- Massachusetts Laws and Incentives for Biodiesel</t>
  </si>
  <si>
    <t>In place of the formal Biodiesel Blend Mandate, the Massachusetts Department of Energy Resources (DOER) will launch a voluntary biofuels program through which DOER will work with biodiesel suppliers to certify biofuels. Lessons learned from this voluntary program will provide the basis for future expansion and full implementation of a state biofuels mandate.</t>
  </si>
  <si>
    <t>U.S. Department of Energy- Energy Efficiency &amp; Renewable Energy- Alternative Fuels Data Center- Massachusetts Laws and Incentives for Biodiesel</t>
  </si>
  <si>
    <t>Pursuant to state law, all diesel motor vehicle fuel and all other liquid fuel used to operate motor vehicle diesel engines in Massachusetts must contain at least 2% renewable diesel fuel by July 1, 2010; 3% renewable diesel fuel by July 1, 2011; 4% renewable diesel fuel by July 1, 2012; and 5% renewable diesel fuel by July 1, 2013. For these purposes, eligible renewable diesel fuel includes diesel fuel that is derived predominantly from renewable biomass and yields at least a 50% reduction in life cycle greenhouse gas (GHG) emissions relative to the average life cycle GHG emissions for petroleum-based diesel fuel sold in 2005. The Massachusetts Department of Energy Resources (DOER) must also study the feasibility, benefits, and costs of applying the percentage mandates on a statewide average basis rather than for every gallon of diesel motor fuel sold.
DOER may delay the implementation of the biodiesel blend mandate if DOER determines that it is not feasible to meet the mandate due to lack of supply, lack of blending facilities, or unreasonable cost. As of June 2010, DOER suspended the formal requirement on grounds of unreasonable cost.</t>
  </si>
  <si>
    <t>State Agency Alternative Fuel use Requirement</t>
  </si>
  <si>
    <t>All Massachusetts agencies must use a minimum of 15% biodiesel (B15) in all on- and off-road diesel engines, provided that the Commonwealth Office of Vehicle Management and other appropriate agencies have determined that a B15 goal is appropriate. Each year, the Office for Administration and Finance and the Massachusetts Department of Energy Resources (DOER) must set minimum percentage requirements for E85 use in state flexible fuel vehicles, depending on the availability of the fuel in the state. Agencies may apply for exemptions from the biodiesel and E85 fuel use requirements if the agencies demonstrate that the alternative fuel is not available within a reasonable distance, cannot be purchased by state vehicle operators through state procurement, or the price of the alternative fuel is cost prohibitive, as determined by DOER.</t>
  </si>
  <si>
    <t>The Massachusetts Department of Energy Resources' Clean Vehicle Project offers grant funding for public and private fleets to purchase alternative fuel vehicles and infrastructure, as well as idle reduction technology. Eligible vehicles include those fueled by natural gas, propane, and electricity, including hybrid electric, solar electric, and hydraulic hybrid vehicles. Eligible infrastructure includes natural gas and hydrogen fueling stations as well as electric vehicle supply equipment.</t>
  </si>
  <si>
    <t>https://www.afdc.energy.gov/fuels/laws/NG/MA</t>
  </si>
  <si>
    <t>U.S. Department of Energy- Energy Efficiency &amp; Renewable Energy- Alternative Fuels Data Center- Massachusetts Laws and Incentives for Natural Gas</t>
  </si>
  <si>
    <t>When purchasing new motor vehicles, the Commonwealth of Massachusetts must purchase HEVs or AFVs to the maximum extent feasible and consistent with the ability of such vehicles to perform their intended functions. HEVs and AFVs must be acquired at a rate of at least 5% annually for all new motor vehicle purchases so that not less than 50% of the motor vehicles the Commonwealth owns and operates will be HEVs or AFVs by 2018. State fleets must also acquire AFVs according to the requirements of the Energy Policy Act (EPAct) of 1992 and the Massachusetts Office of Vehicle Management (OVM) must approve any light-duty vehicle acquisition. All agencies must purchase the most economical, fuel-efficient, and low emission vehicles appropriate to their mission. OVM, in collaboration with the Massachusetts Department of Energy Resources, will set new minimum standards for vehicle fuel economy and work with agencies to acquire vehicles that provide the best value for the Commonwealth on a total cost of ownership basis.
By July 1 of each year, OVM must compile a report detailing the progress made towards these requirements.</t>
  </si>
  <si>
    <t>U.S. Department of Energy- Energy Efficiency &amp; Renewable Energy- Alternative Fuels Data Center- Massachusetts Laws and Incentives for Natural Gas</t>
  </si>
  <si>
    <t xml:space="preserve">Fuel consisting of cellulosic biofuel or a blend of gasoline and cellulosic biofuel is eligible for a fuel tax exemption in proportion to the percentage of the fuel content consisting of cellulosic biofuel. For these purposes, eligible cellulosic biofuel includes fuel derived from cellulose, hemicellulose, or lignin derived from renewable biomass that yields at least a 60% reduction in life cycle greenhouse gas (GHG) emissions relative to the average life cycle GHG emissions for petroleum-based fuel sold in 2005. This exemption is available through December 31, 2017. </t>
  </si>
  <si>
    <t>https://www.afdc.energy.gov/laws/6466</t>
  </si>
  <si>
    <t>U.S. Department of Energy- Energy Efficiency &amp; Renewable Energy-  Alternative Fuel Data Center- Cellulosic Biofuel Tax Exemption</t>
  </si>
  <si>
    <t>A tax exemption may apply to indU.S.trial property that is used for, among other purposes, high-technology activities or the creation or synthesis of biodiesel fuel. High-technology activities include those related to advanced vehicle technologies such as electric, hybrid electric, or alternative fuel vehicles and their components. To qualify for the tax exemption, an indU.S.trial facility must obtain an exemption certificate for the property from the Michigan State Tax Commission</t>
  </si>
  <si>
    <t>https://www.afdc.energy.gov/laws/5769</t>
  </si>
  <si>
    <t>U.S. Department of Energy- Energy Efficiency &amp; Renewable Energy-  Alternative Fuel Data Center- Alternative Fuel Development Property Tax Exemption</t>
  </si>
  <si>
    <t>All biodiesel and biodiesel blends sold in Michigan must meet state fuel quality requirements, including ASTM D6751 specification. A refiner, distributor, or retailer cannot transfer or dispense biodiesel or biodiesel blends unless the fuel is visibly free of undissolved water, sediments, and other suspended matter. Additionally, a biodiesel retailer may not sell biodiesel or biodiesel blends drawn from a storage tank that has more than two inches of water or water-alcohol at the bottom. Any retailer of biodiesel or biodiesel blends must obtain a license from the Michigan Department of Agriculture for each operating retail location.</t>
  </si>
  <si>
    <t>https://www.afdc.energy.gov/laws/6124</t>
  </si>
  <si>
    <t>U.S. Department of Energy- Energy Efficiency &amp; Renewable Energy-  Alternative Fuel Data Center- Biodiesel Retail and Storage Requirements</t>
  </si>
  <si>
    <t>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t>
  </si>
  <si>
    <t>https://www.afdc.energy.gov/fuels/laws/ETH/MN</t>
  </si>
  <si>
    <t>U.S. Department of Energy- Energy Efficiency &amp; Renewable Energy- Alternative Fuels Data Center- Minnesota Laws and Incentives for Ethanol</t>
  </si>
  <si>
    <t xml:space="preserve">E85 is defined as a blend of ethanol and gasoline that contains no more than 85% ethanol and is produced for use in alternative fuel vehicles. E85 must comply with ASTM specification D5798-11. </t>
  </si>
  <si>
    <t>https://www.afdc.energy.gov/laws/10983</t>
  </si>
  <si>
    <t>U.S. Department of Energy- Energy Efficiency &amp; Renewable Energy-  Alternative Fuel Data Center- E85 Definition</t>
  </si>
  <si>
    <t xml:space="preserve">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 </t>
  </si>
  <si>
    <t>https://www.afdc.energy.gov/laws/11633</t>
  </si>
  <si>
    <t>U.S. Department of Energy- Energy Efficiency &amp; Renewable Energy-  Alternative Fuel Data Center- Authorization for Biofuel Incentive</t>
  </si>
  <si>
    <t xml:space="preserve">The Minnesota Department of Revenue imposes an excise tax on the first licensed distributor that receives E85 fuel products in the state and on distributors, special fuel dealers, or bulk purchasers of other alternative fuels. E85 is taxed at the pump at a rate of $0.2025 per gallon, pure biodiesel (B100) is taxed at $0.285 per gallon, propane is taxed at $0.2135 per gallon, liquefied natural gas is taxed at $0.171 per gallon, and compressed natural gas is taxed at the rate of $2.50 per thoU.S.and cubic feet. Gasoline is taxed at the rate of $0.285 per gallon. Exemptions apply. Fuel excise tax rates are updated July 1 of each year and are posted on the Minnesota Fuel Excise Tax Rates and Fees website. </t>
  </si>
  <si>
    <t>https://www.afdc.energy.gov/laws/4524</t>
  </si>
  <si>
    <t>U.S. Department of Energy- Energy Efficiency &amp; Renewable Energy-  Alternative Fuel Data Center- Alternative Fuel Tax</t>
  </si>
  <si>
    <t>The Minnesota Department of Agriculture offer funding assistance to fuel retailers for the installation of equipment to dispense ethanol fuel blends ranging from E15 through E85. Grant amounts are based on the extent to which the installation meets project priorities.</t>
  </si>
  <si>
    <t>https://www.afdc.energy.gov/laws/5194</t>
  </si>
  <si>
    <t>U.S. Department of Energy- Energy Efficiency &amp; Renewable Energy-  Alternative Fuel Data Center- Ethanol Fueling Infrastructure Grants</t>
  </si>
  <si>
    <t>During the months of April through September, diesel fuel sold in the state must be at least B10, increasing to 20% biodiesel (B20) on May 1, 2018. Diesel fuel sold during the remainder of the year must contain at least 5% biodiesel (B5). From April 1 to April 14, diesel fuel sold in the state can be less than 20% biodiesel (B20), but not less than 10% biodiesel (B10).  The Minnesota Department of Agriculture, Department of Commerce, and the Pollution Control Agency, in consultation with the Biodiesel Task Force and other technical experts, must submit annual reports regarding the implementation of minimum biodiesel content requirements, including information about the price and supply of biodiesel fuel.</t>
  </si>
  <si>
    <t>https://www.afdc.energy.gov/laws/5452</t>
  </si>
  <si>
    <t>U.S. Department of Energy- Energy Efficiency &amp; Renewable Energy-  Alternative Fuel Data Center- Biodiesel Blend Mandate</t>
  </si>
  <si>
    <t>All gasoline sold or offered for sale in Minnesota must contain at least: 10% corn-based ethanol by volume or the maximum percent by volume of corn-based ethanol authorized in a waiver issued by the U.S. Environmental Protection Agency (EPA), whichever is greater; or
10% other biofuel authorized in an EPA waiver by volume, or a biofuel formulation registered by EPA under Title 42 of the U.S. Code of Federal Regulations, section 7545. Biofuel is defined as renewable fuel with an approved fuel pathway under the Energy Policy Act of 2005, as amended under the Energy Independence and Security Act of 2007.
Any biofuel may be used to meet the standards above, but corn-based ethanol may not comprise more than the following percentages of the total biofuel use in the state by the date specified: January 1, 2017	70%_x000D_
January 1, 2020	60%_x000D_
January 1, 2025	No Minimum</t>
  </si>
  <si>
    <t>https://www.afdc.energy.gov/laws/6093</t>
  </si>
  <si>
    <t>U.S. Department of Energy- Energy Efficiency &amp; Renewable Energy-  Alternative Fuel Data Center- Biofuel Blend Mandate</t>
  </si>
  <si>
    <t xml:space="preserve">Biodiesel is defined as a renewable, biodegradable, mono alkyl ester comBustible liquid fuel that is derived from agricultural plant oils or animal fats and meets ASTM specification D6751-11b for pure biodiesel (B100). A biodiesel blend is a blend of diesel fuel and biodiesel fuel (between 6% and 20%) for on-road and off-road diesel vehicle use. Biodiesel blends must comply with ASTM specification D7467-10. Biodiesel produced from palm oil is not considered biodiesel fuel unless the palm oil is waste oil or grease collected from within the United States or Canada. </t>
  </si>
  <si>
    <t>https://www.afdc.energy.gov/laws/6237</t>
  </si>
  <si>
    <t>Gasoline blended for use in an alternative fuel vehicle (AFV) may contain any percentage of agriculturally derived, denatured ethanol, up to and including 85% (E85). Ethanol and gasoline blended at the point of retail sale in an ethanol-blending fuel dispenser must be clearly labeled "FLEX-FUEL VEHICLES ONLY." If a retailer sells both ethanol blends for use in AFVs as well as ethanol blends for use in standard comBustion engines, the ethanol blends for use in a standard comBustion engine must be dispensed from dedicated hoses, nozzles, or other equipment, and clearly labeled for use in conventional vehicles. Retailers are not responsible for customers' self-service fueling actions as long as they meet these requirements.</t>
  </si>
  <si>
    <t>https://www.afdc.energy.gov/laws/8541</t>
  </si>
  <si>
    <t>U.S. Department of Energy- Energy Efficiency &amp; Renewable Energy-  Alternative Fuel Data Center- Ethanol Fuel Blend Dispensing Regulations</t>
  </si>
  <si>
    <t xml:space="preserve">An ethanol production facility that produces less than 125 million gallons of ethanol annually and is located outside of the seven-county metropolitan area is exempt from preparing an environmental impact statement. In addition, an environmental assessment worksheet is not required for the expansion of an ethanol or biobutanol production facility or for the conversion of an ethanol facility to produce biobutanol. </t>
  </si>
  <si>
    <t>https://www.afdc.energy.gov/laws/9398</t>
  </si>
  <si>
    <t>U.S. Department of Energy- Energy Efficiency &amp; Renewable Energy-  Alternative Fuel Data Center- Ethanol Production Facility Environmental Assessment Exemption</t>
  </si>
  <si>
    <t>State Agency SU.S.tainability Plan and Requirements</t>
  </si>
  <si>
    <t>State agencies must establish interagency teams to develop and implement sU.S.tainability goals that reduce state vehicle petroleum consumption. In addition, each state department or agency must prepare an annual sU.S.tainability plan that includes ways to modify vehicle use practices and report annually on progress towards implementing their plan. Each state agency plan must be based on following targets and mandates: When reasonably possible, state agencies must purchase on-road vehicles that use alternative fuels, including biodiesel blends of 20% (B20) or greater, compressed or liquefied natural gas, ethanol blends of 70% (E70) or greater, hydrogen, propane, or electricity, or (with the exception of Buses, snowplows, and construction vehicles) have a fuel economy rating that exceeds 30 miles per gallon (mpg) in the city and 35 mpg on the highway;_x000D_
When reasonably possible, state employees must fuel vehicles capable of operating on an alternative fuel with that fuel;_x000D_
State agencies must increase the use of renewable fuels derived from agricultural products or waste products; and_x000D_
State agencies must increase the use of technology for delivering information and services in order to reduce reliance on the state's fleet.</t>
  </si>
  <si>
    <t>https://www.afdc.energy.gov/laws/9399</t>
  </si>
  <si>
    <t>U.S. Department of Energy- Energy Efficiency &amp; Renewable Energy-  Alternative Fuel Data Center- State Agency Sustainability Plan and Requirements</t>
  </si>
  <si>
    <t>A tax credit is available for investments in a qualified small business that uses or is involved in the research or development of a proprietary technology related to cellulosic ethanol. The tax credit is equal to 25% of the qualified investment, up to $250,000 annually. The credit is available for an investment of up to $1 million over the life of a qualified small business. Eligible small businesses must receive state certification and meet other requirements, such as being headquartered in Minnesota. The tax credit expires December 31, 2017.</t>
  </si>
  <si>
    <t>https://www.afdc.energy.gov/laws/laws_expired?jurisdiction=MN</t>
  </si>
  <si>
    <t>U.S. Department of Energy- Energy Efficiency &amp; Renewable Energy-  Alternative Fuel Data Center- Expired, Repealed, and Archived Minnesota Incentives and Laws</t>
  </si>
  <si>
    <t xml:space="preserve">The Minnesota Department of Agriculture may establish a program to provide grants to eligible fuel retailers for equipment and installation costs to dispense E15. Grants are available to retailers with no more than 15 fueling stations in the state. Applications are not currently being accepted (confirmed July 2017). </t>
  </si>
  <si>
    <t>The Mississippi Alternative Fuel School Bus and Municipal Motor Vehicle Revolving Loan Program provides zero-interest loans for public school districts and municipalities to cover the incremental cost to purchase alternative fuel school Buses and other motor vehicles, convert school Buses and other motor vehicles to use U.S. Environmental Protection Agency compliant alternative fuel systems, purchase alternative fuel equipment, and install fueling stations. Loans are available for up to $300,000 for the purchase and retrofit of AFVs, and up to $500,000 for the purchase and installation of fueling station equipment and infrastructure. Eligible alternative fuels include propane and natural gas.</t>
  </si>
  <si>
    <t>https://www.afdc.energy.gov/laws/10792</t>
  </si>
  <si>
    <t>U.S. Department of Energy- Energy Efficiency &amp; Renewable Energy- Alternative Fuels Data Center- Alternative Fuel Vehicle (AFV) Revolving Loan Program</t>
  </si>
  <si>
    <t>A propane or compressed natural gas (CNG) carburetion system installer who collects an installation service fee must hold an installer's license from the State Liquefied Compressed Gas Board (Board) and must notify the Board of any applicable installation. The Board or the Mississippi Insurance Department must inspect propane or CNG carburetion systems not installed by a qualified installer or manufacturer. Regardless of installer, a field inspector must inspect all propane and CNG carburetion systems installed on public transportation vehicles, including school Buses. The Board may require the inspection of any propane or CNG carburetion systems installed on other vehicle types as necessary, and all installations must comply with its rules and regulations.</t>
  </si>
  <si>
    <t>https://www.afdc.energy.gov/laws/5839</t>
  </si>
  <si>
    <t>U.S. Department of Energy- Energy Efficiency &amp; Renewable Energy-  Alternative Fuel Data Center- Installation of Alternative Fuel Components in Vehicles</t>
  </si>
  <si>
    <t>Fuel-Efficient and Alternative Fuel Vehicle use</t>
  </si>
  <si>
    <t>The State Bureau of Fleet Management (Bureau), operated through the Mississippi Department of Finance and Administration, coordinates and promotes fuel efficiency when state agencies purchase, lease, rent, acquire, use, maintain, and dispose of vehicles. The Bureau encourages state agencies to use fuel-efficient or hybrid electric vehicles as appropriate and, when feasible, use alternative fuels, including ethanol, biodiesel, natural gas, or electricity, to operate the vehicles. At least 75% of all vehicles titled under the Bureau must have a U.S. Environmental Protection Agency estimated fuel economy rating of at least 40 miles per gallon for highway driving.</t>
  </si>
  <si>
    <t>https://www.afdc.energy.gov/laws/6049</t>
  </si>
  <si>
    <t>U.S. Department of Energy- Energy Efficiency &amp; Renewable Energy-  Alternative Fuel Data Center- Fuel-Efficient and Alternative Fuel Vehicle Use</t>
  </si>
  <si>
    <t>All producers, importers, wholesalers, and retailers of biodiesel, biodiesel blends, and renewable diesel blends must register their product with the Mississippi Department of Agriculture and Commerce (Department) 30 days before selling the product. All biodiesel and biodiesel blends offered for sale must be appropriately and conspicuoU.S.ly labeled. Blends up to 5% biodiesel (B5) must be labeled "may contain up to 5% biodiesel;" blends of B6 to B20 must identify the volume percentage of biodiesel; and blends over B20 must identify the volume percentage of biodiesel and be labeled "consult vehicle manufacturer fuel recommendations." Biodiesel is defined as an oxygenated fuel comprised of mono-alkyl esters of long chain fatty acids from biologically derived oil and fats. A biodiesel blend is defined as a fuel comprised of a specified ratio of biodiesel with petroleum-based fuel. Biodiesel and biodiesel blends must meet specifications set by the Department. Renewable diesel is defined as a conventional diesel fuel substitute produced from nonpetroleum renewable resources.</t>
  </si>
  <si>
    <t>https://www.afdc.energy.gov/laws/8310</t>
  </si>
  <si>
    <t>U.S. Department of Energy- Energy Efficiency &amp; Renewable Energy-  Alternative Fuel Data Center- Biodiesel and Renewable Diesel Definitions and Requirements</t>
  </si>
  <si>
    <t xml:space="preserve">All gasoline containing 1% or more ethanol by volume offered for sale must be conspicuoU.S.ly identified as "with ethanol" or "containing ethanol." </t>
  </si>
  <si>
    <t>https://www.afdc.energy.gov/laws/8311</t>
  </si>
  <si>
    <t>U.S. Department of Energy- Energy Efficiency &amp; Renewable Energy-  Alternative Fuel Data Center- Ethanol Labeling Requirement</t>
  </si>
  <si>
    <t>Subject to appropriations, if you are a business owner or private citizen who invests in alternative fuel refueling property in Missouri, you may be eligible for a state tax credit. For all tax years beginning on or after January 1, 2015, but before January 1, 2018, if you install and operate a qualified alternative fuel vehicle refueling property, you may be allowed a credit against the tax otherwise due for any tax year in which you construct the refueling property. The credit you are allowed shall not exceed $1,500 if you are filing as a private citizen, or if you are filing as a business shall not exceed the lesser of $20,000 or 20 percent of the total costs directly associated with the purchase and installation of any alternative fuel storage and dispensing equipment or any recharging equipment on any qualified property. Eligible costs include: Fabrication of pre-manufactured equipment or process piping used in the construction of such facility;
Construction of such facility; and General maintenance of such facility during the time period in which such facility receives any alternative fuel infrastructure tax credit.
Costs may not include: Costs associated with the purchase of land where a qualified property is placed; Costs associated with the purchase of an existing qualified alternative fuel vehicle refueling property; or Costs for the construction or purchase of any structure. The qualifying refueling or electric recharging property must be used for storing alternative fuels and for dispensing such alternative fuels into fuel tanks of motor vehicles and constructed after August 28, 2014. At least 51 percent of the costs must be paid to qualified Missouri contractors. You must claim the tax credit at the time you file your return for the tax year when the storage and dispensing or recharging facilities were placed in service at the qualifying property. The credits must be applied after all other credits provided by law have been applied. If the amount of the tax credit exceeds your tax liability, the difference may be carried forward to either of the two following tax years. Allowed tax credits may be assigned, transferred, sold or otherwise conveyed. If you cease to sell alternative fuel at the qualifying property, you will forfeit your tax credit for the taxable year when sales ended. The cumulative amount of tax credits which may be filed for by eligible applicants will not exceed one million dollars in any calendar year, subject to appropriations.</t>
  </si>
  <si>
    <t>https://energy.mo.gov/assistance-programs/missouri-alternative-fuel-infrastructure-tax-credit</t>
  </si>
  <si>
    <t>Missouri Department of Economic Development- Division of Energy- Missouri Alternative Fuel Infrastructure Tax Credit</t>
  </si>
  <si>
    <t>Alternative Fuel Vehicle (AFV) Acquisition and Alternative Fuel use Requirements</t>
  </si>
  <si>
    <t xml:space="preserve">A state agency that operates a vehicle fleet consisting of 15 vehicles or more must ensure that at least 50% of new vehicles purchased over a defined biennial period are capable of operating using an alternative fuel. Excess acquisitions of AFVs may be credited towards future biennial goals. If a state agency fails to meet a biennial acquisition goal, purchases of any non-AFVs are not permitted until the goals are met or an exemption or goal reduction has been granted. In addition, 30% of the fuel purchased annually for use in operating state fleet vehicles must be alternative fuels. </t>
  </si>
  <si>
    <t>https://www.afdc.energy.gov/laws/5253</t>
  </si>
  <si>
    <t>U.S. Department of Energy- Energy Efficiency &amp; Renewable Energy-  Alternative Fuel Data Center- Alternative Fuel Vehicle (AFV) Acquisition and Alternative Fuel Use Requirements</t>
  </si>
  <si>
    <t>The state motor fuel tax does not apply to passenger vehicles, certain Buses, or commercial vehicles that are powered by an alternative fuel, if the vehicles obtain an AFV decal. Owners or operators of such vehicles that also own or operate a personal fueling station must pay an annual alternative fuel decal fee, as listed below. Alternative fuel motor vehicles licensed as historic vehicles are exempt from the alternative fuel decal requirement. 18,000 pounds (lbs.) or less	Passenger, School Bus, or Commercial	$75
18,001 lbs.-36,000 lbs.	Farm or Farming Transportation with an 'F' License Plate	$100
18,001 lbs.-36,000 lbs.	Passenger-Carrying and Other Motor Vehicles	$150
36,000 lbs. or more	Farm or Farming Transportation with an 'F' License Plate	$250
36,000 lbs. or more	All Other Motor Vehicles	$1,000     Model year 2018 and later plug-in hybrid electric vehicles have a decal fee of one-half of the annual decal fees listed above for their corresponding vehicle type and GVW._x000D_
Owners and operators of passenger motor vehicles, Buses, or commercial motor vehicles that are powered by compressed natural gas (CNG), liquefied natural gas (LNG), or liquefied petroleum gas (propane), may continue to apply for and use the alternative fuel decal in lieu of paying the CNG, LNG, and/or propane tax, as long as the owner/operator has installed a fueling station used solely to fuel his or her vehicle(s). If an owner or operator of a motor vehicle powered by propane that bears an alternative fuel decal refuels at an unattended propane fueling station, such owner or operator shall not be eligible for a refund of the motor fuel tax paid at the time of refueling.</t>
  </si>
  <si>
    <t>https://www.afdc.energy.gov/laws/all?state=MO</t>
  </si>
  <si>
    <t>U.S. Department of Energy- Energy Efficiency &amp; Renewable Energy-  Alternative Fuel Data Center- Missouri Laws and Incentives</t>
  </si>
  <si>
    <t>Renewable fuel refiners, suppliers, terminals, wholesalers, distributors, retailers, and motor vehicle manufacturers and dealers are not liable for property damages related to a cU.S.tomer's purchase of renewable fuel, including blends, if the consumer selected the fuel for use. Motor fuel blended with any amount of renewable fuel will not be considered a defective product provided the fuel compiles with motor fuel quality regulations.</t>
  </si>
  <si>
    <t xml:space="preserve">The Missouri Department of Economic Development's Division of Energy developed a comprehensive state energy plan to include information related to alternative fuels and advanced vehicles, as well as electric generation, fuels and resource extraction, energy distribution, energy usage, energy storage, energy-related land use issues, energy prices, energy security, and emergency resource planning. </t>
  </si>
  <si>
    <t>State Fleet Biodiesel Fuel use</t>
  </si>
  <si>
    <t>At least 75% of the Missouri Department of Transportation (MoDOT) vehicles and heavy equipment that use diesel fuel must be fueled with biodiesel blends of at least 20% (B20), if such fuel is commercially available. The blended biodiesel fuel will be considered commercially available if the incremental purchase cost compared to conventional diesel fuel is not more than $0.25. To the maximum extent practicable, MoDOT may obtain funding for the incremental cost of the blended biodiesel fuel from the state's Biodiesel Fuel Revolving Fund.</t>
  </si>
  <si>
    <t xml:space="preserve">All gasoline offered for sale at retail stations within the state must contain 10% ethanol (E10). This requirement is waived only if a distributor is unable to purchase ethanol or ethanol-blended gasoline at the same or lower price as unblended gasoline. Premium gasoline is exempt from this requirement. Ethanol is defined as fuel that is derived from an agricultural source and that meets ASTM specification D4806. </t>
  </si>
  <si>
    <t>The Missouri Alternative Fuels Commission (Commission) promotes the continued production and use of alternative transportation fuels in Missouri. The Commission submits a report annually to the governor and general assembly and provides recommendations on changes to state law to facilitate the sale and distribution of alternative fuels and alternative fuel vehicles; promotes the development, sale, distribution, and consumption of alternative fuels; promotes the development and use of alternative fuel vehicles and technology that will enhance the use of alternative and renewable transportation fuels; educates consumers about alternative fuels; and develops a long-range plan for the state to reduce consumption of petroleum fuels.</t>
  </si>
  <si>
    <t>Equipment used to produce ethanol from grain is exempt from state property taxes during construction of an ethanol manufacturing facility and for 10 years after ethanol production begins at the facility.</t>
  </si>
  <si>
    <t>https://www.afdc.energy.gov/laws/10855</t>
  </si>
  <si>
    <t>U.S. Department of Energy- Energy Efficiency &amp; Renewable Energy-  Alternative Fuel Data Center- Ethanol Production Facility Property Tax Exemption</t>
  </si>
  <si>
    <t>businesses and individuals are eligible for an income tax credit of up to 50% of the equipment and labor costs for converting vehicles to operate using alternative fuels. Qualified alternative fuels are compressed and liquefied natural gas, liquefied petroleum gas (propane), hydrogen, electricity, and fuels containing at least 85% ethanol, methanol, ether, or another alcohol. The maximum credit is $500 for the conversion of vehicles with a gross vehicle weight rating (GVWR) of 10,000 pounds (lbs.) or less and $1,000 for vehicles with a GVWR of more than 10,000 lbs. The credit is only available for the year the business or individual converts the vehicle. An alternative fuel seller may not receive a credit for converting its own vehicles to operate on the alternative fuel it sells</t>
  </si>
  <si>
    <t>https://www.afdc.energy.gov/laws/4547</t>
  </si>
  <si>
    <t>U.S. Department of Energy- Energy Efficiency &amp; Renewable Energy-  Alternative Fuel Data Center- Alternative Fuel Vehicle (AFV) Conversion Tax Credit</t>
  </si>
  <si>
    <t>businesses and individuals are eligible for a tax credit of up to 15% of the cost of qualified equipment used for storing or blending biodiesel with petroleum diesel offered for sale. Biodiesel must be made entirely from components produced in Montana and must account for at least 2% of the business' or individual's total diesel sales within three years of the initial credit. The credit may not exceed $52,500 for a special fuel distributor and $7,500 for an owner or operator of a motor fuel outlet. The credit can be claimed up to two tax years before the taxpayer begins blending biodiesel fuel for sale, and may be carried forward until the total amount has been deducted from tax liability. If the facility ceases to blend biodiesel for 12 continuoU.S. months within five years of a credit claim, the total credit amount must be returned</t>
  </si>
  <si>
    <t>https://www.afdc.energy.gov/laws/5861</t>
  </si>
  <si>
    <t>U.S. Department of Energy- Energy Efficiency &amp; Renewable Energy-  Alternative Fuel Data Center- Biodiesel Blending Tax Credit</t>
  </si>
  <si>
    <t>businesses and individuals are eligible for a tax credit of up to 15% of the cost of constructing and equipping a facility to be used for biodiesel or bio-lubricant production. Additionally, a tax credit is available for property used primarily to crU.S.h oilseed crops for purposes of biodiesel production. The facility or equipment must be in operation before January 1, 2015. The business or individual may claim either production tax credit in the two tax years before production begins or in any tax year in which production occurs. The credit may be carried forward seven years and must be returned if the facility ceases operations within five years of claiming the credit.</t>
  </si>
  <si>
    <t>https://www.afdc.energy.gov/laws/5862</t>
  </si>
  <si>
    <t>U.S. Department of Energy- Energy Efficiency &amp; Renewable Energy-  Alternative Fuel Data Center- Biodiesel Production Facility Tax Credit</t>
  </si>
  <si>
    <t>Montana-based ethanol producers are eligible for a tax incentive of $0.20 per gallon of ethanol produced solely from Montana agricultural products or ethanol produced from non-Montana agricultural products when Montana products are unavailable. If the producer uses non-Montana based agricultural products, the amount of the tax incentive per gallon is reduced proportionately, based on the percentage of non-Montana based agricultural or wood products used in production. The tax incentive is available to a facility for the first six years from the date production begins. Ethanol eligible for the incentive must be blended with gasoline for sale as ethanol-blended gasoline in Montana, exported from Montana for sale as ethanol-blended gasoline, or used in the production of ethyl butyl ether for use in reformulated gasoline. To receive the tax incentive, an ethanol producer must use at least 20% Montana products to produce the ethanol in the first year of production, must use at least 25% Montana products in the second year of production, and must increase the amount of Montana products by 10% each year thereafter.</t>
  </si>
  <si>
    <t>https://www.afdc.energy.gov/laws/6166</t>
  </si>
  <si>
    <t>U.S. Department of Energy- Energy Efficiency &amp; Renewable Energy-  Alternative Fuel Data Center- Ethanol Production Incentive</t>
  </si>
  <si>
    <t>Alternative fuel production facilities, including biodiesel, biomass, biogas, and ethanol production facilities, may qualify for a reduced property tax rate of 3% of market value. Renewable energy manufacturing facilities, including those manufacturing plug-in electric vehicles or hybrid electric vehicles, also qualify. In addition, temporary property tax rate abatements are available for qualified biodiesel, biomass, biogas, and ethanol production facilities. The tax abatements are available during facility construction and for the first 15 years after the facility begins operation. The total time of the qualifying period may not exceed 19 years</t>
  </si>
  <si>
    <t>https://www.afdc.energy.gov/laws/6196</t>
  </si>
  <si>
    <t>U.S. Department of Energy- Energy Efficiency &amp; Renewable Energy-  Alternative Fuel Data Center-  Alternative Fuel and Vehicle Production Property Tax Incentive</t>
  </si>
  <si>
    <t>Ethanol Fuel Blend use Requirement</t>
  </si>
  <si>
    <t>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</si>
  <si>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https://www.afdc.energy.gov/laws/6200</t>
  </si>
  <si>
    <t>U.S. Department of Energy- Energy Efficiency &amp; Renewable Energy-  Alternative Fuel Data Center- Ethanol Fuel Blend Use Requirement</t>
  </si>
  <si>
    <t>A licensed distributor who pays the special fuel tax on biodiesel may claim a refund equal to $0.02 per gallon of biodiesel sold during the previous quarter if the biodiesel is made entirely from components produced in Montana. Additionally, the owner or operator of a retail motor fuel outlet may claim a refund equal to $0.01 per gallon of biodiesel purchased from a licensed distributor if the biodiesel is made entirely from components produced in the state. Refund requests must be filed on a quarterly basis.</t>
  </si>
  <si>
    <t>https://www.afdc.energy.gov/laws/6502</t>
  </si>
  <si>
    <t>U.S. Department of Energy- Energy Efficiency &amp; Renewable Energy-  Alternative Fuel Data Center- Biodiesel Tax Refund</t>
  </si>
  <si>
    <t>Biodiesel producers that produce biodiesel from waste vegetable oil feedstock are exempt from the state special fuel tax. Waste vegetable oil is used cooking oil gathered from restaurants or commercial food processors. Biodiesel producers must annually register with the Montana Department of Transportation and report biodiesel production and consumption by February 15 of the following year.</t>
  </si>
  <si>
    <t>https://www.afdc.energy.gov/laws/6555</t>
  </si>
  <si>
    <t>U.S. Department of Energy- Energy Efficiency &amp; Renewable Energy-  Alternative Fuel Data Center-  Biodiesel Tax Exemption</t>
  </si>
  <si>
    <t>Repealed: 02/13/2017; 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</si>
  <si>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https://www.afdc.energy.gov/laws/laws_expired?jurisdiction=MT</t>
  </si>
  <si>
    <t>U.S. Department of Energy- Energy Efficiency &amp; Renewable Energy-  Alternative Fuel Data Center- Expired, Repealed, and Archived Montana Incentives and Laws</t>
  </si>
  <si>
    <t>Clean-Burning Motor Vehicle Fuel Rebates</t>
  </si>
  <si>
    <t>The Nebraska Unicameral passed Legislative Bill 581, the Nebraska Clean-burning Motor Fuel Development Act, in May, 2015. The Act created The Clean-burning Motor Fuel Development Fund which is to be used by the Nebraska Energy Office to provide rebates on qualified clean-burning motor vehicle fuel property, to include rebates for the purchase and installation of new equipment to convert motor vehicles to run on a qualified clean-burning fuel; rebates on the portion of the purchase price of a motor vehicle originally equipped to be propelled by a clean-burning motor vehicle fuel, which is attributable to the storage of the qualified clean-burning motor vehicle fuel, delivery of the qualified clean-burning motor vehicle fuel to the motor vehicle’s engine, and exhaU.S.t of gases from the comBustion of the qualified clean-burning motor vehicle fuel; and rebates on the purchase and installation of new property directly related to the compression and delivery of natural gas from a private home or residence for noncommercial purposes into the fuel tank of a motor vehicle propelled by compressed natural gas. 
Conversions will be eligible for a rebate of up to 50 percent of the cost to purchase and install the conversion system/kit, or $4,500.00, whichever is less. Rebates for the portion of the purchase price of a motor vehicle attributable to the cost of the fuel tank, fuel lines, and exhaU.S.t system is 50 percent of that cost or $4,500.00, whichever is less. Rebates for the purchase and installation of new property for the dispensing of natural gas is 50 percent of the installed cost or $2,500.00, whichever is less. Rebates will not be given for conversions, the purchase of vehicles, or the purchase of dispensing property which do not meet guidelines or were made before January 4, 2016.  Applications are processed on a first-come, first served basis until program funds are depleted.</t>
  </si>
  <si>
    <t>http://www.neo.ne.gov/cleanfuels/rebates.htm</t>
  </si>
  <si>
    <t>CLEAN-BURNING MOTOR VEHICLE FUEL REBATES</t>
  </si>
  <si>
    <t>Motor fuels sold to an ethanol or biodiesel production facility and motor fuels manufactured at and sold from an ethanol or biodiesel facility are exempt from certain motor fuel tax laws enforced by the Motor Fuels Division of the Nebraska Department of Revenue</t>
  </si>
  <si>
    <t>https://www.afdc.energy.gov/laws/5735</t>
  </si>
  <si>
    <t>U.S. Department of Energy- Energy Efficiency &amp; Renewable Energy-  Alternative Fuel Data Center- Ethanol and Biodiesel Tax Exemption</t>
  </si>
  <si>
    <t xml:space="preserve">The Nebraska Energy Office administers the Dollar and Energy Saving Loan Program, which makes low-cost loans available for a variety of alternative fuel projects, including the replacement of conventional vehicles with AFVs; the purchase of new AFVs; the conversion of conventional vehicles to operate on alternative fuels; and the construction or purchase of fueling stations or equipment. The maximum loan amount is $500,000 per borrower, and the interest rate is 5% or less. </t>
  </si>
  <si>
    <t>https://www.afdc.energy.gov/laws/6252</t>
  </si>
  <si>
    <t>U.S. Department of Energy- Energy Efficiency &amp; Renewable Energy-  Alternative Fuel Data Center- Alternative Fuel Vehicle (AFV) and Fueling Infrastructure Loans</t>
  </si>
  <si>
    <t>A qualified investor may receive a tax credit for 40% of an investment of up to $350,000 in a small business that is improving, researching, developing, or producing a proprietary product, process, or service related to cellulosic ethanol. A qualified investor is an individual, trU.S.t, or pass-through entity that meets certain requirements set by the Nebraska Department of Economic Development. An eligible small business must employ up to 25 individuals, be headquartered in Nebraska, and employ over half of its employees in the state or have over half of its total payroll paid or incurred in the state. Up to $4 million in tax credits is available annually until 2022, and a single qualified small business may claim up to $1 million in tax credits.</t>
  </si>
  <si>
    <t>https://www.afdc.energy.gov/laws/9453</t>
  </si>
  <si>
    <t>U.S. Department of Energy- Energy Efficiency &amp; Renewable Energy-  Alternative Fuel Data Center- Cellulosic Ethanol Investment Tax Credit</t>
  </si>
  <si>
    <t>A portion of any penalty assessed for violations of air pollution control laws must be deposited in the county school district fund where the violation occurred. The local air pollution control board must approve expenditures from the fund, which are limited to education programs on topics relating to air quality and projects to improve air quality, including purchasing and installing equipment to retrofit district school Buses to operate on biodiesel, compressed natural gas, or a similar fuel that reduces emissions.</t>
  </si>
  <si>
    <t>https://www.afdc.energy.gov/fuels/laws/BIOD/NV</t>
  </si>
  <si>
    <t>U.S. Department of Energy- Energy Efficiency &amp; Renewable Energy- Alternative Fuels Data Center- Nevada Laws and Incentives for Biodiesel</t>
  </si>
  <si>
    <t>Fleets containing 50 or more vehicles that are owned, leased, or operated by the state, a state agency, or a political subdivision of the state in a county with a population of 100,000 or more must acquire AFVs or U.S. Environmental Protection Agency certified Ultra Low Emission Vehicles (ULEVs). Covered fleets are required to purchase either AFVs or certified ULEVs for 90% of new vehicles obtained. A fleet may meet the acquisition requirements by converting existing or newly acquired vehicles to operate on alternative fuels. An AFV acquired in compliance with this mandate must operate solely on the alternative fuel except when operating in an area where the appropriate alternative fuel is unavailable. Fleets with Buses or heavy-duty vehicles are included. Parties that do not comply with the requirements may be subject to fines.</t>
  </si>
  <si>
    <t>U.S. Department of Energy- Energy Efficiency &amp; Renewable Energy- Alternative Fuels Data Center- Nevada Laws and Incentives for Biodiesel</t>
  </si>
  <si>
    <t>It is unlawful for any person to sell, offer for sale, assist in the sale of, deliver, or permit to be sold or offered for sale any biodiesel, biomass-based diesel, or biomass-based diesel blend unless it meets applicable registration requirements for fuels and additives. Biodiesel must meet Title 40 of the U.S. Code of Federal Regulations, section 79, and ASTM Standard D6751. Biomass-based diesel and biomass-based diesel blends must meet the requirements in Title 42 U.S. Code of Federal Regulations, section 7545</t>
  </si>
  <si>
    <t>https://www.afdc.energy.gov/laws/search?loc%5B%5D=NV&amp;tech%5B%5D=BIOD</t>
  </si>
  <si>
    <t>Biodiesel is defined as a fuel that is composed of mono-alkyl esters of long-chain fatty acids derived from plant or animal matter, meets the registration requirements for fuels and fuel additives of Title 40 of the U.S. Code of Federal Regulations, section 79, and conforms to ASTM Standard D6751. A biodiesel blend is a blend of biodiesel and petroleum-based product suitable for use in a motor vehicle. A special fuel manufacturer is a person who manufactures, blends, produces, refines, prepares, distills, or compounds only special fuel containing biodiesel or biodiesel blends in Nevada for personal use in the state or for sale or delivery in or outside of the state. Special fuel manufacturers must obtain a license from the Nevada Department of Motor Vehicles (DMV) and report quantities of biodiesel fuel produced or blended in the state as well as contact information for biodiesel purchasers or recipients. Manufacturers must ensure that biodiesel blends produced do not exceed total volumes the DMV has established.</t>
  </si>
  <si>
    <t>The New Hampshire Department of Environmental Services (NHDES) provides U.S. Environmental Protection Agency Diesel Emissions Reduction Act (DERA) funding for projects that reduce diesel emissions in New Hampshire. Funding for between 25% and 100% of eligible project costs is available for businesses, individuals, and local or state agencies that reduce diesel emissions by converting engines to alternative fuels, retrofitting exhaU.S.t controls, purchasing new vehicles, or adding idle reduction equipment</t>
  </si>
  <si>
    <t>https://www.afdc.energy.gov/laws/all?state=NH</t>
  </si>
  <si>
    <t>U.S. Department of Energy- Energy Efficiency &amp; Renewable Energy-  Alternative Fuel Data Center- New Hampshire Laws and Incentives</t>
  </si>
  <si>
    <t>Diesel fuel that the New Hampshire Department of Transportation (DOT) purchases through the Motor Fuel Inventory Fund must contain at least 5% biodiesel (B5). Compliance with this requirement is at DOT's discretion only if the fuel is unavailable or more expensive than 100% petroleum diesel. DOT is encouraged to purchase diesel fuel containing up to 20% biodiesel (B20) when the fuel is acceptable for use. DOT may sell the fuel to all state departments and institutions, political subdivisions of the state, eligible non-profit corporations under contract with DOT to transport the general public, and federal government agencies</t>
  </si>
  <si>
    <t>The New Hampshire Office of Energy Planning (Office), in consultation with the New Hampshire Energy Advisory Council, prepared a 10-year energy strategy for the state. The Office will review and update the strategy at least every three years. Among other issues, the strategy addresses the impact of transportation policies and programs on electricity energy needs in the state. The recommendations in the strategy include enabling and encouraging adoption of plug-in electric vehicles, and reducing unnecessary idling.</t>
  </si>
  <si>
    <t xml:space="preserve">Any person who refines, distills, prepares, blends, manufactures, or purchases biodiesel on which the road tax has not been paid and who is not a licensed and bonded distributor must become licensed with the New Hampshire Department of Safety (DOS). An annual license fee of $25 applies. Any licensed biodiesel refiner, distiller, blender, manufacturer, or purchaser of more than 10,000 gallons of biodiesel per month must file a bond with DOS. All biodiesel distributors must maintain and keep records for a period of four years to verify all biodiesel sold within the state meets ASTM D6751 specifications. Failure to demonstrate compliance may result in loss of the license. </t>
  </si>
  <si>
    <t>Biodiesel is a renewable special fuel that is composed of mono-alkyl esters of long chain fatty acids, derived from vegetable oils or animal fats, and meets the requirements of the ASTM specification D6751</t>
  </si>
  <si>
    <t>To reduce fossil fuel dependence and statewide greenhouse gas emissions, New Jersey state departments, agencies, offices, universities, and colleges must purchase biofuels for use in motor vehicles if the cost of biofuel is the same or less than the cost of gasoline or diesel, and if the fuel replacement is reasonable. For the purpose of this regulation, a biofuel is a liquid or gaseoU.S. fuel produced from organic sources, including native noninvasive energy crops, agricultural residues, and non-recycled organic waste, such as waste cooking oil, grease, food wastes, sewage, and algae.</t>
  </si>
  <si>
    <t>https://www.afdc.energy.gov/fuels/laws/BIOD/NJ</t>
  </si>
  <si>
    <t>U.S. Department of Energy- Energy Efficiency &amp; Renewable Energy- Alternative Fuels Data Center- New Jersey Laws and Incentives for Biodiesel</t>
  </si>
  <si>
    <t>All Buses purchased by the New Jersey Transit Corporation (NJTC) must be: 1) equipped with improved pollution controls that reduce particulate emissions; or 2) powered by a fuel other than conventional diesel. Qualifying vehicles include compressed natural gas vehicles, hybrid electric vehicles, fuel cell vehicles, vehicles operating on biodiesel or ultra-low sulfur fuel, or vehicles operating on any other Bus fuel approved by the U.S. Environmental Protection Agency. If the NJTC is unable to meet the Bus purchase requirement, the organization must submit a report to the New Jersey Senate and General Assembly detailing the reasons and the state legislature may grant an exemption.</t>
  </si>
  <si>
    <t>U.S. Department of Energy- Energy Efficiency &amp; Renewable Energy- Alternative Fuels Data Center- New Jersey Laws and Incentives for Biodiesel</t>
  </si>
  <si>
    <t>Biodiesel is defined as the monoalkyl esters of long chain fatty acids derived from plant or animals that meet the registration requirements for fuels and fuel additives established in Section 211 of the Clean Air Act, Title 42 of the U.S. Code of Federal Regulations, section 7545, and the requirements of ASTM D6751.</t>
  </si>
  <si>
    <t>https://www.afdc.energy.gov/laws/all?state=NJ</t>
  </si>
  <si>
    <t>U.S. Department of Energy- Energy Efficiency &amp; Renewable Energy- Alternative Fuels Data Center- New Jersey Laws and Incentives</t>
  </si>
  <si>
    <t>U.S. Department of Energy- Energy Efficiency &amp; Renewable Energy-  Alternative Fuel Data Center- New Jersey Laws and Incentives</t>
  </si>
  <si>
    <t xml:space="preserve">The New Jersey Assembly urges the U.S. Congress to maintain the federal Renewable Fuels Standard, which will increase the production of domestic renewable fuel, enhance consumer choice, improve the economy, increase national security, and improve the environment. </t>
  </si>
  <si>
    <t>https://www.afdc.energy.gov/laws/laws_expired?jurisdiction=NJ</t>
  </si>
  <si>
    <t>U.S. Department of Energy- Energy Efficiency &amp; Renewable Energy-  Alternative Fuel Data Center- Expired, Repealed, and Archived New Jersey Incentives and Laws</t>
  </si>
  <si>
    <t>A tax credit is available for up to 30% of the cost of both purchasing and installing equipment used to produce biodiesel blends containing at least 2% biodiesel (B2). The tax credit is limited to $50,000 per facility and is claimed against gross receipts tax or compensating tax. Individuals or organizations must apply for and obtain a certificate of eligibility from the New Mexico Energy, Minerals, and Natural Resources Department before claiming the credit. The credit may be carried forward for four years from the date of the certificate of eligibility. </t>
  </si>
  <si>
    <t>https://www.afdc.energy.gov/fuels/laws/BIOD/NM</t>
  </si>
  <si>
    <t>U.S. Department of Energy- Energy Efficiency &amp; Renewable Energy- Alternative Fuels Data Center- New Mexico Laws and Incentives for Biodiesel</t>
  </si>
  <si>
    <t>All diesel fuel sold for use in on-road motor vehicles to state agencies, political subdivisions of the state, and public schools must contain at least 5% biodiesel (B5). All diesel fuel sold to consumers for use in on-road motor vehicles is mandated to contain at least B5. As of November 16, 2017, the biodiesel blend mandate is suspended (PDF) through June 15, 2018. </t>
  </si>
  <si>
    <t>U.S. Department of Energy- Energy Efficiency &amp; Renewable Energy- Alternative Fuels Data Center- New Mexico Laws and Incentives for Biodiesel</t>
  </si>
  <si>
    <t>Entities and individuals that receive or manufacture and deliver biodiesel within the state for blending or resale are eligible for a tax deduction for the fuel.</t>
  </si>
  <si>
    <t>https://www.afdc.energy.gov/laws/10652</t>
  </si>
  <si>
    <t>U.S. Department of Energy- Energy Efficiency &amp; Renewable Energy- Alternative Fuels Data Center- Biodiesel Tax Deduction</t>
  </si>
  <si>
    <t>https://www.afdc.energy.gov/laws/11300</t>
  </si>
  <si>
    <t>U.S. Department of Energy- Energy Efficiency &amp; Renewable Energy-  Alternative Fuel Data Center- Biodiesel Blending Facility Loading Fee Deduction</t>
  </si>
  <si>
    <t>A minimum of 75% of state government and educational institution fleet light-duty vehicles purchased must be HEVs or bi-fuel or dedicated AFVs. Vehicles must meet or exceed the federal corporate average fuel economy standards. Certified law enforcement pursuit vehicles and emergency vehicles are exempt from this requirement. The New Mexico Energy, Minerals and Natural Resources Department may grant additional exemptions based on the availability and suitability of vehicles, as well as fuel availability and cost. Up to $5 million is authorized for a revolving loan fund for AFV acquisitions by state agencies, political subdivisions, and educational institutions, effective July 1, 2018. Funds must be used for the purchase of vehicles that operate on natural gas, liquefied petroleum gas (propane), electricity, or hydrogen. The maximum amount of a loan per vehicle must not exceed the incremental cost of acquiring the vehicle or the following amounts:  Up to 14,000 pounds (lbs.)	$5,000
14,000 lbs.-26,000 lbs.	$10,000
Over 26,000 lbs.	$20,000       Projected fuel cost savings from using the AFV is considered when the loan repayment schedule is developed.</t>
  </si>
  <si>
    <t>https://www.afdc.energy.gov/laws/4605</t>
  </si>
  <si>
    <t>U.S. Department of Energy- Energy Efficiency &amp; Renewable Energy-  Alternative Fuel Data Center- Alternative Fuel Vehicle (AFV) and Hybrid Electric Vehicle (HEV) Acquisition Requirements</t>
  </si>
  <si>
    <t>Alternative fuels are defined as natural gas, liquefied petroleum gas (propane), electricity, hydrogen, fuel mixtures containing not less than 85% ethanol or methanol, and fuel mixtures containing not less than 20% vegetable oil, or a water-phased hydrocarbon fuel emulsion in an amount not less than 20% by volume. Biodiesel is defined as a renewable, biodegradable, mono alkyl ester comBustible liquid fuel that is derived from agricultural plant oils or animal fats and meets current ASTM pure biodiesel (B100) standards.</t>
  </si>
  <si>
    <t>https://www.afdc.energy.gov/laws/5391</t>
  </si>
  <si>
    <t>U.S. Department of Energy- Energy Efficiency &amp; Renewable Energy-  Alternative Fuel Data Center- Alternative Fuel Definition</t>
  </si>
  <si>
    <t>The cost of purchasing qualified biomass feedstocks to be processed into biofuels, as well as the associated equipment, may be deducted in computing the compensating tax due under the New Mexico Gross Receipts and Compensating Tax Act. For the purpose of this incentive, biofuels include ethanol, methanol, methane, and hydrogen</t>
  </si>
  <si>
    <t>https://www.afdc.energy.gov/laws/5826</t>
  </si>
  <si>
    <t>U.S. Department of Energy- Energy Efficiency &amp; Renewable Energy-  Alternative Fuel Data Center- Biofuels Production Tax Deduction</t>
  </si>
  <si>
    <t>Alternative fuel distributed by or used for U.S. government, state government, or Indian nation, tribe, or pueblo purposes is exempt from the state excise tax</t>
  </si>
  <si>
    <t>https://www.afdc.energy.gov/laws/9053</t>
  </si>
  <si>
    <t>U.S. Department of Energy- Energy Efficiency &amp; Renewable Energy-  Alternative Fuel Data Center- Alternative Fuel Tax Exemption</t>
  </si>
  <si>
    <t>The New Mexico Energy, Minerals, and Natural Resources Department administers the Clean Energy Grants Program, which provides grants for projects using clean energy technologies, including AFVs and fueling infrastructure, as well as projects that provide clean energy education, technical assistance, and training programs. These grants are provided on a competitive basis to qualifying entities such as municipalities and county governments, state agencies, state universities, public schools, post-secondary educational institutions, and Indian nations, tribes, and pueblos</t>
  </si>
  <si>
    <t>https://www.afdc.energy.gov/laws/laws_expired?jurisdiction=NM</t>
  </si>
  <si>
    <t>U.S. Department of Energy- Energy Efficiency &amp; Renewable Energy-  Alternative Fuel Data Center- Expired, Repealed, and Archived New Mexico Incentives and Laws</t>
  </si>
  <si>
    <t xml:space="preserve">Under the Green Jobs Act, the New Mexico Higher Education Department must develop a state research program in partnership with the Workforce Solutions Department to collect labor market data for renewable energy industries. The New Mexico Department of Finance and Administration administers a green jobs fund to support the programs. </t>
  </si>
  <si>
    <t> Biodiesel and Bioheat minimum requirements</t>
  </si>
  <si>
    <t>New York City’s biodiesel and Bioheat minimum requirements move up to B5 city-wide.</t>
  </si>
  <si>
    <t>http://nbb.org/about-U.S./history-of-biodiesel-nbb</t>
  </si>
  <si>
    <t>National Biodiesel</t>
  </si>
  <si>
    <t xml:space="preserve">Conventional original equipment manufacturer vehicles altered to operate on propane, natural gas, methane, ethanol, or electricity are classified as aftermarket AFV conversions. All vehicle conversions must meet current applicable California Air Resources Board standards for aftermarket conversions. </t>
  </si>
  <si>
    <t>https://www.afdc.energy.gov/laws/11241</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</si>
  <si>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</si>
  <si>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https://www.afdc.energy.gov/laws/5325</t>
  </si>
  <si>
    <t>U.S. Department of Energy- Energy Efficiency &amp; Renewable Energy-  Alternative Fuel Data Center- Alternative Fuel Vehicle Research and Development Funding</t>
  </si>
  <si>
    <t>Biofuel producers in New York State may qualify for a state tax credit of $0.15 per gallon of biodiesel (B100) or denatured ethanol produced after the production facility has produced, and made available for sale, 40,000 gallons of biofuel per year. The maximum annual credit available is $2.5 million per taxpayer for no more than four consecutive taxable years per production facility. If the taxpayer is in a partnership or is a shareholder of a New York S corporation, the maximum credit amount is applied at the entity level, so the aggregate credit allowed to all partners or shareholders may not exceed $2.5 million</t>
  </si>
  <si>
    <t>https://www.afdc.energy.gov/laws/6302</t>
  </si>
  <si>
    <t>U.S. Department of Energy- Energy Efficiency &amp; Renewable Energy-  Alternative Fuel Data Center- Biofuel Production Tax Credit</t>
  </si>
  <si>
    <t>Fuel ExclU.S.ivity Contract Regulation</t>
  </si>
  <si>
    <t>Motor fuel franchise dealers may obtain alternative fuels from a supplier other than a franchise distributor. Any franchise provision that prohibits or discourages a dealer from purchasing or selling E85, biodiesel blends of at least 2% (B2), hydrogen, or compressed natural gas from a firm or individual other than the distributor is null and void as it pertains to that particular alternative fuel if the distributor does not supply or offer to supply the dealer with the alternative fuel. Distributors who violate the law by entering into exclU.S.ivity contracts will be subject to a $1,000 fine. If the distributor does offer alternative fuels, they may require the station to use their brands.</t>
  </si>
  <si>
    <t>https://www.afdc.energy.gov/laws/search?loc%5B%5D=NY&amp;user%5B%5D=STATION</t>
  </si>
  <si>
    <t>https://www.afdc.energy.gov/fuels/laws/BIOD/NC</t>
  </si>
  <si>
    <t>U.S. Department of Energy- Energy Efficiency &amp; Renewable Energy- Alternative Fuels Data Center- North Carolina Laws and Incentives for Biodiesel</t>
  </si>
  <si>
    <t>All new state government diesel vehicles must have a manufacturer's warranty that allows the use of biodiesel blends of 20% (B20) in the vehicle. This requirement does not apply if the North Carolina Department of Administration determines that there is no vehicle available that is suited for the intended use and that has a manufacturer's warranty allowing the use of B20. </t>
  </si>
  <si>
    <t>U.S. Department of Energy- Energy Efficiency &amp; Renewable Energy- Alternative Fuels Data Center- North Carolina Laws and Incentives for Biodiesel</t>
  </si>
  <si>
    <t>Alternative Fuel use and Fuel-Efficient Vehicle Requirements</t>
  </si>
  <si>
    <t>State-owned vehicle fleets must implement petroleum displacement plans to increase the use of alternative fuels and fuel-efficient vehicles. Reductions may be met by petroleum displaced through the use of biodiesel, ethanol, other alternative fuels, the use of hybrid electric vehicles, other fuel-efficient or low emission vehicles, or additional methods the North Carolina Division of Energy, Mineral and Land Resources approves.</t>
  </si>
  <si>
    <t>Every school Bus that is capable of operating on diesel fuel must be capable of operating using blends of at least 20% biodiesel (B20). At least 2% of the total volume of fuel purchased annually by local school districts statewide for use in diesel school Buses must be a minimum of B20, to the extent that biodiesel blends are available and compatible with the technology of the vehicles and the equipment used.</t>
  </si>
  <si>
    <t>Pumps that dispense ethanol-blended gasoline available for purchase must be labeled with the registered brand name and the volume percentage, or blend level, of the ethanol (10% or less, 10-15%, 15-85% or 85%). The labels must be affixed to the front panel of the pump in a position that is clearly visible to the vehicle driver. Graphics requirements apply. </t>
  </si>
  <si>
    <t>https://www.afdc.energy.gov/fuels/laws/ETH/NC</t>
  </si>
  <si>
    <t>U.S. Department of Energy- Energy Efficiency &amp; Renewable Energy- Alternative Fuels Data Center- North Carolina Laws and Incentives for Ethanol</t>
  </si>
  <si>
    <t>North Carolina established a goal that at least 75% of new or replacement state government light-duty cars and trucks with a gross vehicle weight rating of 8,500 pounds or less must be AFVs or low emission vehicles</t>
  </si>
  <si>
    <t>https://www.afdc.energy.gov/laws/5484</t>
  </si>
  <si>
    <t>U.S. Department of Energy- Energy Efficiency &amp; Renewable Energy-  Alternative Fuel Data Center- Alternative Fuel Vehicle (AFV) Acquisition Goal</t>
  </si>
  <si>
    <t xml:space="preserve">The retail sale, use, storage, and consumption of alternative fuels is exempt from the state retail sales and use tax. </t>
  </si>
  <si>
    <t>https://www.afdc.energy.gov/laws/5664</t>
  </si>
  <si>
    <t>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biodiesel blends of at least 20% (B20) or ethanol blends of at least 85% (E85), developing alternative fueling infrastructure, and purchasing AFVs and hybrid electric vehicles. Funds are distributed to state departments, institutions, and agencies in proportion to the number of EPAct credits generated by each. For the purposes of this program, alternative fuels include 100% biodiesel (B100), biodiesel blends of at least B20, ethanol blends of at least E85, compressed natural gas, propane, and electricity. The Fund also covers additional projects approved by the Energy Policy Council.</t>
  </si>
  <si>
    <t>https://www.afdc.energy.gov/laws/5986</t>
  </si>
  <si>
    <t>U.S. Department of Energy- Energy Efficiency &amp; Renewable Energy-  Alternative Fuel Data Center- Alternative Fuel and Alternative Fuel Vehicle (AFV) Fund</t>
  </si>
  <si>
    <t>The Clean Fuel Advanced Technology (CFAT) project provides grant funding to reducing transportation-related emissions in nonattainment and maintenance counties for National Ambient Air Quality Standards. A project that is adjacent to these areas may also be eligible for funding if the project will reduce emissions in eligible counties. The North Carolina Department of Transportation funds the CFAT project, which covers three broad areas: education and outreach; project funding; and recognition of exemplary activities. For 2016-2017 funding cycles, financial support is available for AFVs, fueling infrastructure, idle reduction technologies, vehicle telematics, and diesel retrofits.</t>
  </si>
  <si>
    <t>https://www.afdc.energy.gov/laws/6195</t>
  </si>
  <si>
    <t>U.S. Department of Energy- Energy Efficiency &amp; Renewable Energy-  Alternative Fuel Data Center- Alternative Fuel Vehicle (AFV) and Hybrid Electric Vehicle (HEV) Support</t>
  </si>
  <si>
    <t>An individual who produces biodiesel for use in that individual's private passenger vehicle is exempt from the state motor fuel excise tax</t>
  </si>
  <si>
    <t>https://www.afdc.energy.gov/laws/6286</t>
  </si>
  <si>
    <t>U.S. Department of Energy- Energy Efficiency &amp; Renewable Energy-  Alternative Fuel Data Center- Biodiesel Tax Exemption</t>
  </si>
  <si>
    <t>The North Carolina Department of Environment and Natural Resources Division of Air Quality provides grants for the incremental cost of original equipment manufacturer alternative fuel vehicles, vehicle conversions, and implementing idle reduction programs. Funding is not currently available for this incentive (verified August 2016).</t>
  </si>
  <si>
    <t>https://www.afdc.energy.gov/laws/all?state=NC</t>
  </si>
  <si>
    <t>U.S. Department of Energy- Energy Efficiency &amp; Renewable Energy-  Alternative Fuel Data Center- North Carolina Laws and Incentives</t>
  </si>
  <si>
    <t>The North Dakota Department of Commerce administers the Biofuels Infrastructure Partnership (BIP) grant program. The BIP program works with retailers and state and local government fleets to install infrastructure for higher blends of ethanol. Funds are available to eligible applicants in the following amounts: E15 Pumps	50% of the costs of installation, up to $15,000
E85 Pumps	43% of the costs of installation, up $15,000
Blender Pumps	33% of the costs of installation, up to $14,985
Tanks	25% of the costs of installation, up to $25,000 .....Applications are due by October 31, 2017</t>
  </si>
  <si>
    <t>https://www.afdc.energy.gov/laws/11736</t>
  </si>
  <si>
    <t>U.S. Department of Energy- Energy Efficiency &amp; Renewable Energy-  Alternative Fuel Data Center- Ethanol Blend Infrastructure Grants</t>
  </si>
  <si>
    <t>The Ethanol Production Incentive provides qualified ethanol producers with quarterly payments based on production volume during times when ethanol prices are unU.S.ually low and/or corn prices are unU.S.ually high. If an ethanol production facility was in operation in North Dakota before July 1, 1995, it is only eligible to receive incentive payments if that facility increases its production by 10 million gallons or 50% of its production capacity, whichever is less, during any 12-month period beginning after July 1, 2005. The incentive amount is based on the average North Dakota wholesale ethanol price for the preceding quarter and the average North Dakota corn price for the preceding quarter. The total cumulative incentive available to all eligible producers in any single year is $1.6 million. A single eligible facility may not receive payments for longer than 10 years or more than $10 million in incentive payments over the life of the facility.</t>
  </si>
  <si>
    <t>https://www.afdc.energy.gov/laws/5218</t>
  </si>
  <si>
    <t>U.S. Department of Energy- Energy Efficiency &amp; Renewable Energy-  Alternative Fuel Data Center- Ethanol Production Incentive</t>
  </si>
  <si>
    <t>Qualified retailers may be eligible for a corporate income tax credit of 10% of the direct costs incurred to adapt or add equipment to a facility so that it may sell diesel fuel containing at least 2% biodiesel or green diesel. A retailer may only claim the credit for up to five years and is limited to $50,000 in cumulative credits for all taxable years. The biodiesel or green diesel fuel must meet applicable ASTM specifications.</t>
  </si>
  <si>
    <t>https://www.afdc.energy.gov/laws/5576</t>
  </si>
  <si>
    <t>U.S. Department of Energy- Energy Efficiency &amp; Renewable Energy-  Alternative Fuel Data Center- Biodiesel Sales Equipment Tax Credit</t>
  </si>
  <si>
    <t>A licensed fuel supplier who blends biodiesel or green diesel with diesel fuel may claim an income tax credit of $0.05 per gallon for fuel containing at least 5% biodiesel or green diesel. The biodiesel or green diesel fuel must meet the applicable ASTM specifications. The tax credit may not exceed the taxpayer's liability for the taxable year and each year's unused credit amount may be carried forward for up to five taxable years.</t>
  </si>
  <si>
    <t>https://www.afdc.energy.gov/laws/5865</t>
  </si>
  <si>
    <t>U.S. Department of Energy- Energy Efficiency &amp; Renewable Energy-  Alternative Fuel Data Center- Biodiesel Blender Tax Credit</t>
  </si>
  <si>
    <t>The Biofuels Partnership in Assisting Community Expansion (PACE) Loan Program provides an interest buy down of up to 5% below the note rate to biodiesel, ethanol, or green diesel production facilities; livestock operations feeding by-products produced at a biodiesel, ethanol, or green diesel facility; and grain handling facilities which provide storage of grain used in biofuels production. Qualified biodiesel, ethanol, and green diesel production facilities located in North Dakota may receive up to $500,000 of interest buy down for the purchase, construction, or expansion of a production facility, or the purchase or installation of equipment at the facility. A biodiesel production facility must produce fuel that is comprised of mono-alkyl esters of long chain fatty acids derived from vegetable oil or animal fats and that meets ASTM specification D6751. An ethanol production facility must produce agriculturally-derived denatured ethanol that is suitable for blending with a petroleum product for use in internal comBustion engines. A green diesel production facility must produce fuel from renewable resources that meets applicable ASTM specifications. Loan terms vary based on the project type, and recipients of Biofuels PACE loans are not eligible for regular PACE loans.</t>
  </si>
  <si>
    <t>https://www.afdc.energy.gov/laws/5866</t>
  </si>
  <si>
    <t>U.S. Department of Energy- Energy Efficiency &amp; Renewable Energy-  Alternative Fuel Data Center- Biofuel Loan Program</t>
  </si>
  <si>
    <t>A special excise tax rate of 2% is imposed on the sale of propane and an excise tax of $0.23 per gallon is imposed on all special fuels sales and deliveries, including compressed natural gas (CNG) and liquefied natural gas (LNG). One gallon of special fuel is equal to 120 cubic feet of CNG or 1.7 gallons of LNG. Retailers must obtain a license from the Office of the State Tax Commissioner to sell special fuels. Exceptions apply.</t>
  </si>
  <si>
    <t>https://www.afdc.energy.gov/laws/5869</t>
  </si>
  <si>
    <t>U.S. Department of Energy- Energy Efficiency &amp; Renewable Energy-  Alternative Fuel Data Center- Alternative Fuel Tax Rates</t>
  </si>
  <si>
    <t>Qualified producers or blenders may be eligible for a corporate income tax credit of 10% of the direct costs incurred to add equipment to retrofit an existing facility or construct a new facility in the state for the purpose of producing or blending diesel fuel containing at least 2% biodiesel or green diesel. A taxpayer may only claim the credit for up to five years and is limited to $250,000 in cumulative credits for all taxable years. The biodiesel or green diesel fuel must meet applicable ASTM specifications</t>
  </si>
  <si>
    <t>https://www.afdc.energy.gov/laws/6170</t>
  </si>
  <si>
    <t>U.S. Department of Energy- Energy Efficiency &amp; Renewable Energy-  Alternative Fuel Data Center- Biodiesel Production and Blending Equipment Tax Credit</t>
  </si>
  <si>
    <t xml:space="preserve">Recognizing that biofuels such as ethanol and biodiesel will be an important part of the state's energy economy and advanced research in biofuels production from biomass will be critical to the long-term viability of biofuels, the North Dakota Legislature adopted the goal that 25% of the nation's energy consumption will come from renewable sources by the year 2025. </t>
  </si>
  <si>
    <t>https://www.afdc.energy.gov/laws/6231</t>
  </si>
  <si>
    <t>U.S. Department of Energy- Energy Efficiency &amp; Renewable Energy-  Alternative Fuel Data Center- Renewable Fuels Promotion</t>
  </si>
  <si>
    <t>Alternative fuel retailers must label retail dispensing units with the price, name, and main components of the alternative fuel or alternative fuel blend being sold. The labeling must follow established labeling specifications for petroleum-based fuels. An alternative fuel producer may provide the retailer with a label promoting the benefits of the alternative fuel if the label meets the specified requirements. Alternative fuel is defined as a fuel used in an engine or vehicle other than a petroleum-based fuel, including biodiesel and green diesel. Alcohol fuel blends containing at least 1% of alcohol by volume must also be clearly labeled at the dispenser and on any price advertisements.</t>
  </si>
  <si>
    <t>U.S. Department of Energy- Energy Efficiency &amp; Renewable Energy-  Alternative Fuel Data Center- Alternative Fuel Labeling Requirements</t>
  </si>
  <si>
    <t>The North Dakota IndU.S.trial Commission's Renewable Energy Program provides matching grants and other forms of assistance to support research and development projects involving advanced and sugar-based biofuel. Advanced biofuel is defined as fuel derived from renewable biomass and includes biofuel derived from cellulose, hemicellulose, or lignin; biofuel derived from sugar and starch other than ethanol derived from corn kernel starch; biofuel derived from waste material, including crop residue, other vegetative waste material, animal waste, food waste, and yard waste; diesel-equivalent fuel derived from renewable biomass, including vegetable oil and animal fat; biogas, including landfill gas and sewage waste treatment gas, produced through the conversion of organic matter from renewable biomass; butanol or other alcohols produced through the conversion of organic matter from renewable biomass; or other fuel derived from cellulosic biomass</t>
  </si>
  <si>
    <t>https://www.afdc.energy.gov/laws/6550</t>
  </si>
  <si>
    <t>U.S. Department of Energy- Energy Efficiency &amp; Renewable Energy-  Alternative Fuel Data Center- Advanced Biofuel Incentives</t>
  </si>
  <si>
    <t>New ethanol, biodiesel, green diesel, and biogas producers may be eligible for an income tax credit equal to a percentage of wages and salaries paid each year. A corporation involved in processing an agricultural product, including ethanol, biodiesel, and biogas feedstocks, may claim an income tax credit equal to 1% of wages and salaries paid during the tax year for each of the first three years of operation and 0.5% of wages and salaries paid during the tax year for the fourth and fifth years. Only corporations doing business in North Dakota for the first time are eligible. A corporation created from the reorganization or acquisition of an existing business does not qualify, nor does a business that receives a property or income tax exemption under North Dakota Century Code 40-57.1</t>
  </si>
  <si>
    <t>https://www.afdc.energy.gov/laws/8484</t>
  </si>
  <si>
    <t>U.S. Department of Energy- Energy Efficiency &amp; Renewable Energy-  Alternative Fuel Data Center- Agriculturally-Based Fuel Production Wage and Salary Tax Credit</t>
  </si>
  <si>
    <t>https://www.afdc.energy.gov/laws/9299</t>
  </si>
  <si>
    <t>U.S. Department of Energy- Energy Efficiency &amp; Renewable Energy-  Alternative Fuel Data Center- Agriculturally-Derived Fuel Production Facility Loan Guarantees</t>
  </si>
  <si>
    <t>Biodiesel is defined as a fuel that is comprised of mono-alkyl esters of long chain fatty acids derived from vegetable oil or animal fats and that meets ASTM D6751. Green diesel is defined as a fuel produced from non-fossil renewable resources, including agricultural or silvicultural plants, animal fats, residue, and waste generated from the production, processing, and marketing of agricultural products, silvicultural products, and other renewable resources. Green diesel must meet applicable ASTM specifications.</t>
  </si>
  <si>
    <t>https://www.afdc.energy.gov/laws/9300</t>
  </si>
  <si>
    <t>U.S. Department of Energy- Energy Efficiency &amp; Renewable Energy-  Alternative Fuel Data Center- Biodiesel and Green Diesel Definitions</t>
  </si>
  <si>
    <t>The Ohio Turnpike Commission allows businesses to place their logos on directional signs within the right-of-way of state turnpikes. An alternative fuel retailer may include a marking or symbol within their logo indicating that it sells one or more types of alternative fuel. Alternative fuels are defined as E85, fuel blends containing at least 20% biodiesel (B20), natural gas, propane, hydrogen, or any fuel that the U.S. Department of Energy determines, by final rule, to be substantially not petroleum.</t>
  </si>
  <si>
    <t>https://www.afdc.energy.gov/fuels/laws/BIOD/OH</t>
  </si>
  <si>
    <t>U.S. Department of Energy- Energy Efficiency &amp; Renewable Energy- Alternative Fuels Data Center- Ohio Laws and Incentives for Biodiesel</t>
  </si>
  <si>
    <t>The Ohio Development Services Agency administers the Alternative Fuel Transportation Program (Program), which provides financial assistance to businesses, non-profit organizations, school districts, and local governments for the purchase and installation of alternative fueling, blending, and distribution facilities or terminals.</t>
  </si>
  <si>
    <t>https://www.afdc.energy.gov/fuels/laws/NG/OH</t>
  </si>
  <si>
    <t>U.S. Department of Energy- Energy Efficiency &amp; Renewable Energy- Alternative Fuels Data Center- Ohio Laws and Incentives for Natural Gas</t>
  </si>
  <si>
    <t>The Ohio Environmental Protection Agency (EPA) supports the purchase of replacement school Buses in eligible Ohio counties through the Diesel Emission Reduction Grant program. Purchases are also supported with state allocated grant funding from the U.S. Environmental Protection Agency under the Diesel Emission Reduction Act.</t>
  </si>
  <si>
    <t>https://www.afdc.energy.gov/laws/11741</t>
  </si>
  <si>
    <t>U.S. Department of Energy- Energy Efficiency &amp; Renewable Energy-  Alternative Fuel Data Center- School Bus Replacement Grant Program</t>
  </si>
  <si>
    <t>The Ohio Environmental Protection Agency will administer a one-time, $5 million grant program to replace or convert Class 7 and Class 8 diesel or gasoline trucks to natural gas or propane trucks. Vehicles must be privately operated in Ohio at least 50% of the time. Maximum grant awards will be 50% of the fuel components of the new vehicle or 50% of the cost of the conversion parts, up to $25,000, whichever is less. Total grants to any recipient may not exceed $400,000. Grants will be awarded on a first-come, first-served basis to complete applications, until funds have been allocated. Additional applications will be put on a waitlist.</t>
  </si>
  <si>
    <t>https://www.afdc.energy.gov/laws/11742</t>
  </si>
  <si>
    <t>U.S. Department of Energy- Energy Efficiency &amp; Renewable Energy-  Alternative Fuel Data Center- Alternative Fuel Vehicle Conversion Grant Program</t>
  </si>
  <si>
    <t>The Ohio Environmental Protection Agency administers a Diesel Emissions Reduction Grant Program for the purpose of reducing emissions from diesel engines in trucks, school and transit Buses, marine fleets, and locomotives, as well as highway construction equipment. Eligible entities may use this funding for: Projects related to certified engine configurations, including new, rebuilt, or remanufactured engine configurations the U.S. Environmental Protection Agency or the California Air Resources Board has certified; The purchase or use of hybrid electric and alternative fuel vehicles that are allowed under U.S. Federal Highway Administration Congestion Mitigation and Air Quality (CMAQ) Improvement program guidance; or Installation of verified technology including pollution control devices, retrofits, and development of truck stop electrification and auxiliary power units. To be eligible for funding, fleets must operate at least 65% of the time in Ohio counties that have been designated nonattainment or maintenance for particulate matter (PM) 2.5 and/or ozone. Private fleets are eligible, but they must establish a public-private partnership with a government organization that is eligible for CMAQ funds in order to apply for funding. A minimum 20% non-state and non-federal funding match is required.</t>
  </si>
  <si>
    <t>https://www.afdc.energy.gov/laws/6163</t>
  </si>
  <si>
    <t>U.S. Department of Energy- Energy Efficiency &amp; Renewable Energy-  Alternative Fuel Data Center- Diesel Emissions Reduction Grant Program</t>
  </si>
  <si>
    <t>Alternative Fuel Vehicle (AFV) Acquisition and Fuel use Requirements</t>
  </si>
  <si>
    <t>With the exception of law enforcement vehicles, all newly acquired state agency vehicles must be capable of using an alternative fuel and must use the relevant alternative fuel if it is reasonably priced and available. Alternative fuel is defined as E85, fuel blends containing at least 20% biodiesel (B20), natural gas, propane, hydrogen, electricity, or any other fuel that the U.S. Department of Energy has determined is substantially not petroleum. State agencies must also meet the annual average fuel economy requirement set by the Ohio Department of Administrative Services on all passenger automobiles purchased. Law enforcement and emergency rescue work vehicles are exempt from this requirement. The Office of the Ohio Treasurer established a biodiesel revolving fund in which funds appropriated by the Ohio General Assembly can be used to pay for the incremental cost of biodiesel used in state owned or leased diesel vehicles.</t>
  </si>
  <si>
    <t>https://www.afdc.energy.gov/laws/6164</t>
  </si>
  <si>
    <t>U.S. Department of Energy- Energy Efficiency &amp; Renewable Energy-  Alternative Fuel Data Center- Alternative Fuel Vehicle (AFV) Acquisition and Fuel Use Requirements</t>
  </si>
  <si>
    <t>Oklahoma Natural Gas (ONG) offers rebates for NGVs purchased or converted after June 20, 2016, in the amount of $2,000 for a dedicated of bi-fuel NGV. ONG also offers $3,000 toward the cost of a compressed natural gas home fueling station. Rebates are available on a first come, first served basis and are limited to three rebates per applicant, per calendar year.</t>
  </si>
  <si>
    <t>https://www.afdc.energy.gov/laws/10333</t>
  </si>
  <si>
    <t>U.S. Department of Energy- Energy Efficiency &amp; Renewable Energy- Alternative Fuels Data Center- Natural Gas Vehicle (NGV) and Infrastructure Rebate - Oklahoma Natural Gas</t>
  </si>
  <si>
    <t>CFCU offers loans to individuals and businesses that purchase new or converted compressed natural gas (CNG) vehicles. Conversion systems must be certified by the U.S. Environmental Protection Agency and installed by an insured and state-licensed facility. New vehicle loans are available at amounts up to the manufacturer's suggested retail price plU.S. the cost of the conversion. Pre-owned or CFCU member-owned vehicles with a CNG fuel system or conversion installation are eligible for loans at up to 115% of the National Automobile Dealers Association suggested retail value. All financing is at CFCU standard auto loan rates. CFCU also offers loans for the cost of home fueling appliances.</t>
  </si>
  <si>
    <t>https://www.afdc.energy.gov/laws/10415</t>
  </si>
  <si>
    <t>U.S. Department of Energy- Energy Efficiency &amp; Renewable Energy- Alternative Fuels Data Center- Natural Gas Vehicle Loans - Communication Federal Credit Union (CFCU)</t>
  </si>
  <si>
    <t xml:space="preserve">The portion of ethanol (ethyl alcohol) sold and blended with motor fuel is exempt from sales tax. </t>
  </si>
  <si>
    <t>https://www.afdc.energy.gov/laws/11044</t>
  </si>
  <si>
    <t>U.S. Department of Energy- Energy Efficiency &amp; Renewable Energy-  Alternative Fuel Data Center- Ethanol Sales Tax Exemption</t>
  </si>
  <si>
    <t>he Oklahoma Department of Environmental Quality (DEQ) provides technical and regulatory assistance to small businesses that need permits to construct and operate biodiesel and ethanol production facilities.</t>
  </si>
  <si>
    <t>https://www.afdc.energy.gov/laws/11045</t>
  </si>
  <si>
    <t>U.S. Department of Energy- Energy Efficiency &amp; Renewable Energy-  Alternative Fuel Data Center- Biofuels Construction and Permitting Assistance</t>
  </si>
  <si>
    <t>The Committee of Alternative Fuels Technician Examiners (Committee) was established to assist the Commissioner of Labor on matters relating to the formulation of rules and standards to comply with the Alternative Fuels Technician Certification Act. The Committee consists of eight members, including experts in the natural gas, propane, and electric vehicle industries</t>
  </si>
  <si>
    <t>https://www.afdc.energy.gov/laws/11724</t>
  </si>
  <si>
    <t>U.S. Department of Energy- Energy Efficiency &amp; Renewable Energy-  Alternative Fuel Data Center- Committee of Alternative Fuels Technician Examiners</t>
  </si>
  <si>
    <t>The Department of Labor (DOL) will issue a certificate to any person who has successfully passed the appropriate alternative fuels equipment, alternative fuels compression, or electric vehicle technician examination as provided in the Alternative Fuels Technician Certification Act. A certification fee applies. For companies, partnerships, or corporations involved in the business of installing, servicing, repairing, modifying, or renovating equipment used in converting or modifying engines or fueling equipment to be used with alternative fuels, DOL will issue a separate certificate. DOL can issue an alternative fuels trainee certificate to any person who submits a trainee application within 15 business days of being hired by a licensed alternative fuels conversion or fueling station installation company.</t>
  </si>
  <si>
    <t>https://www.afdc.energy.gov/laws/11725</t>
  </si>
  <si>
    <t>U.S. Department of Energy- Energy Efficiency &amp; Renewable Energy-  Alternative Fuel Data Center- Alternative Fuels Technician Certificates</t>
  </si>
  <si>
    <t xml:space="preserve">The Alternative Fuels Technician Certification Act (Act) regulates the training, testing, and certification of technicians and trainees who install, modify, repair, or renovate equipment used in alternative fueling infrastructure and in the conversion of any engine to operate on an alternative fuel. Alternative fuels include propane, natural gas, methanol, ethanol, electricity, coal-derived liquid fuels, hydrogen, biodiesel, and fuels derived from biological materials. This includes original equipment manufacturer engines dedicated to operate on an alternative fuel. Plug-in electric vehicles (PEVs), PEV charging infrastructure, and PEV technicians must also comply with the rules and regulations of this Act. </t>
  </si>
  <si>
    <t>https://www.afdc.energy.gov/laws/5216</t>
  </si>
  <si>
    <t>U.S. Department of Energy- Energy Efficiency &amp; Renewable Energy-  Alternative Fuel Data Center- Alternative Fuel Technician Training</t>
  </si>
  <si>
    <t>All school and government fleets may convert their vehicles to operate on alternative fuels, and all school districts should consider purchasing only vehicles able to operate on alternative fuels. Alternative fuels include natural gas and liquid fuels produced from natural gas, propane, ethanol, methanol, electricity, biodiesel, coal-derived liquid fuels, hydrogen, and fuels derived from biological materials. School and government vehicles capable of operating on an alternative fuel must use the fuel whenever a fueling station is located within a five-mile radiU.S. of the respective school district or government department and the price of the alternative fuel is cost competitive with the displaced conventional fuel. If school and government vehicles must be fueled outside the five-mile radiU.S. and no fueling station is reasonably available, the school and government vehicles are exempt from this requirement.</t>
  </si>
  <si>
    <t>https://www.afdc.energy.gov/laws/5612</t>
  </si>
  <si>
    <t>U.S. Department of Energy- Energy Efficiency &amp; Renewable Energy-  Alternative Fuel Data Center- Alternative Fuel Vehicle (AFV) Acquisition Requirements</t>
  </si>
  <si>
    <t xml:space="preserve">For tax years beginning before January 1, 2020, a one-time income tax credit is available for 45% of the incremental cost of purchasing a new original equipment manufacturer AFV or converting a vehicle to operate on an alternative fuel. The state also provides a tax credit in the amount of 10% of the total vehicle cost, up to $1,500, if the incremental cost of a new AFV cannot be determined or when an AFV is resold, as long as a tax credit has not been previously taken on the vehicle. Equipment used for conversions must be new; must not have been previously used to modify or retrofit any vehicle; must meet applicable federal and state safety standards; and must be installed by a state certified alternative fuels equipment technician. The alternative fuels eligible for the credit are natural gas and propane. Tax credits may be carried forward for up to five years. </t>
  </si>
  <si>
    <t>https://www.afdc.energy.gov/laws/5950</t>
  </si>
  <si>
    <t>U.S. Department of Energy- Energy Efficiency &amp; Renewable Energy-  Alternative Fuel Data Center- Alternative Fuel Vehicle (AFV) Tax Credit</t>
  </si>
  <si>
    <t>Retailers that sell fuel blends of gasoline containing up to 15% ethanol by volume (E15) are eligible for a motor fuel tax credit of $0.016 per gallon of ethanol blended into gasoline and sold in Oklahoma, as long as the retailer provides a price reduction to the purchaser of the ethanol fuel in the same amount. This incentive is effective unless the federal government mandates the use of reformulated fuel in an area within Oklahoma that is in nonattainment with the National Ambient Air Quality Standards.</t>
  </si>
  <si>
    <t>https://www.afdc.energy.gov/laws/6092</t>
  </si>
  <si>
    <t>U.S. Department of Energy- Energy Efficiency &amp; Renewable Energy-  Alternative Fuel Data Center- Ethanol Fuel Retailer Tax Credit</t>
  </si>
  <si>
    <t>Biodiesel or other biofuels produced by an individual from feedstocks grown on the individual's property and used in the individual's own vehicle are exempt from the state motor fuel excise tax.</t>
  </si>
  <si>
    <t>https://www.afdc.energy.gov/laws/6242</t>
  </si>
  <si>
    <t>U.S. Department of Energy- Energy Efficiency &amp; Renewable Energy-  Alternative Fuel Data Center- Biofuels Tax Exemption</t>
  </si>
  <si>
    <t>Motor fuel containing more than 1% ethanol or methanol may not be sold or offered for sale from a motor fuel dispenser unless the individual selling or offering the fuel for sale prominently displays a label on the pump stating the fuel "Contains Ethanol" or "Contains Methanol," as applicable. The retailer must display the label in a clear, conspicuoU.S., and prominent way on the same side of the motor fuel pump where the price is shown. If a motor fuel pump dispenses fuel that contains at least 10% ethanol (E10) or 5% methanol, the label must also state the percentage of ethanol or methanol, respectively, by volume. In addition, the person selling motor fuel or offering it for sale must provide the following information to the fuel user if requested: 1) the percentage of ethanol contained in the motor fuel being sold; 2) the percentage of methanol contained in the motor fuel being sold; and 3) if the motor fuel contains methanol, the types and percentages of associated co-solvents in the motor fuel being sold</t>
  </si>
  <si>
    <t>https://www.afdc.energy.gov/laws/6449</t>
  </si>
  <si>
    <t>The Oklahoma Office of Management and Enterprise Services (OMES) Fleet Management Division may construct, install, acquire, operate, and provide alternative fueling infrastructure for use by state agencies and local government and for use by the public in areas of the state where public access to alternative fuel infrastructure is not readily available. OMES must discontinue public access to their fueling stations if a privately owned alternative fueling station opens within a five-mile radiU.S.. Alternative fuels include natural gas, propane, ethanol, methanol, biodiesel, electricity, and hydrogen.</t>
  </si>
  <si>
    <t>https://www.afdc.energy.gov/laws/6561</t>
  </si>
  <si>
    <t>U.S. Department of Energy- Energy Efficiency &amp; Renewable Energy-  Alternative Fuel Data Center- Access to State Alternative Fueling Stations</t>
  </si>
  <si>
    <t>Biodiesel is defined as a fuel that is comprised only of mono-alkyl esters of long chain fatty acids, is produced from vegetable oils or animal fats, and meets ASTM specification D6751. A biodiesel blend is a blend of biodiesel meeting ASTM specification D6751 and petroleum-based diesel fuel.</t>
  </si>
  <si>
    <t>https://www.afdc.energy.gov/laws/8523</t>
  </si>
  <si>
    <t>U.S. Department of Energy- Energy Efficiency &amp; Renewable Energy-  Alternative Fuel Data Center- Biodiesel Definition and Specifications</t>
  </si>
  <si>
    <t xml:space="preserve">Oklahoma has a private loan program with a 3% interest rate for the cost of converting private fleets to operate on alternative fuels and for the incremental cost of purchasing an original equipment manufacturer AFV. The loan repayment has a maximum six-year period. </t>
  </si>
  <si>
    <t>https://www.afdc.energy.gov/laws/laws_expired?jurisdiction=OK</t>
  </si>
  <si>
    <t>U.S. Department of Energy- Energy Efficiency &amp; Renewable Energy-  Alternative Fuel Data Center- Expired, Repealed, and Archived Oklahoma Incentives and Laws</t>
  </si>
  <si>
    <t>Biodiesel blends containing at least 20% biodiesel derived from used cooking oil are exempt from the $0.34 per gallon state fuel excise tax. The exemption does not apply to fuel used in vehicles with a gross vehicle weight rating of 26,001 pounds or more, fuel not sold in retail operations, or fuel sold in operations involving fleet fueling or bulk sales. The exemption expires after December 31, 2019.</t>
  </si>
  <si>
    <t>https://www.afdc.energy.gov/fuels/laws/BIOD/OR</t>
  </si>
  <si>
    <t>U.S. Department of Energy- Energy Efficiency &amp; Renewable Energy- Alternative Fuels Data Center-Oregon Laws and Incentives for Biodiesel</t>
  </si>
  <si>
    <t>All gasoline sold in the state must be blended with 10% ethanol (E10). Gasoline with an octane rating of 91 or above is exempt from this mandate, as is gasoline sold for use in certain non-road applications. Gasoline that contains at least 9.2% agriculturally derived ethanol that meets ASTM specification D4806 complies with the mandate. For the purpose of the mandate, ethanol must meet ASTM specification D4806. The governor may sU.S.pend the renewable fuels mandate for ethanol if the Oregon Department of Energy finds that a sufficient amount of ethanol is not available.
All diesel fuel sold in the state must be blended with at least 5% biodiesel (B5). For the purpose of this mandate, biodiesel is defined as a motor vehicle fuel derived from vegetable oil, animal fat, or other non-petroleum resources, that is designated as B100 and complies with ASTM specification D6751. Renewable diesel qualifies as a substitute for biodiesel in the blending requirement. In addition, diesel fuel blends sold between October 1 and February 28 may contain additives to prevent congealing or gelling. At any time, the Oregon Department of Energy may request a certificate of fuel analysis for biodiesel sold at any non-retail and wholesale biodiesel dealer.</t>
  </si>
  <si>
    <t>Each biodiesel or other renewable diesel producer, distributor, or importer must retain the certificate of analysis for each batch or production lot of B100 sold or delivered in the state for at least one year. The Oregon Department of Agriculture (ODA) or authorized agents may examine these records as necessary. The ODA or authorized agents may also perform on-site testing or obtain samples of biodiesel or other renewable diesel from any producer, bulk facility, or retail location that sells, distributes, transports, hauls, delivers, or stores biodiesel or other renewable diesel. The related testing cost is the responsibility of the business providing the sample.</t>
  </si>
  <si>
    <t>The Oregon Department of Energy administers the State Energy Loan Program (SELP) which offers low-interest loans for qualified projects. Eligible alternative fuel projects include fuel production facilities, dedicated feedstock production, fueling infrastructure, and fleet vehicles. Loan recipients must complete a loan application and pay a loan application fee. SELP is not currently accepting new loan applications (confirmed April 2018)</t>
  </si>
  <si>
    <t>https://www.afdc.energy.gov/fuels/laws/NG/OR</t>
  </si>
  <si>
    <t>U.S. Department of Energy- Energy Efficiency &amp; Renewable Energy- Alternative Fuels Data Center- Oregon Laws and Incentives for Natural Gas</t>
  </si>
  <si>
    <t>Alternative Fuel Vehicle (AFV) Acquisition, Fuel use, and Emissions Reductions Requirements</t>
  </si>
  <si>
    <t>All state agencies and transit districts must purchase AFVs and use alternative fuels to operate those vehicles to the maximum extent possible, except in regions where it is not economically or logistically possible to fuel an AFV. Each state agency must develop and report a greenhouse gas reduction baseline and determine annual reduction targets. Reports to the Oregon Department of Administrative Services (DAS) must include the number of purchases or leases of AFVs or AFV conversions and the quantity of each type of alternative fuel used annually by state agency fleets.
DAS and the Oregon Department of Energy (ODOE) must improve the plug-in electric vehicle (PEV) bulk procurement process to reduce costs for state agency PEV purchases. DAS must develop a "Low-Emission Vehicle (LEV) First" policy to encourage state employees to use PEVs or other LEVs in the state fleet. DAS and ODOE must also develop a tool to calculate the long-term return on investment and life-cycle costs of PEVs to inform agencies of potential cost savings. In addition, DAS must inform and support legislative changes that enable increased charging infrastructure and state agency PEV purchases</t>
  </si>
  <si>
    <t>U.S. Department of Energy- Energy Efficiency &amp; Renewable Energy- Alternative Fuels Data Center- Oregon Laws and Incentives for Natural Gas</t>
  </si>
  <si>
    <t>An individual is not allowed to park a motor vehicle within any parking space specifically designated for public parking and fueling of AFVs unless the motor vehicle is an AFV fueled by electricity, natural gas, methanol, propane, gasoline blended with at least 85% ethanol (E85), or other fuel the Oregon Department of Energy approves. Eligible AFVs must also be in the process of fueling or charging to park in the space. A person found responsible for a violation is subject to traffic violation penalties.</t>
  </si>
  <si>
    <t>https://www.afdc.energy.gov/laws/11653</t>
  </si>
  <si>
    <t>U.S. Department of Energy- Energy Efficiency &amp; Renewable Energy-  Alternative Fuel Data Center- Alternative Fuel Vehicle (AFV) Parking Space Regulation</t>
  </si>
  <si>
    <t>Property used to produce biofuels, including ethanol and biodiesel, may be eligible for a property tax exemption if it is located in a designated Rural Renewable Energy Development Zone. The Oregon business Development Department must receive and approve an application from a qualified rural area to designate the area as a Rural Renewable Energy Development Zone.</t>
  </si>
  <si>
    <t>https://www.afdc.energy.gov/laws/6273</t>
  </si>
  <si>
    <t>U.S. Department of Energy- Energy Efficiency &amp; Renewable Energy-  Alternative Fuel Data Center- Biofuels Production Property Tax Exemption</t>
  </si>
  <si>
    <t>The Oregon Department of Energy (ODOE) must conduct periodic impact studies related to the biofuels industry in the state. These studies should evaluate such criteria as: jobs created; current and projected feedstock availability; amount of biofuels blends produced and consumed in the state; cost comparison of biofuels blends and petroleum fuel; environmental impacts; and the extent to which Oregon producers import biofuels or biofuels feedstocks from outside the state. ODOE issued the first Biofuels Impact Study in 2010 and will conduct a study every two years through January 1, 2025.</t>
  </si>
  <si>
    <t>https://www.afdc.energy.gov/laws/6276</t>
  </si>
  <si>
    <t>U.S. Department of Energy- Energy Efficiency &amp; Renewable Energy-  Alternative Fuel Data Center- Biofuels Program Impact Studies</t>
  </si>
  <si>
    <t>Alternative Fuel Vehicle (AFV) and Infrastructure Tax Credit for businesses</t>
  </si>
  <si>
    <t>business owners and others may be eligible for a tax credit of 35% of eligible costs for qualified alternative fuel infrastructure projects, or the incremental or conversion cost of two or more AFVs. Qualified infrastructure includes facilities for mixing, storing, compressing, or dispensing fuels for vehicles operating on alternative fuels. Qualified alternative fuels include electricity, natural gas, gasoline blended with at least 85% ethanol (E85), propane, and other fuels that the Oregon Department of Energy (ODOE) approves. Unused credits may be carried forward up to five years. Non-profit organizations and public entities that do not have an Oregon tax liability may receive the credit for an eligible project but must "pass-through" or transfer their project eligibility to a pass-through partner in exchange for a lump-sum cash payment. ODOE determines the rate that is used to calculate the cash payment. The pass-through option is also available to a project owner with an Oregon tax liability who chooses to transfer their tax credit. The credit is available through the applicant's 2017 tax year.</t>
  </si>
  <si>
    <t>U.S. Department of Energy- Energy Efficiency &amp; Renewable Energy-  Alternative Fuel Data Center- Expired, Repealed, and Archived Incentives and Laws</t>
  </si>
  <si>
    <t>The Oregon Department of Energy (ODOE) AFV Revolving Fund provides loans to public agencies, private entities, and tribes for the incremental cost of AFVs and AFV conversions. Priority will be given to converting petroleum-powered vehicles to AFVs. The loan recipient may be responsible for a fee of 0.1% of the loan, up to $2,500, as well as fees to cover the cost of application processing. ODOE may set the interest rate anywhere from 0% to the current market rate, with a loan term up to six years. Eligible vehicles include those powered by electricity, biofuel, gasoline and alcohol blends with at least 20% alcohol content, hydrogen, natural gas, propane, or any other fuel ODOE approves that produces lower exhaU.S.t emissions or is more energy efficient than gasoline or diesel.</t>
  </si>
  <si>
    <t>https://www.afdc.energy.gov/laws/laws_expired?jurisdiction=OR</t>
  </si>
  <si>
    <t>U.S. Department of Energy- Energy Efficiency &amp; Renewable Energy-  Alternative Fuel Data Center- Expired, Repealed, and Archived Oregon Incentives and Laws</t>
  </si>
  <si>
    <t>Through the Residential Energy Tax Credit program, qualified residents may receive a tax credit for 25% of alternative fuel infrastructure project costs, up to $750. Qualified residents may receive a tax credit for 50% of project costs, up to $750. Qualified alternative fuels include electricity, natural gas, gasoline blended with at least 85% ethanol (E85), propane, and other fuels that the Oregon Department of Energy approves. A company that constructs a dwelling in Oregon and installs fueling infrastructure in the dwelling may claim the credit. Qualified infrastructure must be installed to meet all federal, state, and local codes and be capable of fueling or charging an alternative fuel vehicle within 14 hours. This credit is available through December 31, 2017.</t>
  </si>
  <si>
    <t>Approximately one-third of Oregon's greenhouse gases come from the transportation sector. Providing cleaner transportation fuels such as lower carbon ethanol and biodiesel, electricity, natural gas, biogas and propane will help shrink Oregon’s transportation-related carbon footprint. use of cleaner fuels can improve public health and increase energy security._x000D_
 _x000D_
The Clean Fuels Program is a critical component of Oregon’s plan to reduce greenhouse gases in the transportation sector such as creating cleaner cars, using cleaner fuels and reducing the amount that Oregonians drive. In addition to reducing greenhouse gases, the program has many co-benefits including reductions in other air pollutants, improvements to public health and increased energy security.</t>
  </si>
  <si>
    <t>https://www.oregon.gov/deq/aq/programs/Pages/Clean-Fuels.aspx</t>
  </si>
  <si>
    <t>Oregon.gov- Oregon Clean Fuels Program</t>
  </si>
  <si>
    <t>The Alternative Fuels Incentive Grant (AFIG) Program provides financial assistance for qualified projects; information on alternative fuels, AFVs, and HEVs; and advanced vehicle technology research, development, and demonstration. Projects that result in product commercialization and the expansion of Pennsylvania companies are favored in the selection process._x000D_
_x000D_
The AFIG Program also offers rebates to assist eligible residents with the incremental cost of the purchase of new AFVs, including all-electric vehicles (EVs), plug-in hybrid electric vehicles (PHEVs), natural gas vehicles (NGVs), and propane vehicles. The rebate amounts are $1,750 for qualified EVs and $1,000 for qualified PHEVs, NGVs, and propane vehicles.</t>
  </si>
  <si>
    <t>https://www.afdc.energy.gov/laws/5812</t>
  </si>
  <si>
    <t>U.S. Department of Energy- Energy Efficiency &amp; Renewable Energy-  Alternative Fuel Data Center- Alternative Fuel Vehicle (AFV) and Hybrid Electric Vehicle (HEV) Funding</t>
  </si>
  <si>
    <t>One year after in-state production has reached 350 million gallons of cellulosic ethanol and sU.S.tained this volume for three months, all gasoline sold in Pennsylvania must contain at least 10% cellulosic ethanol. All diesel fuel sold in Pennsylvania must contain at least 2% biodiesel (B2) one year after in-state production of biodiesel reaches 40 million gallons. The mandated biodiesel blend level will continue to increase according to the following schedule: 5% biodiesel (B5) one year after in-state production of biodiesel reaches and sU.S.tains 100 million gallons for three months;_x000D_
10% biodiesel (B10) one year after in-state production of biodiesel reaches and sU.S.tains 200 million gallons for three months; and 20% biodiesel (B20) one year after in-state production of biodiesel reaches and sU.S.tains 400 million gallons for three months. Biodiesel blends must comply with ASTM specifications. All biodiesel retailers in Pennsylvania must register with the Pennsylvania Department of Agriculture each year. Additional compliance and blending standards, in-state registration requirements, and certification and enforcement guidelines apply.</t>
  </si>
  <si>
    <t>https://www.afdc.energy.gov/laws/6486</t>
  </si>
  <si>
    <t>U.S. Department of Energy- Energy Efficiency &amp; Renewable Energy-  Alternative Fuel Data Center- Renewable Fuels Mandate</t>
  </si>
  <si>
    <t xml:space="preserve">Alternative fuels used to propel vehicles of any kind on public highways are taxed at a rate determined on a gasoline gallon equivalent basis. For more information, including applicable tax rates, see the Pennsylvania Department of Revenue Motor and Alternative Fuel Taxes website. Certain exemptions apply. </t>
  </si>
  <si>
    <t>https://www.afdc.energy.gov/laws/all?state=PA</t>
  </si>
  <si>
    <t>U.S. Department of Energy- Energy Efficiency &amp; Renewable Energy- Alternative Fuels Data Center- Pennsylvania Laws and Incentives</t>
  </si>
  <si>
    <t>Conventional original equipment manufacturer passenger vehicles and light-duty trucks may be converted to operate on alternative fuels as a dedicated or bi-fuel AFV.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</si>
  <si>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U.S. Department of Energy- Energy Efficiency &amp; Renewable Energy- Alternative Fuels Data Center- Pennsylvania Laws and Incentives</t>
  </si>
  <si>
    <t>Biodiesel is exempt from the $0.30 per gallon state motor fuel tax. Biodiesel may be blended with other fuel for use in motor vehicles, but only the biodiesel portion of the blended fuel is exempt. Biodiesel is defined as fuel that is derived from vegetable oils or animal fats and conforms to ASTM D6751 specifications for use in diesel engines and results in employment at a manufacturing facility for biodiesel fuel.</t>
  </si>
  <si>
    <t>https://www.afdc.energy.gov/fuels/laws/BIOD/RI</t>
  </si>
  <si>
    <t>U.S. Department of Energy- Energy Efficiency &amp; Renewable Energy- Alternative Fuels Data Center- Rhode Island Laws and Incentives for Biodiesel</t>
  </si>
  <si>
    <t>The Rhode Island Climate Change Coordinating Council (Council) was established to coordinate efforts between state agencies to reduce greenhouse gas (GHG) emissions. The Council will pursue GHG emissions reductions of 10% below 1990 levels by 2020, 45% below 1990 levels by 2035, and 80% below 1990 levels by 2050. With assistance from the Council, state agencies will develop programs to encourage state employees to reduce vehicle miles traveled and use public transportation when available. The Council will also work with municipalities to encourage sU.S.tainability; identify federal, state, and private funding opportunities that can be leveraged to reduce emissions in Rhode Island; and develop GHG emissions reduction strategies. The Council submitted a plan (PDF) in December 2016 with suggested strategies for GHG emissions reduction activities to the governor</t>
  </si>
  <si>
    <t>To reduce fuel consumption and pollution emissions, and purchase vehicles that provide the best value on a life cycle cost basis, the state must take the following actions:At least 75% of state motor vehicle acquisitions must be AFVs, and the remaining 25% must be HEVs to the greatest extent possible. By 2025, 25% of state motor vehicle acquisitions must be ZEVs;
All new light-duty trucks in the state fleet must achieve a minimum city fuel economy of 19 miles per gallon (mpg) and achieve at least a Low Emission Vehicle certification, and all new passenger vehicles in the state fleet must achieve a minimum city fuel economy of 23 mpg;
All state agencies must purchase the most economical, fuel-efficient, and lowest emission vehicles appropriate to meet requirements and discourage the purchase of sport utility vehicles;
All state agencies must purchase low rolling resistance tires with superior tread life for state vehicles when possible; and
All state vehicles must be maintained according to manufacturer specifications, including specified tire pressures and ratings.</t>
  </si>
  <si>
    <t>99 stations in Rhode Island with alternative fuels</t>
  </si>
  <si>
    <t>https://www.afdc.energy.gov/states/ri</t>
  </si>
  <si>
    <t>U.S. Department of Energy- Energy Efficiency &amp; Renewable Energy-  Alternative Fuel Data Center- Rhode Island Transportation Data for Alternative Fuels and Vehicles</t>
  </si>
  <si>
    <t>A taxpayer that purchases, constructs, or installs, and places into service a qualified commercial facility for distributing or dispensing biofuels is eligible for an income tax credit of up to 25% of the purchase, construction, and installation costs. Eligible property includes pumps, storage tanks, and related equipment used exclU.S.ively for distributing, dispensing, and storing biofuels. A qualified facility must clearly label the equipment used to store or dispense the fuel as being associated with the biofuel. The credit must be taken in three equal annual installments beginning with the taxable year in which the facility is placed into service. Qualifying fuels include blends containing at least 70% ethanol (E70) dispensed at the retail level for use in motor vehicles, and pure ethanol or biodiesel fuel dispensed by a distributor or facility that blends these non-petroleum liquids with gasoline or diesel fuel for use in motor vehicles.</t>
  </si>
  <si>
    <t>https://www.afdc.energy.gov/fuels/laws/BIOD/SC</t>
  </si>
  <si>
    <t>U.S. Department of Energy- Energy Efficiency &amp; Renewable Energy- Alternative Fuels Data Center- South Carolina Laws and Incentives for Biodiesel</t>
  </si>
  <si>
    <t>A taxpayer that constructs and places into service a commercial facility for the production of biofuel is eligible for a tax credit of up to 25% of the cost of constructing or renovating a building and equipping the facility. Production of biofuel includes intermediate steps such as milling, crU.S.hing, and handling feedstock and the distillation and manufacturing of the final product. The entire credit must be taken in seven equal annual installments beginning with the taxable year in which the facility is placed into service. Qualifying fuels include liquid non-petroleum based fuel that can be placed in motor vehicle fuel tanks and used to operate on-road vehicles, including all forms of fuel commonly or commercially known or sold as biodiesel and ethanol.</t>
  </si>
  <si>
    <t>The South Carolina business Development Corporation provides low interest loans for a variety of energy efficiency improvements, including AFV conversions and incremental costs, with qualified project payback periods. Eligible recipients include business and industries; utilities, non-profit organizations, and government entities may be eligible under special conditions. The loan may cover up to 100% of the project costs ranging from $50,000 to $1 million and must be repaid after one and one half times the projected payback period of the loan.</t>
  </si>
  <si>
    <t>https://www.afdc.energy.gov/fuels/laws/NG/SC</t>
  </si>
  <si>
    <t>U.S. Department of Energy- Energy Efficiency &amp; Renewable Energy- Alternative Fuels Data Center- South Carolina Laws and Incentives for Natural Gas</t>
  </si>
  <si>
    <t>The South Carolina Energy Office (SCEO) provides low interest loans for a variety of energy efficiency improvements, including AFV conversions and incremental costs, with qualified project payback periods. Eligible recipients include state agencies, local governments, public colleges and universities, school districts, and private non-profit organizations. Private non-profit organizations and local government entities may be eligible for loans of up to 100% of eligible project costs ranging from $25,000 to $500,000 per state fiscal year. For state agencies and public educational institutions, SCEO will provide 70% of each project's funding as a loan and entities may also be eligible for ConserFund PlU.S. grant of up to 30% project cost. </t>
  </si>
  <si>
    <t>U.S. Department of Energy- Energy Efficiency &amp; Renewable Energy- Alternative Fuels Data Center- South Carolina Laws and Incentives for Natural Gas</t>
  </si>
  <si>
    <t xml:space="preserve">All state-owned diesel fueling facilities must provide fuel containing at least 5% biodiesel (B5) at all diesel pumps. </t>
  </si>
  <si>
    <t>https://www.afdc.energy.gov/laws/6264</t>
  </si>
  <si>
    <t>U.S. Department of Energy- Energy Efficiency &amp; Renewable Energy-  Alternative Fuel Data Center- Biodiesel Blend Distribution Mandate</t>
  </si>
  <si>
    <t>Biodiesel use in School Buses</t>
  </si>
  <si>
    <t>The South Carolina Department of Education must fuel state school Bus fleets with biodiesel when feasible</t>
  </si>
  <si>
    <t>https://www.afdc.energy.gov/laws/6267</t>
  </si>
  <si>
    <t>U.S. Department of Energy- Energy Efficiency &amp; Renewable Energy-  Alternative Fuel Data Center- Biodiesel Use in School Buses</t>
  </si>
  <si>
    <t xml:space="preserve">State agencies purchasing motor vehicles must give preference to hybrid, plug-in hybrid electric, all-electric, biodiesel, hydrogen, fuel cell, or flexible fuel vehicles when the performance, quality, and anticipated life cycle costs are comparable to other available motor vehicles. </t>
  </si>
  <si>
    <t>https://www.afdc.energy.gov/laws/6458</t>
  </si>
  <si>
    <t>U.S. Department of Energy- Energy Efficiency &amp; Renewable Energy-  Alternative Fuel Data Center- State Agency Preference for Alternative Fuel and Advanced Vehicles</t>
  </si>
  <si>
    <t>The South Carolina Clean Energy industry Manufacturing Market Development Advisory Commission (Commission) will assist with the development of clean energy technologies, materials, and products, including advanced vehicle, alternative transportation fuel, battery manufacturing, and hydrogen fuel cell industries. The Commission issued a final report in September 2015, with a description and analysis of the existing clean energy manufacturing industry, job development potential, market potential, incentives offered by neighboring states, and recommendations for in-state production incentives, benchmarks to increase clean energy manufacturing, and marketing and public education programs.</t>
  </si>
  <si>
    <t>https://www.afdc.energy.gov/laws/laws_expired?jurisdiction=SC</t>
  </si>
  <si>
    <t>U.S. Department of Energy- Energy Efficiency &amp; Renewable Energy-  Alternative Fuel Data Center- Expired, Repealed, and Archived South Carolina Incentives and Laws</t>
  </si>
  <si>
    <t>Terminal operators and other entities involved in the bulk transfer of gasoline or diesel, including suppliers and refiners, must offer all grades of petroleum products not already pre-blended with ethanol and biodiesel, and ensure that the motor fuel is suitable for subsequent blending with biofuels. Terminal operators and other bulk suppliers are not liable for fines, penalties, injuries, or damages resulting from subsequent blending of fuel sold at retail locations. Furthermore, no individual or entity can deny a distributor and retailer from blending biofuels for sale in South Carolina, as long as the individual or entity is registered with the U.S. Internal Revenue Service</t>
  </si>
  <si>
    <t>https://www.afdc.energy.gov/laws/search?loc%5B%5D=SC&amp;user%5B%5D=AFS</t>
  </si>
  <si>
    <t>Qualified and licensed ethanol and biobutanol producers are eligible for a $0.20 per gallon production incentive for ethanol and biobutanol that is fully distilled and produced in South Dakota. Ethanol must also be denatured, 99% pure, distilled from cereal grains, and blended with gasoline to create an ethanol blend. In addition, the producer must have produced ethanol on or before December 31, 2006, to be eligible. Annual production incentives paid to one facility may not exceed $1 million. Cumulative annual production incentives paid out to all facilities may not exceed $7 million per year. Funds are apportioned each month based on the claims submitted and the total funds available. This incentive expires on July 1, 2022.</t>
  </si>
  <si>
    <t>https://www.afdc.energy.gov/laws/all?state=SD</t>
  </si>
  <si>
    <t>U.S. Department of Energy- Energy Efficiency &amp; Renewable Energy-  Alternative Fuel Data Center- South Dakota Laws and Incentives</t>
  </si>
  <si>
    <t>Licensed biodiesel blenders are eligible for a tax credit for special fuel, including diesel, blended with biodiesel to create a biodiesel blend. The tax credit is granted on a per gallon basis in the amount that the rate for special fuel exceeds the rate for the biodiesel blend. The purpose of the credit is to offset any tax liability resulting from the blending of previously untaxed biodiesel.</t>
  </si>
  <si>
    <t>Tax Refund for Methanol used in Biodiesel Production</t>
  </si>
  <si>
    <t>A licensed biodiesel producer may apply for and obtain a tax refund for state fuel taxes paid on methanol used to produce biodiesel</t>
  </si>
  <si>
    <t>The South Dakota Governor's Office of Economic Development administers the Ethanol Infrastructure Incentive Program, providing grants to offset the cost of installing ethanol blender pumps and underground storage tanks (U.S.T) for ethanol at retail fueling stations throughout the state. Awardees may receive up to $29,054 per blender pump. Additionally, awardees may receive up to $40,000 per station for the installation of a U.S.T that allows for the use of ethanol blender pumps.</t>
  </si>
  <si>
    <t>The South Dakota Department of Public Safety authorizes fuel quality standards and enforces fuel rules related to:_x000D_
_x000D_
Standards for the maximum volume percentages of ethanol and methanol in alcohol blended fuels;_x000D_
A program and prescribed methods for the inspection and testing of alcohol blended fuels, petroleum products, biodiesel, and biodiesel blends;_x000D_
Labeling requirements for devices dispensing alcohol blended fuels, biodiesel, and biodiesel blends;_x000D_
Standards setting the specifications and tolerance requirements for petroleum products, biodiesel, and biodiesel blends; and_x000D_
Regulations for filtering systems used on devices dispensing alcohol blended fuels.</t>
  </si>
  <si>
    <t xml:space="preserve">The cost to submit an air quality permit application for an ethanol production plant is $1,000. An annual renewal fee is also required for the duration of the air quality permit. The annual renewal fee includes an administrative fee of $1,000 and an emissions fee equaling $40 per ton of particulate matter, sulfur dioxide, nitrogen oxide, volatile organic compounds, and hazardoU.S. air pollutants emitted during the previous calendar year. The annual fee must be paid to the South Dakota Department of Revenue and Regulation by July 31 following the year in which the permit is issued and annually thereafter. </t>
  </si>
  <si>
    <t>Biodiesel and biodiesel blends are taxed at the state motor fuel excise tax rate of $0.28 per gallon. Beginning the fiscal quarter after which a biodiesel production facility in the state reaches a name plate capacity of at least 20 million gallons per year and fully produces at least 10 million gallons of biodiesel within one year, the tax on biodiesel and biodiesel blends is reduced to $0.26 per gallon. Biodiesel is defined as a fuel comprised of mono-alkyl esters of long chain fatty acids derived from vegetable oils or animal fats. Biodiesel must meet the requirements of ASTM specification D6751 and the U.S. Environmental Protection Agency registration and health effects testing program, as written January 1, 2008. Biodiesel blends are defined as blended special fuel containing a minimum of 5% biodiesel (B5)</t>
  </si>
  <si>
    <t>U.S. Department of Energy- Energy Efficiency &amp; Renewable Energy-  Alternative Fuel Data Center- South Dakota Laws and Incentives</t>
  </si>
  <si>
    <t>An ethanol blend is defined as a blended motor fuel containing ethyl alcohol that is at least 99% pure, derived from agricultural products, and blended exclU.S.ively with gasoline</t>
  </si>
  <si>
    <t>U.S. Department of Energy- Energy Efficiency &amp; Renewable Energy-  Alternative Fuel Data Center- South Dakota Laws and Incentives</t>
  </si>
  <si>
    <t>Ethyl alcohol and methyl alcohol motor fuels are taxed at a rate of $0.14 per gallon when used as a motor fuel. Ethyl alcohol is defined as a motor fuel that is typically derived from agricultural products that have been denatured. Methyl alcohol is a motor fuel that is most commonly derived from wood products.</t>
  </si>
  <si>
    <t>Franchise documents may not restrict a franchisee from participating in any of the following activities: Installing a biofuel pump or tank, except property leased from the franchisor; Converting an existing tank or pump for biofuels use;
Advertising the sale of biofuels, including listing biofuel availability or prices on signage; Selling biofuels;
Purchasing biofuel from other sources if the franchisor does not offer biofuel; Installing or operating an ethanol blender pump, if the pump is approved for use by the appropriate jurisdictional authority; or Selling a biofuel in place of one grade of gasoline, if the franchisee is required to sell three grades of gasoline. Biofuels include biodiesel, biodiesel blends, ethanol, and ethanol blends. </t>
  </si>
  <si>
    <t>Alternative Fuel and Fuel-Efficient Vehicle Acquisition and use Requirements</t>
  </si>
  <si>
    <t>The Tennessee Department of General Services must ensure that at least 25% of newly purchased passenger motor vehicles procured for use in areas designated as ozone nonattainment areas are all-electric vehicles (EVs), hybrid electric vehicles (HEVs), natural gas vehicles (NGVs), or propane powered vehicles, provided that such vehicles are available at the time of procurement. If these vehicles are not available, conventional gasoline vehicles achieving an average fuel economy of at least 25 miles per gallon (mpg) may satisfy the requirement. In areas not designated as ozone nonattainment areas, at least 25% of newly purchased passenger motor vehicles must be EVs, HEVs, NGVs, propane powered vehicles, or conventional gasoline vehicles achieving an average fuel economy of at least 25 mpg. For non-passenger vehicles, state fleets must make a reasonable effort to purchase at least 5% of these vehicles as natural gas or propane vehicles. State fleets must make every effort to ensure that 100% of newly purchased motor vehicles are energy-efficient vehicles. Energy-efficient vehicles are defined as passenger vehicles that are alternative fuel vehicles using alternative fuels, as defined by the Energy Policy Act of 1992; HEVs; conventional gasoline vehicles achieving an average fuel economy of at least 25 mpg; or vehicles powered by ultra-low sulfur diesel achieving an average fuel economy of at least 30 mpg. Additionally, state agencies should strive to use ethanol and biodiesel in appropriate state-owned vehicles whenever possible and should support the development of biofuels fueling infrastructure. The Tennessee Department of General Services must inventory the state's passenger vehicle fleet and prepare annual progress reports that outline cost savings, pollution avoidance, and petroleum displacement of the fleet.</t>
  </si>
  <si>
    <t>https://www.afdc.energy.gov/fuels/laws/BIOD/TN</t>
  </si>
  <si>
    <t>U.S. Department of Energy- Energy Efficiency &amp; Renewable Energy- Alternative Fuels Data Center- Tennessee Laws and Incentives for Biodiesel</t>
  </si>
  <si>
    <t>Commercial biodiesel stock used for biodiesel blends must be at least 99% biodiesel (no more than 1% diesel fuel) and meet ASTM specification D6751. Biodiesel blends must meet ASTM specification D975. Biodiesel blends made available for public use at retail locations may not exceed 20% biodiesel (B20), and biodiesel blends containing more than 5% biodiesel (B5) must be labeled as a biodiesel blend at the pump.</t>
  </si>
  <si>
    <t>https://www.afdc.energy.gov/laws/6435</t>
  </si>
  <si>
    <t>U.S. Department of Energy- Energy Efficiency &amp; Renewable Energy-  Alternative Fuel Data Center- Biodiesel and Ethanol Definitions and Retail Requirements</t>
  </si>
  <si>
    <t>https://www.afdc.energy.gov/laws/6574</t>
  </si>
  <si>
    <t>U.S. Department of Energy- Energy Efficiency &amp; Renewable Energy-  Alternative Fuel Data Center- Supply of Petroleum Products for Blending with Biofuels</t>
  </si>
  <si>
    <t xml:space="preserve">Any provision in a contract between a fuel wholesaler and a refiner or supplier that limits or restricts the wholesaler's ability to blend petroleum products with ethanol or biodiesel is null and void. This regulation applies to contracts executed or renewed on or after January 1, 2010. </t>
  </si>
  <si>
    <t>https://www.afdc.energy.gov/laws/8501</t>
  </si>
  <si>
    <t>U.S. Department of Energy- Energy Efficiency &amp; Renewable Energy-  Alternative Fuel Data Center- Biofuel Blending Contract Regulation</t>
  </si>
  <si>
    <t>The Tennessee Department of Transportation (TDOT) engages in public-private partnerships with transportation fuel providers to install biofuel fueling facilities. Fueling facilities include storage tanks and fuel pumps dedicated to dispensing E85 and biodiesel blends of 20% (B20). TDOT administers the Biofuel Green Island Corridor Grant Project (Project) to provide financial assistance for purchasing, preparing, and installing fueling facilities at private sector fuel stations. The goal of the Project is to help establish biofuel stations within 100 miles of each other along Tennessee's interstate system and major highways</t>
  </si>
  <si>
    <t>https://www.afdc.energy.gov/laws/laws_expired?jurisdiction=TN</t>
  </si>
  <si>
    <t>U.S. Department of Energy- Energy Efficiency &amp; Renewable Energy-  Alternative Fuel Data Center- Expired, Repealed, and Archived Tennessee Incentives and Laws</t>
  </si>
  <si>
    <t>The Texas Commission on Environmental Quality (TCEQ) administers the Emissions Reduction Incentive Grants (ERIG) Program and Rebate Grants Program as part of the Texas Emissions Reduction Plan (TERP). The ERIG Program provides grants for varioU.S. types of clean air projects to improve air quality in the state's nonattainment areas and other affected counties. Eligible projects include those that involve replacement, retrofit, repower, or lease or purchase of new heavy-duty vehicles; alternative fuel dispensing infrastructure; idle reduction and electrification infrastructure; and alternative fuel use. The Rebate Grants Program provides grants to upgrade or replace diesel heavy-duty vehicles and non-road equipment. Qualifying projects must reduce emissions of nitrogen oxides or other pollutants by at least 25% as compared to baseline levels and must meet operational and fuel usage requirements. Applications must be submitted by August 15, 2018.</t>
  </si>
  <si>
    <t>https://www.afdc.energy.gov/fuels/laws/BIOD/TX</t>
  </si>
  <si>
    <t>U.S. Department of Energy- Energy Efficiency &amp; Renewable Energy- Alternative Fuels Data Center- Texas Laws and Incentives for Biodiesel</t>
  </si>
  <si>
    <t>All equipment used to dispense motor fuel containing at least 1% ethanol or methanol must be clearly labeled to inform customers that the fuel contains ethanol or methanol.</t>
  </si>
  <si>
    <t>https://www.afdc.energy.gov/fuels/laws/ETH/TX</t>
  </si>
  <si>
    <t>U.S. Department of Energy- Energy Efficiency &amp; Renewable Energy- Alternative Fuels Data Center- Texas Laws and Incentives for Ethanol</t>
  </si>
  <si>
    <t>Alternative Fuel use and Vehicle Acquisition Requirements</t>
  </si>
  <si>
    <t>U.S. Department of Energy- Energy Efficiency &amp; Renewable Energy- Alternative Fuels Data Center- Texas Laws and Incentives for Ethanol</t>
  </si>
  <si>
    <t>The Texas Bioenergy Policy Council and the Texas Bioenergy Research Committee were established to promote the goal of making biofuels a significant part of the energy industry in Texas by January 1, 2019. The Policy Council is tasked with the following: Provide a vision (PDF) for unifying the state's agricultural, energy, and research strengths in a successful launch of a cellulosic biofuel and bioenergy industry;
Foster development of cellulosic and bio-based fuels;
Pursue the creation of a next-generation biofuels energy research program at a university in the state;
Pursue federal and other funding to position the state as a bioenergy leader;
Study the feasibility and economic development effect of a blending requirement for biodiesel or cellulosic fuels;
Pursue the development and use of thermochemical process technologies to produce alternative chemical feedstocks; and
Study the feasibility and economic development of the requirements for renewable natural gas.</t>
  </si>
  <si>
    <t>Natural Gas Vehicle (NGV) and Fueling Infrastructure Rebates- Texas Gas Service</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</si>
  <si>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 [100]</t>
  </si>
  <si>
    <t>https://www.afdc.energy.gov/fuels/laws/NG/TX</t>
  </si>
  <si>
    <t>U.S. Department of Energy- Energy Efficiency &amp; Renewable Energy- Alternative Fuels Data Center- Texas Laws and Incentives for Natural Gas</t>
  </si>
  <si>
    <t>Any school district or charter school may receive a grant through the Texas Commission on Environmental Quality (TCEQ) to pay for the incremental costs to replace school Buses or install diesel oxidation catalysts, diesel particulate filters, emission-reducing add-on equipment, and other emissions reduction technologies in qualified school Buses. Furthermore, funds may also be used to purchase qualifying fuels, including any liquid or gaseoU.S. fuel or additive registered or verified by the U.S. Environmental Protection Agency (other than standard gasoline or diesel) that provides particulate matter emission reductions. Additional rules and conditions apply.</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</si>
  <si>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t>
  </si>
  <si>
    <t>U.S. Department of Energy- Energy Efficiency &amp; Renewable Energy- Alternative Fuels Data Center- Texas Laws and Incentives for Natural Gas</t>
  </si>
  <si>
    <t>The biodiesel or ethanol portion of blended fuel containing taxable diesel is exempt from the diesel fuel tax. The biodiesel or ethanol fuel blend must be clearly identified on the retail pump, storage tank, and sales invoice in order to be eligible for the exemption.</t>
  </si>
  <si>
    <t>https://www.afdc.energy.gov/laws/all?state=TX</t>
  </si>
  <si>
    <t>U.S. Department of Energy- Energy Efficiency &amp; Renewable Energy-  Alternative Fuel Data Center- Texas Laws and Incentives</t>
  </si>
  <si>
    <t>Alternative Fuel use and Vehicle Acquisition Requirement</t>
  </si>
  <si>
    <t>https://www.afdc.energy.gov/laws/11401</t>
  </si>
  <si>
    <t>U.S. Department of Energy- Energy Efficiency &amp; Renewable Energy-  Alternative Fuel Data Center- Alternative Fuel Use and Vehicle Acquisition Requirement</t>
  </si>
  <si>
    <t>Provision for Establishment of Alternative Fuel use Mandate</t>
  </si>
  <si>
    <t>The Utah Air Quality Board may require fleets that own 10 or more vehicles capable of being fueled at a central location to use clean fuels if such a mandate is necessary to meet national air quality standards. Clean fuels are defined as propane, compressed natural gas, and electricity. This program expires July 1, 2019.</t>
  </si>
  <si>
    <t>https://www.afdc.energy.gov/laws/4764</t>
  </si>
  <si>
    <t>U.S. Department of Energy- Energy Efficiency &amp; Renewable Energy-  Alternative Fuel Data Center- Provision for Establishment of Alternative Fuel Use Mandate</t>
  </si>
  <si>
    <t>Vehicles converted to operate on CNG must be inspected and certified in accordance with relevant safety standards by a CSA America-certified CNG Fuel System Inspector. The vehicle must also be tested to ensure that it meets emissions standards in the applicable county, or the county with the most lenient emissions standards if the vehicle is registered in a county without its own emissions standards. A person who performs a conversion must certify to the vehicle owner that the conversion does not tamper with, circumvent, or otherwise affect the vehicle's on-board diagnostic system, if applicable. A CSA America-certified CNG Fuel System Inspector must also inspect the vehicle every three years, or every 36,000 miles, and after a collision occurring at a speed greater than five miles per hour.</t>
  </si>
  <si>
    <t>https://www.afdc.energy.gov/laws/8204</t>
  </si>
  <si>
    <t>U.S. Department of Energy- Energy Efficiency &amp; Renewable Energy-  Alternative Fuel Data Center- Compressed Natural Gas (CNG) Vehicle Aftermarket Conversion Requirements</t>
  </si>
  <si>
    <t>An interlocal entity composed of members from state and local government, school and transit districts, and the private sector may be created to promote the conversion of AFVs and to encourage the construction, operation, and maintenance of facilities for AFVs. The interlocal entity may contribute funding for an AFV facility so long as the entity uses or benefits from the facility. It must also work with the Utah Public Service Commission (Commission) to explore options and opportunities to facilitate AFV conversions and promote the enhancement and expansion of infrastructure and facilities for AFVs throughout Utah._x000D_
_x000D_
The Commission submitted a report to the governor on September 20, 2013, outlining options and opportunities for advancing and promoting measures, such as AFV conversions, to result in cleaner air in Utah.</t>
  </si>
  <si>
    <t>https://www.afdc.energy.gov/laws/laws_expired?jurisdiction=UT</t>
  </si>
  <si>
    <t>U.S. Department of Energy- Energy Efficiency &amp; Renewable Energy-  Alternative Fuel Data Center- Expired, Repealed, and Archived Utah Incentives and Laws</t>
  </si>
  <si>
    <t>The Vermont Agency of Administration and the Climate Cabinet must revise state acquisition policies to ensure consideration of vendor business practices that promote clean energy and address climate change. Policies should consider, for example, the use of and support of plug-in electric and zero emission vehicles, including providing workplace charging stations. </t>
  </si>
  <si>
    <t>https://www.afdc.energy.gov/fuels/laws/BIOD/VT</t>
  </si>
  <si>
    <t>U.S. Department of Energy- Energy Efficiency &amp; Renewable Energy- Alternative Fuels Data Center- Vermont Laws and Incentives for Biodiesel</t>
  </si>
  <si>
    <t>https://www.afdc.energy.gov/fuels/laws/NG/VT</t>
  </si>
  <si>
    <t>U.S. Department of Energy- Energy Efficiency &amp; Renewable Energy- Alternative Fuels Data Center- Vermont Laws and Incentives for Natural Gas</t>
  </si>
  <si>
    <t>The Vermont Agency of Administration developed and oversees the implementation of the State Agency Energy Plan (Plan). The Agency of Administration must modify the Plan as necessary and re-adopt it on or before January 15 of each fifth year. As specified in the 2016 Plan (PDF), the Vermont Agency of Transportation must continue to use 5% biodiesel (B5) in its fleet of heavy-duty vehicles. The Vermont Department of Buildings and General Services will increase its deployment of plug-in electric vehicles (PEVs) to comprise at least 25% of its light-duty fleet by 2025 and install electric vehicle supply equipment (EVSE), as necessary. All state agencies must install EVSE and increase their use of PEVs to a level that will displace 10% of their gasoline use by 2020.</t>
  </si>
  <si>
    <t>https://www.afdc.energy.gov/laws/5754</t>
  </si>
  <si>
    <t>U.S. Department of Energy- Energy Efficiency &amp; Renewable Energy-  Alternative Fuel Data Center- State Agency Energy Plan Transportation Requirements</t>
  </si>
  <si>
    <t>Vermont businesses that qualify as a high-tech business involved exclU.S.ively in the design, development, and manufacture of alternative fuel vehicles, hybrid electric vehicles, all-electric vehicles, or energy technology involving fuel sources other than fossil fuels are eligible for up to three of the following tax credits: 1) payroll income tax credit; 2) qualified research and development income tax credit; 3) export tax credit; 4) small business investment tax credit; and 5) high-tech growth tax credit. Certain limits and restrictions apply. This incentive expires December 31, 2016.</t>
  </si>
  <si>
    <t>https://www.goelectricdrive.org/alternative-fuel-and-advanced-vehicle-research-and-development-tax-credit</t>
  </si>
  <si>
    <t>Go Electric Drive- Alternative Fuel and Advanced Vehicle Research and Development Tax Credit</t>
  </si>
  <si>
    <t>Qualified biodiesel and green diesel producers are eligible for a tax credit of $0.01 per gallon of biodiesel or green diesel fuels produced. This credit is available for producers who generate up to two million gallons of biodiesel or green diesel fuel per year. The annual credit may not exceed $5,000, and producers are only eligible for the credit for the first three years of production. The Virginia Department of Mines, Minerals and Energy must certify qualified producers</t>
  </si>
  <si>
    <t>https://www.afdc.energy.gov/fuels/laws/BIOD/VA</t>
  </si>
  <si>
    <t>U.S. Department of Energy- Energy Efficiency &amp; Renewable Energy- Alternative Fuels Data Center- Virginia Laws and Incentives for Biodiesel</t>
  </si>
  <si>
    <t>The Virginia Board of Education may use funding from the Literary Fund to provide loans to school boards that convert school Buses to operate on alternative fuels or construct alternative fueling stations.</t>
  </si>
  <si>
    <t>https://www.afdc.energy.gov/fuels/laws/ELEC/VA</t>
  </si>
  <si>
    <t>U.S. Department of Energy- Energy Efficiency &amp; Renewable Energy- Alternative Fuels Data Center- Virginia Laws and Incentives for Electricity</t>
  </si>
  <si>
    <t>The Agriculture and Forestry industries Development Fund provides grants to promote and develop the agriculture and forestry industry in Virginia and create or expand value-added facilities, including qualified biofuel production facilities. Individual grants may not exceed $500,000 or 25% of qualified capital expenditures and are awarded at the governor's discretion. The grants are awarded to local governments and other Virginia political subdivisions working with qualified businesses. Terms and conditions apply, including the use of a minimum percentage of Virginia grown products, matching funds, and performance requirements.</t>
  </si>
  <si>
    <t>https://www.afdc.energy.gov/fuels/laws/ETH/VA</t>
  </si>
  <si>
    <t>U.S. Department of Energy- Energy Efficiency &amp; Renewable Energy- Alternative Fuels Data Center- Virginia Laws and Incentives for Ethanol</t>
  </si>
  <si>
    <t xml:space="preserve">Alternative fuels used to operate on-road vehicles are taxed at a rate of $0.162 per gasoline gallon equivalent (GGE). Alternative fuels are taxed at the same rate as gasoline and gasohol (5.1% of the statewide average wholesale price of a gallon of self-serve unleaded regular gasoline). Refer to the Virginia Department of Motor Vehicles (DMV) Fuels Tax Rates and Alternative Fuels Conversion website for fuel-specific GGE calculations. All-electric vehicles (EVs) registered in Virginia are subject to a $64.00 annual license tax at time of registration. </t>
  </si>
  <si>
    <t>https://www.afdc.energy.gov/fuels/laws/NG/VA</t>
  </si>
  <si>
    <t>U.S. Department of Energy- Energy Efficiency &amp; Renewable Energy- Alternative Fuels Data Center- Virginia Laws and Incentives for Natural Gas</t>
  </si>
  <si>
    <t>Alternative fuel is exempt from taxes if it is sold to a government entity for its exclU.S.ive use, sold to a non-profit charitable organization for the purpose of providing charitable services for low-income medical patients, or produced by an agricultural operator and used exclU.S.ively for farm use or vehicles of that operator.</t>
  </si>
  <si>
    <t>https://www.afdc.energy.gov/laws/10674</t>
  </si>
  <si>
    <t>U.S. Department of Energy- Energy Efficiency &amp; Renewable Energy- Alternative Fuels Data Center- Alternative Fuel Tax Exemption</t>
  </si>
  <si>
    <t xml:space="preserve">The Virginia Board of Education may not unreasonably limit the authority of any local school division to purchase and use school Buses powered by compressed natural gas (CNG) or other alternative fuels or convert its school Buses to use CNG or other alternative fuels. </t>
  </si>
  <si>
    <t>https://www.afdc.energy.gov/laws/10675</t>
  </si>
  <si>
    <t>The Virginia Department of Mines, Minerals and Energy, in collaboration with the Virginia Department of Transportation, offers up to $10,000 to state agencies and local governments for the incremental cost of new or converted AFVs. To be eligible, vehicles must comply with Buy America provisions or qualify for a waiver from the Federal Highway Administration, and must be garaged in areas of air quality nonattainment, as recognized by the federal Congestion Mitigation and Air Quality Improvement (CMAQ) program.</t>
  </si>
  <si>
    <t>https://www.afdc.energy.gov/laws/11630</t>
  </si>
  <si>
    <t>U.S. Department of Energy- Energy Efficiency &amp; Renewable Energy-  Alternative Fuel Data Center- Government Alternative Fuel Vehicle (AFV) Incentive</t>
  </si>
  <si>
    <t>Alternative fuel providers, bulk users, and retailers, or any person who fuels an alternative fuel vehicle from a private source that does not pay the alternative fuels tax must obtain an alternative fuel license from the Virginia Department of Motor Vehicles (DMV).</t>
  </si>
  <si>
    <t>https://www.afdc.energy.gov/laws/4796</t>
  </si>
  <si>
    <t>U.S. Department of Energy- Energy Efficiency &amp; Renewable Energy-  Alternative Fuel Data Center- Alternative Fuel License</t>
  </si>
  <si>
    <t>The Virginia Board of Education may provide for the display of signs or other markings on school Buses using alternative fuels to identify the vehicle as an AFV and indicate the type of alternative fuel used.</t>
  </si>
  <si>
    <t>https://www.afdc.energy.gov/laws/5514</t>
  </si>
  <si>
    <t>U.S. Department of Energy- Energy Efficiency &amp; Renewable Energy-  Alternative Fuel Data Center- Alternative Fuel Vehicle (AFV) Signs for School Buses</t>
  </si>
  <si>
    <t>The Virginia Energy Plan (Plan) assesses the commonwealth's primary energy sources and recommends actions to meet the following goals: make Virginia the energy capital of the East Coast by expanding traditional and alternative energy production, jobs, and investment, and increasing energy conservation and efficiency; expand public education about Virginia's energy production and consumption, its effect on the economy, and methods to increase energy efficiency; assess the impact of federal clean air standards; and maximize investment in clean energy research and development. The Plan includes policies to promote alternative fuel and efficient vehicle use, encourage efficient driving techniques, and reduce vehicle miles traveled.</t>
  </si>
  <si>
    <t>https://www.afdc.energy.gov/laws/6065</t>
  </si>
  <si>
    <t>U.S. Department of Energy- Energy Efficiency &amp; Renewable Energy-  Alternative Fuel Data Center-State Energy Plan</t>
  </si>
  <si>
    <t>Biodiesel and Green Diesel Definition</t>
  </si>
  <si>
    <t>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t>
  </si>
  <si>
    <t>https://www.afdc.energy.gov/laws/6360</t>
  </si>
  <si>
    <t xml:space="preserve">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 </t>
  </si>
  <si>
    <t>U.S. Department of Energy- Energy Efficiency &amp; Renewable Energy-  Alternative Fuel Data Center- Biodiesel and Green Diesel Definitions</t>
  </si>
  <si>
    <t>The Biorefinery Assistance Program (Section 9003) provides loan guarantees for the development, construction, and retrofitting of commercial-scale biorefineries that produce advanced biofuels. Grants for demonstration scale biorefineries are also available. Advanced biofuel is defined as fuel derived from renewable biomass other than corn kernel starch.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</si>
  <si>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U.S. Department of Energy- Energy Efficiency &amp; Renewable Energy-  Alternative Fuel Data Center- Advanced Biofuel Production Grants and Loan Guarantees</t>
  </si>
  <si>
    <t xml:space="preserve">A county, city, or town may exempt, partially exempt, or set a lower tax rate for qualified equipment used by farmers or farm cooperatives to produce ethanol, provided that the ethanol feedstock consists primarily of farm products. </t>
  </si>
  <si>
    <t>https://www.afdc.energy.gov/laws/9835</t>
  </si>
  <si>
    <t>U.S. Department of Energy- Energy Efficiency &amp; Renewable Energy-  Alternative Fuel Data Center- Ethanol Production Equipment Tax Exemption</t>
  </si>
  <si>
    <t>The AFV Conversion Fund (Fund) was created to assist commonwealth agencies, local government, and local school divisions with the incremental cost of commonwealth and local government owned AFVs, both original equipment manufacturer vehicles and aftermarket conversions. Funding may be used in conjunction with or as matching funds for any eligible federal grants for the same purpose. The Virginia Department of General Services and the Department of Mines, Minerals and Energy (DMME) established guidelines for contributions and reimbursements from the Fund for the purchase or conversion of commonwealth-owned vehicles. The Fund will include appropriations from the Virginia General Assembly as well as donations, grants, in-kind contributions, and other funding</t>
  </si>
  <si>
    <t>https://www.afdc.energy.gov/laws/9853</t>
  </si>
  <si>
    <t>U.S. Department of Energy- Energy Efficiency &amp; Renewable Energy-  Alternative Fuel Data Center- Alternative Fuel Vehicle (AFV) Conversion Fund</t>
  </si>
  <si>
    <t>The Commonwealth Energy Fund (CEF), administered through the Center for Innovative Technology, provides early-stage investment funds for Virginia-based technology, life science, and clean technology companies. Eligible clean transportation technologies may include vehicles, components, batteries, and fuel cells, in addition to biofuels</t>
  </si>
  <si>
    <t>https://www.afdc.energy.gov/laws/all?state=VA</t>
  </si>
  <si>
    <t>U.S. Department of Energy- Energy Efficiency &amp; Renewable Energy-  Alternative Fuel Data Center- Virginia Laws and Incentives</t>
  </si>
  <si>
    <t xml:space="preserve">The Clean Energy Manufacturing Incentive Grant Program provides financial incentives to clean energy manufacturers, including biofuel producers. A producer is eligible for grant if it commences or expands operations in Virginia on or after July 1, 2011. Producers must make a capital investment greater than $50 million and create at least 200 full-time jobs that pay at least the prevailing wage. </t>
  </si>
  <si>
    <t>https://www.afdc.energy.gov/laws/laws_expired?jurisdiction=VA</t>
  </si>
  <si>
    <t>U.S. Department of Energy- Energy Efficiency &amp; Renewable Energy-  Alternative Fuel Data Center- Expired, Repealed, and Archived Virginia Incentives and Laws</t>
  </si>
  <si>
    <t>Individuals that transport waste kitchen grease for conversion to biofuel are exempt from both the Virginia Department of Health registration and the associated annual application fee. This exemption only applies if the individual transports the waste kitchen grease in a container with a capacity of no more than 275 gallons and possesses no more than 1,320 gallons of waste kitchen grease, biofuel feedstock derived from kitchen grease, or biofuel at any one time, excluding biofuel contained in vehicle fuel tanks.</t>
  </si>
  <si>
    <t>https://www.afdc.energy.gov/laws/search?ir%5Bincentive%5D%5B%5D=EXEM&amp;loc%5B%5D=VA</t>
  </si>
  <si>
    <t>In April 2010, Virginia enacted the green jobs tax credit. For every green job created with a yearly salary of $50,000 or more, the company will earn a $500 income tax credit for five years. The Office of Commerce and Trade will develop a full list of jobs eligible to qualify for the tax credit.</t>
  </si>
  <si>
    <t>https://www.energy.gov/savings/green-jobs-tax-credit</t>
  </si>
  <si>
    <t>Energy.gov - Green Jobs Tax Credit</t>
  </si>
  <si>
    <t>In 2008, the Legislature adopted reduction targets for greenhouse gases (commonly known as carbon pollution). Today, we are working to meet those targets through polices that reduce carbon pollution. By 2020, reduce overall emissions of greenhouse gases in the state to 1990 levels.  By 2035, reduce overall greenhouse gas emissions in the state to 25 percent below 1990 levels.  By 2050, reduce overall greenhouse gas emissions in the state to 50 percent below 1990 levels.</t>
  </si>
  <si>
    <t>https://ecology.wa.gov/Air-Climate/Climate-change/Tracking-reducing-carbon-pollution</t>
  </si>
  <si>
    <t>Department of Ecology- State of Washington</t>
  </si>
  <si>
    <t>At least 2% of all diesel fuel sold in Washington must be biodiesel or renewable diesel. This requirement will increase to 5% 180 days after the Washington State Department of Agriculture (WSDA) determines that in-state feedstocks and oil-seed crU.S.hing capacity can meet a 3% requirement. Renewable diesel is defined as a diesel fuel substitute produced from non-petroleum renewable sources, including vegetable oils and animal fats, meets the federal registration requirements for fuels and fuel additives and ASTM specification D975. At least 2% of the total gasoline sold in the state must be denatured ethanol. The ethanol requirement increase if the Washington Department of Ecology determines that this increase will not jeopardize continued attainment of federal Clean Air Act standards, and WSDA determines that the state can economically support the production of higher ethanol blends. All state agencies with jurisdiction over renewable fuel infrastructure, specifically storage, blending, and dispensing equipment, are required to expedite related application and permitting processes. The governor may sU.S.pend these requirements by Executive Order if the standard is temporarily technically or economically infeasible, or poses a significant risk to public safety.</t>
  </si>
  <si>
    <t>https://www.afdc.energy.gov/fuels/laws/BIOD/WA</t>
  </si>
  <si>
    <t>U.S. Department of Energy- Energy Efficiency &amp; Renewable Energy- Alternative Fuels Data Center-Washington Laws and Incentives for Biodiesel</t>
  </si>
  <si>
    <t>At least 20% of all diesel fuel used to fuel state agency vehicles, vessels, and construction equipment must be biodiesel. The Washington Department of Enterprise Services (WDES) must assist state agencies by coordinating the purchase and delivery of biodiesel if requested, using long-term contracts if necessary, to secure a sufficient and stable supply of biodiesel. For state agencies complying with the U.S. Environmental Protection Agency's ultra-low sulfur diesel (ULSD) mandate, at least 2% biodiesel (B2) must be used as an additive to ULSD for lubricity, provided that the use of a lubricity additive is appropriate and that performance and cost are comparable with other available lubricity additives. All agencies using biodiesel must submit annual consumption reports to WDES</t>
  </si>
  <si>
    <t>Every alternative fuel automobile, truck, motorcycle, motor home, or off-road vehicle must bear a reflective placard from the National Fire Protection Association indicating that the vehicle is powered by an alternative fuel. Alternative fuels include propane and natural gas</t>
  </si>
  <si>
    <t>https://www.afdc.energy.gov/laws/5567</t>
  </si>
  <si>
    <t>U.S. Department of Energy- Energy Efficiency &amp; Renewable Energy-  Alternative Fuel Data Center- Alternative Fuel Vehicle (AFV) Labeling Requirement</t>
  </si>
  <si>
    <t>Conservation districts, public development authorities, municipal utilities, and public utility districts may enter into crop purchase contracts to produce, sell, and distribute biodiesel produced from Washington feedstocks, cellulosic ethanol, and cellulosic ethanol blended fuels for utility and public use. Additionally, municipal utilities and public utility districts may produce and distribute biodiesel, ethanol, and ethanol blended fuels</t>
  </si>
  <si>
    <t>https://www.afdc.energy.gov/laws/6213</t>
  </si>
  <si>
    <t>U.S. Department of Energy- Energy Efficiency &amp; Renewable Energy-  Alternative Fuel Data Center- Biofuels Production and Distribution Contracts</t>
  </si>
  <si>
    <t>https://www.afdc.energy.gov/laws/9395</t>
  </si>
  <si>
    <t>U.S. Department of Energy- Energy Efficiency &amp; Renewable Energy-  Alternative Fuel Data Center- Biofuel Volume Rebate Program - Propel Fuels</t>
  </si>
  <si>
    <t>Waste vegetable oil, specifically cooking oil gathered from restaurants or commercial food processors, used by an individual to produce biodiesel for personal use is exempt from state sales and use taxes. The purchaser must provide the seller with an exemption certificate from the Washington Department of Revenue</t>
  </si>
  <si>
    <t>https://www.afdc.energy.gov/laws/all?state=WA</t>
  </si>
  <si>
    <t>U.S. Department of Energy- Energy Efficiency &amp; Renewable Energy-  Alternative Fuel Data Center- Washington Laws and Incentives</t>
  </si>
  <si>
    <t>Pumps dispensing ethanol or biodiesel blends must have a label that specifies the percentage of ethanol or biodiesel present in the fuel. Ethanol pumps distributing between 1% and 10% must include a label stating that the fuel "contains up to 10% ethanol" and those distributing blends greater than 10% must be labeled with the capital letter E, followed by the numerical value volume of ethanol and the word "ethanol." Pumps dispensing biodiesel blends of 5% (B5) or less must include a label stating that the fuel "may contain up to five percent biodiesel" and those distributing blends greater than 5% must be labeled with the capital letter B, followed by the numerical value volume of biodiesel and the words "biodiesel" or "biodiesel blend."</t>
  </si>
  <si>
    <t>Underground storage tank (U.S.T) regulations apply to all biodiesel blends with the exception of 100% biodiesel (B100). If a U.S.T owner increases the percentage of biofuel in a petroleum U.S.T, they must prove that all U.S.T materials are compatible with that product. U.S.T owners must submit an Alternative Fuel Installation or Conversion Checklist when the percentage of ethanol in gasoline is greater than 10% or the biodiesel percentage in diesel is greater than 20%.</t>
  </si>
  <si>
    <t>All state agencies must, to the extent practicable, use 100% biofuels or electricity to operate all publicly owned vehicles. Agencies must prioritize all-electric vehicles (EVs) when leasing or purchasing new vehicles, and all trips that may feasibly use EVs must employ them. For vehicle classes without EV model options, agencies must prioritize the most cost-efficient, low-emission vehicle option available. Agencies may substitute natural gas or propane for electricity or biofuel if the Washington State Department of Commerce (Department) determines that electricity and biofuel are not reasonably available. Practicability and measures of compliance are defined in rules adopted by the Department. The governor has established a cross-agency Governing Council, which must adopt and implement standards, measures, targets, and tools to support agencies in reducing greenhouse gas emissions and prioritizing EV adoption. In addition, effective June 1, 2018, all local government agencies must, to the extent practicable, use 100% biofuels or electricity to operate all publicly owned vehicles. Transit agencies using compressed natural gas (CNG) and engine retrofits that would void vehicle warranties are exempt from this requirement. To allow the motor vehicle fuel needs of state and local government to be satisfied by Washington-produced biofuels, the Washington Department of Enterprise Services and local governments may contract in advance and execute contracts with public or private producers and suppliers for the purchase of appropriate biofuels. Agencies may substitute natural gas or propane in vehicles if the Department determines that biofuels and electricity are not reasonably available.</t>
  </si>
  <si>
    <t>Biodiesel fuel is defined as a mono alkyl ester of long chain fatty acids derived from vegetable oils or animal fats for use in compression-ignition engines and meets the requirements of the ASTM specification D6751 in effect as of January 1, 2003</t>
  </si>
  <si>
    <t>E85 motor fuel is defined as an alternative fuel that is a blend of ethanol and hydrocarbon, of which the ethanol portion is 75-85% denatured fuel ethanol by volume and complies with the most current ASTM specification D5798</t>
  </si>
  <si>
    <t>The Washington State Department of Agriculture (WSDA) Biofuels Quality Program tests and assesses biofuel quality and quantity to resolve any quality issues before the product reaches the consumer. WSDA samples biofuel throughout the state, monitors and tracks the quality of biofuel, and works with producers and manufacturers to help supply the highest biofuel quality fuel available to consumers. The goal of the program is to create equity in the biofuel marketplace for refiners, suppliers, distributors, and retailers, and protect consumers</t>
  </si>
  <si>
    <t>New passenger cars, light-duty trucks, and medium-duty passenger vehicles that are dedicated AFVs are exempt from state motor vehicle sales and use taxes. Qualified vehicles include vehicles capable of operating exclU.S.ively on natural gas, propane, hydrogen, or electricity, and plug-in electric vehicles that are capable of being charged by an external power source and can travel at least 30 miles using only electricity. Qualified vehicles must meet the California motor vehicle emissions standards, comply with the rules of the Washington Department of Ecology, and have a base model price of $42,500 or less. The sales tax exemption applies to up to $32,000 of a vehicle's selling price or the total amount of lease payments made. If the original lessee purchased the leased vehicle before the exemptions expire, the exemption applies the total lease payments made plU.S. the selling price of the leased vehicle, up to $32,000.
As of April 2018, the maximum number of qualifying vehicles sold after June 15, 2015, 7,500, has been reached, and the sales tax exemption applies to vehicles delivered to their owners by May 31, 2018. A vehicle purchased or leased before June 1, 2018, is exempt from the use tax until it is retired or changes hands.</t>
  </si>
  <si>
    <t>https://www.afdc.energy.gov/laws/laws_expired?jurisdiction=WA</t>
  </si>
  <si>
    <t>U.S. Department of Energy- Energy Efficiency &amp; Renewable Energy-  Alternative Fuel Data Center- Expired, Repealed, and Archived Washington Incentives and Laws</t>
  </si>
  <si>
    <t>The Washington State Department of Transportation (WSDOT) may enter into partnership agreements with other public and private entities to use land for alternative fuel corridor pilot projects. In particular, WSDOT should continue to build out the electric vehicle charging network along state highways and at key destinations. Minimum requirements apply and these agreements are subject to funding availability</t>
  </si>
  <si>
    <t>Incentives or subsidies from political subdivisions for the production of alternative fuels are prohibited by law, with exceptions for certain coal-based liquid fuels.</t>
  </si>
  <si>
    <t>https://www.afdc.energy.gov/fuels/laws/NG/WV</t>
  </si>
  <si>
    <t>U.S. Department of Energy- Energy Efficiency &amp; Renewable Energy- Alternative Fuels Data Center- West Virginia Laws and Incentives for Natural Gas</t>
  </si>
  <si>
    <t>The West Virginia Department of Administration (Department) may require that up to 75% of a state agency's fleet consist of AFVs. To meet these requirements, agencies may purchase or lease AFVs or convert existing vehicles to operate using alternative fuels. The Department may waive this requirement if an agency's vehicles are operating in an area where the agency cannot reasonably establish a central alternative fueling station or the lifetime cost of the vehicle or fueling infrastructure is significantly higher as compared to conventional vehicles or fuels. This requirement does not apply to law enforcement, emergency, public transit authority, state rail authority, non-road vehicles, or school Buses.</t>
  </si>
  <si>
    <t>U.S. Department of Energy- Energy Efficiency &amp; Renewable Energy- Alternative Fuels Data Center- West Virginia Laws and Incentives for Natural Gas</t>
  </si>
  <si>
    <t xml:space="preserve">Alternative fuels are subject to an excise tax at a rate of $0.205 per gasoline gallon equivalent, with a variable component equal to at least 5% of the average wholesale price of the fuel. </t>
  </si>
  <si>
    <t>Any county that uses compressed natural gas (CNG) or propane for the operation of any portion of its school Bus fleet is eligible for a 10% reimbursement from the West Virginia Department of Education to help offset the cost of maintenance, operation, and other costs incurred from using those CNG or propane school Buses. Any county qualifying for this allowance must submit a plan that includes the future use of the CNG or propane fueled school Buses to the Department of Education.</t>
  </si>
  <si>
    <t>https://www.afdc.energy.gov/laws/6176</t>
  </si>
  <si>
    <t>U.S. Department of Energy- Energy Efficiency &amp; Renewable Energy-  Alternative Fuel Data Center- Alternative Fuel School Bus Incentive</t>
  </si>
  <si>
    <t>https://www.afdc.energy.gov/laws/9154</t>
  </si>
  <si>
    <t>U.S. Department of Energy- Energy Efficiency &amp; Renewable Energy-  Alternative Fuel Data Center- Alternative Fuel Use Requirement</t>
  </si>
  <si>
    <t xml:space="preserve">An income tax credit is available to eligible taxpayers who convert a vehicle to operate as a dedicated or bi-fuel natural gas or propane vehicle or who purchase a new original equipment manufacturer dedicated or bi-fuel natural gas or propane vehicle. The value of the tax credit is 35% of the vehicle purchase price or 50% of the vehicle conversion cost, up to $7,500 for vehicles with a gross vehicle weight rating (GVWR) up to 26,000 pounds (lbs.) and up to $25,000 for vehicles with a GVWR greater than or equal to 26,000 lbs. This tax credit expires December 31, 2017. </t>
  </si>
  <si>
    <t>https://www.afdc.energy.gov/laws/laws_expired?jurisdiction=WV</t>
  </si>
  <si>
    <t>U.S. Department of Energy- Energy Efficiency &amp; Renewable Energy-  Alternative Fuel Data Center- Expired, Repealed, and Archived West Virginia Incentives and Laws</t>
  </si>
  <si>
    <t>Until December 31, 2017, you can take advantage of an income tax credit if you construct or buy (and install) a qualifying alternative fuel infrastructure. This includes natural gas and propane.</t>
  </si>
  <si>
    <t>https://www.dmv.org/wv-west-virginia/green-driver-state-incentives.php</t>
  </si>
  <si>
    <t>DMV.org</t>
  </si>
  <si>
    <t>Wisconsin Clean Cities members displaced 32 million+ gallons of petroleum in 2017 &amp; increased greenhouse gas reductions by 28 percent from 2016 to 2017</t>
  </si>
  <si>
    <t>https://wicleancities.org/</t>
  </si>
  <si>
    <t>Wisconsin Clean Cities</t>
  </si>
  <si>
    <t>Biodiesel Fuel use Incentive for Schools</t>
  </si>
  <si>
    <t>The Wisconsin Department of Public Instruction (DPI) may provide financial aid to school districts that use biodiesel fuel to operate school Buses to cover the incremental cost of purchasing biodiesel as compared to the cost of petroleum diesel fuel. If in any fiscal year, insufficient funds are available to provide school districts with the full amount of reimbursement for which a school district qualifies, DPI will prorate the available funds among the entitled school districts on a per pupil basis.</t>
  </si>
  <si>
    <t>https://www.afdc.energy.gov/fuels/laws/BIOD/WI</t>
  </si>
  <si>
    <t>U.S. Department of Energy- Energy Efficiency &amp; Renewable Energy- Alternative Fuels Data Center-Wisconsin Laws and Incentives for Biodiesel</t>
  </si>
  <si>
    <t>Alternative Fuel Vehicle Acquisition and Alternative Fuel use Requirements</t>
  </si>
  <si>
    <t>The Wisconsin Department of Administration (DOA) encourages state employees operating state-owned or leased motor vehicles to use hybrid electric vehicles or vehicles that operate on gasohol (a motor fuel containing at least 10% alcohol) or alternative fuels whenever feasible and cost effective. DOA must place a list of gasohol and alternative fueling station locations in each state-owned or state-leased motor vehicle for driver reference. DOA also encourages Wisconsin residents and state employees who use personal motor vehicles on state business to use gasohol and alternative fuels.</t>
  </si>
  <si>
    <t>https://www.afdc.energy.gov/laws/4841</t>
  </si>
  <si>
    <t>U.S. Department of Energy- Energy Efficiency &amp; Renewable Energy-  Alternative Fuel Data Center- Alternative Fuel Vehicle Acquisition and Alternative Fuel Use Requirements</t>
  </si>
  <si>
    <t>No county, city, village, town, or other political subdivision may levy or collect any excise, license, privilege, or occupational tax on motor vehicle fuel or alternative fuels, or on the purchase, sale, handling, or consumption of motor vehicle fuel or alternative fuels.</t>
  </si>
  <si>
    <t>https://www.afdc.energy.gov/laws/5334</t>
  </si>
  <si>
    <t xml:space="preserve">Any person acting as an alternative fuels dealer must hold a valid alternative fuel license and certificate from the Wisconsin Department of Administration. Except for alternative fuels that a dealer delivers into a fuel supply tank of any motor vehicle in the state, no person may use alternative fuels in the state unless the person holds a valid alternative fuel license or an authorized supplier has delivered the alternative fuel. </t>
  </si>
  <si>
    <t>https://www.afdc.energy.gov/laws/5336</t>
  </si>
  <si>
    <t>Biodiesel fuel retailers may not advertise or offer for sale fuel labeled as pure biodiesel unless the fuel contains no other type of petroleum product, is registered as biodiesel fuel with the federal government, and meets all applicable ASTM specifications. Retailers also may not sell fuel labeled as a biodiesel blend unless the fuel contains at least 2% pure biodiesel fuel, the blend percentage is identified, and the fuel meets all applicable ASTM standards.</t>
  </si>
  <si>
    <t>https://www.afdc.energy.gov/laws/6022</t>
  </si>
  <si>
    <t>U.S. Department of Energy- Energy Efficiency &amp; Renewable Energy-  Alternative Fuel Data Center- Biodiesel Labeling Requirement</t>
  </si>
  <si>
    <t xml:space="preserve">Biodiesel is defined as a fuel comprised of mono-alkyl esters of long chain fatty acids derived from vegetable oils or animal fats, either in pure form or mixed in any combination with petroleum-based diesel fuel. The definition of biodiesel is expanded for purposes of existing provisions that encourage alternative fuels use in state-owned vehicles. </t>
  </si>
  <si>
    <t>https://www.afdc.energy.gov/laws/6158</t>
  </si>
  <si>
    <t>The first 1,000 gallons of renewable fuel that an individual produces each year are exempt from the motor vehicle fuel excise tax, the petroleum inspection fee, and any petroleum inspection requirements not required under federal law. These exemptions only apply if the fuel is used in the individual's personal vehicle and is not sold. An individual may also produce renewable fuel for personal use without a business tax registration certificate or a motor vehicle fuel tax license.</t>
  </si>
  <si>
    <t>https://www.afdc.energy.gov/laws/8972</t>
  </si>
  <si>
    <t>U.S. Department of Energy- Energy Efficiency &amp; Renewable Energy-  Alternative Fuel Data Center- Renewable Fuel Producer Excise Tax and Inspection Exemption</t>
  </si>
  <si>
    <t>The Wisconsin Department of Agriculture, Trade and Consumer Protection must pursue the establishment and maintenance of sufficient alternative fueling infrastructure at public retail outlets to meet the public's traveling needs.</t>
  </si>
  <si>
    <t>https://www.afdc.energy.gov/laws/8975</t>
  </si>
  <si>
    <t>U.S. Department of Energy- Energy Efficiency &amp; Renewable Energy-  Alternative Fuel Data Center- Alternative Fueling Infrastructure Development</t>
  </si>
  <si>
    <t>The Wisconsin Legislature sets goals for minimum annual renewable fuel sales volumes based on annual renewable fuel volumes required under the federal Renewable Fuel Standard. On an annual basis, the Wisconsin Department of Agriculture, Trade and Consumer Protection (DATCP), in cooperation with the Department of Commerce, the Department of Revenue, and the Energy Office, must determine whether the annual goals for the previous year were met. If the goals were not met, DATCP must issue a report assessing the causes. If DATCP determines that the goals are likely to be met, it must establish requirements that may include: reporting, recordkeeping, or testing requirements; annual requirements for renewable fuel sales; quarterly or monthly requirements for renewable fuel sales if necessary to maintain fuel availability and smooth fluctuation in demand; a system for trading credits; procedures to temporarily sU.S.pend a sales requirement; and fees for administration and enforcement</t>
  </si>
  <si>
    <t>https://www.afdc.energy.gov/laws/8976</t>
  </si>
  <si>
    <t>U.S. Department of Energy- Energy Efficiency &amp; Renewable Energy-  Alternative Fuel Data Center- Renewable Fuel Sales Volume Goals</t>
  </si>
  <si>
    <t>sustainable Biofuels Production Practices</t>
  </si>
  <si>
    <t>The Wisconsin Bioenergy Council (Council) must identify voluntary best management practices for sustainable biomass and biofuels production. The Council must report its findings, at least biennially, to agencies and private parties that assist biofuel feedstocks and biofuels producers. </t>
  </si>
  <si>
    <t>https://www.afdc.energy.gov/laws/8978</t>
  </si>
  <si>
    <t>U.S. Department of Energy- Energy Efficiency &amp; Renewable Energy-  Alternative Fuel Data Center- Sustainable Biofuels Production Practices</t>
  </si>
  <si>
    <t xml:space="preserve">Alternative fuel sold for use in motor vehicles and intended for export from the state by a licensed alternative fuel exporter is exempt from the alternative fuel license tax. Any person exporting alternative fuel for which the license tax has been paid is eligible for a refund of the license tax paid. The exporter must submit the refund request within one year of the date of fuel purchase. </t>
  </si>
  <si>
    <t>https://www.afdc.energy.gov/laws/11592</t>
  </si>
  <si>
    <t>U.S. Department of Energy- Energy Efficiency &amp; Renewable Energy-  Alternative Fuel Data Center- Alternative Fuel Export Tax Exemption</t>
  </si>
  <si>
    <t>A license tax of $0.24 per gasoline gallon equivalent (GGE) or diesel gallon equivalent (DGE) is collected on all alternative fuel used, sold, or distributed for sale or use in Wyoming. Alternative fuels include compressed natural gas (CNG), liquefied natural gas (LNG), propane, electricity, and renewable diesel. For taxation purposes, one GGE of CNG is equal to 5.66 pounds (lbs.), one DGE of LNG is equal to 6.06 lbs., one GGE of propane is equal to 1.35 gallons, and one GGE of electricity is equal to 33.56 kilowatt-hours</t>
  </si>
  <si>
    <t>https://www.afdc.energy.gov/laws/11594</t>
  </si>
  <si>
    <t>Each alternative fuel supplier, refiner, distributor, terminal operator, importer or exporter of alternative fuel used in motor vehicles must obtain an annual license from the Wyoming Department of Transportation to conduct business in the state. The fee for each type of license is $25</t>
  </si>
  <si>
    <t>https://www.afdc.energy.gov/laws/11595</t>
  </si>
  <si>
    <t>U.S. Department of Energy- Energy Efficiency &amp; Renewable Energy-  Alternative Fuel Data Center- Alternative Fuel License Fee</t>
  </si>
  <si>
    <t xml:space="preserve">Alternative fuels are defined as pure methanol, ethanol and other blends of at least 85% alcohol, natural gas, propane, coal-derived liquid fuels, hydrogen, electricity, pure biodiesel, renewable diesel, fuels other than alcohol that are derived from biological materials, and P-series fuels. Biodiesel is defined as mono-alkyl esters of long chain fatty acids derived from vegetable oils or animal fats that meets current ASTM biodiesel standards. </t>
  </si>
  <si>
    <t>https://www.afdc.energy.gov/laws/11596</t>
  </si>
  <si>
    <t>A nonprofit organization that allows companies to become Certified B Corporations. These companies meet the standards of verified, social and environmental performance, public transparency and legal accountability. Promoting Mission Alignment using innovative corporate structures like the benefit corporation to align the interests of business with those of society and to help high impact businesses be built to last.  Helping tens of thousands of businesses, investors, and institutions Measure What Matters, by using the B Impact Assessment and B Analytics to manage their impact—and the impact of the businesses with whom they work—with as much rigor as their profits</t>
  </si>
  <si>
    <t>Certified B Corporation</t>
  </si>
  <si>
    <t>Products that become certified through following social, environmental and economic standards. The companies must promote safe working conditions, aim to protect the environment, be transparent and empower the community. Fair Trade Certified™ products originating in more than 45 countries are being sold in the United States.</t>
  </si>
  <si>
    <t>Fair Trade Certified</t>
  </si>
  <si>
    <t xml:space="preserve">Created a chemical activity barometer- critical tool for evaluating the direction of the U.S. economy.  American Chemistry Council (“ACC”) is a nonprofit trade association whose member companies represent the majority of the productive capacity of basic industrial chemicals within the United States. The business of chemistry is a $720 billion enterprise and a key element of the nation’s economy. </t>
  </si>
  <si>
    <t>https://www.americanchemistry.com/Policy/Environment/Environmental-Regulations/Multi-Association-Comments-re-EPAs-Proposed-NSPS-for-GHG-Emissions-for-New-Stationary-Sources.pdf</t>
  </si>
  <si>
    <t>Influence company thought on a global scale</t>
  </si>
  <si>
    <t>Collaboration of hundreds of outdoor organizations to implement better practices in the supply chain- DRIVE CHANGE IN POLICY, SUSTAINABILITY AND OUTDOOR PARTICIPATION. Take advantage of networking events, education opportunities, research reports, case studies, business savings and brand recognition opportunities.</t>
  </si>
  <si>
    <t>Modern biotechnology provides breakthrough products and technologies to combat debilitating and rare diseases, reduce our environmental footprint, feed the hungry, use less and cleaner energy, and have safer, cleaner and more efficient industrial manufacturing processes. Biotechnology Innovation  Organization (BIO) represents more than 1,100 biotechnology companies, academic institutions, state biotechnology centers and related organizations across the United States and 30 other nations. BIO members are involved in the research and development of healthcare, agricultural, industrial and environmental biotechnology products. BIO’s mission is to advance the interests of the biotechnology industry before public policymakers; educate the media and public about the industry’s progress, contribute to quality of life, goals and positions; and to provide business development services to member companies.</t>
  </si>
  <si>
    <t>Biotechnology Innovation  Organization</t>
  </si>
  <si>
    <t>Reducing avaiation emissions- on the ground and in the sky. Advances in biofuel infrastructure and ground-based operations can help the aviation industry comply with strict emissions limits and save money on fuel, according to two new studies. One study, released by Boeing, Alaska Airlines and the Port of Seattle, identifies the best infrastructure options for delivering aviation biofuel to Seattle-Tacoma International Airport. The airport has set a goal to power every flight at Sea-Tac with sustainable aviation biofuel, which reduces carbon dioxide emissions by 50 to 80 percent compared to fossil fuel, and says it is among the first airports in North America to work with aviation, energy and research partners to evaluate all aspects to developing a commercial-scale program from scratch. Biofuels will be key to achieving the aviation industry’s pledge to cut CO2 emissions to 0.2 billion tons (GT) in 2050 — half the 2005 figure. Technology advances such as additive manufacturing — or 3D prining — can reduce a part’s “buy-to-fly” ratio by 90 percent, along with nanomaterials that allow for weight reduction and better performance</t>
  </si>
  <si>
    <t>Comply with strict emissions limits and save money on fuel. Cut carbon dioxide emissions</t>
  </si>
  <si>
    <t>Environmental Leader</t>
  </si>
  <si>
    <t xml:space="preserve"> Corn Refiners Association</t>
  </si>
  <si>
    <t> National trade association representing the corn refining (wet milling) industry of the United States. CRA and its predecessors have served this important segment of American agribusiness since 1913. Corn refiners manufacture sweeteners, ethanol, starch, bioproducts, corn oil and feed products from corn components suchas starch, oil, protein and fiber. </t>
  </si>
  <si>
    <t>Corn refiners manufactures bioproducts</t>
  </si>
  <si>
    <t>American Chemistry</t>
  </si>
  <si>
    <t>TMD Technologies Group Company- Go Green Bioproducts, LLC</t>
  </si>
  <si>
    <t>Manufacture of various high end bioproducts from waste sugars and the goal of making it possible for the beverage and food industries to become “zero discharge facilities.”</t>
  </si>
  <si>
    <t>TMD Technologies Group</t>
  </si>
  <si>
    <t>http://tmd-technologies.com/go-green-bioproducts.html</t>
  </si>
  <si>
    <t>Patagonia</t>
  </si>
  <si>
    <t>Patagonia uses fossil fuels to produce the shell of their coats, but they’re seeking out alternative energy sources to develop a more environmentally-friendly process. Being transparent about the fact that they are contributing to climate change, they support a variety of initiatives to reduce their carbon footprint and discover more sustainable ways to produce these high-quality products.The company donates 1% of sales to an Earth Tax, which supports environmental organizations around the world that take down dams, restore forests, protect endangered species, and promote sustainable agriculture practices. To date, they’ve donated $70 million to these initiatives. They’re also looking for ways to make their facilities more eco-friendly through LEED certifications and using renewable construction materials.  The Employee Drive Less Program provides monetary incentives to employees that car pool, take public transportation, walk, or use any mode of transportation besides driving alone. Employees can earn up to $500 per year through this program.</t>
  </si>
  <si>
    <t>working to reduce carbon footprint. Incentives for employees that choose transportation that is not driving alone</t>
  </si>
  <si>
    <t>Main Street Host</t>
  </si>
  <si>
    <t>https://www.mainstreethost.com/blog/eco-friendly-brands/</t>
  </si>
  <si>
    <t>Ikea</t>
  </si>
  <si>
    <t> IKEA utilizes a variety of renewable energy sources and waste management tactics to give back to our planet. Through their sustainability strategy called “People &amp; Planet Positive,” they believe that consumers shouldn’t have to choose between design, functionality, price, or sustainability when purchasing a product. Their product lines are not only manufactured through eco-friendly practices, but they encourage customers to live a more environmentally conscious lifestyle.  IKEA was the first major retailer to sell exclusively LED bulbs and lighting fixtures in their stores, and they utilize only these types of bulbs in their facilities. 90% of their buildings in the U.S. have solar panels installed, and they also own two wind farms in Texas and Illinois that generate 3-4 times the renewable energy needed to power these locations. To further offset CO2 emissions, they have planted 2.4 million trees in American forests and only send about 15% of waste to landfills.  But their efforts are truly just beginning. IKEA is working towards 100% renewable energy through their wind farms and solar panels as well as sourcing wood from more sustainable locations, and have spent over $1 billion on these initiatives.</t>
  </si>
  <si>
    <t>offsetting CO2 emissions</t>
  </si>
  <si>
    <t>The Hershey Company</t>
  </si>
  <si>
    <t>From their manufacturing and distribution centers to their hotel and amusement park in Hershey, PA, the company has sought out as many ways as possible to keep their sustainability efforts in check. By 2025, the company plans to reduce greenhouse gas emissions by 50%, achieve zero waste-to-landfill status at all facilities (there are currently 11 facilities at this status), and reach a 95% company-wide recycling rate. They also plan on transitioning to 100% certified cocoa by 2020, meaning the cocoa will be verified by independent auditors to ensure that it is grown in line with the highest labor, environmental, and farming standards. Expand use of electric vehicles and reduce emissions</t>
  </si>
  <si>
    <t>By 2025, the company plans to reduce greenhouse gas emissions by 50%</t>
  </si>
  <si>
    <t>Johnson &amp; Johnson</t>
  </si>
  <si>
    <t>Johnson &amp; Johnson’s sustainability plan is called Citizenship &amp; Sustainability 2020 Goals, which focuses on making both individual consumers and their homes healthier. Some of these goals include increasing recyclability of products and reducing carbon dioxide emissions by 20%- vehicle fleet &amp; facility emissions</t>
  </si>
  <si>
    <t> reducing carbon emissions by 20% by 2020</t>
  </si>
  <si>
    <t>Carbon Tracker</t>
  </si>
  <si>
    <t>measures oil and coal risk for investors. Highlights the discrepancy between the heavy investment required for oil and coal projects and the dwindling demand for fossil fuels</t>
  </si>
  <si>
    <t>The Guardian</t>
  </si>
  <si>
    <t>https://www.theguardian.com/sustainable-business/2015/apr/30/carbon-tracker-measures-oil-and-coal-risk-for-investors</t>
  </si>
  <si>
    <t>Wyke Farms</t>
  </si>
  <si>
    <t>Wyke Farms is redefining the dairy business and has become the first national cheddar brand to be 100% self-sufficient in solar and biogas energy. A new biogas plant nestling in fields in the Mendips is part of a £10m investment programme that has attracted international interest in this Somerset family business and brought it multiple awards.  It’s not only the first national cheddar maker to be self-sufficient in energy, it’s one of the first UK grocery brands and it’s saving over 22m kilos of CO2 a year. The biogas plant took five years to plan and build. It converts 75,000 tonnes of farm and diary waste each year – most of it cow manure and leftover whey – into energy to run the dairy. Biomethane gas is also exported to the grid, helping offset third-party suppliers’ energy usage. Some also heats nearby Bruton. The plant saved £2m in energy costs and over 5m kilos of CO2 in the last year.  It has three 4,600m3 anaerobic digesters and the organic fertiliser they produce saves local farmers more than £100k in artificial nitrogen. It also takes in waste from local food and drink businesses. The company has a target to be one of the most sustainable grocery suppliers in the sector, paying local farmers a sustainable price for their milk. A third phase of its investment project is already underway: it will generate more upgraded biogas to fuel HGV vehicles, including milk tankers, and increase solar energy tenfold by using other roofs and recovering heat from the rear of solar panels.</t>
  </si>
  <si>
    <t> The company has a target to be one of the most sustainable grocery suppliers in the sector. It will generate more upgraded biogas to fuel HGV vehicles</t>
  </si>
  <si>
    <t>https://www.theguardian.com/sustainable-business/2015/apr/30/cow-manure-powers-somersets-charismatic-cheese-makers</t>
  </si>
  <si>
    <t>GENeco</t>
  </si>
  <si>
    <t>GENeco has built a supply of enriched biomethane that joins the national gas distribution network, and secured finance from the renewable heat incentive (RHI) scheme at the Department of Energy and Climate Change (DECC). Extract energy in the form of biogas from a mix of food waste, commercial liquid waste and domestic sewage, which is then refined to the same composition as natural gas. As well as having the potential to provide enough biomethane to supply 8,300 homes with renewable fuel, the gas can be used as a substitute for petrol, for instance in the groundbreaking Bio-Bus.  It treats huge volumes of varied waste and turns it all into commercial products, diverting 100% of waste from landfill and providing renewable energy for nearly 150,000 homes. In 2013 the company was awarded zero-waste-to-landfill status and is carbon neutral. GENeco’s plant turns the biogas to biomethane (98% methane), producing a versatile and efficient biofuel that can be used as a substitute for natural gas. 20-30% fewer CO2 emissions. The Bio-Bug is the UK’s first VW Beetle powered by human waste. Find out more on how the waste of just 70 homes produces enough biogas to power the Bio-Bug for a year.</t>
  </si>
  <si>
    <t>GENeco’s plant turns the biogas to biomethane (98% methane), producing a versatile and efficient biofuel that can be used as a substitute for natural gas. GENeco’s goal is to recognise all forms of waste as a resource that can be transformed into usable and profitable products and services.</t>
  </si>
  <si>
    <t xml:space="preserve">Olleco </t>
  </si>
  <si>
    <t>Renewable energy business Olleco provides the UK food sector with a unique opportunity to run their fleets on the same oil in which they fry their chips, making CO2 savings of more than 95% compared to fossil fuels. The company collects used cooking oils, fats and food waste from 50,000 catering and hospitality businesses and takes it to its state-of-the-art recycling centre in Liverpool. There, the waste food is converted into renewable energy and heat, which in turn power a biodiesel plant, where used oils are transformed into high-quality fuel. Established in 2014, Olleco’s Liverpool-based recycling centre puts waste food into an anaerobic digester, where micro-organisms convert it into bio-methane gas, water and nutrient-rich compost. The biogas is then collected and burned in a special gas engine to produce renewable electricity.
This energy, combined with heat generated by the engine (which is often lost to the atmosphere at standard anaerobic digestion plants), are harnessed and channelled into the adjacent biodiesel plant, the largest of its kind in the UK. The compost is sold to local farmers, helping to reduce the need for synthetic fertilisers. At the biodiesel plant, oils and fats are carefully decanted from their packaging, with any plastic or tin containers sent for recycling. Next, they undergo a thorough cleaning process, where any moisture is removed and organic impurities are captured and directed to the anaerobic digester.
The oil is then chemically converted into biodiesel, creating two by-products: bio-heating oil and glycerol. Nothing goes to waste. The heating oil is used in the boilers and the glycerol is either processed with the food waste or sold to the cosmetics industry to create beauty products. Olleco recycles more than 100,000 tonnes of organic waste annually from its 50,000 customers, generating 1MWh of renewable heat and power, and producing 16m litres of biodiesel. Importantly, the biodiesel conforms with strict EU specifications and can be safely used by Olleco’s customers to power their vehicle fleets in all weather conditions. It saves customers around 95% of the CO2 emissions they would be responsible for if they were running their fleets on fossil fuels.</t>
  </si>
  <si>
    <t>Olleco is the only company in the country to have combined anaerobic digestion with biodiesel conversion in one place. It saves customers around 95% of the CO2 emissions they would be responsible for if they were running their fleets on fossil fuels. We produce and supply a range of renewable fuels from the organic feedstock’s we collect. Whether it’s biodiesel for vehicles or biofuels for CHP units, our renewable fuels meet our customer’s requirements all year around, helping them reduce their carbon footprint and costs efficiently.</t>
  </si>
  <si>
    <t>Kohlmar/ American GreenFuels</t>
  </si>
  <si>
    <t>Kolmar and its affiliates source and market petrochemical, petroleum and gas products, as well as renewable fuels on a global scale from more than 20 offices around the world. Biodiesel can be used in its pure form or blended with on-road petroleum diesel and heating oil. It can be blended into its petroleum fuel equivalent to any desired ratio. The American GreenFuels biodiesel plant is the largest biodiesel production plant in New England, and is steadily increasing production, as it has in each of the last four years. American GreenFuels can receive feedstock and ship out finished biodiesel by truck, rail, and ocean barge or vessel. American GreenFuels Is Proud To Have Earned The National Biodiesel Accreditation, BQ-9000® Producer. American GreenFuels purchases feedstock from suppliers in Connecticut and New York, throughout New England and the Eastern and Midwestern United States. American GreenFuels’ finished biodiesel is sold into the Northeast United States diesel fuel and heating oil markets, where bio-heat (a blend of biodiesel and heating oil) is a rapidly growing, renewable product.</t>
  </si>
  <si>
    <t>This accreditation ensures our facility and its product meet the ASTM D6751 standard for biodiesel and ensures effective systems in place for monitoring the quality of the biodiesel- sampling, testing, storage, retain samples, and shipping </t>
  </si>
  <si>
    <t>American Green Fuels</t>
  </si>
  <si>
    <t>https://americangreenfuels.com/</t>
  </si>
  <si>
    <t>Green Fuels</t>
  </si>
  <si>
    <t>The combination of our close partnerships with clients and unique tried and tested technology makes Green Fuels such a compelling proposition for organisations looking to generate biodiesel on-site. Green Fuels offer an outstanding range of benefits. As the world leader in community-scale biodiesel equipment manufacture, Green Fuels is ideally placed to help. How the FuelMatic works: The feedstock is heated, then measured into the reaction vessels  where methanol and methylate are accurately injected into the flow. Once the reaction is complete the mixture of crude biodiesel and crude glycerine is channelled through to the GSX separation unit where the two products are cleanly separated and the glycerine is discharged to storage. The crude biodiesel then passes through our purification process where any impurities are removed through an ion exchange process. Finally the residual methanol is recovered for reuse and the resulting biodiesel is automatically discharged to site storage.</t>
  </si>
  <si>
    <t>FuelMatic incorporates our innovative GSX patent-pending technology and our intelligent GFM operation system to allow the conversion a wide variety of feedstock oils into biodiesel.</t>
  </si>
  <si>
    <t>http://greenfuels.co.uk/why-green-fuels/benefits/</t>
  </si>
  <si>
    <t>The coalition’s main focus is on building the Higg Index, a standardized supply chain measurement tool for all industry participants to understand the environmental and social and labor impacts of making and selling their products and services. By measuring sustainability performance, the industry can address inefficiencies, resolve damaging practices, and achieve the environmental and social transparency that consumers are starting to demand. By joining forces in a Coalition, we can address the urgent, systemic challenges that are impossible to change alone.</t>
  </si>
  <si>
    <t>This process is designed to break down and recycle packaged products  from a wide variety of beverage and food products. This process completely eliminates waste discharge for these products, or any products  received and processed by Go Green Bioproducts. The  Go Green Concentrate (sugar) will then be converted into bio fuels, or any number of value added bioproducts for future use. The Go Green Bioproducts/Waste Energy process uses the Go Green Bioproducts destruction and liquids separation technology and the patented TMD Technologies, modular, continuous flow fermentation process to produce biofuels, or a wide range of high end bioproducts that will meet all commercial and regulatory specifications.  When fuel grade ethanol is the product, then  ethanol, bio-butanol  are the primary products for sale. When Simple sugars are used, the end product will be extra natural alcohol and alcohol products.  
The Go Green Bioproducts process does not leave any materials that must be disposed of, or discharged as a liquid, which manufactures  bioproducts from the  processes, manufacturing  high end value added products suitable for future use in a variety of circumstances and processes.</t>
  </si>
  <si>
    <t>This tool provides information useful to investors wanting to challenge conventional thinking about fossil fuels on the road to divestment. Carbon Tracker’s reports have sought to highlight the discrepancy between the heavy investment required for oil and coal projects and the dwindling demand for fossil fuels.  The Carbon Tracker Initiative (CTI) has created waves in the global debate on finance and climate change by launching two reports that allow investors to measure the risk associated with oil and coal investments. Known as the “carbon supply cost curves”, the reports provide investors with vital information to challenge investments in fossil fuels and begin the journey to divestment. CTI set out to transform communications between investors and fossil fuel companies. It bridged the divide by interpreting climate risks in readily accessible financial language, enabling investors to enter the debate equipped to discuss returns and carbon.  The centrepiece of the analyses is the “carbon supply cost curve” concept- take the classic supply curve (which typically shows production against time using different break-even prices), and draw on the same model to pinpoint how much CO2 is likely to be produced by projects at different break-even prices. Adopting a well-respected financial tool to demonstrate risk, used by analysts and energy policy experts alike, also boosted the credibility of the concept.
 CTI discovered that many projects make neither economic nor climate sense, while unconventional oil projects such as tar sands and deepwater projects present the greatest levels of financial and environmental risk. It identified $1.1tn (£740,321bn) of potential capital expenditure on oil projects up to 2025 that may be cancelled, as efforts to keep global warming below two degrees continue. Similarly, its coal report suggests that $112bn of future coal mine expansion and development may be excess to requirements due to lower demand forecasts.    Analysts, asset owners, investors and financial regulators can scrutinise investments and push companies to diversify portfolios away from fossil fuels and high risk, carbon-intensive projects, and adopt a more progressive approach to managing climate risks. CTI’s oil and coal analyses can be used by any industry and address the entire global energy and financial system.  Importantly, CTI’s oil and coal analyses are at the centre of multiple divestment and engagement initiatives worldwide. Stanford University divested from coal in May 2014, while the Rockefeller Foundation has also committed to divesting $50bn from fossil fuel investments, targeting coal and tar sands assets.</t>
  </si>
  <si>
    <t>Olleco</t>
  </si>
  <si>
    <t>https://www.olleco.co.uk/green-fuels</t>
  </si>
  <si>
    <t>http://www.geneco.uk.com/</t>
  </si>
  <si>
    <t>Promote international trade by reducing or eliminating trade barriers such as tariffs or quotas</t>
  </si>
  <si>
    <t>Reduce trade barriers</t>
  </si>
  <si>
    <t>World Trade Organization</t>
  </si>
  <si>
    <t>https://www.wto.org/english/docs_e/legal_e/06-gatt_e.htm</t>
  </si>
  <si>
    <t>cover goods, services and intellectual property. They spell out the principles of liberalization, and the permitted exceptions. They include individual countries' commitments to lower customs tariffs and other trade barriers, and to open and keep open services markets. They set procedures for settling disputes. They prescribe special treatment for developing countries. They require governments to make their trade policies transparent by notifying the WTO about laws in force and measures adopted, and through regular reports by the secretariat on countries’ trade policies.</t>
  </si>
  <si>
    <t>lower customs tariffs and other trade barriers</t>
  </si>
  <si>
    <t>https://www.wto.org/english/thewto_e/whatis_e/tif_e/agrm1_e.htm</t>
  </si>
  <si>
    <t>The Everything But Arms scheme grants full duty free and quota free access to the EU Single Market for all products (except arms and armaments). A country is being granted EBA status if it is listed as a Least Developed Country (LDC) by the UN Committee for Development Policy. Countries do not need to apply to benefit from EBA, they are added or removed to relevant list through a delegated regulation. EBA preferences can be withdrawn in case of some exceptional circumstances, notably in case of serious and systematic violation of principles laid down in fundamental human rights and labour rights conventions (see article 19 of Regulation (978/2012). Unlike under the Standard GSP, countries do not lose EBA status by entering into a Free Trade Agreement with the EU. A 'graduation mechanism' for products also does not apply. The EBA as established by the current Regulation (978/2012) has no expiry date.</t>
  </si>
  <si>
    <t xml:space="preserve"> granting full duty free and quota free access to the EU Single Market for all products (except arms and armaments).</t>
  </si>
  <si>
    <t>European Commission</t>
  </si>
  <si>
    <t>http://trade.ec.europa.eu/tradehelp/everything-arms</t>
  </si>
  <si>
    <t>the most comprehensive partnership agreement between developing countries and the EU. Since 2000, it has been the framework for EU's relations with 79 countries from Africa, the Caribbean and the Pacific (ACP). In 2010, ACP-EU cooperation has been adapted to new challenges such as climate change, food security, regional integration, State fragility and aid effectiveness. The fundamental principles of the Cotonou Agreement include equality of partners, global participation (States and non-state actors), dialogue and regionalisation. The Agreement entered into force in April 2003 and has been revised in 2005 and 2010 in accordance with the revision clause to re-examine the Agreement every five years. The Cotonou Agreement was designed to establish a comprehensive partnership with 3 pillars: Development cooperation, Political cooperation, &amp; Economic and trade cooperation (for the period 2000-2007)</t>
  </si>
  <si>
    <t>equality of partners, global participation (States and non-state actors), dialogue and regionalisation.</t>
  </si>
  <si>
    <t>European Commission- INTERNATIONAL COOPERATION AND DEVELOPMENT</t>
  </si>
  <si>
    <t>https://ec.europa.eu/europeaid/regions/african-caribbean-and-pacific-acp-region/cotonou-agreement_en</t>
  </si>
  <si>
    <t>CBI is intended to facilitate the development of stable Caribbean Basin economies by providing beneficiary countries with duty-free access to the U.S. market for most goods. Vital element in the United States’ economic relations with its neighbors in Central America and the Caribbean. The CBI is intended to facilitate the economic development and export diversification of the Caribbean Basin economies</t>
  </si>
  <si>
    <t>providing beneficiary countries with duty-free access to the U.S. market for most goods.</t>
  </si>
  <si>
    <t>Office of the United States Trade Representative</t>
  </si>
  <si>
    <t>https://ustr.gov/issue-areas/trade-development/preference-programs/caribbean-basin-initiative-cbi</t>
  </si>
  <si>
    <t>BASF contributes to soil protection in China with biodegradable mulch films made from ecovio. superior performance of ecovio® biodegradable mulch film applications in corn, tomato and potato fields, as well as the achievement in cotton fields as another milestone. ecovio® biodegradable mulch film has demonstrated its excellent mechanical properties, insulation and water retaining properties, and the good resistance to UV radiation, at the same time contributing to equal yield with no pollution of soil compared to conventional PE films.</t>
  </si>
  <si>
    <t>soil protection</t>
  </si>
  <si>
    <t>BASF China</t>
  </si>
  <si>
    <t>https://www.basf.com/cn/en/company/news-and-media/news-releases/cn/2015/08/ecovio.html</t>
  </si>
  <si>
    <t>Govt Plans U.S.$50 Billion for Local Biofuels Production. Funds would be provided under the Biofuels Equity Investment Fund, BIEF, as envisaged by the proposed Nigerian Bio-Fuel Policy and Incentives document.</t>
  </si>
  <si>
    <t>money for local biofuels production</t>
  </si>
  <si>
    <t>All Africa</t>
  </si>
  <si>
    <t>National Policy on Biofuels – 2018- India</t>
  </si>
  <si>
    <t>Expands scope of raw material for ethanol production by allowing use of Sugarcane Juice, Sugar containing materials like Sugar Beet, Sweet Sorghum, Starch containing materials like Corn, Cassava, Damaged food grains like wheat, broken rice, Rotten Potatoes, unfit for human consumption for ethanol production.  Allows use of surplus food grains for production of ethanol for blending with petrol with the approval of National Biofuel Coordination Committee. Encourages setting up of supply chain mechanisms for biodiesel production from non-edible oilseeds, Used Cooking Oil, short gestation crops. Benefits- Reduce Import Dependency (One crore lit of E10 saves Rs.28 crore of forex at current rates. The ethanol supply year 2017-18 is likely to see a supply of around 150 crore litres of ethanol which will result in savings of over Rs.4000 crore of forex.)  Cleaner Environment: One crore lit of E-10 saves around 20,000 ton of CO2 emissions- By reducing crop burning &amp; conversion of agricultural residues/wastes to biofuels there will be further reduction in Green House Gas emissions.Health benefits- Used Cooking Oil is a potential feedstock for biodiesel and its use for making biodiesel will prevent diversion of used cooking oil in the food industry. MSW Management: There are technologies available which can convert waste/plastic, MSW to drop in fuels. One ton of such waste has the potential to provide around 20% of drop in fuels. Infrastructural Investment in Rural Areas: It is estimated that, one 100klpd bio refinery will require around Rs.800 crore capital investment. At present Oil Marketing Companies are in the process of setting up twelve 2G bio refineries with an investment of around Rs.10,000 crore. Further addition of 2G bio refineries across the Country will spur infrastructural investment in the rural areas. Employment Generation: One 100klpd 2G bio refinery can contribute 1200 jobs in Plant Operations, Village Level Entrepreneurs and Supply Chain Management. Additional Income to Farmers: By adopting 2G technologies, agricultural residues/waste which otherwise are burnt by the farmers can be converted to ethanol and can fetch a price for these waste if a market is developed for the same. Also, farmers are at a risk of not getting appropriate price for their produce during the surplus production phase. Thus conversion of surplus grains and agricultural biomass can help in price stabilization.</t>
  </si>
  <si>
    <t>reduce import dependency and stabilize prices</t>
  </si>
  <si>
    <t>Press Information Bureau - Government of India-  Cabinet</t>
  </si>
  <si>
    <t>http://pib.nic.in/newsite/PrintRelease.aspx?relid=179313</t>
  </si>
  <si>
    <t>National Biodiesel Board</t>
  </si>
  <si>
    <t>US biodiesel industry files antidumping and countervailing duties on biodiesel imports from Indonesia &amp; Argentina to level the playing field for domestic producers.</t>
  </si>
  <si>
    <t>antidumping and countervailing duties on biodiesel from Indonesia and Argentina</t>
  </si>
  <si>
    <t>http://nbb.org/about-us/history-of-biodiesel-nbb</t>
  </si>
  <si>
    <t>Betulium</t>
  </si>
  <si>
    <t>Betulium Oy is a Finnish clean-tech company established in 2013. Betulium provides renewable, biodegradable, and high-performance water-based cellulose materials to replace or supplement synthetic organic polymers in a vast number of industrial applications. The company manages versatile production premises and application laboratories in Espoo, Finland and currently employs cutting-edge professionals in the field of material science with valuable experience in entrepreneurship, business development, and international business.</t>
  </si>
  <si>
    <t>Replacing or supplementing synthetic organic polymers in a vast number of industrial applications.</t>
  </si>
  <si>
    <t>http://betulium.com/</t>
  </si>
  <si>
    <t>Biosafe Biological Safety Solutions</t>
  </si>
  <si>
    <t>Biosafe Biological Safety Solutions offers biotechnological laboratory analyses to assure the safety of products made from different materials.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 The results examined in a way corresponding with the actual also present any possible interactions of different substances. Samples can be produced and everyday exposure of users or consumers.</t>
  </si>
  <si>
    <t xml:space="preserve">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t>
  </si>
  <si>
    <t>Biosafe</t>
  </si>
  <si>
    <t>http://www.biosafe.fi/en/</t>
  </si>
  <si>
    <t>CHOICE Finland</t>
  </si>
  <si>
    <t>CHOICE Finland develops innovative, high quality natural skin care line loved by the consumers. All products are 100% clean and natural, no harmful chemicals or synthetic fragrances. CHOICE Finland’s innovative product design respects the values of the nature, from the product itself to the packaging choices. </t>
  </si>
  <si>
    <t>innovative bioproducts</t>
  </si>
  <si>
    <t>https://choicefinland.com/</t>
  </si>
  <si>
    <t>Retrieved February 2017
Retrieved August 2018</t>
  </si>
  <si>
    <t>Agriculture: total methane emissions (million metric tons of CO2)</t>
  </si>
  <si>
    <t>Retrieved August 2018</t>
  </si>
  <si>
    <t>https://www3.epa.gov/climatechange/ghgemissions/inventoryexplorer/index.html#iallsectors/methane/inventsect/all</t>
  </si>
  <si>
    <t>Waste: total methane emissions (million metric tons of CO2)</t>
  </si>
  <si>
    <t>US</t>
  </si>
  <si>
    <t xml:space="preserve">
USDA</t>
  </si>
  <si>
    <t>https://www.biopreferred.gov/BioPreferred/faces/pages/AboutBioPreferred.xhtml
https://www.biopreferred.gov/BioPreferred/faces/pages/FAQs.xhtml</t>
  </si>
  <si>
    <t>https://www.biopreferred.gov/BioPreferred/faces/pages/AboutBioPreferred.xhtml</t>
  </si>
  <si>
    <r>
      <rPr>
        <sz val="11"/>
        <rFont val="Calibri"/>
        <family val="2"/>
        <scheme val="minor"/>
      </rPr>
      <t>[2014]</t>
    </r>
    <r>
      <rPr>
        <u/>
        <sz val="11"/>
        <color theme="10"/>
        <rFont val="Calibri"/>
        <family val="2"/>
        <scheme val="minor"/>
      </rPr>
      <t xml:space="preserve"> https://www.biopreferred.gov/BPResources/files/BiobasedProductsEconomicAnalysis2016.pdf
</t>
    </r>
    <r>
      <rPr>
        <sz val="11"/>
        <rFont val="Calibri"/>
        <family val="2"/>
        <scheme val="minor"/>
      </rPr>
      <t>[2015] https://www.biopreferred.gov/BioPreferred/faces/pages/AboutBioPreferred.xhtml</t>
    </r>
  </si>
  <si>
    <t>Golden et al.
USDA</t>
  </si>
  <si>
    <t>Wood fuel (million tonnes)</t>
  </si>
  <si>
    <t>Wood residues ( mililon m3)</t>
  </si>
  <si>
    <t>Roundwood  (million m3)</t>
  </si>
  <si>
    <t>Wood pellets (million tonnes)</t>
  </si>
  <si>
    <t>Sawnwood (million m3)</t>
  </si>
  <si>
    <t>Wood-based panels (million m3)</t>
  </si>
  <si>
    <t>Wood pulp (million tonnes)</t>
  </si>
  <si>
    <t>Paper (million tonnes)</t>
  </si>
  <si>
    <t>Imports  (billion dollars)</t>
  </si>
  <si>
    <t>Other fiber pulp (million tonnes)</t>
  </si>
  <si>
    <r>
      <rPr>
        <sz val="11"/>
        <rFont val="Calibri"/>
        <family val="2"/>
        <scheme val="minor"/>
      </rPr>
      <t xml:space="preserve">[2010] </t>
    </r>
    <r>
      <rPr>
        <u/>
        <sz val="11"/>
        <color theme="10"/>
        <rFont val="Calibri"/>
        <family val="2"/>
        <scheme val="minor"/>
      </rPr>
      <t xml:space="preserve">https://pubs.usgs.gov/circ/1405/pdf/circ1405.pdf
</t>
    </r>
    <r>
      <rPr>
        <sz val="11"/>
        <rFont val="Calibri"/>
        <family val="2"/>
        <scheme val="minor"/>
      </rPr>
      <t xml:space="preserve">[2015] </t>
    </r>
    <r>
      <rPr>
        <u/>
        <sz val="11"/>
        <color theme="10"/>
        <rFont val="Calibri"/>
        <family val="2"/>
        <scheme val="minor"/>
      </rPr>
      <t>https://pubs.usgs.gov/circ/1441/circ1441.pdf</t>
    </r>
  </si>
  <si>
    <t>Retrieved June 2018
Retrieved October 2018</t>
  </si>
  <si>
    <t>Retrieved October 2018</t>
  </si>
  <si>
    <t>Crude oil (dollar per barrel)</t>
  </si>
  <si>
    <t xml:space="preserve">PESTICIDES </t>
  </si>
  <si>
    <t>Herbicide applied to Planted acres of corn (% of planted acres)</t>
  </si>
  <si>
    <t>Retrieved November 2018</t>
  </si>
  <si>
    <t>Herbicide applied to Planted acres of cotton (% of planted acres)</t>
  </si>
  <si>
    <t>Herbicide applied to Planted acres of soybeans (% of planted acres)</t>
  </si>
  <si>
    <t>Herbicide applied to Planted acres of wheat (% of planted acres)</t>
  </si>
  <si>
    <t>Insecticide applied to Planted acres of corn (% of planted acres)</t>
  </si>
  <si>
    <t>Insecticide applied to Planted acres of cotton (% of planted acres)</t>
  </si>
  <si>
    <t>Insecticide applied to Planted acres of soybeans (% of planted acres)</t>
  </si>
  <si>
    <t>Insecticide applied to Planted acres of wheat (% of planted acres)</t>
  </si>
  <si>
    <t>Fungicide applied to Planted acres of corn (% of planted acres)</t>
  </si>
  <si>
    <t>Fungicide applied to Planted acres of cotton (% of planted acres)</t>
  </si>
  <si>
    <t>Fungicide applied to Planted acres of soybeans (% of planted acres)</t>
  </si>
  <si>
    <t>Fungicide applied to Planted acres of wheat (% of planted acres)</t>
  </si>
  <si>
    <t>Other pesticides  applied to Planted acres of corn (% of planted acres)</t>
  </si>
  <si>
    <t>Other pesticides  applied to Planted acres of cotton (% of planted acres)</t>
  </si>
  <si>
    <t>Other pesticides  applied to Planted acres of soybeans (% of planted acres)</t>
  </si>
  <si>
    <t>Other pesticides applied to Planted acres of wheat (% of planted acres)</t>
  </si>
  <si>
    <t>https://www.nass.usda.gov/Surveys/Guide_to_NASS_Surveys/Chemical_Use/2016_Corn_Potatoes/ChemUseHighlights_Corn_2016.pdf</t>
  </si>
  <si>
    <t>https://www.nass.usda.gov/Surveys/Guide_to_NASS_Surveys/Chemical_Use/2017_Cotton_Soybeans_Wheat_Highlight/ChemUseHighlights_Cotton_2017.pdf</t>
  </si>
  <si>
    <t>https://www.nass.usda.gov/Surveys/Guide_to_NASS_Surveys/Chemical_Use/2017_Cotton_Soybeans_Wheat_Highlight/ChemUseHighlights_Soybeans_2017.pdf</t>
  </si>
  <si>
    <t>https://www.nass.usda.gov/Surveys/Guide_to_NASS_Surveys/Chemical_Use/2017_Cotton_Soybeans_Wheat_Highlight/ChemUseHighlights_Wheat_2017.pdf</t>
  </si>
  <si>
    <t>Corn into Biofuels</t>
  </si>
  <si>
    <t xml:space="preserve">WHEAT </t>
  </si>
  <si>
    <t>Direct Value of All wheat Grown in the United States (billion dollars)</t>
  </si>
  <si>
    <t>High Fructose wheat Syrup</t>
  </si>
  <si>
    <t>BARLEY</t>
  </si>
  <si>
    <t>Direct Value of All Barley Grown in the United States (billion dollars)</t>
  </si>
  <si>
    <t>SORGHUM</t>
  </si>
  <si>
    <t>Direct Value of All Sorghum Grown in the United States (billion dollars)</t>
  </si>
  <si>
    <t>Soy into Biofuels</t>
  </si>
  <si>
    <t>COTTON</t>
  </si>
  <si>
    <t>Average Cotton Price (dollar per metric tons)</t>
  </si>
  <si>
    <t>PEANUTS</t>
  </si>
  <si>
    <t>Average Peanuts Price (dollar per metric tons)</t>
  </si>
  <si>
    <t>SUNFLOWERS</t>
  </si>
  <si>
    <t>Retrieved April 2018
1 cwt = 0.0508023 metric ton</t>
  </si>
  <si>
    <t>CANOLA</t>
  </si>
  <si>
    <t>Canola into Biofuels</t>
  </si>
  <si>
    <t>Average Canola Price (dollar per metric tons)</t>
  </si>
  <si>
    <t>Average Sunflowers Price (dollar per metric tons)</t>
  </si>
  <si>
    <t>Wheat</t>
  </si>
  <si>
    <t>Barley</t>
  </si>
  <si>
    <t>Sorghum</t>
  </si>
  <si>
    <t>Cotton</t>
  </si>
  <si>
    <t>Peanuts</t>
  </si>
  <si>
    <t>Sunflowers</t>
  </si>
  <si>
    <t>Canola</t>
  </si>
  <si>
    <t>Biofuels</t>
  </si>
  <si>
    <t>Bioproducts</t>
  </si>
  <si>
    <t>State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</si>
</sst>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0.0%"/>
  </numFmts>
  <fonts count="56" x14ac:knownFonts="1">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sz val="12"/>
      <color rgb="FF000000"/>
      <name val="Calibri"/>
      <family val="2"/>
      <scheme val="minor"/>
    </font>
    <font>
      <sz val="11"/>
      <color rgb="FF7F7F7F"/>
      <name val="Calibri"/>
      <family val="2"/>
      <scheme val="minor"/>
    </font>
    <font>
      <sz val="11"/>
      <color rgb="FF548DD4"/>
      <name val="Calibri"/>
      <family val="2"/>
      <scheme val="minor"/>
    </font>
    <font>
      <u/>
      <sz val="11"/>
      <color theme="11"/>
      <name val="Calibri"/>
      <family val="2"/>
      <scheme val="minor"/>
    </font>
    <font>
      <sz val="11"/>
      <color rgb="FF333333"/>
      <name val="Calibri"/>
      <family val="2"/>
      <scheme val="minor"/>
    </font>
    <font>
      <sz val="11"/>
      <color rgb="FFFF0000"/>
      <name val="Calibri"/>
      <family val="2"/>
      <scheme val="minor"/>
    </font>
    <font>
      <sz val="11"/>
      <name val="Calibri"/>
      <family val="2"/>
      <scheme val="minor"/>
    </font>
    <font>
      <sz val="11"/>
      <name val="Arial"/>
      <family val="2"/>
    </font>
    <font>
      <sz val="11"/>
      <name val="PT Sans"/>
      <charset val="204"/>
    </font>
    <font>
      <sz val="14"/>
      <color rgb="FF444444"/>
      <name val="PT Sans"/>
      <charset val="204"/>
    </font>
    <font>
      <b/>
      <sz val="14"/>
      <color rgb="FF444444"/>
      <name val="PT Sans"/>
      <charset val="204"/>
    </font>
    <font>
      <sz val="11"/>
      <name val="Calibri"/>
      <family val="2"/>
      <scheme val="minor"/>
    </font>
    <font>
      <sz val="11"/>
      <color theme="1"/>
      <name val="Calibri"/>
      <family val="2"/>
      <scheme val="minor"/>
    </font>
    <font>
      <sz val="9"/>
      <color indexed="81"/>
      <name val="Tahoma"/>
      <family val="2"/>
    </font>
    <font>
      <b/>
      <sz val="9"/>
      <color indexed="81"/>
      <name val="Tahoma"/>
      <family val="2"/>
    </font>
    <font>
      <sz val="12"/>
      <name val="Arial"/>
      <family val="2"/>
    </font>
    <font>
      <sz val="10"/>
      <name val="Arial"/>
      <family val="2"/>
    </font>
    <font>
      <b/>
      <sz val="11"/>
      <name val="Calibri"/>
      <family val="2"/>
      <scheme val="minor"/>
    </font>
    <font>
      <sz val="12"/>
      <name val="Calibri"/>
      <family val="2"/>
      <scheme val="minor"/>
    </font>
    <font>
      <sz val="12"/>
      <color theme="1"/>
      <name val="Arial"/>
      <family val="2"/>
    </font>
    <font>
      <b/>
      <sz val="16"/>
      <color theme="1"/>
      <name val="Arial"/>
      <family val="2"/>
    </font>
    <font>
      <b/>
      <sz val="14"/>
      <color theme="0"/>
      <name val="Arial"/>
      <family val="2"/>
    </font>
    <font>
      <u/>
      <sz val="12"/>
      <color theme="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color theme="10"/>
      <name val="Calibri"/>
      <family val="2"/>
      <scheme val="minor"/>
    </font>
    <font>
      <sz val="11"/>
      <color theme="0"/>
      <name val="Calibri"/>
      <family val="2"/>
      <scheme val="minor"/>
    </font>
    <font>
      <sz val="8"/>
      <color rgb="FF7F7F7F"/>
      <name val="Calibri"/>
      <family val="2"/>
      <scheme val="minor"/>
    </font>
    <font>
      <sz val="9"/>
      <color theme="1"/>
      <name val="Times New Roman"/>
      <family val="1"/>
    </font>
    <font>
      <sz val="11"/>
      <color theme="1"/>
      <name val="Arial"/>
      <family val="2"/>
    </font>
    <font>
      <b/>
      <sz val="10"/>
      <color theme="1"/>
      <name val="Arial"/>
      <family val="2"/>
    </font>
    <font>
      <sz val="10"/>
      <color theme="1"/>
      <name val="Arial"/>
      <family val="2"/>
    </font>
    <font>
      <sz val="10"/>
      <name val="Arial"/>
      <family val="2"/>
    </font>
    <font>
      <u/>
      <sz val="10"/>
      <color indexed="12"/>
      <name val="Arial"/>
      <family val="2"/>
    </font>
  </fonts>
  <fills count="28">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FFFFFF"/>
        <bgColor indexed="64"/>
      </patternFill>
    </fill>
    <fill>
      <patternFill patternType="solid">
        <fgColor rgb="FF7F7F7F"/>
        <bgColor indexed="64"/>
      </patternFill>
    </fill>
    <fill>
      <patternFill patternType="solid">
        <fgColor theme="0" tint="-0.34998626667073579"/>
        <bgColor indexed="64"/>
      </patternFill>
    </fill>
    <fill>
      <patternFill patternType="solid">
        <fgColor rgb="FFC00000"/>
        <bgColor indexed="64"/>
      </patternFill>
    </fill>
    <fill>
      <patternFill patternType="solid">
        <fgColor rgb="FF08306C"/>
        <bgColor indexed="64"/>
      </patternFill>
    </fill>
    <fill>
      <patternFill patternType="solid">
        <fgColor rgb="FF00441B"/>
        <bgColor indexed="64"/>
      </patternFill>
    </fill>
    <fill>
      <patternFill patternType="solid">
        <fgColor rgb="FF99340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theme="0"/>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4">
    <xf numFmtId="0" fontId="0" fillId="0" borderId="0"/>
    <xf numFmtId="0" fontId="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xf numFmtId="0" fontId="22" fillId="0" borderId="0"/>
    <xf numFmtId="0" fontId="23" fillId="0" borderId="0"/>
    <xf numFmtId="0" fontId="23" fillId="0" borderId="0"/>
    <xf numFmtId="43" fontId="23" fillId="0" borderId="0" applyFont="0" applyFill="0" applyBorder="0" applyAlignment="0" applyProtection="0"/>
    <xf numFmtId="9" fontId="19" fillId="0" borderId="0" applyFont="0" applyFill="0" applyBorder="0" applyAlignment="0" applyProtection="0"/>
    <xf numFmtId="0" fontId="22" fillId="0" borderId="0"/>
    <xf numFmtId="0" fontId="22" fillId="0" borderId="0"/>
    <xf numFmtId="0" fontId="23" fillId="0" borderId="0"/>
    <xf numFmtId="0" fontId="19" fillId="0" borderId="0"/>
    <xf numFmtId="9" fontId="19" fillId="0" borderId="0" applyFont="0" applyFill="0" applyBorder="0" applyAlignment="0" applyProtection="0"/>
    <xf numFmtId="0" fontId="23" fillId="0" borderId="0"/>
    <xf numFmtId="43" fontId="19" fillId="0" borderId="0" applyFont="0" applyFill="0" applyBorder="0" applyAlignment="0" applyProtection="0"/>
    <xf numFmtId="0" fontId="23" fillId="0" borderId="0"/>
    <xf numFmtId="0" fontId="19" fillId="0" borderId="0"/>
    <xf numFmtId="0" fontId="31" fillId="11" borderId="0" applyNumberFormat="0" applyBorder="0" applyAlignment="0" applyProtection="0"/>
    <xf numFmtId="0" fontId="31"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3" borderId="0" applyNumberFormat="0" applyBorder="0" applyAlignment="0" applyProtection="0"/>
    <xf numFmtId="0" fontId="31" fillId="15" borderId="0" applyNumberFormat="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5" borderId="0" applyNumberFormat="0" applyBorder="0" applyAlignment="0" applyProtection="0"/>
    <xf numFmtId="0" fontId="31" fillId="13" borderId="0" applyNumberFormat="0" applyBorder="0" applyAlignment="0" applyProtection="0"/>
    <xf numFmtId="0" fontId="32" fillId="15"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17" borderId="0" applyNumberFormat="0" applyBorder="0" applyAlignment="0" applyProtection="0"/>
    <xf numFmtId="0" fontId="32" fillId="15" borderId="0" applyNumberFormat="0" applyBorder="0" applyAlignment="0" applyProtection="0"/>
    <xf numFmtId="0" fontId="32" fillId="12" borderId="0" applyNumberFormat="0" applyBorder="0" applyAlignment="0" applyProtection="0"/>
    <xf numFmtId="0" fontId="32" fillId="20"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3" fillId="24" borderId="0" applyNumberFormat="0" applyBorder="0" applyAlignment="0" applyProtection="0"/>
    <xf numFmtId="0" fontId="34" fillId="25" borderId="18" applyNumberFormat="0" applyAlignment="0" applyProtection="0"/>
    <xf numFmtId="0" fontId="35" fillId="26" borderId="19" applyNumberFormat="0" applyAlignment="0" applyProtection="0"/>
    <xf numFmtId="0" fontId="36" fillId="0" borderId="0" applyNumberFormat="0" applyFill="0" applyBorder="0" applyAlignment="0" applyProtection="0"/>
    <xf numFmtId="0" fontId="37" fillId="15" borderId="0" applyNumberFormat="0" applyBorder="0" applyAlignment="0" applyProtection="0"/>
    <xf numFmtId="0" fontId="38" fillId="0" borderId="20" applyNumberFormat="0" applyFill="0" applyAlignment="0" applyProtection="0"/>
    <xf numFmtId="0" fontId="39" fillId="0" borderId="21" applyNumberFormat="0" applyFill="0" applyAlignment="0" applyProtection="0"/>
    <xf numFmtId="0" fontId="40" fillId="0" borderId="22" applyNumberFormat="0" applyFill="0" applyAlignment="0" applyProtection="0"/>
    <xf numFmtId="0" fontId="40" fillId="0" borderId="0" applyNumberFormat="0" applyFill="0" applyBorder="0" applyAlignment="0" applyProtection="0"/>
    <xf numFmtId="0" fontId="41" fillId="16" borderId="18" applyNumberFormat="0" applyAlignment="0" applyProtection="0"/>
    <xf numFmtId="0" fontId="42" fillId="0" borderId="23" applyNumberFormat="0" applyFill="0" applyAlignment="0" applyProtection="0"/>
    <xf numFmtId="0" fontId="43" fillId="16" borderId="0" applyNumberFormat="0" applyBorder="0" applyAlignment="0" applyProtection="0"/>
    <xf numFmtId="0" fontId="23" fillId="13" borderId="24" applyNumberFormat="0" applyFont="0" applyAlignment="0" applyProtection="0"/>
    <xf numFmtId="0" fontId="44" fillId="25" borderId="25" applyNumberFormat="0" applyAlignment="0" applyProtection="0"/>
    <xf numFmtId="0" fontId="45" fillId="0" borderId="0" applyNumberFormat="0" applyFill="0" applyBorder="0" applyAlignment="0" applyProtection="0"/>
    <xf numFmtId="0" fontId="46" fillId="0" borderId="26" applyNumberFormat="0" applyFill="0" applyAlignment="0" applyProtection="0"/>
    <xf numFmtId="0" fontId="42" fillId="0" borderId="0" applyNumberFormat="0" applyFill="0" applyBorder="0" applyAlignment="0" applyProtection="0"/>
    <xf numFmtId="9" fontId="19" fillId="0" borderId="0" applyFont="0" applyFill="0" applyBorder="0" applyAlignment="0" applyProtection="0"/>
    <xf numFmtId="0" fontId="54" fillId="0" borderId="0"/>
    <xf numFmtId="0" fontId="55" fillId="0" borderId="0" applyNumberFormat="0" applyFill="0" applyBorder="0" applyAlignment="0" applyProtection="0">
      <alignment vertical="top"/>
      <protection locked="0"/>
    </xf>
  </cellStyleXfs>
  <cellXfs count="396">
    <xf numFmtId="0" fontId="0" fillId="0" borderId="0" xfId="0"/>
    <xf numFmtId="0" fontId="1" fillId="0" borderId="0" xfId="0" applyFont="1"/>
    <xf numFmtId="0" fontId="0" fillId="0" borderId="1" xfId="0" applyBorder="1"/>
    <xf numFmtId="0" fontId="3" fillId="0" borderId="1" xfId="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1" fillId="0" borderId="3" xfId="0" applyFont="1" applyBorder="1" applyAlignment="1">
      <alignment horizontal="center" vertical="center"/>
    </xf>
    <xf numFmtId="2" fontId="0" fillId="0" borderId="0" xfId="0" applyNumberFormat="1"/>
    <xf numFmtId="0" fontId="0" fillId="0" borderId="1"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center" vertical="center" wrapText="1"/>
    </xf>
    <xf numFmtId="0" fontId="4" fillId="0" borderId="1" xfId="0" applyFont="1" applyBorder="1"/>
    <xf numFmtId="0" fontId="3" fillId="0" borderId="1" xfId="1" applyFill="1" applyBorder="1" applyAlignment="1">
      <alignment wrapText="1"/>
    </xf>
    <xf numFmtId="0" fontId="4" fillId="0" borderId="0" xfId="0" applyFont="1"/>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left"/>
    </xf>
    <xf numFmtId="0" fontId="4" fillId="0" borderId="3" xfId="0" applyFont="1" applyBorder="1"/>
    <xf numFmtId="0" fontId="4" fillId="0" borderId="0" xfId="0" applyFont="1" applyAlignment="1">
      <alignment horizontal="center" vertical="center"/>
    </xf>
    <xf numFmtId="0" fontId="0" fillId="0" borderId="5" xfId="0" applyBorder="1"/>
    <xf numFmtId="0" fontId="4" fillId="0" borderId="8" xfId="0" applyFont="1" applyBorder="1"/>
    <xf numFmtId="0" fontId="4" fillId="0" borderId="5" xfId="0" applyFont="1" applyBorder="1"/>
    <xf numFmtId="164" fontId="0" fillId="0" borderId="0" xfId="0" applyNumberFormat="1"/>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0" fillId="0" borderId="0" xfId="0" applyAlignment="1">
      <alignment vertical="top"/>
    </xf>
    <xf numFmtId="0" fontId="0" fillId="0" borderId="0" xfId="0" applyAlignment="1">
      <alignment vertical="center"/>
    </xf>
    <xf numFmtId="0" fontId="1" fillId="0" borderId="0" xfId="0" applyFont="1" applyAlignment="1">
      <alignment horizontal="center" vertical="center"/>
    </xf>
    <xf numFmtId="0" fontId="1" fillId="0" borderId="3" xfId="0" applyFont="1" applyBorder="1" applyAlignment="1">
      <alignment horizontal="center" vertical="center" wrapText="1"/>
    </xf>
    <xf numFmtId="0" fontId="0" fillId="0" borderId="1" xfId="0" applyBorder="1" applyAlignment="1">
      <alignment horizontal="left"/>
    </xf>
    <xf numFmtId="0" fontId="1" fillId="0" borderId="6" xfId="0" applyFont="1" applyBorder="1" applyAlignment="1">
      <alignment horizontal="center" vertical="center"/>
    </xf>
    <xf numFmtId="0" fontId="0" fillId="0" borderId="0" xfId="0" applyAlignment="1">
      <alignment horizont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0" xfId="0"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5" xfId="1" applyBorder="1" applyAlignment="1">
      <alignment horizontal="left" vertical="center" wrapText="1"/>
    </xf>
    <xf numFmtId="0" fontId="3" fillId="0" borderId="1" xfId="1" applyBorder="1" applyAlignment="1">
      <alignment horizontal="left" vertical="center" wrapText="1"/>
    </xf>
    <xf numFmtId="0" fontId="0" fillId="3" borderId="14" xfId="0" applyFill="1" applyBorder="1" applyAlignment="1">
      <alignment horizontal="left"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9" xfId="0" applyFill="1" applyBorder="1" applyAlignment="1">
      <alignment horizontal="left" vertical="center" wrapText="1"/>
    </xf>
    <xf numFmtId="0" fontId="3" fillId="0" borderId="3" xfId="1" applyBorder="1" applyAlignment="1">
      <alignment horizontal="left" vertical="center" wrapText="1"/>
    </xf>
    <xf numFmtId="0" fontId="0" fillId="3" borderId="4" xfId="0" applyFill="1" applyBorder="1" applyAlignment="1">
      <alignment horizontal="left" vertical="center"/>
    </xf>
    <xf numFmtId="0" fontId="0" fillId="3" borderId="13" xfId="0" applyFill="1" applyBorder="1" applyAlignment="1">
      <alignment horizontal="left" vertical="center"/>
    </xf>
    <xf numFmtId="0" fontId="0" fillId="3" borderId="13" xfId="0" applyFill="1" applyBorder="1" applyAlignment="1">
      <alignment horizontal="left" vertical="center" wrapText="1"/>
    </xf>
    <xf numFmtId="0" fontId="0" fillId="3" borderId="5" xfId="0" applyFill="1" applyBorder="1" applyAlignment="1">
      <alignment horizontal="left" vertical="center" wrapText="1"/>
    </xf>
    <xf numFmtId="0" fontId="0" fillId="0" borderId="2" xfId="0" applyBorder="1" applyAlignment="1">
      <alignment horizontal="left" vertical="center" wrapText="1"/>
    </xf>
    <xf numFmtId="0" fontId="3" fillId="0" borderId="0" xfId="1" applyAlignment="1">
      <alignment horizontal="left" vertical="center"/>
    </xf>
    <xf numFmtId="0" fontId="5" fillId="0" borderId="6" xfId="0" applyFont="1" applyBorder="1" applyAlignment="1">
      <alignment horizontal="center" vertical="center"/>
    </xf>
    <xf numFmtId="0" fontId="3" fillId="0" borderId="1" xfId="1" applyFill="1" applyBorder="1" applyAlignment="1">
      <alignment horizontal="left" vertical="center" wrapText="1"/>
    </xf>
    <xf numFmtId="0" fontId="0" fillId="0" borderId="0" xfId="0" quotePrefix="1" applyAlignment="1">
      <alignment horizontal="left" vertical="center"/>
    </xf>
    <xf numFmtId="0" fontId="0" fillId="3" borderId="9" xfId="0" applyFill="1" applyBorder="1" applyAlignment="1">
      <alignment horizontal="left" vertical="center"/>
    </xf>
    <xf numFmtId="0" fontId="1" fillId="0" borderId="0" xfId="0" applyFont="1" applyAlignment="1">
      <alignment horizontal="left" vertical="center"/>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3" fillId="0" borderId="0" xfId="1"/>
    <xf numFmtId="0" fontId="0" fillId="0" borderId="15" xfId="0" applyBorder="1" applyAlignment="1">
      <alignment horizontal="left" vertical="center"/>
    </xf>
    <xf numFmtId="0" fontId="0" fillId="3" borderId="16" xfId="0" applyFill="1" applyBorder="1" applyAlignment="1">
      <alignment horizontal="left" vertical="center"/>
    </xf>
    <xf numFmtId="0" fontId="0" fillId="0" borderId="15" xfId="0" applyBorder="1"/>
    <xf numFmtId="0" fontId="3" fillId="0" borderId="15" xfId="1" applyFill="1" applyBorder="1"/>
    <xf numFmtId="0" fontId="3" fillId="0" borderId="15" xfId="1" applyBorder="1"/>
    <xf numFmtId="0" fontId="24" fillId="0" borderId="1" xfId="0" applyFont="1" applyBorder="1" applyAlignment="1">
      <alignment horizontal="left" vertical="center"/>
    </xf>
    <xf numFmtId="0" fontId="18" fillId="3" borderId="4" xfId="0" applyFont="1" applyFill="1" applyBorder="1" applyAlignment="1">
      <alignment horizontal="left" vertical="center"/>
    </xf>
    <xf numFmtId="0" fontId="24" fillId="0" borderId="6" xfId="0" applyFont="1" applyBorder="1" applyAlignment="1">
      <alignment horizontal="left" vertical="center"/>
    </xf>
    <xf numFmtId="0" fontId="25" fillId="0" borderId="3" xfId="0" applyFont="1" applyBorder="1" applyAlignment="1">
      <alignment horizontal="left" vertical="center"/>
    </xf>
    <xf numFmtId="0" fontId="18" fillId="0" borderId="6" xfId="0" applyFont="1" applyBorder="1" applyAlignment="1">
      <alignment horizontal="left" vertical="center"/>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0" fontId="2" fillId="0" borderId="0" xfId="0" applyFont="1" applyAlignment="1">
      <alignment horizontal="center" vertical="center"/>
    </xf>
    <xf numFmtId="1" fontId="0" fillId="0" borderId="0" xfId="0" applyNumberFormat="1" applyAlignment="1">
      <alignment horizontal="left" vertical="center"/>
    </xf>
    <xf numFmtId="0" fontId="0" fillId="0" borderId="15" xfId="0" applyBorder="1" applyAlignment="1">
      <alignment wrapText="1"/>
    </xf>
    <xf numFmtId="0" fontId="18" fillId="0" borderId="15" xfId="0" applyFont="1" applyBorder="1" applyAlignment="1">
      <alignment horizontal="left" vertical="center"/>
    </xf>
    <xf numFmtId="0" fontId="0" fillId="0" borderId="15" xfId="0" applyBorder="1" applyAlignment="1">
      <alignment horizontal="left" vertical="center" wrapText="1"/>
    </xf>
    <xf numFmtId="0" fontId="3" fillId="0" borderId="15" xfId="1" applyBorder="1" applyAlignment="1">
      <alignment horizontal="left" vertical="center" wrapText="1"/>
    </xf>
    <xf numFmtId="0" fontId="3" fillId="0" borderId="15" xfId="1" applyFill="1" applyBorder="1" applyAlignment="1">
      <alignment horizontal="left" vertical="center" wrapText="1"/>
    </xf>
    <xf numFmtId="0" fontId="0" fillId="0" borderId="15" xfId="0"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3" fillId="0" borderId="5" xfId="1" applyBorder="1"/>
    <xf numFmtId="0" fontId="3" fillId="0" borderId="5" xfId="1" applyFill="1" applyBorder="1"/>
    <xf numFmtId="0" fontId="0" fillId="6" borderId="0" xfId="0" applyFill="1"/>
    <xf numFmtId="0" fontId="1" fillId="6" borderId="0" xfId="0" applyFont="1" applyFill="1"/>
    <xf numFmtId="0" fontId="26" fillId="6" borderId="0" xfId="0" applyFont="1" applyFill="1" applyAlignment="1">
      <alignment horizontal="left"/>
    </xf>
    <xf numFmtId="0" fontId="26" fillId="0" borderId="0" xfId="0" applyFont="1" applyAlignment="1">
      <alignment horizontal="left"/>
    </xf>
    <xf numFmtId="0" fontId="27" fillId="0" borderId="0" xfId="0" applyFont="1" applyAlignment="1">
      <alignment horizontal="left"/>
    </xf>
    <xf numFmtId="0" fontId="22" fillId="0" borderId="0" xfId="0" applyFont="1" applyAlignment="1">
      <alignment horizontal="left"/>
    </xf>
    <xf numFmtId="0" fontId="28" fillId="8" borderId="0" xfId="0" applyFont="1" applyFill="1" applyAlignment="1">
      <alignment horizontal="left"/>
    </xf>
    <xf numFmtId="0" fontId="2" fillId="8" borderId="0" xfId="0" applyFont="1" applyFill="1"/>
    <xf numFmtId="164" fontId="2" fillId="8" borderId="0" xfId="0" applyNumberFormat="1" applyFont="1" applyFill="1"/>
    <xf numFmtId="2" fontId="2" fillId="8" borderId="0" xfId="0" applyNumberFormat="1" applyFont="1" applyFill="1"/>
    <xf numFmtId="0" fontId="28" fillId="9" borderId="0" xfId="0" applyFont="1" applyFill="1" applyAlignment="1">
      <alignment horizontal="left"/>
    </xf>
    <xf numFmtId="0" fontId="2" fillId="9" borderId="0" xfId="0" applyFont="1" applyFill="1"/>
    <xf numFmtId="164" fontId="2" fillId="9" borderId="0" xfId="0" applyNumberFormat="1" applyFont="1" applyFill="1"/>
    <xf numFmtId="2" fontId="2" fillId="9" borderId="0" xfId="0" applyNumberFormat="1" applyFont="1" applyFill="1"/>
    <xf numFmtId="0" fontId="28" fillId="10" borderId="0" xfId="0" applyFont="1" applyFill="1" applyAlignment="1">
      <alignment horizontal="left"/>
    </xf>
    <xf numFmtId="0" fontId="2" fillId="10" borderId="0" xfId="0" applyFont="1" applyFill="1"/>
    <xf numFmtId="164" fontId="2" fillId="10" borderId="0" xfId="0" applyNumberFormat="1" applyFont="1" applyFill="1"/>
    <xf numFmtId="2" fontId="2" fillId="10" borderId="0" xfId="0" applyNumberFormat="1" applyFont="1" applyFill="1"/>
    <xf numFmtId="0" fontId="28" fillId="7" borderId="0" xfId="0" applyFont="1" applyFill="1" applyAlignment="1">
      <alignment horizontal="left"/>
    </xf>
    <xf numFmtId="0" fontId="2" fillId="7" borderId="0" xfId="0" applyFont="1" applyFill="1"/>
    <xf numFmtId="164" fontId="2" fillId="7" borderId="0" xfId="0" applyNumberFormat="1" applyFont="1" applyFill="1"/>
    <xf numFmtId="2" fontId="2" fillId="7" borderId="0" xfId="0" applyNumberFormat="1" applyFont="1" applyFill="1"/>
    <xf numFmtId="0" fontId="29" fillId="0" borderId="0" xfId="1" applyFont="1" applyFill="1" applyAlignment="1">
      <alignment horizontal="left"/>
    </xf>
    <xf numFmtId="0" fontId="3" fillId="0" borderId="17" xfId="1" applyBorder="1" applyAlignment="1">
      <alignment horizontal="left" vertical="center" wrapText="1"/>
    </xf>
    <xf numFmtId="0" fontId="0" fillId="3" borderId="16" xfId="0" applyFill="1" applyBorder="1" applyAlignment="1">
      <alignment horizontal="left" vertical="center" wrapText="1"/>
    </xf>
    <xf numFmtId="0" fontId="18" fillId="0" borderId="17" xfId="0" applyFont="1" applyBorder="1" applyAlignment="1">
      <alignment horizontal="left" vertical="center"/>
    </xf>
    <xf numFmtId="0" fontId="3" fillId="0" borderId="17" xfId="1" applyFill="1" applyBorder="1"/>
    <xf numFmtId="0" fontId="0" fillId="0" borderId="17" xfId="0" applyBorder="1"/>
    <xf numFmtId="0" fontId="3" fillId="0" borderId="17" xfId="1" applyBorder="1"/>
    <xf numFmtId="0" fontId="3" fillId="0" borderId="5" xfId="1" applyFill="1" applyBorder="1" applyAlignment="1">
      <alignment wrapText="1"/>
    </xf>
    <xf numFmtId="1" fontId="0" fillId="0" borderId="15" xfId="0" applyNumberFormat="1" applyBorder="1" applyAlignment="1">
      <alignment horizontal="center" vertical="center"/>
    </xf>
    <xf numFmtId="0" fontId="0" fillId="5" borderId="17" xfId="0" applyFill="1" applyBorder="1" applyAlignment="1">
      <alignment horizontal="center" vertical="center"/>
    </xf>
    <xf numFmtId="0" fontId="0" fillId="3" borderId="16" xfId="0" applyFill="1" applyBorder="1" applyAlignment="1">
      <alignment horizontal="center" vertical="center"/>
    </xf>
    <xf numFmtId="0" fontId="0" fillId="2" borderId="15" xfId="0" applyFill="1" applyBorder="1" applyAlignment="1">
      <alignment horizontal="center" vertical="center"/>
    </xf>
    <xf numFmtId="0" fontId="0" fillId="5" borderId="15" xfId="0" applyFill="1" applyBorder="1" applyAlignment="1">
      <alignment horizontal="center" vertical="center"/>
    </xf>
    <xf numFmtId="3" fontId="0" fillId="0" borderId="15" xfId="0" applyNumberFormat="1" applyBorder="1" applyAlignment="1">
      <alignment horizontal="center" vertical="center"/>
    </xf>
    <xf numFmtId="0" fontId="0" fillId="3" borderId="13" xfId="0" applyFill="1" applyBorder="1" applyAlignment="1">
      <alignment horizontal="center" vertical="center"/>
    </xf>
    <xf numFmtId="3" fontId="0" fillId="0" borderId="0" xfId="0" applyNumberFormat="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0" fillId="5" borderId="1" xfId="0" applyFill="1" applyBorder="1" applyAlignment="1">
      <alignment horizontal="center" vertical="center"/>
    </xf>
    <xf numFmtId="0" fontId="0" fillId="0" borderId="4" xfId="0" applyBorder="1" applyAlignment="1">
      <alignment horizontal="center" vertical="center"/>
    </xf>
    <xf numFmtId="0" fontId="0" fillId="2" borderId="1" xfId="0" applyFill="1" applyBorder="1" applyAlignment="1">
      <alignment horizontal="center" vertical="center"/>
    </xf>
    <xf numFmtId="0" fontId="0" fillId="2" borderId="17" xfId="0" applyFill="1" applyBorder="1" applyAlignment="1">
      <alignment horizontal="center" vertical="center"/>
    </xf>
    <xf numFmtId="0" fontId="0" fillId="0" borderId="17" xfId="0" applyBorder="1" applyAlignment="1">
      <alignment horizontal="center" vertical="center"/>
    </xf>
    <xf numFmtId="1" fontId="0" fillId="0" borderId="1" xfId="0" applyNumberFormat="1" applyBorder="1" applyAlignment="1">
      <alignment horizontal="center" vertical="center"/>
    </xf>
    <xf numFmtId="3" fontId="0" fillId="5" borderId="1" xfId="0" applyNumberFormat="1" applyFill="1" applyBorder="1" applyAlignment="1">
      <alignment horizontal="center" vertical="center"/>
    </xf>
    <xf numFmtId="3" fontId="0" fillId="5" borderId="17" xfId="0" applyNumberFormat="1" applyFill="1" applyBorder="1" applyAlignment="1">
      <alignment horizontal="center" vertical="center"/>
    </xf>
    <xf numFmtId="164" fontId="23" fillId="0" borderId="15" xfId="13" applyNumberFormat="1" applyBorder="1" applyAlignment="1">
      <alignment horizontal="center" vertical="center"/>
    </xf>
    <xf numFmtId="0" fontId="1" fillId="5" borderId="1" xfId="0" applyFont="1" applyFill="1" applyBorder="1" applyAlignment="1">
      <alignment horizontal="center" vertical="center"/>
    </xf>
    <xf numFmtId="0" fontId="18" fillId="0" borderId="1" xfId="0" applyFont="1" applyBorder="1" applyAlignment="1">
      <alignment horizontal="center" vertical="center"/>
    </xf>
    <xf numFmtId="0" fontId="18" fillId="0" borderId="15" xfId="0" applyFont="1" applyBorder="1" applyAlignment="1">
      <alignment horizontal="center" vertical="center"/>
    </xf>
    <xf numFmtId="1" fontId="18" fillId="0" borderId="15" xfId="0" applyNumberFormat="1" applyFont="1" applyBorder="1" applyAlignment="1">
      <alignment horizontal="center" vertical="center"/>
    </xf>
    <xf numFmtId="0" fontId="0" fillId="4" borderId="1" xfId="0" applyFill="1" applyBorder="1" applyAlignment="1">
      <alignment horizontal="center" vertical="center"/>
    </xf>
    <xf numFmtId="0" fontId="0" fillId="3" borderId="0" xfId="0" applyFill="1" applyAlignment="1">
      <alignment horizontal="center" vertical="center"/>
    </xf>
    <xf numFmtId="164" fontId="0" fillId="0" borderId="1" xfId="0" applyNumberFormat="1" applyBorder="1" applyAlignment="1">
      <alignment horizontal="center" vertical="center"/>
    </xf>
    <xf numFmtId="166" fontId="1" fillId="5" borderId="1" xfId="0" applyNumberFormat="1" applyFont="1" applyFill="1" applyBorder="1" applyAlignment="1">
      <alignment horizontal="center" vertical="center"/>
    </xf>
    <xf numFmtId="166" fontId="0" fillId="5" borderId="1" xfId="0" applyNumberFormat="1" applyFill="1" applyBorder="1" applyAlignment="1">
      <alignment horizontal="center" vertical="center"/>
    </xf>
    <xf numFmtId="0" fontId="1" fillId="5" borderId="15" xfId="0" applyFont="1" applyFill="1" applyBorder="1" applyAlignment="1">
      <alignment horizontal="center" vertical="center"/>
    </xf>
    <xf numFmtId="0" fontId="0" fillId="5" borderId="0" xfId="0" applyFill="1" applyAlignment="1">
      <alignment horizontal="center" vertical="center"/>
    </xf>
    <xf numFmtId="166" fontId="0" fillId="5" borderId="15" xfId="0" applyNumberFormat="1" applyFill="1" applyBorder="1" applyAlignment="1">
      <alignment horizontal="center" vertical="center"/>
    </xf>
    <xf numFmtId="0" fontId="8" fillId="5" borderId="1" xfId="0" applyFont="1" applyFill="1" applyBorder="1" applyAlignment="1">
      <alignment horizontal="center" vertical="center"/>
    </xf>
    <xf numFmtId="4" fontId="0" fillId="5" borderId="1" xfId="0" applyNumberFormat="1" applyFill="1" applyBorder="1" applyAlignment="1">
      <alignment horizontal="center" vertical="center"/>
    </xf>
    <xf numFmtId="0" fontId="8" fillId="2" borderId="3" xfId="0" applyFont="1" applyFill="1" applyBorder="1" applyAlignment="1">
      <alignment horizontal="center" vertical="center"/>
    </xf>
    <xf numFmtId="1" fontId="0" fillId="0" borderId="3" xfId="0" applyNumberFormat="1" applyBorder="1" applyAlignment="1">
      <alignment horizontal="center" vertical="center"/>
    </xf>
    <xf numFmtId="0" fontId="0" fillId="5" borderId="3" xfId="0" applyFill="1" applyBorder="1" applyAlignment="1">
      <alignment horizontal="center" vertical="center"/>
    </xf>
    <xf numFmtId="3" fontId="0" fillId="0" borderId="4" xfId="0" applyNumberFormat="1" applyBorder="1" applyAlignment="1">
      <alignment horizontal="center" vertical="center"/>
    </xf>
    <xf numFmtId="3" fontId="0" fillId="0" borderId="5" xfId="0" applyNumberFormat="1" applyBorder="1" applyAlignment="1">
      <alignment horizontal="center" vertical="center"/>
    </xf>
    <xf numFmtId="0" fontId="1" fillId="2" borderId="1" xfId="0" applyFont="1" applyFill="1" applyBorder="1" applyAlignment="1">
      <alignment horizontal="center" vertical="center"/>
    </xf>
    <xf numFmtId="1" fontId="0" fillId="2" borderId="15" xfId="0" applyNumberFormat="1" applyFill="1" applyBorder="1" applyAlignment="1">
      <alignment horizontal="center" vertical="center"/>
    </xf>
    <xf numFmtId="3" fontId="0" fillId="4" borderId="1" xfId="0" applyNumberFormat="1" applyFill="1" applyBorder="1" applyAlignment="1">
      <alignment horizontal="center" vertical="center"/>
    </xf>
    <xf numFmtId="0" fontId="0" fillId="0" borderId="5" xfId="0" applyBorder="1" applyAlignment="1">
      <alignment horizontal="left" vertical="center" wrapText="1"/>
    </xf>
    <xf numFmtId="164" fontId="0" fillId="0" borderId="15" xfId="0" applyNumberFormat="1" applyBorder="1" applyAlignment="1">
      <alignment horizontal="center" vertical="center"/>
    </xf>
    <xf numFmtId="0" fontId="8" fillId="5" borderId="15" xfId="0" applyFont="1" applyFill="1" applyBorder="1" applyAlignment="1">
      <alignment horizontal="center" vertical="center"/>
    </xf>
    <xf numFmtId="0" fontId="0" fillId="3" borderId="10" xfId="0" applyFill="1" applyBorder="1" applyAlignment="1">
      <alignment horizontal="left" vertical="center" wrapText="1"/>
    </xf>
    <xf numFmtId="3" fontId="4" fillId="0" borderId="1" xfId="0" applyNumberFormat="1" applyFont="1" applyBorder="1" applyAlignment="1">
      <alignment horizontal="center" vertical="center"/>
    </xf>
    <xf numFmtId="0" fontId="9" fillId="5" borderId="1" xfId="0" applyFont="1" applyFill="1" applyBorder="1" applyAlignment="1">
      <alignment horizontal="center" vertical="center"/>
    </xf>
    <xf numFmtId="0" fontId="9" fillId="5" borderId="15" xfId="0" applyFont="1" applyFill="1" applyBorder="1" applyAlignment="1">
      <alignment horizontal="center" vertical="center"/>
    </xf>
    <xf numFmtId="3" fontId="0" fillId="2" borderId="1" xfId="0" applyNumberFormat="1" applyFill="1" applyBorder="1" applyAlignment="1">
      <alignment horizontal="center" vertical="center"/>
    </xf>
    <xf numFmtId="3" fontId="0" fillId="0" borderId="17" xfId="0" applyNumberFormat="1" applyBorder="1" applyAlignment="1">
      <alignment horizontal="center" vertical="center"/>
    </xf>
    <xf numFmtId="0" fontId="0" fillId="5" borderId="6" xfId="0" applyFill="1" applyBorder="1" applyAlignment="1">
      <alignment horizontal="center" vertical="center"/>
    </xf>
    <xf numFmtId="3" fontId="0" fillId="0" borderId="3" xfId="0" applyNumberFormat="1" applyBorder="1" applyAlignment="1">
      <alignment horizontal="center" vertical="center"/>
    </xf>
    <xf numFmtId="4" fontId="0" fillId="0" borderId="1" xfId="0" applyNumberFormat="1" applyBorder="1" applyAlignment="1">
      <alignment horizontal="center" vertical="center"/>
    </xf>
    <xf numFmtId="4" fontId="0" fillId="5" borderId="15" xfId="0" applyNumberFormat="1" applyFill="1" applyBorder="1" applyAlignment="1">
      <alignment horizontal="center" vertical="center"/>
    </xf>
    <xf numFmtId="4" fontId="0" fillId="5" borderId="3" xfId="0" applyNumberFormat="1" applyFill="1" applyBorder="1" applyAlignment="1">
      <alignment horizontal="center" vertical="center"/>
    </xf>
    <xf numFmtId="4" fontId="0" fillId="5" borderId="17" xfId="0" applyNumberFormat="1" applyFill="1" applyBorder="1" applyAlignment="1">
      <alignment horizontal="center" vertical="center"/>
    </xf>
    <xf numFmtId="0" fontId="0" fillId="4" borderId="3" xfId="0" applyFill="1" applyBorder="1" applyAlignment="1">
      <alignment horizontal="center" vertical="center"/>
    </xf>
    <xf numFmtId="0" fontId="0" fillId="5" borderId="2" xfId="0" applyFill="1" applyBorder="1" applyAlignment="1">
      <alignment horizontal="center" vertical="center"/>
    </xf>
    <xf numFmtId="0" fontId="8" fillId="5" borderId="17" xfId="0" applyFont="1" applyFill="1" applyBorder="1" applyAlignment="1">
      <alignment horizontal="center" vertical="center"/>
    </xf>
    <xf numFmtId="1" fontId="0" fillId="5" borderId="15" xfId="0" applyNumberFormat="1" applyFill="1" applyBorder="1" applyAlignment="1">
      <alignment horizontal="center" vertical="center"/>
    </xf>
    <xf numFmtId="1" fontId="0" fillId="5" borderId="3" xfId="0" applyNumberFormat="1" applyFill="1" applyBorder="1" applyAlignment="1">
      <alignment horizontal="center" vertical="center"/>
    </xf>
    <xf numFmtId="1" fontId="0" fillId="5" borderId="17" xfId="0" applyNumberFormat="1" applyFill="1" applyBorder="1" applyAlignment="1">
      <alignment horizontal="center" vertical="center"/>
    </xf>
    <xf numFmtId="0" fontId="6" fillId="0" borderId="12" xfId="0" applyFont="1" applyBorder="1" applyAlignment="1">
      <alignment horizontal="center" vertical="center"/>
    </xf>
    <xf numFmtId="0" fontId="6" fillId="0" borderId="12" xfId="0" applyFont="1" applyBorder="1" applyAlignment="1">
      <alignment vertical="center"/>
    </xf>
    <xf numFmtId="0" fontId="2" fillId="0" borderId="0" xfId="0" applyFont="1" applyAlignment="1">
      <alignment vertical="center"/>
    </xf>
    <xf numFmtId="0" fontId="1" fillId="3" borderId="4" xfId="0" applyFont="1" applyFill="1" applyBorder="1" applyAlignment="1">
      <alignment horizontal="center" vertical="center" wrapText="1"/>
    </xf>
    <xf numFmtId="0" fontId="0" fillId="3" borderId="5" xfId="0" applyFill="1" applyBorder="1"/>
    <xf numFmtId="0" fontId="2" fillId="3" borderId="4" xfId="0" applyFont="1" applyFill="1" applyBorder="1" applyAlignment="1">
      <alignment horizontal="center" vertical="center"/>
    </xf>
    <xf numFmtId="0" fontId="0" fillId="3" borderId="5" xfId="0" applyFill="1" applyBorder="1" applyAlignment="1">
      <alignment vertical="top"/>
    </xf>
    <xf numFmtId="0" fontId="18" fillId="0" borderId="1" xfId="0" applyFont="1" applyBorder="1" applyAlignment="1">
      <alignment horizontal="left" vertical="center" wrapText="1"/>
    </xf>
    <xf numFmtId="164" fontId="0" fillId="0" borderId="4" xfId="0" applyNumberFormat="1" applyBorder="1" applyAlignment="1">
      <alignment horizontal="center" vertical="center"/>
    </xf>
    <xf numFmtId="164" fontId="19" fillId="0" borderId="15" xfId="14" applyNumberFormat="1" applyBorder="1" applyAlignment="1">
      <alignment horizontal="center" vertical="center"/>
    </xf>
    <xf numFmtId="0" fontId="0" fillId="0" borderId="6" xfId="0" applyBorder="1" applyAlignment="1">
      <alignment horizontal="center" vertical="center"/>
    </xf>
    <xf numFmtId="0" fontId="18" fillId="3" borderId="14" xfId="0" applyFont="1" applyFill="1" applyBorder="1" applyAlignment="1">
      <alignment horizontal="left" vertical="center"/>
    </xf>
    <xf numFmtId="0" fontId="24" fillId="0" borderId="1" xfId="0" applyFont="1" applyBorder="1" applyAlignment="1">
      <alignment horizontal="center" vertical="center"/>
    </xf>
    <xf numFmtId="0" fontId="12" fillId="3" borderId="4" xfId="0" applyFont="1" applyFill="1" applyBorder="1" applyAlignment="1">
      <alignment horizontal="left" vertical="center"/>
    </xf>
    <xf numFmtId="0" fontId="12" fillId="3" borderId="14" xfId="0" applyFont="1" applyFill="1" applyBorder="1" applyAlignment="1">
      <alignment horizontal="left" vertical="center"/>
    </xf>
    <xf numFmtId="0" fontId="24" fillId="0" borderId="3" xfId="0" applyFont="1" applyBorder="1" applyAlignment="1">
      <alignment horizontal="center" vertical="center"/>
    </xf>
    <xf numFmtId="0" fontId="0" fillId="5" borderId="12" xfId="0" applyFill="1" applyBorder="1" applyAlignment="1">
      <alignment horizontal="center" vertical="center"/>
    </xf>
    <xf numFmtId="0" fontId="24" fillId="0" borderId="6" xfId="0" applyFont="1" applyBorder="1" applyAlignment="1">
      <alignment horizontal="center" vertical="center"/>
    </xf>
    <xf numFmtId="1" fontId="0" fillId="0" borderId="0" xfId="0" applyNumberFormat="1" applyAlignment="1">
      <alignment horizontal="center" vertical="center"/>
    </xf>
    <xf numFmtId="3" fontId="30" fillId="0" borderId="0" xfId="16" applyNumberFormat="1" applyFont="1"/>
    <xf numFmtId="0" fontId="18" fillId="0" borderId="1" xfId="1" applyFont="1" applyBorder="1" applyAlignment="1">
      <alignment horizontal="left" vertical="center"/>
    </xf>
    <xf numFmtId="165" fontId="4" fillId="0" borderId="1" xfId="0" applyNumberFormat="1" applyFont="1" applyBorder="1" applyAlignment="1">
      <alignment horizontal="center" vertical="center"/>
    </xf>
    <xf numFmtId="0" fontId="0" fillId="0" borderId="27" xfId="0" applyBorder="1" applyAlignment="1">
      <alignment horizontal="left" vertical="center"/>
    </xf>
    <xf numFmtId="164" fontId="0" fillId="0" borderId="27" xfId="0" applyNumberFormat="1" applyBorder="1" applyAlignment="1">
      <alignment horizontal="center" vertical="center"/>
    </xf>
    <xf numFmtId="1" fontId="0" fillId="0" borderId="27" xfId="0" applyNumberFormat="1" applyBorder="1" applyAlignment="1">
      <alignment horizontal="center" vertical="center"/>
    </xf>
    <xf numFmtId="0" fontId="0" fillId="0" borderId="27" xfId="0" applyBorder="1" applyAlignment="1">
      <alignment horizontal="left" vertical="center" wrapText="1"/>
    </xf>
    <xf numFmtId="164" fontId="18" fillId="0" borderId="15" xfId="0" applyNumberFormat="1" applyFont="1" applyBorder="1" applyAlignment="1">
      <alignment horizontal="center" vertical="center"/>
    </xf>
    <xf numFmtId="0" fontId="18" fillId="0" borderId="27" xfId="0" applyFont="1" applyBorder="1" applyAlignment="1">
      <alignment horizontal="left" vertical="center"/>
    </xf>
    <xf numFmtId="0" fontId="3" fillId="0" borderId="27" xfId="1" applyBorder="1" applyAlignment="1">
      <alignment horizontal="left" vertical="center" wrapText="1"/>
    </xf>
    <xf numFmtId="0" fontId="0" fillId="0" borderId="27" xfId="0" applyBorder="1" applyAlignment="1">
      <alignment horizontal="center" vertical="center"/>
    </xf>
    <xf numFmtId="0" fontId="0" fillId="5" borderId="27" xfId="0" applyFill="1" applyBorder="1" applyAlignment="1">
      <alignment horizontal="center" vertical="center"/>
    </xf>
    <xf numFmtId="0" fontId="4" fillId="5" borderId="27" xfId="0" applyFont="1" applyFill="1" applyBorder="1" applyAlignment="1">
      <alignment horizontal="center" vertical="center"/>
    </xf>
    <xf numFmtId="0" fontId="4" fillId="0" borderId="27" xfId="1" applyFont="1" applyBorder="1" applyAlignment="1">
      <alignment horizontal="left" vertical="center" wrapText="1"/>
    </xf>
    <xf numFmtId="0" fontId="4" fillId="0" borderId="27" xfId="0" applyFont="1" applyBorder="1" applyAlignment="1">
      <alignment horizontal="center" vertical="center"/>
    </xf>
    <xf numFmtId="4" fontId="4" fillId="0" borderId="27" xfId="0" applyNumberFormat="1" applyFont="1" applyBorder="1" applyAlignment="1">
      <alignment horizontal="center" vertical="center"/>
    </xf>
    <xf numFmtId="0" fontId="18" fillId="0" borderId="0" xfId="0" applyFont="1" applyAlignment="1">
      <alignment horizontal="left" vertical="center"/>
    </xf>
    <xf numFmtId="164" fontId="19" fillId="0" borderId="27" xfId="14" applyNumberFormat="1" applyBorder="1" applyAlignment="1">
      <alignment horizontal="center" vertical="center"/>
    </xf>
    <xf numFmtId="0" fontId="18" fillId="5" borderId="1" xfId="0" applyFont="1" applyFill="1" applyBorder="1" applyAlignment="1">
      <alignment horizontal="center" vertical="center"/>
    </xf>
    <xf numFmtId="165" fontId="4" fillId="0" borderId="27" xfId="0" applyNumberFormat="1" applyFont="1" applyBorder="1" applyAlignment="1">
      <alignment horizontal="center" vertical="center"/>
    </xf>
    <xf numFmtId="2" fontId="0" fillId="0" borderId="27" xfId="0" applyNumberFormat="1" applyBorder="1" applyAlignment="1">
      <alignment horizontal="center" vertical="center"/>
    </xf>
    <xf numFmtId="2" fontId="19" fillId="0" borderId="27" xfId="14" applyNumberFormat="1" applyBorder="1" applyAlignment="1">
      <alignment horizontal="center" vertical="center"/>
    </xf>
    <xf numFmtId="3" fontId="4" fillId="0" borderId="27" xfId="0" applyNumberFormat="1" applyFont="1" applyBorder="1" applyAlignment="1">
      <alignment horizontal="center" vertical="center"/>
    </xf>
    <xf numFmtId="0" fontId="0" fillId="0" borderId="15" xfId="0" applyBorder="1" applyAlignment="1">
      <alignment vertical="center"/>
    </xf>
    <xf numFmtId="0" fontId="0" fillId="4" borderId="15" xfId="0" applyFill="1" applyBorder="1" applyAlignment="1">
      <alignment horizontal="center" vertical="center"/>
    </xf>
    <xf numFmtId="164" fontId="18" fillId="0" borderId="17" xfId="0" applyNumberFormat="1" applyFont="1" applyBorder="1" applyAlignment="1">
      <alignment horizontal="center" vertical="center"/>
    </xf>
    <xf numFmtId="164" fontId="0" fillId="0" borderId="5" xfId="0" applyNumberFormat="1" applyBorder="1" applyAlignment="1">
      <alignment horizontal="center" vertical="center"/>
    </xf>
    <xf numFmtId="165" fontId="0" fillId="2" borderId="3" xfId="0" applyNumberFormat="1" applyFill="1" applyBorder="1" applyAlignment="1">
      <alignment horizontal="center" vertical="center"/>
    </xf>
    <xf numFmtId="2" fontId="0" fillId="0" borderId="15" xfId="0" applyNumberFormat="1" applyBorder="1" applyAlignment="1">
      <alignment horizontal="center" vertical="center"/>
    </xf>
    <xf numFmtId="165" fontId="0" fillId="0" borderId="1" xfId="0" applyNumberFormat="1" applyBorder="1" applyAlignment="1">
      <alignment horizontal="center" vertical="center" wrapText="1"/>
    </xf>
    <xf numFmtId="164" fontId="0" fillId="0" borderId="17" xfId="0" applyNumberFormat="1" applyBorder="1" applyAlignment="1">
      <alignment horizontal="center" vertical="center"/>
    </xf>
    <xf numFmtId="0" fontId="0" fillId="0" borderId="12" xfId="0" applyBorder="1" applyAlignment="1">
      <alignment horizontal="left" vertical="center" wrapText="1"/>
    </xf>
    <xf numFmtId="0" fontId="18" fillId="0" borderId="7" xfId="0" applyFont="1" applyBorder="1" applyAlignment="1">
      <alignment horizontal="left" vertical="center"/>
    </xf>
    <xf numFmtId="3" fontId="0" fillId="0" borderId="27" xfId="0" applyNumberFormat="1" applyBorder="1" applyAlignment="1">
      <alignment horizontal="center" vertical="center"/>
    </xf>
    <xf numFmtId="4" fontId="18" fillId="0" borderId="1" xfId="0" applyNumberFormat="1" applyFont="1" applyBorder="1" applyAlignment="1">
      <alignment horizontal="center" vertical="center"/>
    </xf>
    <xf numFmtId="4" fontId="0" fillId="2" borderId="3" xfId="0" applyNumberFormat="1" applyFill="1" applyBorder="1" applyAlignment="1">
      <alignment horizontal="center" vertical="center"/>
    </xf>
    <xf numFmtId="4" fontId="0" fillId="27" borderId="1" xfId="0" applyNumberFormat="1" applyFill="1" applyBorder="1" applyAlignment="1">
      <alignment horizontal="center" vertical="center"/>
    </xf>
    <xf numFmtId="4" fontId="0" fillId="27" borderId="15" xfId="0" applyNumberFormat="1" applyFill="1" applyBorder="1" applyAlignment="1">
      <alignment horizontal="center" vertical="center"/>
    </xf>
    <xf numFmtId="0" fontId="18" fillId="0" borderId="3" xfId="0" applyFont="1"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0" fillId="3" borderId="27" xfId="0" applyFill="1" applyBorder="1" applyAlignment="1">
      <alignment horizontal="left" vertical="center" wrapText="1"/>
    </xf>
    <xf numFmtId="0" fontId="1" fillId="0" borderId="27" xfId="0" applyFont="1" applyBorder="1" applyAlignment="1">
      <alignment horizontal="center" vertical="center"/>
    </xf>
    <xf numFmtId="0" fontId="3" fillId="0" borderId="1" xfId="1" applyFill="1" applyBorder="1" applyAlignment="1">
      <alignment horizontal="left" wrapText="1"/>
    </xf>
    <xf numFmtId="0" fontId="1" fillId="5" borderId="27" xfId="0" applyFont="1" applyFill="1" applyBorder="1" applyAlignment="1">
      <alignment horizontal="center" vertical="center"/>
    </xf>
    <xf numFmtId="0" fontId="0" fillId="2" borderId="27" xfId="0" applyFill="1" applyBorder="1" applyAlignment="1">
      <alignment horizontal="center" vertical="center"/>
    </xf>
    <xf numFmtId="0" fontId="1" fillId="5" borderId="4"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4" xfId="0" applyFill="1" applyBorder="1" applyAlignment="1">
      <alignment horizontal="center" vertical="center"/>
    </xf>
    <xf numFmtId="164" fontId="0" fillId="0" borderId="27" xfId="0" applyNumberFormat="1" applyBorder="1" applyAlignment="1">
      <alignment vertical="center" wrapText="1"/>
    </xf>
    <xf numFmtId="164" fontId="3" fillId="0" borderId="27" xfId="1" applyNumberFormat="1" applyBorder="1" applyAlignment="1">
      <alignment vertical="center" wrapText="1"/>
    </xf>
    <xf numFmtId="2" fontId="0" fillId="0" borderId="4" xfId="0" applyNumberFormat="1" applyBorder="1" applyAlignment="1">
      <alignment horizontal="center" vertical="center"/>
    </xf>
    <xf numFmtId="1" fontId="0" fillId="3" borderId="0" xfId="0" applyNumberFormat="1" applyFill="1" applyAlignment="1">
      <alignment horizontal="center" vertical="center"/>
    </xf>
    <xf numFmtId="164" fontId="13" fillId="0" borderId="27" xfId="0" applyNumberFormat="1" applyFont="1" applyBorder="1" applyAlignment="1">
      <alignment horizontal="center" vertical="center"/>
    </xf>
    <xf numFmtId="0" fontId="49" fillId="5" borderId="15" xfId="0" applyFont="1" applyFill="1" applyBorder="1" applyAlignment="1">
      <alignment horizontal="center" vertical="center"/>
    </xf>
    <xf numFmtId="0" fontId="0" fillId="0" borderId="27" xfId="0" applyBorder="1"/>
    <xf numFmtId="0" fontId="0" fillId="0" borderId="4" xfId="0" applyBorder="1" applyAlignment="1">
      <alignment horizontal="left"/>
    </xf>
    <xf numFmtId="0" fontId="0" fillId="0" borderId="4" xfId="0" applyBorder="1"/>
    <xf numFmtId="0" fontId="3" fillId="0" borderId="27" xfId="1" applyBorder="1"/>
    <xf numFmtId="3" fontId="18" fillId="0" borderId="1" xfId="0" applyNumberFormat="1" applyFont="1" applyBorder="1" applyAlignment="1">
      <alignment horizontal="center" vertical="center"/>
    </xf>
    <xf numFmtId="0" fontId="13" fillId="0" borderId="1" xfId="0" applyFont="1" applyBorder="1" applyAlignment="1">
      <alignment horizontal="left" vertical="center"/>
    </xf>
    <xf numFmtId="0" fontId="48" fillId="0" borderId="0" xfId="0" applyFont="1" applyAlignment="1">
      <alignment horizontal="left" vertical="center"/>
    </xf>
    <xf numFmtId="0" fontId="18" fillId="0" borderId="27" xfId="0" applyFont="1" applyBorder="1" applyAlignment="1">
      <alignment horizontal="left" vertical="center" wrapText="1"/>
    </xf>
    <xf numFmtId="1" fontId="13" fillId="0" borderId="1" xfId="0" applyNumberFormat="1" applyFont="1" applyBorder="1" applyAlignment="1">
      <alignment horizontal="center" vertical="center"/>
    </xf>
    <xf numFmtId="1" fontId="48" fillId="0" borderId="0" xfId="0" applyNumberFormat="1" applyFont="1" applyAlignment="1">
      <alignment horizontal="center" vertical="center"/>
    </xf>
    <xf numFmtId="164" fontId="48" fillId="0" borderId="0" xfId="0" applyNumberFormat="1" applyFont="1" applyAlignment="1">
      <alignment horizontal="center" vertical="center"/>
    </xf>
    <xf numFmtId="2" fontId="48" fillId="0" borderId="0" xfId="0" applyNumberFormat="1" applyFont="1" applyAlignment="1">
      <alignment horizontal="center" vertical="center"/>
    </xf>
    <xf numFmtId="2" fontId="0" fillId="3" borderId="13" xfId="0" applyNumberFormat="1" applyFill="1" applyBorder="1" applyAlignment="1">
      <alignment horizontal="center" vertical="center"/>
    </xf>
    <xf numFmtId="0" fontId="13" fillId="0" borderId="27" xfId="0" applyFont="1" applyBorder="1" applyAlignment="1">
      <alignment horizontal="left" vertical="center"/>
    </xf>
    <xf numFmtId="1" fontId="0" fillId="4" borderId="17" xfId="0" applyNumberFormat="1" applyFill="1" applyBorder="1" applyAlignment="1">
      <alignment horizontal="center" vertical="center"/>
    </xf>
    <xf numFmtId="0" fontId="13" fillId="0" borderId="3" xfId="0" applyFont="1" applyBorder="1" applyAlignment="1">
      <alignment horizontal="left" vertical="center"/>
    </xf>
    <xf numFmtId="0" fontId="13" fillId="4" borderId="1" xfId="0" applyFont="1" applyFill="1" applyBorder="1" applyAlignment="1">
      <alignment horizontal="left" vertical="center"/>
    </xf>
    <xf numFmtId="164" fontId="0" fillId="0" borderId="27" xfId="0" applyNumberFormat="1" applyBorder="1" applyAlignment="1">
      <alignment horizontal="left" vertical="center" wrapText="1"/>
    </xf>
    <xf numFmtId="1" fontId="0" fillId="5" borderId="1" xfId="0" applyNumberFormat="1" applyFill="1" applyBorder="1" applyAlignment="1">
      <alignment horizontal="center" vertical="center"/>
    </xf>
    <xf numFmtId="0" fontId="49" fillId="5" borderId="27" xfId="0" applyFont="1" applyFill="1" applyBorder="1" applyAlignment="1">
      <alignment horizontal="center" vertical="center"/>
    </xf>
    <xf numFmtId="0" fontId="1" fillId="0" borderId="27" xfId="0" applyFont="1" applyBorder="1" applyAlignment="1">
      <alignment horizontal="center" vertical="center" wrapText="1"/>
    </xf>
    <xf numFmtId="0" fontId="13" fillId="0" borderId="6" xfId="0" applyFont="1" applyBorder="1" applyAlignment="1">
      <alignment horizontal="left" vertical="center"/>
    </xf>
    <xf numFmtId="9" fontId="0" fillId="0" borderId="0" xfId="61" applyFont="1" applyAlignment="1">
      <alignment horizontal="left" vertical="center"/>
    </xf>
    <xf numFmtId="167" fontId="0" fillId="0" borderId="0" xfId="61" applyNumberFormat="1" applyFont="1" applyAlignment="1">
      <alignment horizontal="left" vertical="center"/>
    </xf>
    <xf numFmtId="10" fontId="0" fillId="0" borderId="0" xfId="61" applyNumberFormat="1" applyFont="1" applyAlignment="1">
      <alignment horizontal="left" vertical="center"/>
    </xf>
    <xf numFmtId="0" fontId="12" fillId="0" borderId="0" xfId="0" applyFont="1"/>
    <xf numFmtId="9" fontId="12" fillId="0" borderId="0" xfId="61" applyFont="1"/>
    <xf numFmtId="0" fontId="1" fillId="0" borderId="27" xfId="0" applyFont="1" applyBorder="1" applyAlignment="1">
      <alignment horizontal="left" vertical="center" wrapText="1"/>
    </xf>
    <xf numFmtId="4" fontId="0" fillId="0" borderId="15" xfId="0" applyNumberFormat="1" applyBorder="1" applyAlignment="1">
      <alignment horizontal="center" vertical="center"/>
    </xf>
    <xf numFmtId="2" fontId="0" fillId="0" borderId="0" xfId="0" applyNumberFormat="1" applyAlignment="1">
      <alignment horizontal="left" vertical="center"/>
    </xf>
    <xf numFmtId="0" fontId="50" fillId="0" borderId="0" xfId="0" applyFont="1" applyAlignment="1">
      <alignment horizontal="right" vertical="center" wrapText="1"/>
    </xf>
    <xf numFmtId="0" fontId="18" fillId="0" borderId="27" xfId="0" applyFont="1" applyBorder="1" applyAlignment="1">
      <alignment horizontal="center" vertical="center"/>
    </xf>
    <xf numFmtId="1" fontId="18" fillId="0" borderId="1" xfId="0" applyNumberFormat="1" applyFont="1" applyBorder="1" applyAlignment="1">
      <alignment horizontal="center" vertical="center"/>
    </xf>
    <xf numFmtId="164" fontId="0" fillId="0" borderId="27" xfId="0" applyNumberFormat="1" applyBorder="1" applyAlignment="1">
      <alignment horizontal="center"/>
    </xf>
    <xf numFmtId="0" fontId="0" fillId="5" borderId="16" xfId="0" applyFill="1" applyBorder="1" applyAlignment="1">
      <alignment horizontal="center" vertical="center"/>
    </xf>
    <xf numFmtId="2" fontId="0" fillId="0" borderId="16" xfId="0" applyNumberFormat="1" applyBorder="1" applyAlignment="1">
      <alignment horizontal="center" vertical="center"/>
    </xf>
    <xf numFmtId="0" fontId="3" fillId="0" borderId="6" xfId="1" applyBorder="1" applyAlignment="1">
      <alignment horizontal="left" vertical="center" wrapText="1"/>
    </xf>
    <xf numFmtId="0" fontId="0" fillId="0" borderId="6" xfId="0" applyBorder="1" applyAlignment="1">
      <alignment horizontal="left" vertical="center" wrapText="1"/>
    </xf>
    <xf numFmtId="164" fontId="0" fillId="0" borderId="6" xfId="0" applyNumberFormat="1" applyBorder="1" applyAlignment="1">
      <alignment horizontal="center" vertical="center"/>
    </xf>
    <xf numFmtId="0" fontId="1" fillId="2" borderId="6" xfId="0" applyFont="1" applyFill="1" applyBorder="1" applyAlignment="1">
      <alignment horizontal="center" vertical="center"/>
    </xf>
    <xf numFmtId="0" fontId="3" fillId="0" borderId="27" xfId="1" applyFill="1" applyBorder="1" applyAlignment="1">
      <alignment horizontal="left" vertical="center" wrapText="1"/>
    </xf>
    <xf numFmtId="1" fontId="0" fillId="0" borderId="4" xfId="0" applyNumberFormat="1" applyBorder="1" applyAlignment="1">
      <alignment horizontal="center" vertical="center"/>
    </xf>
    <xf numFmtId="0" fontId="3" fillId="0" borderId="27" xfId="1" applyBorder="1" applyAlignment="1">
      <alignment horizontal="left" vertical="center"/>
    </xf>
    <xf numFmtId="1" fontId="0" fillId="2" borderId="1" xfId="0" applyNumberFormat="1" applyFill="1" applyBorder="1" applyAlignment="1">
      <alignment horizontal="center" vertical="center"/>
    </xf>
    <xf numFmtId="1" fontId="18" fillId="2" borderId="1" xfId="0" applyNumberFormat="1" applyFont="1" applyFill="1" applyBorder="1" applyAlignment="1">
      <alignment horizontal="center" vertical="center"/>
    </xf>
    <xf numFmtId="0" fontId="51" fillId="0" borderId="0" xfId="0" applyFont="1" applyAlignment="1">
      <alignment horizontal="justify" vertical="center"/>
    </xf>
    <xf numFmtId="0" fontId="52" fillId="0" borderId="0" xfId="0" applyFont="1" applyAlignment="1">
      <alignment horizontal="justify" vertical="center"/>
    </xf>
    <xf numFmtId="0" fontId="53" fillId="0" borderId="0" xfId="0" applyFont="1" applyAlignment="1">
      <alignment horizontal="justify" vertical="center"/>
    </xf>
    <xf numFmtId="0" fontId="53" fillId="0" borderId="0" xfId="0" applyFont="1" applyAlignment="1">
      <alignment horizontal="left" vertical="center" indent="4"/>
    </xf>
    <xf numFmtId="0" fontId="0" fillId="27" borderId="15" xfId="0" applyFill="1" applyBorder="1" applyAlignment="1">
      <alignment horizontal="center" vertical="center"/>
    </xf>
    <xf numFmtId="4" fontId="0" fillId="0" borderId="0" xfId="0" applyNumberFormat="1" applyAlignment="1">
      <alignment horizontal="center" vertical="center"/>
    </xf>
    <xf numFmtId="4" fontId="18" fillId="5" borderId="1" xfId="0" applyNumberFormat="1" applyFont="1" applyFill="1" applyBorder="1" applyAlignment="1">
      <alignment horizontal="center" vertical="center"/>
    </xf>
    <xf numFmtId="4" fontId="0" fillId="0" borderId="27" xfId="0" applyNumberFormat="1" applyBorder="1" applyAlignment="1">
      <alignment horizontal="center" vertical="center"/>
    </xf>
    <xf numFmtId="0" fontId="4" fillId="0" borderId="27" xfId="0" applyFont="1" applyBorder="1" applyAlignment="1">
      <alignment vertical="center" wrapText="1"/>
    </xf>
    <xf numFmtId="0" fontId="3" fillId="0" borderId="27" xfId="1" applyFill="1" applyBorder="1" applyAlignment="1">
      <alignment wrapText="1"/>
    </xf>
    <xf numFmtId="0" fontId="4" fillId="0" borderId="28" xfId="0" applyFont="1" applyBorder="1" applyAlignment="1">
      <alignment vertical="center" wrapText="1"/>
    </xf>
    <xf numFmtId="0" fontId="3" fillId="0" borderId="6" xfId="1" applyFill="1" applyBorder="1" applyAlignment="1">
      <alignment wrapText="1"/>
    </xf>
    <xf numFmtId="0" fontId="5" fillId="0" borderId="27" xfId="0" applyFont="1" applyBorder="1" applyAlignment="1">
      <alignment horizontal="center" vertical="center" wrapText="1"/>
    </xf>
    <xf numFmtId="0" fontId="4"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horizontal="center" vertical="center" wrapText="1"/>
    </xf>
    <xf numFmtId="0" fontId="3" fillId="0" borderId="27" xfId="1" applyBorder="1" applyAlignment="1">
      <alignment wrapText="1"/>
    </xf>
    <xf numFmtId="0" fontId="5" fillId="0" borderId="28" xfId="0" applyFont="1" applyBorder="1" applyAlignment="1">
      <alignment horizontal="center" vertical="center" wrapText="1"/>
    </xf>
    <xf numFmtId="0" fontId="4" fillId="0" borderId="28" xfId="0" applyFont="1" applyBorder="1" applyAlignment="1">
      <alignment horizontal="center" vertical="center"/>
    </xf>
    <xf numFmtId="0" fontId="5" fillId="3" borderId="29" xfId="0" applyFont="1" applyFill="1" applyBorder="1" applyAlignment="1">
      <alignment horizontal="center" vertical="center" wrapText="1"/>
    </xf>
    <xf numFmtId="0" fontId="4" fillId="3" borderId="31" xfId="0" applyFont="1" applyFill="1" applyBorder="1" applyAlignment="1">
      <alignment horizontal="center" vertical="center"/>
    </xf>
    <xf numFmtId="0" fontId="4" fillId="3" borderId="31" xfId="0" applyFont="1" applyFill="1" applyBorder="1"/>
    <xf numFmtId="0" fontId="4" fillId="3" borderId="32"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29" xfId="0" applyFont="1" applyFill="1" applyBorder="1" applyAlignment="1">
      <alignment horizontal="left" vertical="center"/>
    </xf>
    <xf numFmtId="0" fontId="1" fillId="0" borderId="1" xfId="0" applyFont="1" applyBorder="1" applyAlignment="1">
      <alignment horizontal="center" wrapText="1"/>
    </xf>
    <xf numFmtId="0" fontId="3" fillId="0" borderId="11" xfId="1" applyFill="1" applyBorder="1" applyAlignment="1">
      <alignment wrapText="1"/>
    </xf>
    <xf numFmtId="0" fontId="24" fillId="0" borderId="1" xfId="0" applyFont="1" applyBorder="1" applyAlignment="1">
      <alignment horizontal="left" vertical="center" wrapText="1"/>
    </xf>
    <xf numFmtId="0" fontId="1" fillId="0" borderId="6" xfId="0" applyFont="1" applyBorder="1" applyAlignment="1">
      <alignment horizontal="left" vertical="center" wrapText="1"/>
    </xf>
    <xf numFmtId="0" fontId="13" fillId="0" borderId="27" xfId="0" applyFont="1" applyBorder="1" applyAlignment="1">
      <alignment horizontal="left" vertical="center" wrapText="1"/>
    </xf>
    <xf numFmtId="0" fontId="13" fillId="0" borderId="32" xfId="0" applyFont="1" applyBorder="1" applyAlignment="1">
      <alignment horizontal="left" vertical="center" wrapText="1"/>
    </xf>
    <xf numFmtId="0" fontId="3" fillId="0" borderId="27" xfId="1" applyFill="1" applyBorder="1" applyAlignment="1">
      <alignment horizontal="left" wrapText="1"/>
    </xf>
    <xf numFmtId="0" fontId="4" fillId="0" borderId="27" xfId="0" applyFont="1" applyBorder="1" applyAlignment="1">
      <alignment horizontal="left" vertical="center"/>
    </xf>
    <xf numFmtId="0" fontId="0" fillId="0" borderId="0" xfId="0" applyAlignment="1">
      <alignment horizontal="left"/>
    </xf>
    <xf numFmtId="0" fontId="15" fillId="0" borderId="32" xfId="0" applyFont="1" applyBorder="1" applyAlignment="1">
      <alignment horizontal="left" vertical="center" wrapText="1"/>
    </xf>
    <xf numFmtId="0" fontId="0" fillId="0" borderId="32" xfId="0" applyBorder="1" applyAlignment="1">
      <alignment horizontal="left" vertical="center" wrapText="1"/>
    </xf>
    <xf numFmtId="0" fontId="15" fillId="0" borderId="27" xfId="0" applyFont="1" applyBorder="1" applyAlignment="1">
      <alignment horizontal="left" vertical="center" wrapText="1"/>
    </xf>
    <xf numFmtId="0" fontId="4" fillId="0" borderId="27" xfId="1" applyFont="1" applyFill="1" applyBorder="1" applyAlignment="1">
      <alignment horizontal="left" vertical="center" wrapText="1"/>
    </xf>
    <xf numFmtId="0" fontId="11" fillId="0" borderId="32" xfId="0" applyFont="1" applyBorder="1" applyAlignment="1">
      <alignment horizontal="left" vertical="center" wrapText="1"/>
    </xf>
    <xf numFmtId="0" fontId="4" fillId="0" borderId="32" xfId="1" applyFont="1" applyFill="1" applyBorder="1" applyAlignment="1">
      <alignment horizontal="left" vertical="center" wrapText="1"/>
    </xf>
    <xf numFmtId="0" fontId="14" fillId="0" borderId="32" xfId="0" applyFont="1" applyBorder="1" applyAlignment="1">
      <alignment horizontal="left" vertical="center" wrapText="1"/>
    </xf>
    <xf numFmtId="0" fontId="17" fillId="0" borderId="0" xfId="0" applyFont="1" applyAlignment="1">
      <alignment horizontal="left"/>
    </xf>
    <xf numFmtId="0" fontId="16" fillId="0" borderId="0" xfId="0" applyFont="1" applyAlignment="1">
      <alignment horizontal="left"/>
    </xf>
    <xf numFmtId="0" fontId="0" fillId="3" borderId="31" xfId="0" applyFill="1" applyBorder="1" applyAlignment="1">
      <alignment horizontal="center" vertical="center"/>
    </xf>
    <xf numFmtId="0" fontId="0" fillId="3" borderId="16" xfId="0" applyFill="1" applyBorder="1" applyAlignment="1">
      <alignment vertical="center"/>
    </xf>
    <xf numFmtId="0" fontId="4" fillId="0" borderId="27" xfId="1" applyFont="1" applyFill="1" applyBorder="1" applyAlignment="1">
      <alignment vertical="center" wrapText="1"/>
    </xf>
    <xf numFmtId="0" fontId="3" fillId="0" borderId="28" xfId="1" applyBorder="1" applyAlignment="1">
      <alignment wrapText="1"/>
    </xf>
    <xf numFmtId="0" fontId="3" fillId="0" borderId="29" xfId="1" applyBorder="1" applyAlignment="1">
      <alignment horizontal="left" wrapText="1"/>
    </xf>
    <xf numFmtId="0" fontId="1" fillId="0" borderId="28" xfId="0" applyFont="1" applyBorder="1" applyAlignment="1">
      <alignment horizontal="left" vertical="center" wrapText="1"/>
    </xf>
    <xf numFmtId="0" fontId="0" fillId="0" borderId="28" xfId="0" applyBorder="1" applyAlignment="1">
      <alignment horizontal="left" vertical="center" wrapText="1"/>
    </xf>
    <xf numFmtId="0" fontId="3" fillId="0" borderId="30" xfId="1" applyBorder="1" applyAlignment="1">
      <alignment horizontal="left" wrapText="1"/>
    </xf>
    <xf numFmtId="0" fontId="0" fillId="0" borderId="28" xfId="0" applyBorder="1" applyAlignment="1">
      <alignment horizontal="left" wrapText="1"/>
    </xf>
    <xf numFmtId="0" fontId="3" fillId="0" borderId="28" xfId="1" applyBorder="1" applyAlignment="1">
      <alignment horizontal="left" wrapText="1"/>
    </xf>
    <xf numFmtId="0" fontId="3" fillId="0" borderId="27" xfId="1" applyBorder="1" applyAlignment="1">
      <alignment horizontal="left" wrapText="1"/>
    </xf>
    <xf numFmtId="0" fontId="0" fillId="0" borderId="28" xfId="0" applyBorder="1" applyAlignment="1">
      <alignment vertical="center" wrapText="1"/>
    </xf>
    <xf numFmtId="0" fontId="0" fillId="0" borderId="27" xfId="0" applyBorder="1" applyAlignment="1">
      <alignment vertical="center"/>
    </xf>
    <xf numFmtId="0" fontId="0" fillId="0" borderId="27" xfId="0" applyBorder="1" applyAlignment="1">
      <alignment vertical="center" wrapText="1"/>
    </xf>
    <xf numFmtId="0" fontId="0" fillId="0" borderId="28" xfId="0" applyBorder="1" applyAlignment="1">
      <alignment horizontal="left"/>
    </xf>
    <xf numFmtId="0" fontId="5" fillId="0" borderId="27" xfId="0" applyFont="1" applyBorder="1" applyAlignment="1">
      <alignment vertical="center" wrapText="1"/>
    </xf>
    <xf numFmtId="0" fontId="3" fillId="0" borderId="27" xfId="1" applyBorder="1" applyAlignment="1">
      <alignment horizontal="left"/>
    </xf>
    <xf numFmtId="0" fontId="5" fillId="0" borderId="28" xfId="0" applyFont="1" applyBorder="1" applyAlignment="1">
      <alignment vertical="center" wrapText="1"/>
    </xf>
    <xf numFmtId="0" fontId="0" fillId="0" borderId="28" xfId="0" applyBorder="1" applyAlignment="1">
      <alignment horizontal="left" vertical="center"/>
    </xf>
    <xf numFmtId="0" fontId="13" fillId="0" borderId="27" xfId="0" applyFont="1" applyBorder="1" applyAlignment="1">
      <alignment horizontal="center" vertical="center"/>
    </xf>
    <xf numFmtId="1" fontId="0" fillId="0" borderId="0" xfId="0" applyNumberFormat="1"/>
    <xf numFmtId="0" fontId="3" fillId="0" borderId="27" xfId="1" applyFill="1" applyBorder="1" applyAlignment="1">
      <alignment horizontal="left" vertical="center"/>
    </xf>
    <xf numFmtId="167" fontId="1" fillId="5" borderId="4" xfId="61" applyNumberFormat="1" applyFont="1" applyFill="1" applyBorder="1" applyAlignment="1">
      <alignment horizontal="center" vertical="center"/>
    </xf>
    <xf numFmtId="0" fontId="54" fillId="0" borderId="0" xfId="62"/>
    <xf numFmtId="0" fontId="0" fillId="0" borderId="16" xfId="0" applyBorder="1" applyAlignment="1">
      <alignment horizontal="left" vertical="center"/>
    </xf>
    <xf numFmtId="0" fontId="3" fillId="0" borderId="16" xfId="1" applyBorder="1" applyAlignment="1">
      <alignment horizontal="left" vertical="center" wrapText="1"/>
    </xf>
    <xf numFmtId="0" fontId="24" fillId="0" borderId="4" xfId="0" applyFont="1" applyBorder="1" applyAlignment="1">
      <alignment horizontal="left" vertical="center"/>
    </xf>
    <xf numFmtId="0" fontId="13" fillId="0" borderId="17" xfId="0" applyFont="1" applyBorder="1" applyAlignment="1">
      <alignment horizontal="left" vertical="center"/>
    </xf>
    <xf numFmtId="1" fontId="19" fillId="0" borderId="27" xfId="14" applyNumberFormat="1" applyBorder="1" applyAlignment="1">
      <alignment horizontal="center" vertical="center"/>
    </xf>
    <xf numFmtId="0" fontId="3" fillId="0" borderId="27" xfId="1" applyFill="1" applyBorder="1"/>
    <xf numFmtId="0" fontId="3" fillId="0" borderId="27" xfId="1" applyBorder="1" applyAlignment="1">
      <alignment vertical="center"/>
    </xf>
    <xf numFmtId="3" fontId="0" fillId="5" borderId="27" xfId="0" applyNumberFormat="1" applyFill="1" applyBorder="1" applyAlignment="1">
      <alignment horizontal="center" vertical="center"/>
    </xf>
    <xf numFmtId="3" fontId="0" fillId="4" borderId="27" xfId="0" applyNumberFormat="1" applyFill="1" applyBorder="1" applyAlignment="1">
      <alignment horizontal="center" vertical="center"/>
    </xf>
    <xf numFmtId="0" fontId="13" fillId="0" borderId="27" xfId="1" applyFont="1" applyBorder="1" applyAlignment="1">
      <alignment horizontal="left" vertical="center"/>
    </xf>
    <xf numFmtId="165" fontId="0" fillId="4" borderId="27" xfId="0" applyNumberFormat="1" applyFill="1" applyBorder="1" applyAlignment="1">
      <alignment horizontal="center" vertical="center"/>
    </xf>
    <xf numFmtId="0" fontId="13" fillId="0" borderId="15" xfId="0" applyFont="1" applyBorder="1" applyAlignment="1">
      <alignment horizontal="left" vertical="center"/>
    </xf>
    <xf numFmtId="0" fontId="4" fillId="0" borderId="15" xfId="1" applyFont="1" applyBorder="1" applyAlignment="1">
      <alignment horizontal="left" vertical="center" wrapText="1"/>
    </xf>
    <xf numFmtId="2" fontId="19" fillId="0" borderId="15" xfId="14" applyNumberFormat="1" applyBorder="1" applyAlignment="1">
      <alignment horizontal="center" vertical="center"/>
    </xf>
    <xf numFmtId="165" fontId="4" fillId="0" borderId="15" xfId="0" applyNumberFormat="1" applyFont="1" applyBorder="1" applyAlignment="1">
      <alignment horizontal="center" vertical="center"/>
    </xf>
    <xf numFmtId="0" fontId="2" fillId="9" borderId="0" xfId="0" applyFont="1" applyFill="1" applyAlignment="1">
      <alignment horizontal="center" vertical="center"/>
    </xf>
    <xf numFmtId="0" fontId="0" fillId="0" borderId="17" xfId="0" applyBorder="1" applyAlignment="1">
      <alignment horizontal="center" vertical="center"/>
    </xf>
    <xf numFmtId="0" fontId="0" fillId="0" borderId="6" xfId="0" applyBorder="1" applyAlignment="1">
      <alignment horizontal="center" vertical="center"/>
    </xf>
    <xf numFmtId="0" fontId="2" fillId="8" borderId="0" xfId="0" applyFont="1" applyFill="1" applyAlignment="1">
      <alignment horizontal="center" vertical="center"/>
    </xf>
    <xf numFmtId="0" fontId="2" fillId="8" borderId="2" xfId="0" applyFont="1" applyFill="1" applyBorder="1" applyAlignment="1">
      <alignment horizontal="center" vertical="center"/>
    </xf>
    <xf numFmtId="0" fontId="2" fillId="10" borderId="0" xfId="0" applyFont="1" applyFill="1" applyAlignment="1">
      <alignment horizontal="center" vertical="center"/>
    </xf>
    <xf numFmtId="0" fontId="2" fillId="10" borderId="2" xfId="0" applyFont="1" applyFill="1" applyBorder="1" applyAlignment="1">
      <alignment horizontal="center" vertical="center"/>
    </xf>
    <xf numFmtId="0" fontId="2" fillId="7" borderId="7"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0" xfId="0" applyFont="1" applyFill="1" applyAlignment="1">
      <alignment horizontal="center" vertical="center"/>
    </xf>
  </cellXfs>
  <cellStyles count="64">
    <cellStyle name="20% - Accent1 2" xfId="20" xr:uid="{00000000-0005-0000-0000-000000000000}"/>
    <cellStyle name="20% - Accent2 2" xfId="21" xr:uid="{00000000-0005-0000-0000-000001000000}"/>
    <cellStyle name="20% - Accent3 2" xfId="22" xr:uid="{00000000-0005-0000-0000-000002000000}"/>
    <cellStyle name="20% - Accent4 2" xfId="23" xr:uid="{00000000-0005-0000-0000-000003000000}"/>
    <cellStyle name="20% - Accent5 2" xfId="24" xr:uid="{00000000-0005-0000-0000-000004000000}"/>
    <cellStyle name="20% - Accent6 2" xfId="25" xr:uid="{00000000-0005-0000-0000-000005000000}"/>
    <cellStyle name="40% - Accent1 2" xfId="26" xr:uid="{00000000-0005-0000-0000-000006000000}"/>
    <cellStyle name="40% - Accent2 2" xfId="27" xr:uid="{00000000-0005-0000-0000-000007000000}"/>
    <cellStyle name="40% - Accent3 2" xfId="28" xr:uid="{00000000-0005-0000-0000-000008000000}"/>
    <cellStyle name="40% - Accent4 2" xfId="29" xr:uid="{00000000-0005-0000-0000-000009000000}"/>
    <cellStyle name="40% - Accent5 2" xfId="30" xr:uid="{00000000-0005-0000-0000-00000A000000}"/>
    <cellStyle name="40% - Accent6 2" xfId="31" xr:uid="{00000000-0005-0000-0000-00000B000000}"/>
    <cellStyle name="60% - Accent1 2" xfId="32" xr:uid="{00000000-0005-0000-0000-00000C000000}"/>
    <cellStyle name="60% - Accent2 2" xfId="33" xr:uid="{00000000-0005-0000-0000-00000D000000}"/>
    <cellStyle name="60% - Accent3 2" xfId="34" xr:uid="{00000000-0005-0000-0000-00000E000000}"/>
    <cellStyle name="60% - Accent4 2" xfId="35" xr:uid="{00000000-0005-0000-0000-00000F000000}"/>
    <cellStyle name="60% - Accent5 2" xfId="36" xr:uid="{00000000-0005-0000-0000-000010000000}"/>
    <cellStyle name="60% - Accent6 2" xfId="37" xr:uid="{00000000-0005-0000-0000-000011000000}"/>
    <cellStyle name="Accent1 2" xfId="38" xr:uid="{00000000-0005-0000-0000-000012000000}"/>
    <cellStyle name="Accent2 2" xfId="39" xr:uid="{00000000-0005-0000-0000-000013000000}"/>
    <cellStyle name="Accent3 2" xfId="40" xr:uid="{00000000-0005-0000-0000-000014000000}"/>
    <cellStyle name="Accent4 2" xfId="41" xr:uid="{00000000-0005-0000-0000-000015000000}"/>
    <cellStyle name="Accent5 2" xfId="42" xr:uid="{00000000-0005-0000-0000-000016000000}"/>
    <cellStyle name="Accent6 2" xfId="43" xr:uid="{00000000-0005-0000-0000-000017000000}"/>
    <cellStyle name="Bad 2" xfId="44" xr:uid="{00000000-0005-0000-0000-000018000000}"/>
    <cellStyle name="Calculation 2" xfId="45" xr:uid="{00000000-0005-0000-0000-000019000000}"/>
    <cellStyle name="Check Cell 2" xfId="46" xr:uid="{00000000-0005-0000-0000-00001A000000}"/>
    <cellStyle name="Comma 3" xfId="9" xr:uid="{00000000-0005-0000-0000-00001B000000}"/>
    <cellStyle name="Comma 3 2" xfId="17" xr:uid="{00000000-0005-0000-0000-00001C000000}"/>
    <cellStyle name="Explanatory Text 2" xfId="47" xr:uid="{00000000-0005-0000-0000-00001D000000}"/>
    <cellStyle name="Followed Hyperlink" xfId="3" builtinId="9" hidden="1"/>
    <cellStyle name="Followed Hyperlink" xfId="2" builtinId="9" hidden="1"/>
    <cellStyle name="Good 2" xfId="48" xr:uid="{00000000-0005-0000-0000-000020000000}"/>
    <cellStyle name="Heading 1 2" xfId="49" xr:uid="{00000000-0005-0000-0000-000021000000}"/>
    <cellStyle name="Heading 2 2" xfId="50" xr:uid="{00000000-0005-0000-0000-000022000000}"/>
    <cellStyle name="Heading 3 2" xfId="51" xr:uid="{00000000-0005-0000-0000-000023000000}"/>
    <cellStyle name="Heading 4 2" xfId="52" xr:uid="{00000000-0005-0000-0000-000024000000}"/>
    <cellStyle name="Hyperlink" xfId="1" builtinId="8"/>
    <cellStyle name="Hyperlink 2" xfId="63" xr:uid="{00000000-0005-0000-0000-00006C000000}"/>
    <cellStyle name="Input 2" xfId="53" xr:uid="{00000000-0005-0000-0000-000026000000}"/>
    <cellStyle name="Linked Cell 2" xfId="54" xr:uid="{00000000-0005-0000-0000-000027000000}"/>
    <cellStyle name="Neutral 2" xfId="55" xr:uid="{00000000-0005-0000-0000-000028000000}"/>
    <cellStyle name="Normal" xfId="0" builtinId="0"/>
    <cellStyle name="Normal 2" xfId="16" xr:uid="{00000000-0005-0000-0000-00002A000000}"/>
    <cellStyle name="Normal 2 2" xfId="18" xr:uid="{00000000-0005-0000-0000-00002B000000}"/>
    <cellStyle name="Normal 2 26 2" xfId="8" xr:uid="{00000000-0005-0000-0000-00002C000000}"/>
    <cellStyle name="Normal 2 3" xfId="13" xr:uid="{00000000-0005-0000-0000-00002D000000}"/>
    <cellStyle name="Normal 3" xfId="4" xr:uid="{00000000-0005-0000-0000-00002E000000}"/>
    <cellStyle name="Normal 3 2" xfId="11" xr:uid="{00000000-0005-0000-0000-00002F000000}"/>
    <cellStyle name="Normal 3 3" xfId="19" xr:uid="{00000000-0005-0000-0000-000030000000}"/>
    <cellStyle name="Normal 32" xfId="6" xr:uid="{00000000-0005-0000-0000-000031000000}"/>
    <cellStyle name="Normal 4" xfId="14" xr:uid="{00000000-0005-0000-0000-000032000000}"/>
    <cellStyle name="Normal 5" xfId="62" xr:uid="{00000000-0005-0000-0000-00006D000000}"/>
    <cellStyle name="Normal 7" xfId="5" xr:uid="{00000000-0005-0000-0000-000033000000}"/>
    <cellStyle name="Normal 8 23" xfId="7" xr:uid="{00000000-0005-0000-0000-000034000000}"/>
    <cellStyle name="Normal 9" xfId="12" xr:uid="{00000000-0005-0000-0000-000035000000}"/>
    <cellStyle name="Note 2" xfId="56" xr:uid="{00000000-0005-0000-0000-000036000000}"/>
    <cellStyle name="Output 2" xfId="57" xr:uid="{00000000-0005-0000-0000-000037000000}"/>
    <cellStyle name="Percent" xfId="61" builtinId="5"/>
    <cellStyle name="Percent 10 2" xfId="10" xr:uid="{00000000-0005-0000-0000-000039000000}"/>
    <cellStyle name="Percent 3" xfId="15" xr:uid="{00000000-0005-0000-0000-00003A000000}"/>
    <cellStyle name="Title 2" xfId="58" xr:uid="{00000000-0005-0000-0000-00003B000000}"/>
    <cellStyle name="Total 2" xfId="59" xr:uid="{00000000-0005-0000-0000-00003C000000}"/>
    <cellStyle name="Warning Text 2" xfId="60" xr:uid="{00000000-0005-0000-0000-00003D000000}"/>
  </cellStyles>
  <dxfs count="0"/>
  <tableStyles count="0" defaultTableStyle="TableStyleMedium2" defaultPivotStyle="PivotStyleLight16"/>
  <colors>
    <mruColors>
      <color rgb="FFA65628"/>
      <color rgb="FF4DAF4A"/>
      <color rgb="FFE41A1C"/>
      <color rgb="FF377EB8"/>
      <color rgb="FF999999"/>
      <color rgb="FFF781BF"/>
      <color rgb="FFFFFF33"/>
      <color rgb="FFFF7F00"/>
      <color rgb="FF984EA3"/>
      <color rgb="FFFFF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1.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3.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1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6.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7.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8.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20.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21.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22.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3.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4.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5.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SUMMARY'!$B$4:$K$4</c:f>
              <c:numCache>
                <c:formatCode>0.0</c:formatCode>
                <c:ptCount val="10"/>
                <c:pt idx="0">
                  <c:v>2.1844999999999999</c:v>
                </c:pt>
                <c:pt idx="1">
                  <c:v>2.1696599999999999</c:v>
                </c:pt>
                <c:pt idx="2">
                  <c:v>2.1495199999999999</c:v>
                </c:pt>
                <c:pt idx="3">
                  <c:v>2.13124</c:v>
                </c:pt>
                <c:pt idx="4">
                  <c:v>2.10981</c:v>
                </c:pt>
                <c:pt idx="5">
                  <c:v>2.1020099999999999</c:v>
                </c:pt>
                <c:pt idx="6">
                  <c:v>2.085</c:v>
                </c:pt>
                <c:pt idx="7">
                  <c:v>2.0680000000000001</c:v>
                </c:pt>
                <c:pt idx="8">
                  <c:v>2.06</c:v>
                </c:pt>
                <c:pt idx="9">
                  <c:v>2.048</c:v>
                </c:pt>
              </c:numCache>
            </c:numRef>
          </c:val>
          <c:extLst>
            <c:ext xmlns:c16="http://schemas.microsoft.com/office/drawing/2014/chart" uri="{C3380CC4-5D6E-409C-BE32-E72D297353CC}">
              <c16:uniqueId val="{00000000-2DB1-44C6-8FA0-651B8601A148}"/>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SUMMARY'!$B$5:$K$5</c:f>
              <c:numCache>
                <c:formatCode>0</c:formatCode>
                <c:ptCount val="10"/>
                <c:pt idx="0">
                  <c:v>918.6</c:v>
                </c:pt>
                <c:pt idx="1">
                  <c:v>917.59</c:v>
                </c:pt>
                <c:pt idx="2">
                  <c:v>915.66</c:v>
                </c:pt>
                <c:pt idx="3">
                  <c:v>914.42</c:v>
                </c:pt>
                <c:pt idx="4">
                  <c:v>914.6</c:v>
                </c:pt>
                <c:pt idx="5">
                  <c:v>914.03</c:v>
                </c:pt>
                <c:pt idx="6">
                  <c:v>913</c:v>
                </c:pt>
                <c:pt idx="7">
                  <c:v>912</c:v>
                </c:pt>
                <c:pt idx="8">
                  <c:v>911</c:v>
                </c:pt>
                <c:pt idx="9">
                  <c:v>910</c:v>
                </c:pt>
              </c:numCache>
            </c:numRef>
          </c:val>
          <c:smooth val="0"/>
          <c:extLst>
            <c:ext xmlns:c16="http://schemas.microsoft.com/office/drawing/2014/chart" uri="{C3380CC4-5D6E-409C-BE32-E72D297353CC}">
              <c16:uniqueId val="{00000001-2DB1-44C6-8FA0-651B8601A148}"/>
            </c:ext>
          </c:extLst>
        </c:ser>
        <c:dLbls>
          <c:showLegendKey val="0"/>
          <c:showVal val="0"/>
          <c:showCatName val="0"/>
          <c:showSerName val="0"/>
          <c:showPercent val="0"/>
          <c:showBubbleSize val="0"/>
        </c:dLbls>
        <c:marker val="1"/>
        <c:smooth val="0"/>
        <c:axId val="914857216"/>
        <c:axId val="91486049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a:t>
                </a:r>
                <a:r>
                  <a:rPr lang="en-US" sz="1000" baseline="0">
                    <a:solidFill>
                      <a:sysClr val="windowText" lastClr="000000"/>
                    </a:solidFill>
                  </a:rPr>
                  <a:t> of farms in the United States</a:t>
                </a:r>
                <a:endParaRPr lang="en-US" sz="1000">
                  <a:solidFill>
                    <a:sysClr val="windowText" lastClr="000000"/>
                  </a:solidFill>
                </a:endParaRPr>
              </a:p>
            </c:rich>
          </c:tx>
          <c:layout>
            <c:manualLayout>
              <c:xMode val="edge"/>
              <c:yMode val="edge"/>
              <c:x val="1.3941586168340509E-2"/>
              <c:y val="0.18083032589676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914860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Million</a:t>
                </a:r>
                <a:r>
                  <a:rPr lang="en-US" baseline="0">
                    <a:solidFill>
                      <a:schemeClr val="tx1"/>
                    </a:solidFill>
                  </a:rPr>
                  <a:t> acres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4857216"/>
        <c:crosses val="max"/>
        <c:crossBetween val="between"/>
      </c:valAx>
      <c:catAx>
        <c:axId val="914857216"/>
        <c:scaling>
          <c:orientation val="minMax"/>
        </c:scaling>
        <c:delete val="1"/>
        <c:axPos val="b"/>
        <c:numFmt formatCode="General" sourceLinked="1"/>
        <c:majorTickMark val="out"/>
        <c:minorTickMark val="none"/>
        <c:tickLblPos val="nextTo"/>
        <c:crossAx val="914860496"/>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SUMMARY'!$B$5:$K$5</c:f>
              <c:numCache>
                <c:formatCode>0</c:formatCode>
                <c:ptCount val="10"/>
                <c:pt idx="0">
                  <c:v>918.6</c:v>
                </c:pt>
                <c:pt idx="1">
                  <c:v>917.59</c:v>
                </c:pt>
                <c:pt idx="2">
                  <c:v>915.66</c:v>
                </c:pt>
                <c:pt idx="3">
                  <c:v>914.42</c:v>
                </c:pt>
                <c:pt idx="4">
                  <c:v>914.6</c:v>
                </c:pt>
                <c:pt idx="5">
                  <c:v>914.03</c:v>
                </c:pt>
                <c:pt idx="6">
                  <c:v>913</c:v>
                </c:pt>
                <c:pt idx="7">
                  <c:v>912</c:v>
                </c:pt>
                <c:pt idx="8">
                  <c:v>911</c:v>
                </c:pt>
                <c:pt idx="9">
                  <c:v>910</c:v>
                </c:pt>
              </c:numCache>
            </c:numRef>
          </c:val>
          <c:extLst>
            <c:ext xmlns:c16="http://schemas.microsoft.com/office/drawing/2014/chart" uri="{C3380CC4-5D6E-409C-BE32-E72D297353CC}">
              <c16:uniqueId val="{00000000-A8CB-4BCF-ABD5-4E3053CBF6F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'AGRICULTURE SUMMARY'!$B$3:$K$3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SUMMARY'!$B$11:$K$11</c:f>
              <c:numCache>
                <c:formatCode>General</c:formatCode>
                <c:ptCount val="10"/>
                <c:pt idx="0">
                  <c:v>421</c:v>
                </c:pt>
                <c:pt idx="1">
                  <c:v>423</c:v>
                </c:pt>
                <c:pt idx="2">
                  <c:v>426</c:v>
                </c:pt>
                <c:pt idx="3">
                  <c:v>429</c:v>
                </c:pt>
                <c:pt idx="4" formatCode="#,##0">
                  <c:v>433</c:v>
                </c:pt>
                <c:pt idx="5">
                  <c:v>435</c:v>
                </c:pt>
                <c:pt idx="6">
                  <c:v>438</c:v>
                </c:pt>
                <c:pt idx="7">
                  <c:v>441</c:v>
                </c:pt>
                <c:pt idx="8">
                  <c:v>442</c:v>
                </c:pt>
                <c:pt idx="9">
                  <c:v>444</c:v>
                </c:pt>
              </c:numCache>
            </c:numRef>
          </c:val>
          <c:smooth val="0"/>
          <c:extLst>
            <c:ext xmlns:c16="http://schemas.microsoft.com/office/drawing/2014/chart" uri="{C3380CC4-5D6E-409C-BE32-E72D297353CC}">
              <c16:uniqueId val="{00000001-A8CB-4BCF-ABD5-4E3053CBF6F9}"/>
            </c:ext>
          </c:extLst>
        </c:ser>
        <c:dLbls>
          <c:showLegendKey val="0"/>
          <c:showVal val="0"/>
          <c:showCatName val="0"/>
          <c:showSerName val="0"/>
          <c:showPercent val="0"/>
          <c:showBubbleSize val="0"/>
        </c:dLbls>
        <c:marker val="1"/>
        <c:smooth val="0"/>
        <c:axId val="914857216"/>
        <c:axId val="91486049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Acres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914860496"/>
        <c:scaling>
          <c:orientation val="minMax"/>
          <c:min val="30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baseline="0">
                    <a:solidFill>
                      <a:schemeClr val="tx1"/>
                    </a:solidFill>
                  </a:rPr>
                  <a:t>Acres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4857216"/>
        <c:crosses val="max"/>
        <c:crossBetween val="between"/>
      </c:valAx>
      <c:catAx>
        <c:axId val="914857216"/>
        <c:scaling>
          <c:orientation val="minMax"/>
        </c:scaling>
        <c:delete val="1"/>
        <c:axPos val="b"/>
        <c:numFmt formatCode="General" sourceLinked="1"/>
        <c:majorTickMark val="out"/>
        <c:minorTickMark val="none"/>
        <c:tickLblPos val="nextTo"/>
        <c:crossAx val="914860496"/>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91202499469042E-2"/>
          <c:y val="2.9110527850685335E-2"/>
          <c:w val="0.93799528033778945"/>
          <c:h val="0.92343467483231267"/>
        </c:manualLayout>
      </c:layout>
      <c:pieChart>
        <c:varyColors val="1"/>
        <c:ser>
          <c:idx val="0"/>
          <c:order val="0"/>
          <c:spPr>
            <a:solidFill>
              <a:srgbClr val="377EB8"/>
            </a:solidFill>
            <a:ln w="12700">
              <a:solidFill>
                <a:schemeClr val="tx1"/>
              </a:solidFill>
            </a:ln>
          </c:spPr>
          <c:dPt>
            <c:idx val="0"/>
            <c:bubble3D val="0"/>
            <c:spPr>
              <a:solidFill>
                <a:srgbClr val="377EB8"/>
              </a:solidFill>
              <a:ln w="12700">
                <a:solidFill>
                  <a:schemeClr val="tx1"/>
                </a:solidFill>
              </a:ln>
              <a:effectLst/>
            </c:spPr>
            <c:extLst>
              <c:ext xmlns:c16="http://schemas.microsoft.com/office/drawing/2014/chart" uri="{C3380CC4-5D6E-409C-BE32-E72D297353CC}">
                <c16:uniqueId val="{00000001-E1E2-4534-9F09-080A68772E4A}"/>
              </c:ext>
            </c:extLst>
          </c:dPt>
          <c:dPt>
            <c:idx val="1"/>
            <c:bubble3D val="0"/>
            <c:spPr>
              <a:solidFill>
                <a:srgbClr val="984EA3"/>
              </a:solidFill>
              <a:ln w="12700">
                <a:solidFill>
                  <a:schemeClr val="tx1"/>
                </a:solidFill>
              </a:ln>
              <a:effectLst/>
            </c:spPr>
            <c:extLst>
              <c:ext xmlns:c16="http://schemas.microsoft.com/office/drawing/2014/chart" uri="{C3380CC4-5D6E-409C-BE32-E72D297353CC}">
                <c16:uniqueId val="{00000003-E1E2-4534-9F09-080A68772E4A}"/>
              </c:ext>
            </c:extLst>
          </c:dPt>
          <c:dPt>
            <c:idx val="2"/>
            <c:bubble3D val="0"/>
            <c:spPr>
              <a:solidFill>
                <a:srgbClr val="FF7F00"/>
              </a:solidFill>
              <a:ln w="12700">
                <a:solidFill>
                  <a:schemeClr val="tx1"/>
                </a:solidFill>
              </a:ln>
              <a:effectLst/>
            </c:spPr>
            <c:extLst>
              <c:ext xmlns:c16="http://schemas.microsoft.com/office/drawing/2014/chart" uri="{C3380CC4-5D6E-409C-BE32-E72D297353CC}">
                <c16:uniqueId val="{00000005-E1E2-4534-9F09-080A68772E4A}"/>
              </c:ext>
            </c:extLst>
          </c:dPt>
          <c:dPt>
            <c:idx val="3"/>
            <c:bubble3D val="0"/>
            <c:spPr>
              <a:solidFill>
                <a:srgbClr val="FFFF33"/>
              </a:solidFill>
              <a:ln w="12700">
                <a:solidFill>
                  <a:schemeClr val="tx1"/>
                </a:solidFill>
              </a:ln>
              <a:effectLst/>
            </c:spPr>
            <c:extLst>
              <c:ext xmlns:c16="http://schemas.microsoft.com/office/drawing/2014/chart" uri="{C3380CC4-5D6E-409C-BE32-E72D297353CC}">
                <c16:uniqueId val="{00000007-E1E2-4534-9F09-080A68772E4A}"/>
              </c:ext>
            </c:extLst>
          </c:dPt>
          <c:cat>
            <c:strRef>
              <c:f>('AGRICULTURE SUMMARY'!$E$6:$E$7,'AGRICULTURE SUMMARY'!$E$9:$E$10)</c:f>
              <c:strCache>
                <c:ptCount val="4"/>
                <c:pt idx="0">
                  <c:v>Permanent pasture</c:v>
                </c:pt>
                <c:pt idx="1">
                  <c:v>Cropland</c:v>
                </c:pt>
                <c:pt idx="2">
                  <c:v>Woodland</c:v>
                </c:pt>
                <c:pt idx="3">
                  <c:v>Other purposes</c:v>
                </c:pt>
              </c:strCache>
            </c:strRef>
          </c:cat>
          <c:val>
            <c:numRef>
              <c:f>('AGRICULTURE SUMMARY'!$F$6:$F$7,'AGRICULTURE SUMMARY'!$F$9:$F$10)</c:f>
              <c:numCache>
                <c:formatCode>0</c:formatCode>
                <c:ptCount val="4"/>
                <c:pt idx="0">
                  <c:v>415.3</c:v>
                </c:pt>
                <c:pt idx="1">
                  <c:v>389.7</c:v>
                </c:pt>
                <c:pt idx="2">
                  <c:v>77</c:v>
                </c:pt>
                <c:pt idx="3">
                  <c:v>32.5</c:v>
                </c:pt>
              </c:numCache>
            </c:numRef>
          </c:val>
          <c:extLst>
            <c:ext xmlns:c16="http://schemas.microsoft.com/office/drawing/2014/chart" uri="{C3380CC4-5D6E-409C-BE32-E72D297353CC}">
              <c16:uniqueId val="{00000008-E1E2-4534-9F09-080A68772E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SUMMARY'!$E$23:$K$23</c:f>
              <c:numCache>
                <c:formatCode>#,##0</c:formatCode>
                <c:ptCount val="7"/>
                <c:pt idx="0">
                  <c:v>113.593051</c:v>
                </c:pt>
                <c:pt idx="1">
                  <c:v>96.455950999999999</c:v>
                </c:pt>
                <c:pt idx="2">
                  <c:v>123.752836</c:v>
                </c:pt>
                <c:pt idx="3">
                  <c:v>92.429956000000004</c:v>
                </c:pt>
                <c:pt idx="4">
                  <c:v>81.364080999999999</c:v>
                </c:pt>
                <c:pt idx="5">
                  <c:v>61.490594999999999</c:v>
                </c:pt>
                <c:pt idx="6">
                  <c:v>63.763302000000003</c:v>
                </c:pt>
              </c:numCache>
            </c:numRef>
          </c:val>
          <c:extLst>
            <c:ext xmlns:c16="http://schemas.microsoft.com/office/drawing/2014/chart" uri="{C3380CC4-5D6E-409C-BE32-E72D297353CC}">
              <c16:uniqueId val="{00000000-92A3-4BB9-8E97-900B058DE00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Farm assets</c:v>
          </c:tx>
          <c:spPr>
            <a:solidFill>
              <a:srgbClr val="4DAF4A"/>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SUMMARY'!$E$24:$K$24</c:f>
              <c:numCache>
                <c:formatCode>#,##0</c:formatCode>
                <c:ptCount val="7"/>
                <c:pt idx="0">
                  <c:v>2318.720178</c:v>
                </c:pt>
                <c:pt idx="1">
                  <c:v>2638.2371990000001</c:v>
                </c:pt>
                <c:pt idx="2">
                  <c:v>2776.1095879999998</c:v>
                </c:pt>
                <c:pt idx="3">
                  <c:v>2949.2384670000001</c:v>
                </c:pt>
                <c:pt idx="4">
                  <c:v>2909.6531730000002</c:v>
                </c:pt>
                <c:pt idx="5">
                  <c:v>2956.5330570000001</c:v>
                </c:pt>
                <c:pt idx="6">
                  <c:v>3039.5827049999998</c:v>
                </c:pt>
              </c:numCache>
            </c:numRef>
          </c:val>
          <c:extLst>
            <c:ext xmlns:c16="http://schemas.microsoft.com/office/drawing/2014/chart" uri="{C3380CC4-5D6E-409C-BE32-E72D297353CC}">
              <c16:uniqueId val="{00000000-0E11-468C-9E3D-2919AD0A3DEA}"/>
            </c:ext>
          </c:extLst>
        </c:ser>
        <c:ser>
          <c:idx val="2"/>
          <c:order val="1"/>
          <c:tx>
            <c:v>Farm equity</c:v>
          </c:tx>
          <c:spPr>
            <a:solidFill>
              <a:srgbClr val="E41A1C"/>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SUMMARY'!$E$26:$K$26</c:f>
              <c:numCache>
                <c:formatCode>#,##0</c:formatCode>
                <c:ptCount val="7"/>
                <c:pt idx="0">
                  <c:v>2024.248045</c:v>
                </c:pt>
                <c:pt idx="1">
                  <c:v>2340.7160749999998</c:v>
                </c:pt>
                <c:pt idx="2">
                  <c:v>2460.7770999999998</c:v>
                </c:pt>
                <c:pt idx="3">
                  <c:v>2604.0371140000002</c:v>
                </c:pt>
                <c:pt idx="4">
                  <c:v>2552.9151310000002</c:v>
                </c:pt>
                <c:pt idx="5">
                  <c:v>2582.368845</c:v>
                </c:pt>
                <c:pt idx="6">
                  <c:v>2654.4577009999998</c:v>
                </c:pt>
              </c:numCache>
            </c:numRef>
          </c:val>
          <c:extLst>
            <c:ext xmlns:c16="http://schemas.microsoft.com/office/drawing/2014/chart" uri="{C3380CC4-5D6E-409C-BE32-E72D297353CC}">
              <c16:uniqueId val="{00000002-0E11-468C-9E3D-2919AD0A3DEA}"/>
            </c:ext>
          </c:extLst>
        </c:ser>
        <c:ser>
          <c:idx val="0"/>
          <c:order val="2"/>
          <c:tx>
            <c:v>Farm debt</c:v>
          </c:tx>
          <c:spPr>
            <a:solidFill>
              <a:srgbClr val="377EB8"/>
            </a:solidFill>
            <a:ln>
              <a:solidFill>
                <a:schemeClr val="tx1"/>
              </a:solidFill>
            </a:ln>
            <a:effectLst/>
          </c:spPr>
          <c:invertIfNegative val="0"/>
          <c:cat>
            <c:numRef>
              <c:f>'AGRICULTURE SUMMARY'!$E$21:$K$21</c:f>
              <c:numCache>
                <c:formatCode>General</c:formatCode>
                <c:ptCount val="7"/>
                <c:pt idx="0">
                  <c:v>2011</c:v>
                </c:pt>
                <c:pt idx="1">
                  <c:v>2012</c:v>
                </c:pt>
                <c:pt idx="2">
                  <c:v>2013</c:v>
                </c:pt>
                <c:pt idx="3">
                  <c:v>2014</c:v>
                </c:pt>
                <c:pt idx="4">
                  <c:v>2015</c:v>
                </c:pt>
                <c:pt idx="5">
                  <c:v>2016</c:v>
                </c:pt>
                <c:pt idx="6">
                  <c:v>2017</c:v>
                </c:pt>
              </c:numCache>
            </c:numRef>
          </c:cat>
          <c:val>
            <c:numRef>
              <c:f>'AGRICULTURE SUMMARY'!$E$25:$K$25</c:f>
              <c:numCache>
                <c:formatCode>#,##0</c:formatCode>
                <c:ptCount val="7"/>
                <c:pt idx="0">
                  <c:v>294.47213299999999</c:v>
                </c:pt>
                <c:pt idx="1">
                  <c:v>297.52112299999999</c:v>
                </c:pt>
                <c:pt idx="2">
                  <c:v>315.33248800000001</c:v>
                </c:pt>
                <c:pt idx="3">
                  <c:v>345.20135399999998</c:v>
                </c:pt>
                <c:pt idx="4">
                  <c:v>356.73804100000001</c:v>
                </c:pt>
                <c:pt idx="5">
                  <c:v>374.16421200000002</c:v>
                </c:pt>
                <c:pt idx="6">
                  <c:v>385.12500399999999</c:v>
                </c:pt>
              </c:numCache>
            </c:numRef>
          </c:val>
          <c:extLst>
            <c:ext xmlns:c16="http://schemas.microsoft.com/office/drawing/2014/chart" uri="{C3380CC4-5D6E-409C-BE32-E72D297353CC}">
              <c16:uniqueId val="{00000001-0E11-468C-9E3D-2919AD0A3DE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306181562604737"/>
          <c:y val="5.2083333333333336E-2"/>
          <c:w val="0.4211580428610102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4DAF4A"/>
            </a:solidFill>
            <a:ln>
              <a:solidFill>
                <a:schemeClr val="tx1"/>
              </a:solidFill>
            </a:ln>
            <a:effectLst/>
          </c:spPr>
          <c:invertIfNegative val="0"/>
          <c:cat>
            <c:numRef>
              <c:f>'AGRICULTURE SUMMARY'!$B$15:$K$15</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SUMMARY'!$B$18:$K$18</c:f>
              <c:numCache>
                <c:formatCode>0</c:formatCode>
                <c:ptCount val="10"/>
                <c:pt idx="0">
                  <c:v>80.487688888999998</c:v>
                </c:pt>
                <c:pt idx="1">
                  <c:v>71.680992732999997</c:v>
                </c:pt>
                <c:pt idx="2">
                  <c:v>81.863353344000004</c:v>
                </c:pt>
                <c:pt idx="3">
                  <c:v>98.958657025999997</c:v>
                </c:pt>
                <c:pt idx="4">
                  <c:v>102.91933874999999</c:v>
                </c:pt>
                <c:pt idx="5">
                  <c:v>104.234683729</c:v>
                </c:pt>
                <c:pt idx="6">
                  <c:v>111.83484834399999</c:v>
                </c:pt>
                <c:pt idx="7">
                  <c:v>113.63277760299999</c:v>
                </c:pt>
                <c:pt idx="8">
                  <c:v>114.476789874</c:v>
                </c:pt>
                <c:pt idx="9">
                  <c:v>121.014036112</c:v>
                </c:pt>
              </c:numCache>
            </c:numRef>
          </c:val>
          <c:extLst>
            <c:ext xmlns:c16="http://schemas.microsoft.com/office/drawing/2014/chart" uri="{C3380CC4-5D6E-409C-BE32-E72D297353CC}">
              <c16:uniqueId val="{00000000-37C4-4070-BF0F-C34FDD35401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4DAF4A"/>
            </a:solidFill>
            <a:ln>
              <a:solidFill>
                <a:schemeClr val="tx1"/>
              </a:solidFill>
            </a:ln>
            <a:effectLst/>
          </c:spPr>
          <c:invertIfNegative val="0"/>
          <c:cat>
            <c:numRef>
              <c:f>'AGRICULTURE SUMMARY'!$B$15:$K$15</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SUMMARY'!$B$19:$K$19</c:f>
              <c:numCache>
                <c:formatCode>0</c:formatCode>
                <c:ptCount val="10"/>
                <c:pt idx="0">
                  <c:v>114.7614074</c:v>
                </c:pt>
                <c:pt idx="1">
                  <c:v>98.453932723999998</c:v>
                </c:pt>
                <c:pt idx="2">
                  <c:v>115.820101548</c:v>
                </c:pt>
                <c:pt idx="3">
                  <c:v>136.444449459</c:v>
                </c:pt>
                <c:pt idx="4">
                  <c:v>141.55021063500001</c:v>
                </c:pt>
                <c:pt idx="5">
                  <c:v>144.35606352900001</c:v>
                </c:pt>
                <c:pt idx="6">
                  <c:v>149.99002397300001</c:v>
                </c:pt>
                <c:pt idx="7">
                  <c:v>133.07045099800001</c:v>
                </c:pt>
                <c:pt idx="8">
                  <c:v>134.72866160000001</c:v>
                </c:pt>
                <c:pt idx="9">
                  <c:v>138.39729919000001</c:v>
                </c:pt>
              </c:numCache>
            </c:numRef>
          </c:val>
          <c:extLst>
            <c:ext xmlns:c16="http://schemas.microsoft.com/office/drawing/2014/chart" uri="{C3380CC4-5D6E-409C-BE32-E72D297353CC}">
              <c16:uniqueId val="{00000000-5EDA-4F94-BDFE-3AC2BF8EB3C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'AGRICULTURE SUMMARY'!$B$15:$J$15</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'AGRICULTURE SUMMARY'!$B$17:$J$17</c:f>
              <c:numCache>
                <c:formatCode>0</c:formatCode>
                <c:ptCount val="9"/>
                <c:pt idx="0">
                  <c:v>168.37556799999999</c:v>
                </c:pt>
                <c:pt idx="1">
                  <c:v>158.64103399999999</c:v>
                </c:pt>
                <c:pt idx="2">
                  <c:v>191.09882500000001</c:v>
                </c:pt>
                <c:pt idx="3">
                  <c:v>211.35933</c:v>
                </c:pt>
                <c:pt idx="4">
                  <c:v>223.86720600000001</c:v>
                </c:pt>
                <c:pt idx="5">
                  <c:v>210.17748900000001</c:v>
                </c:pt>
                <c:pt idx="6">
                  <c:v>194.803494</c:v>
                </c:pt>
                <c:pt idx="7">
                  <c:v>179.165302</c:v>
                </c:pt>
                <c:pt idx="8">
                  <c:v>185.66010700000001</c:v>
                </c:pt>
              </c:numCache>
            </c:numRef>
          </c:val>
          <c:extLst>
            <c:ext xmlns:c16="http://schemas.microsoft.com/office/drawing/2014/chart" uri="{C3380CC4-5D6E-409C-BE32-E72D297353CC}">
              <c16:uniqueId val="{00000000-749F-47DF-9A24-71B962B4AD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barChart>
        <c:barDir val="col"/>
        <c:grouping val="stacked"/>
        <c:varyColors val="0"/>
        <c:ser>
          <c:idx val="1"/>
          <c:order val="0"/>
          <c:tx>
            <c:v>Nitrogen</c:v>
          </c:tx>
          <c:spPr>
            <a:solidFill>
              <a:srgbClr val="4DAF4A"/>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SUMMARY'!$B$34:$H$34</c:f>
              <c:numCache>
                <c:formatCode>#,##0</c:formatCode>
                <c:ptCount val="7"/>
                <c:pt idx="0">
                  <c:v>11.395150785</c:v>
                </c:pt>
                <c:pt idx="1">
                  <c:v>10.397247284999999</c:v>
                </c:pt>
                <c:pt idx="2">
                  <c:v>11.097594105000001</c:v>
                </c:pt>
                <c:pt idx="3">
                  <c:v>11.624668590000001</c:v>
                </c:pt>
                <c:pt idx="4">
                  <c:v>12.231575355</c:v>
                </c:pt>
                <c:pt idx="5">
                  <c:v>12.248811869999999</c:v>
                </c:pt>
                <c:pt idx="6">
                  <c:v>12.061024574999999</c:v>
                </c:pt>
              </c:numCache>
            </c:numRef>
          </c:val>
          <c:extLst>
            <c:ext xmlns:c16="http://schemas.microsoft.com/office/drawing/2014/chart" uri="{C3380CC4-5D6E-409C-BE32-E72D297353CC}">
              <c16:uniqueId val="{00000000-A46E-432A-9C4C-4E83C51F706B}"/>
            </c:ext>
          </c:extLst>
        </c:ser>
        <c:ser>
          <c:idx val="0"/>
          <c:order val="1"/>
          <c:tx>
            <c:v>Phosphorous</c:v>
          </c:tx>
          <c:spPr>
            <a:solidFill>
              <a:srgbClr val="E41A1C"/>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SUMMARY'!$B$37:$H$37</c:f>
              <c:numCache>
                <c:formatCode>#,##0</c:formatCode>
                <c:ptCount val="7"/>
                <c:pt idx="0">
                  <c:v>3.8528146950000002</c:v>
                </c:pt>
                <c:pt idx="1">
                  <c:v>2.8467465299999999</c:v>
                </c:pt>
                <c:pt idx="2">
                  <c:v>3.7747967849999999</c:v>
                </c:pt>
                <c:pt idx="3">
                  <c:v>3.896359575</c:v>
                </c:pt>
                <c:pt idx="4">
                  <c:v>3.9453475650000001</c:v>
                </c:pt>
                <c:pt idx="5">
                  <c:v>4.2619551300000005</c:v>
                </c:pt>
                <c:pt idx="6">
                  <c:v>4.2592335750000005</c:v>
                </c:pt>
              </c:numCache>
            </c:numRef>
          </c:val>
          <c:extLst>
            <c:ext xmlns:c16="http://schemas.microsoft.com/office/drawing/2014/chart" uri="{C3380CC4-5D6E-409C-BE32-E72D297353CC}">
              <c16:uniqueId val="{00000001-A46E-432A-9C4C-4E83C51F706B}"/>
            </c:ext>
          </c:extLst>
        </c:ser>
        <c:ser>
          <c:idx val="2"/>
          <c:order val="2"/>
          <c:tx>
            <c:v>Potassium</c:v>
          </c:tx>
          <c:spPr>
            <a:solidFill>
              <a:srgbClr val="377EB8"/>
            </a:solidFill>
            <a:ln>
              <a:solidFill>
                <a:sysClr val="windowText" lastClr="000000"/>
              </a:solidFill>
            </a:ln>
            <a:effectLst/>
          </c:spPr>
          <c:invertIfNegative val="0"/>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SUMMARY'!$B$40:$H$40</c:f>
              <c:numCache>
                <c:formatCode>#,##0</c:formatCode>
                <c:ptCount val="7"/>
                <c:pt idx="0">
                  <c:v>4.2274821000000005</c:v>
                </c:pt>
                <c:pt idx="1">
                  <c:v>2.7950369850000003</c:v>
                </c:pt>
                <c:pt idx="2">
                  <c:v>4.0460451000000006</c:v>
                </c:pt>
                <c:pt idx="3">
                  <c:v>4.1458354500000008</c:v>
                </c:pt>
                <c:pt idx="4">
                  <c:v>4.1857515899999997</c:v>
                </c:pt>
                <c:pt idx="5">
                  <c:v>4.3989400649999997</c:v>
                </c:pt>
                <c:pt idx="6">
                  <c:v>4.7663499900000001</c:v>
                </c:pt>
              </c:numCache>
            </c:numRef>
          </c:val>
          <c:extLst>
            <c:ext xmlns:c16="http://schemas.microsoft.com/office/drawing/2014/chart" uri="{C3380CC4-5D6E-409C-BE32-E72D297353CC}">
              <c16:uniqueId val="{00000002-A46E-432A-9C4C-4E83C51F706B}"/>
            </c:ext>
          </c:extLst>
        </c:ser>
        <c:dLbls>
          <c:showLegendKey val="0"/>
          <c:showVal val="0"/>
          <c:showCatName val="0"/>
          <c:showSerName val="0"/>
          <c:showPercent val="0"/>
          <c:showBubbleSize val="0"/>
        </c:dLbls>
        <c:gapWidth val="150"/>
        <c:overlap val="100"/>
        <c:axId val="615096144"/>
        <c:axId val="615094832"/>
      </c:bar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max val="2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Million metric tons</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between"/>
      </c:valAx>
      <c:spPr>
        <a:noFill/>
        <a:ln>
          <a:solidFill>
            <a:schemeClr val="tx1"/>
          </a:solidFill>
        </a:ln>
        <a:effectLst/>
      </c:spPr>
    </c:plotArea>
    <c:legend>
      <c:legendPos val="t"/>
      <c:layout>
        <c:manualLayout>
          <c:xMode val="edge"/>
          <c:yMode val="edge"/>
          <c:x val="0.10855549306336708"/>
          <c:y val="5.9027777777777776E-2"/>
          <c:w val="0.39140736608812954"/>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lineChart>
        <c:grouping val="standard"/>
        <c:varyColors val="0"/>
        <c:ser>
          <c:idx val="1"/>
          <c:order val="0"/>
          <c:tx>
            <c:v>Nitrogen</c:v>
          </c:tx>
          <c:spPr>
            <a:ln w="28575" cap="rnd">
              <a:solidFill>
                <a:srgbClr val="4DAF4A"/>
              </a:solidFill>
              <a:round/>
            </a:ln>
            <a:effectLst/>
          </c:spPr>
          <c:marker>
            <c:symbol val="none"/>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SUMMARY'!$B$35:$H$35</c:f>
              <c:numCache>
                <c:formatCode>#,##0</c:formatCode>
                <c:ptCount val="7"/>
                <c:pt idx="0">
                  <c:v>363.78118499999999</c:v>
                </c:pt>
                <c:pt idx="1">
                  <c:v>290.29919999999998</c:v>
                </c:pt>
                <c:pt idx="2">
                  <c:v>256.73335500000002</c:v>
                </c:pt>
                <c:pt idx="3">
                  <c:v>318.42193500000002</c:v>
                </c:pt>
                <c:pt idx="4">
                  <c:v>365.59555499999999</c:v>
                </c:pt>
                <c:pt idx="5">
                  <c:v>371.94585000000001</c:v>
                </c:pt>
                <c:pt idx="6">
                  <c:v>325.67941500000001</c:v>
                </c:pt>
              </c:numCache>
            </c:numRef>
          </c:val>
          <c:smooth val="0"/>
          <c:extLst>
            <c:ext xmlns:c16="http://schemas.microsoft.com/office/drawing/2014/chart" uri="{C3380CC4-5D6E-409C-BE32-E72D297353CC}">
              <c16:uniqueId val="{00000000-37A6-4588-8079-02B1211486D7}"/>
            </c:ext>
          </c:extLst>
        </c:ser>
        <c:ser>
          <c:idx val="0"/>
          <c:order val="1"/>
          <c:tx>
            <c:v>Phosphorous</c:v>
          </c:tx>
          <c:spPr>
            <a:ln w="28575" cap="rnd">
              <a:solidFill>
                <a:srgbClr val="E41A1C"/>
              </a:solidFill>
              <a:round/>
            </a:ln>
            <a:effectLst/>
          </c:spPr>
          <c:marker>
            <c:symbol val="square"/>
            <c:size val="9"/>
            <c:spPr>
              <a:solidFill>
                <a:srgbClr val="E41A1C"/>
              </a:solidFill>
              <a:ln w="9525">
                <a:solidFill>
                  <a:srgbClr val="E41A1C"/>
                </a:solidFill>
              </a:ln>
              <a:effectLst/>
            </c:spPr>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SUMMARY'!$B$38:$H$38</c:f>
              <c:numCache>
                <c:formatCode>#,##0</c:formatCode>
                <c:ptCount val="7"/>
                <c:pt idx="0">
                  <c:v>725.74800000000005</c:v>
                </c:pt>
                <c:pt idx="1">
                  <c:v>579.69121500000006</c:v>
                </c:pt>
                <c:pt idx="2">
                  <c:v>459.94279499999999</c:v>
                </c:pt>
                <c:pt idx="3">
                  <c:v>574.24810500000001</c:v>
                </c:pt>
                <c:pt idx="4">
                  <c:v>661.33786499999997</c:v>
                </c:pt>
                <c:pt idx="5">
                  <c:v>635.93668500000001</c:v>
                </c:pt>
                <c:pt idx="6">
                  <c:v>563.36188500000003</c:v>
                </c:pt>
              </c:numCache>
            </c:numRef>
          </c:val>
          <c:smooth val="0"/>
          <c:extLst>
            <c:ext xmlns:c16="http://schemas.microsoft.com/office/drawing/2014/chart" uri="{C3380CC4-5D6E-409C-BE32-E72D297353CC}">
              <c16:uniqueId val="{00000001-37A6-4588-8079-02B1211486D7}"/>
            </c:ext>
          </c:extLst>
        </c:ser>
        <c:ser>
          <c:idx val="2"/>
          <c:order val="2"/>
          <c:tx>
            <c:v>Potassium</c:v>
          </c:tx>
          <c:spPr>
            <a:ln w="28575" cap="rnd">
              <a:solidFill>
                <a:srgbClr val="377EB8"/>
              </a:solidFill>
              <a:round/>
            </a:ln>
            <a:effectLst/>
          </c:spPr>
          <c:marker>
            <c:symbol val="x"/>
            <c:size val="11"/>
            <c:spPr>
              <a:noFill/>
              <a:ln w="38100">
                <a:solidFill>
                  <a:srgbClr val="377EB8"/>
                </a:solidFill>
              </a:ln>
              <a:effectLst/>
            </c:spPr>
          </c:marker>
          <c:cat>
            <c:numRef>
              <c:f>'AGRICULTURE SUMMARY'!$B$31:$H$31</c:f>
              <c:numCache>
                <c:formatCode>General</c:formatCode>
                <c:ptCount val="7"/>
                <c:pt idx="0">
                  <c:v>2008</c:v>
                </c:pt>
                <c:pt idx="1">
                  <c:v>2009</c:v>
                </c:pt>
                <c:pt idx="2">
                  <c:v>2010</c:v>
                </c:pt>
                <c:pt idx="3">
                  <c:v>2011</c:v>
                </c:pt>
                <c:pt idx="4">
                  <c:v>2012</c:v>
                </c:pt>
                <c:pt idx="5">
                  <c:v>2013</c:v>
                </c:pt>
                <c:pt idx="6">
                  <c:v>2014</c:v>
                </c:pt>
              </c:numCache>
            </c:numRef>
          </c:cat>
          <c:val>
            <c:numRef>
              <c:f>'AGRICULTURE SUMMARY'!$B$41:$H$41</c:f>
              <c:numCache>
                <c:formatCode>#,##0</c:formatCode>
                <c:ptCount val="7"/>
                <c:pt idx="0">
                  <c:v>508.93078500000001</c:v>
                </c:pt>
                <c:pt idx="1">
                  <c:v>773.82880499999999</c:v>
                </c:pt>
                <c:pt idx="2">
                  <c:v>463.57153499999998</c:v>
                </c:pt>
                <c:pt idx="3">
                  <c:v>545.21818500000006</c:v>
                </c:pt>
                <c:pt idx="4">
                  <c:v>586.94869500000004</c:v>
                </c:pt>
                <c:pt idx="5">
                  <c:v>539.77507500000002</c:v>
                </c:pt>
                <c:pt idx="6">
                  <c:v>545.21818500000006</c:v>
                </c:pt>
              </c:numCache>
            </c:numRef>
          </c:val>
          <c:smooth val="0"/>
          <c:extLst>
            <c:ext xmlns:c16="http://schemas.microsoft.com/office/drawing/2014/chart" uri="{C3380CC4-5D6E-409C-BE32-E72D297353CC}">
              <c16:uniqueId val="{00000002-37A6-4588-8079-02B1211486D7}"/>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Dollars per metric ton</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0855549306336708"/>
          <c:y val="5.9027777777777776E-2"/>
          <c:w val="0.5225559744438851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CORN!$B$12:$K$12</c:f>
              <c:numCache>
                <c:formatCode>#,##0.0</c:formatCode>
                <c:ptCount val="10"/>
                <c:pt idx="0">
                  <c:v>0.34399999999999997</c:v>
                </c:pt>
                <c:pt idx="1">
                  <c:v>0.21199999999999999</c:v>
                </c:pt>
                <c:pt idx="2">
                  <c:v>0.70299999999999996</c:v>
                </c:pt>
                <c:pt idx="3">
                  <c:v>0.746</c:v>
                </c:pt>
                <c:pt idx="4">
                  <c:v>4.0629999999999997</c:v>
                </c:pt>
                <c:pt idx="5">
                  <c:v>0.90900000000000003</c:v>
                </c:pt>
                <c:pt idx="6">
                  <c:v>0.80400000000000005</c:v>
                </c:pt>
                <c:pt idx="7">
                  <c:v>1.716</c:v>
                </c:pt>
                <c:pt idx="8">
                  <c:v>1.448</c:v>
                </c:pt>
                <c:pt idx="9">
                  <c:v>1.27</c:v>
                </c:pt>
              </c:numCache>
            </c:numRef>
          </c:val>
          <c:extLst>
            <c:ext xmlns:c16="http://schemas.microsoft.com/office/drawing/2014/chart" uri="{C3380CC4-5D6E-409C-BE32-E72D297353CC}">
              <c16:uniqueId val="{00000000-B576-420E-B329-44E260ECE80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ysClr val="windowText" lastClr="000000"/>
              </a:solidFill>
            </a:ln>
          </c:spPr>
          <c:dPt>
            <c:idx val="0"/>
            <c:bubble3D val="0"/>
            <c:spPr>
              <a:solidFill>
                <a:srgbClr val="E41A1C"/>
              </a:solidFill>
              <a:ln w="19050">
                <a:solidFill>
                  <a:sysClr val="windowText" lastClr="000000"/>
                </a:solidFill>
              </a:ln>
              <a:effectLst/>
            </c:spPr>
            <c:extLst>
              <c:ext xmlns:c16="http://schemas.microsoft.com/office/drawing/2014/chart" uri="{C3380CC4-5D6E-409C-BE32-E72D297353CC}">
                <c16:uniqueId val="{00000001-ADBA-4CF4-88B0-E0D7B7BC885C}"/>
              </c:ext>
            </c:extLst>
          </c:dPt>
          <c:dPt>
            <c:idx val="1"/>
            <c:bubble3D val="0"/>
            <c:spPr>
              <a:solidFill>
                <a:srgbClr val="377EB8"/>
              </a:solidFill>
              <a:ln w="19050">
                <a:solidFill>
                  <a:sysClr val="windowText" lastClr="000000"/>
                </a:solidFill>
              </a:ln>
              <a:effectLst/>
            </c:spPr>
            <c:extLst>
              <c:ext xmlns:c16="http://schemas.microsoft.com/office/drawing/2014/chart" uri="{C3380CC4-5D6E-409C-BE32-E72D297353CC}">
                <c16:uniqueId val="{00000003-ADBA-4CF4-88B0-E0D7B7BC885C}"/>
              </c:ext>
            </c:extLst>
          </c:dPt>
          <c:dPt>
            <c:idx val="2"/>
            <c:bubble3D val="0"/>
            <c:spPr>
              <a:solidFill>
                <a:srgbClr val="984EA3"/>
              </a:solidFill>
              <a:ln w="19050">
                <a:solidFill>
                  <a:sysClr val="windowText" lastClr="000000"/>
                </a:solidFill>
              </a:ln>
              <a:effectLst/>
            </c:spPr>
            <c:extLst>
              <c:ext xmlns:c16="http://schemas.microsoft.com/office/drawing/2014/chart" uri="{C3380CC4-5D6E-409C-BE32-E72D297353CC}">
                <c16:uniqueId val="{00000005-ADBA-4CF4-88B0-E0D7B7BC885C}"/>
              </c:ext>
            </c:extLst>
          </c:dPt>
          <c:dPt>
            <c:idx val="3"/>
            <c:bubble3D val="0"/>
            <c:spPr>
              <a:solidFill>
                <a:srgbClr val="FF7F00"/>
              </a:solidFill>
              <a:ln w="19050">
                <a:solidFill>
                  <a:sysClr val="windowText" lastClr="000000"/>
                </a:solidFill>
              </a:ln>
              <a:effectLst/>
            </c:spPr>
            <c:extLst>
              <c:ext xmlns:c16="http://schemas.microsoft.com/office/drawing/2014/chart" uri="{C3380CC4-5D6E-409C-BE32-E72D297353CC}">
                <c16:uniqueId val="{00000007-ADBA-4CF4-88B0-E0D7B7BC885C}"/>
              </c:ext>
            </c:extLst>
          </c:dPt>
          <c:dPt>
            <c:idx val="4"/>
            <c:bubble3D val="0"/>
            <c:spPr>
              <a:solidFill>
                <a:srgbClr val="FFFF33"/>
              </a:solidFill>
              <a:ln w="19050">
                <a:solidFill>
                  <a:sysClr val="windowText" lastClr="000000"/>
                </a:solidFill>
              </a:ln>
              <a:effectLst/>
            </c:spPr>
            <c:extLst>
              <c:ext xmlns:c16="http://schemas.microsoft.com/office/drawing/2014/chart" uri="{C3380CC4-5D6E-409C-BE32-E72D297353CC}">
                <c16:uniqueId val="{00000009-ADBA-4CF4-88B0-E0D7B7BC885C}"/>
              </c:ext>
            </c:extLst>
          </c:dPt>
          <c:dPt>
            <c:idx val="5"/>
            <c:bubble3D val="0"/>
            <c:spPr>
              <a:solidFill>
                <a:srgbClr val="A65628"/>
              </a:solidFill>
              <a:ln w="19050">
                <a:solidFill>
                  <a:sysClr val="windowText" lastClr="000000"/>
                </a:solidFill>
              </a:ln>
              <a:effectLst/>
            </c:spPr>
            <c:extLst>
              <c:ext xmlns:c16="http://schemas.microsoft.com/office/drawing/2014/chart" uri="{C3380CC4-5D6E-409C-BE32-E72D297353CC}">
                <c16:uniqueId val="{0000000B-ADBA-4CF4-88B0-E0D7B7BC885C}"/>
              </c:ext>
            </c:extLst>
          </c:dPt>
          <c:dPt>
            <c:idx val="6"/>
            <c:bubble3D val="0"/>
            <c:spPr>
              <a:solidFill>
                <a:srgbClr val="F781BF"/>
              </a:solidFill>
              <a:ln w="19050">
                <a:solidFill>
                  <a:sysClr val="windowText" lastClr="000000"/>
                </a:solidFill>
              </a:ln>
              <a:effectLst/>
            </c:spPr>
            <c:extLst>
              <c:ext xmlns:c16="http://schemas.microsoft.com/office/drawing/2014/chart" uri="{C3380CC4-5D6E-409C-BE32-E72D297353CC}">
                <c16:uniqueId val="{0000000D-ADBA-4CF4-88B0-E0D7B7BC885C}"/>
              </c:ext>
            </c:extLst>
          </c:dPt>
          <c:dPt>
            <c:idx val="7"/>
            <c:bubble3D val="0"/>
            <c:spPr>
              <a:solidFill>
                <a:srgbClr val="999999"/>
              </a:solidFill>
              <a:ln w="19050">
                <a:solidFill>
                  <a:sysClr val="windowText" lastClr="000000"/>
                </a:solidFill>
              </a:ln>
              <a:effectLst/>
            </c:spPr>
            <c:extLst>
              <c:ext xmlns:c16="http://schemas.microsoft.com/office/drawing/2014/chart" uri="{C3380CC4-5D6E-409C-BE32-E72D297353CC}">
                <c16:uniqueId val="{0000000F-ADBA-4CF4-88B0-E0D7B7BC885C}"/>
              </c:ext>
            </c:extLst>
          </c:dPt>
          <c:cat>
            <c:strRef>
              <c:f>(CORN!$A$17,CORN!$A$19:$A$25)</c:f>
              <c:strCache>
                <c:ptCount val="8"/>
                <c:pt idx="0">
                  <c:v>Total Volume of Corn Consumed for Feed (million metric tons)</c:v>
                </c:pt>
                <c:pt idx="1">
                  <c:v>     Corn Processed into Fuel Alcohol (million metric tons)</c:v>
                </c:pt>
                <c:pt idx="2">
                  <c:v>     Corn Processed into High Fructose Corn Syrup (million metric tons)</c:v>
                </c:pt>
                <c:pt idx="3">
                  <c:v>     Corn Processed into Glucose and Dextrose (million metric tons)</c:v>
                </c:pt>
                <c:pt idx="4">
                  <c:v>     Corn Processed into Starch (million metric tons)</c:v>
                </c:pt>
                <c:pt idx="5">
                  <c:v>     Corn Used as Cereal (million metric tons)</c:v>
                </c:pt>
                <c:pt idx="6">
                  <c:v>     Corn Processed into Alcoholic Beverages (million metric tons)</c:v>
                </c:pt>
                <c:pt idx="7">
                  <c:v>     Corn Saved for Seed (million metric tons)</c:v>
                </c:pt>
              </c:strCache>
            </c:strRef>
          </c:cat>
          <c:val>
            <c:numRef>
              <c:f>(CORN!$K$17,CORN!$K$19:$K$25)</c:f>
              <c:numCache>
                <c:formatCode>0</c:formatCode>
                <c:ptCount val="8"/>
                <c:pt idx="0">
                  <c:v>136.80000000000001</c:v>
                </c:pt>
                <c:pt idx="1">
                  <c:v>135.79882500000002</c:v>
                </c:pt>
                <c:pt idx="2">
                  <c:v>11.647</c:v>
                </c:pt>
                <c:pt idx="3" formatCode="0.0">
                  <c:v>9.2641000000000009</c:v>
                </c:pt>
                <c:pt idx="4" formatCode="0.0">
                  <c:v>5.8864000000000001</c:v>
                </c:pt>
                <c:pt idx="5" formatCode="0.0">
                  <c:v>5.1075000000000008</c:v>
                </c:pt>
                <c:pt idx="6" formatCode="0.0">
                  <c:v>3.6500000000000004</c:v>
                </c:pt>
                <c:pt idx="7" formatCode="0.00">
                  <c:v>0.73260000000000003</c:v>
                </c:pt>
              </c:numCache>
            </c:numRef>
          </c:val>
          <c:extLst>
            <c:ext xmlns:c16="http://schemas.microsoft.com/office/drawing/2014/chart" uri="{C3380CC4-5D6E-409C-BE32-E72D297353CC}">
              <c16:uniqueId val="{00000048-ADBA-4CF4-88B0-E0D7B7BC88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CORN!$B$5:$K$5</c:f>
              <c:numCache>
                <c:formatCode>0</c:formatCode>
                <c:ptCount val="10"/>
                <c:pt idx="0">
                  <c:v>85.981999999999999</c:v>
                </c:pt>
                <c:pt idx="1">
                  <c:v>86.382000000000005</c:v>
                </c:pt>
                <c:pt idx="2">
                  <c:v>88.191999999999993</c:v>
                </c:pt>
                <c:pt idx="3">
                  <c:v>91.936000000000007</c:v>
                </c:pt>
                <c:pt idx="4">
                  <c:v>97.290999999999997</c:v>
                </c:pt>
                <c:pt idx="5">
                  <c:v>95.364999999999995</c:v>
                </c:pt>
                <c:pt idx="6">
                  <c:v>90.596999999999994</c:v>
                </c:pt>
                <c:pt idx="7">
                  <c:v>88.019000000000005</c:v>
                </c:pt>
                <c:pt idx="8">
                  <c:v>94.004000000000005</c:v>
                </c:pt>
                <c:pt idx="9">
                  <c:v>90.167000000000002</c:v>
                </c:pt>
              </c:numCache>
            </c:numRef>
          </c:val>
          <c:extLst>
            <c:ext xmlns:c16="http://schemas.microsoft.com/office/drawing/2014/chart" uri="{C3380CC4-5D6E-409C-BE32-E72D297353CC}">
              <c16:uniqueId val="{00000000-3F0C-4842-9704-D60842272B6D}"/>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CORN!$B$7:$K$7</c:f>
              <c:numCache>
                <c:formatCode>0</c:formatCode>
                <c:ptCount val="10"/>
                <c:pt idx="0">
                  <c:v>25.45234155339806</c:v>
                </c:pt>
                <c:pt idx="1">
                  <c:v>31.544155992478025</c:v>
                </c:pt>
                <c:pt idx="2">
                  <c:v>36.601832580003617</c:v>
                </c:pt>
                <c:pt idx="3">
                  <c:v>41.191464381360475</c:v>
                </c:pt>
                <c:pt idx="4">
                  <c:v>44.453531938225353</c:v>
                </c:pt>
                <c:pt idx="5">
                  <c:v>42.749827586206891</c:v>
                </c:pt>
                <c:pt idx="6">
                  <c:v>40.251368074221794</c:v>
                </c:pt>
                <c:pt idx="7">
                  <c:v>38.523592290211255</c:v>
                </c:pt>
                <c:pt idx="8">
                  <c:v>41.579768086372539</c:v>
                </c:pt>
                <c:pt idx="9">
                  <c:v>39.690701926189703</c:v>
                </c:pt>
              </c:numCache>
            </c:numRef>
          </c:val>
          <c:smooth val="0"/>
          <c:extLst>
            <c:ext xmlns:c16="http://schemas.microsoft.com/office/drawing/2014/chart" uri="{C3380CC4-5D6E-409C-BE32-E72D297353CC}">
              <c16:uniqueId val="{00000001-3F0C-4842-9704-D60842272B6D}"/>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CORN!$B$10:$K$10</c:f>
              <c:numCache>
                <c:formatCode>0</c:formatCode>
                <c:ptCount val="10"/>
                <c:pt idx="0">
                  <c:v>305.911</c:v>
                </c:pt>
                <c:pt idx="1">
                  <c:v>331.92099999999999</c:v>
                </c:pt>
                <c:pt idx="2">
                  <c:v>315.61799999999999</c:v>
                </c:pt>
                <c:pt idx="3">
                  <c:v>312.78899999999999</c:v>
                </c:pt>
                <c:pt idx="4">
                  <c:v>273.19200000000001</c:v>
                </c:pt>
                <c:pt idx="5">
                  <c:v>351.27199999999999</c:v>
                </c:pt>
                <c:pt idx="6">
                  <c:v>361.09100000000001</c:v>
                </c:pt>
                <c:pt idx="7">
                  <c:v>345.50599999999997</c:v>
                </c:pt>
                <c:pt idx="8">
                  <c:v>384.77800000000002</c:v>
                </c:pt>
                <c:pt idx="9">
                  <c:v>370.96</c:v>
                </c:pt>
              </c:numCache>
            </c:numRef>
          </c:val>
          <c:extLst>
            <c:ext xmlns:c16="http://schemas.microsoft.com/office/drawing/2014/chart" uri="{C3380CC4-5D6E-409C-BE32-E72D297353CC}">
              <c16:uniqueId val="{00000000-0901-4ED2-898C-EDDCE0068AED}"/>
            </c:ext>
          </c:extLst>
        </c:ser>
        <c:ser>
          <c:idx val="0"/>
          <c:order val="1"/>
          <c:tx>
            <c:v>Consumption</c:v>
          </c:tx>
          <c:spPr>
            <a:solidFill>
              <a:srgbClr val="A65628"/>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CORN!$B$11:$K$11</c:f>
              <c:numCache>
                <c:formatCode>0</c:formatCode>
                <c:ptCount val="10"/>
                <c:pt idx="0">
                  <c:v>257.5</c:v>
                </c:pt>
                <c:pt idx="1">
                  <c:v>253.92250000000001</c:v>
                </c:pt>
                <c:pt idx="2">
                  <c:v>276.55</c:v>
                </c:pt>
                <c:pt idx="3">
                  <c:v>280.05</c:v>
                </c:pt>
                <c:pt idx="4">
                  <c:v>273.57499999999999</c:v>
                </c:pt>
                <c:pt idx="5">
                  <c:v>258.82499999999999</c:v>
                </c:pt>
                <c:pt idx="6">
                  <c:v>288.32499999999999</c:v>
                </c:pt>
                <c:pt idx="7">
                  <c:v>297.02500000000003</c:v>
                </c:pt>
                <c:pt idx="8">
                  <c:v>294.07499999999999</c:v>
                </c:pt>
                <c:pt idx="9">
                  <c:v>308.90000000000003</c:v>
                </c:pt>
              </c:numCache>
            </c:numRef>
          </c:val>
          <c:extLst>
            <c:ext xmlns:c16="http://schemas.microsoft.com/office/drawing/2014/chart" uri="{C3380CC4-5D6E-409C-BE32-E72D297353CC}">
              <c16:uniqueId val="{00000001-0901-4ED2-898C-EDDCE0068AE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CORN!$B$34:$K$34</c:f>
              <c:numCache>
                <c:formatCode>0</c:formatCode>
                <c:ptCount val="10"/>
                <c:pt idx="0">
                  <c:v>49.104148000000002</c:v>
                </c:pt>
                <c:pt idx="1">
                  <c:v>46.640936000000004</c:v>
                </c:pt>
                <c:pt idx="2">
                  <c:v>64.529628000000002</c:v>
                </c:pt>
                <c:pt idx="3">
                  <c:v>76.651241999999996</c:v>
                </c:pt>
                <c:pt idx="4">
                  <c:v>74.155298999999999</c:v>
                </c:pt>
                <c:pt idx="5">
                  <c:v>61.927548000000002</c:v>
                </c:pt>
                <c:pt idx="6">
                  <c:v>52.95176</c:v>
                </c:pt>
                <c:pt idx="7">
                  <c:v>49.339261</c:v>
                </c:pt>
                <c:pt idx="8">
                  <c:v>51.304296999999998</c:v>
                </c:pt>
                <c:pt idx="9">
                  <c:v>48.465485000000001</c:v>
                </c:pt>
              </c:numCache>
            </c:numRef>
          </c:val>
          <c:extLst>
            <c:ext xmlns:c16="http://schemas.microsoft.com/office/drawing/2014/chart" uri="{C3380CC4-5D6E-409C-BE32-E72D297353CC}">
              <c16:uniqueId val="{00000000-F93B-4F94-9812-067A8FB5205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CORN!$B$19:$K$19</c:f>
              <c:numCache>
                <c:formatCode>0</c:formatCode>
                <c:ptCount val="10"/>
                <c:pt idx="0">
                  <c:v>76.230351852499993</c:v>
                </c:pt>
                <c:pt idx="1">
                  <c:v>92.722226000000006</c:v>
                </c:pt>
                <c:pt idx="2">
                  <c:v>114.77892500000002</c:v>
                </c:pt>
                <c:pt idx="3">
                  <c:v>125.468525</c:v>
                </c:pt>
                <c:pt idx="4">
                  <c:v>125.00080000000001</c:v>
                </c:pt>
                <c:pt idx="5">
                  <c:v>116.02817500000002</c:v>
                </c:pt>
                <c:pt idx="6">
                  <c:v>128.09225000000001</c:v>
                </c:pt>
                <c:pt idx="7">
                  <c:v>130.00225</c:v>
                </c:pt>
                <c:pt idx="8">
                  <c:v>130.59035</c:v>
                </c:pt>
                <c:pt idx="9">
                  <c:v>135.79882500000002</c:v>
                </c:pt>
              </c:numCache>
            </c:numRef>
          </c:val>
          <c:extLst>
            <c:ext xmlns:c16="http://schemas.microsoft.com/office/drawing/2014/chart" uri="{C3380CC4-5D6E-409C-BE32-E72D297353CC}">
              <c16:uniqueId val="{00000000-AA0F-48F7-B199-B1611BB73327}"/>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CORN!$B$27:$K$27</c:f>
              <c:numCache>
                <c:formatCode>#,##0</c:formatCode>
                <c:ptCount val="10"/>
                <c:pt idx="0">
                  <c:v>29.60194174757282</c:v>
                </c:pt>
                <c:pt idx="1">
                  <c:v>36.517047524343063</c:v>
                </c:pt>
                <c:pt idx="2">
                  <c:v>41.502440788284218</c:v>
                </c:pt>
                <c:pt idx="3">
                  <c:v>44.804499196572038</c:v>
                </c:pt>
                <c:pt idx="4">
                  <c:v>45.691309512930644</c:v>
                </c:pt>
                <c:pt idx="5">
                  <c:v>44.827586206896555</c:v>
                </c:pt>
                <c:pt idx="6">
                  <c:v>44.42902974074395</c:v>
                </c:pt>
                <c:pt idx="7">
                  <c:v>43.767359649861113</c:v>
                </c:pt>
                <c:pt idx="8">
                  <c:v>44.231913627475997</c:v>
                </c:pt>
                <c:pt idx="9">
                  <c:v>44.019100032372933</c:v>
                </c:pt>
              </c:numCache>
            </c:numRef>
          </c:val>
          <c:smooth val="0"/>
          <c:extLst>
            <c:ext xmlns:c16="http://schemas.microsoft.com/office/drawing/2014/chart" uri="{C3380CC4-5D6E-409C-BE32-E72D297353CC}">
              <c16:uniqueId val="{00000001-AA0F-48F7-B199-B1611BB73327}"/>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CORN!$C$28:$K$28</c:f>
              <c:numCache>
                <c:formatCode>0.0</c:formatCode>
                <c:ptCount val="9"/>
                <c:pt idx="0">
                  <c:v>3.8101078532673041E-2</c:v>
                </c:pt>
                <c:pt idx="1">
                  <c:v>5.0801438043564053E-2</c:v>
                </c:pt>
                <c:pt idx="2">
                  <c:v>0.13788961754681672</c:v>
                </c:pt>
                <c:pt idx="3">
                  <c:v>0.25899661716852745</c:v>
                </c:pt>
                <c:pt idx="4">
                  <c:v>0.48442799848684293</c:v>
                </c:pt>
                <c:pt idx="5">
                  <c:v>0.4399767401987244</c:v>
                </c:pt>
                <c:pt idx="6">
                  <c:v>0.47354197604893633</c:v>
                </c:pt>
                <c:pt idx="7">
                  <c:v>0.59238105432941657</c:v>
                </c:pt>
                <c:pt idx="8">
                  <c:v>0.71620955956060395</c:v>
                </c:pt>
              </c:numCache>
            </c:numRef>
          </c:val>
          <c:extLst>
            <c:ext xmlns:c16="http://schemas.microsoft.com/office/drawing/2014/chart" uri="{C3380CC4-5D6E-409C-BE32-E72D297353CC}">
              <c16:uniqueId val="{00000000-8C17-402D-A9DE-DFC74FD1BA9C}"/>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CORN!$C$29:$K$29</c:f>
              <c:numCache>
                <c:formatCode>0</c:formatCode>
                <c:ptCount val="9"/>
                <c:pt idx="0">
                  <c:v>3.1492498582966606</c:v>
                </c:pt>
                <c:pt idx="1">
                  <c:v>3.9886109301167454</c:v>
                </c:pt>
                <c:pt idx="2">
                  <c:v>7.9241183231783596</c:v>
                </c:pt>
                <c:pt idx="3">
                  <c:v>14.600766022375872</c:v>
                </c:pt>
                <c:pt idx="4">
                  <c:v>27.314258372426526</c:v>
                </c:pt>
                <c:pt idx="5">
                  <c:v>23.675417240074562</c:v>
                </c:pt>
                <c:pt idx="6">
                  <c:v>21.11731828365825</c:v>
                </c:pt>
                <c:pt idx="7">
                  <c:v>23.540703385482001</c:v>
                </c:pt>
                <c:pt idx="8">
                  <c:v>27.247627264883523</c:v>
                </c:pt>
              </c:numCache>
            </c:numRef>
          </c:val>
          <c:smooth val="0"/>
          <c:extLst>
            <c:ext xmlns:c16="http://schemas.microsoft.com/office/drawing/2014/chart" uri="{C3380CC4-5D6E-409C-BE32-E72D297353CC}">
              <c16:uniqueId val="{00000001-8C17-402D-A9DE-DFC74FD1BA9C}"/>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CORN!$B$9:$K$9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CORN!$B$13:$K$13</c:f>
              <c:numCache>
                <c:formatCode>#,##0</c:formatCode>
                <c:ptCount val="10"/>
                <c:pt idx="0">
                  <c:v>46.965000000000003</c:v>
                </c:pt>
                <c:pt idx="1">
                  <c:v>50.27</c:v>
                </c:pt>
                <c:pt idx="2">
                  <c:v>46.508000000000003</c:v>
                </c:pt>
                <c:pt idx="3">
                  <c:v>39.095999999999997</c:v>
                </c:pt>
                <c:pt idx="4">
                  <c:v>18.545000000000002</c:v>
                </c:pt>
                <c:pt idx="5">
                  <c:v>48.79</c:v>
                </c:pt>
                <c:pt idx="6">
                  <c:v>47.420999999999999</c:v>
                </c:pt>
                <c:pt idx="7">
                  <c:v>48.287999999999997</c:v>
                </c:pt>
                <c:pt idx="8">
                  <c:v>58.241999999999997</c:v>
                </c:pt>
                <c:pt idx="9">
                  <c:v>56.518000000000001</c:v>
                </c:pt>
              </c:numCache>
            </c:numRef>
          </c:val>
          <c:extLst>
            <c:ext xmlns:c16="http://schemas.microsoft.com/office/drawing/2014/chart" uri="{C3380CC4-5D6E-409C-BE32-E72D297353CC}">
              <c16:uniqueId val="{00000000-A614-4C56-8B41-8BAE3CD034B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CORN!$B$32:$K$32</c:f>
              <c:numCache>
                <c:formatCode>0</c:formatCode>
                <c:ptCount val="10"/>
                <c:pt idx="0">
                  <c:v>162.39999999999998</c:v>
                </c:pt>
                <c:pt idx="1">
                  <c:v>141.99999999999997</c:v>
                </c:pt>
                <c:pt idx="2">
                  <c:v>207.2</c:v>
                </c:pt>
                <c:pt idx="3">
                  <c:v>248.79999999999998</c:v>
                </c:pt>
                <c:pt idx="4">
                  <c:v>275.59999999999997</c:v>
                </c:pt>
                <c:pt idx="5">
                  <c:v>178.39999999999998</c:v>
                </c:pt>
                <c:pt idx="6">
                  <c:v>148</c:v>
                </c:pt>
                <c:pt idx="7">
                  <c:v>144.39999999999998</c:v>
                </c:pt>
                <c:pt idx="8">
                  <c:v>134.39999999999998</c:v>
                </c:pt>
                <c:pt idx="9">
                  <c:v>134.39999999999998</c:v>
                </c:pt>
              </c:numCache>
            </c:numRef>
          </c:val>
          <c:extLst>
            <c:ext xmlns:c16="http://schemas.microsoft.com/office/drawing/2014/chart" uri="{C3380CC4-5D6E-409C-BE32-E72D297353CC}">
              <c16:uniqueId val="{00000000-55A8-470D-A7D0-34EE71A9987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CORN!$B$35:$K$35</c:f>
              <c:numCache>
                <c:formatCode>0</c:formatCode>
                <c:ptCount val="10"/>
                <c:pt idx="0">
                  <c:v>12.37894</c:v>
                </c:pt>
                <c:pt idx="1">
                  <c:v>13.166949999999998</c:v>
                </c:pt>
                <c:pt idx="2">
                  <c:v>23.781380000000002</c:v>
                </c:pt>
                <c:pt idx="3">
                  <c:v>31.21818</c:v>
                </c:pt>
                <c:pt idx="4">
                  <c:v>34.449999999999996</c:v>
                </c:pt>
                <c:pt idx="5">
                  <c:v>20.698859999999996</c:v>
                </c:pt>
                <c:pt idx="6">
                  <c:v>18.9588</c:v>
                </c:pt>
                <c:pt idx="7">
                  <c:v>18.771999999999995</c:v>
                </c:pt>
                <c:pt idx="8">
                  <c:v>17.48208</c:v>
                </c:pt>
                <c:pt idx="9">
                  <c:v>18.275039999999997</c:v>
                </c:pt>
              </c:numCache>
            </c:numRef>
          </c:val>
          <c:extLst>
            <c:ext xmlns:c16="http://schemas.microsoft.com/office/drawing/2014/chart" uri="{C3380CC4-5D6E-409C-BE32-E72D297353CC}">
              <c16:uniqueId val="{00000000-7558-46C6-AC90-8C0CA748505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CORN!$B$31:$K$31</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CORN!$C$36:$K$36</c:f>
              <c:numCache>
                <c:formatCode>0.00</c:formatCode>
                <c:ptCount val="9"/>
                <c:pt idx="0">
                  <c:v>2.7509500875871222E-2</c:v>
                </c:pt>
                <c:pt idx="1">
                  <c:v>4.4004001604599705E-2</c:v>
                </c:pt>
                <c:pt idx="2">
                  <c:v>0.18470704873073512</c:v>
                </c:pt>
                <c:pt idx="3">
                  <c:v>0.32026808915189731</c:v>
                </c:pt>
                <c:pt idx="4">
                  <c:v>0.49831975863583622</c:v>
                </c:pt>
                <c:pt idx="5">
                  <c:v>0.38246406068685362</c:v>
                </c:pt>
                <c:pt idx="6">
                  <c:v>0.39128410065869507</c:v>
                </c:pt>
                <c:pt idx="7">
                  <c:v>0.512595699617447</c:v>
                </c:pt>
                <c:pt idx="8">
                  <c:v>0.59100897691047438</c:v>
                </c:pt>
              </c:numCache>
            </c:numRef>
          </c:val>
          <c:extLst>
            <c:ext xmlns:c16="http://schemas.microsoft.com/office/drawing/2014/chart" uri="{C3380CC4-5D6E-409C-BE32-E72D297353CC}">
              <c16:uniqueId val="{00000000-D2A8-4C0B-8670-B4B7075342F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WHEAT!$B$4:$K$4</c:f>
              <c:numCache>
                <c:formatCode>0</c:formatCode>
                <c:ptCount val="10"/>
                <c:pt idx="0">
                  <c:v>63.616999999999997</c:v>
                </c:pt>
                <c:pt idx="1">
                  <c:v>59.017000000000003</c:v>
                </c:pt>
                <c:pt idx="2">
                  <c:v>52.62</c:v>
                </c:pt>
                <c:pt idx="3">
                  <c:v>54.277000000000001</c:v>
                </c:pt>
                <c:pt idx="4">
                  <c:v>55.293999999999997</c:v>
                </c:pt>
                <c:pt idx="5">
                  <c:v>56.235999999999997</c:v>
                </c:pt>
                <c:pt idx="6">
                  <c:v>56.841000000000001</c:v>
                </c:pt>
                <c:pt idx="7">
                  <c:v>54.999000000000002</c:v>
                </c:pt>
                <c:pt idx="8">
                  <c:v>50.119</c:v>
                </c:pt>
                <c:pt idx="9">
                  <c:v>46.012</c:v>
                </c:pt>
              </c:numCache>
            </c:numRef>
          </c:val>
          <c:extLst>
            <c:ext xmlns:c16="http://schemas.microsoft.com/office/drawing/2014/chart" uri="{C3380CC4-5D6E-409C-BE32-E72D297353CC}">
              <c16:uniqueId val="{00000000-EA38-4FCE-B079-18599277449F}"/>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WHEAT!$B$3:$K$3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EA38-4FCE-B079-18599277449F}"/>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70"/>
          <c:min val="4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WHEAT!$B$7:$K$7</c:f>
              <c:numCache>
                <c:formatCode>0</c:formatCode>
                <c:ptCount val="10"/>
                <c:pt idx="0">
                  <c:v>68.363</c:v>
                </c:pt>
                <c:pt idx="1">
                  <c:v>60.116999999999997</c:v>
                </c:pt>
                <c:pt idx="2">
                  <c:v>58.868000000000002</c:v>
                </c:pt>
                <c:pt idx="3">
                  <c:v>54.244</c:v>
                </c:pt>
                <c:pt idx="4">
                  <c:v>61.298000000000002</c:v>
                </c:pt>
                <c:pt idx="5">
                  <c:v>58.104999999999997</c:v>
                </c:pt>
                <c:pt idx="6">
                  <c:v>55.146999999999998</c:v>
                </c:pt>
                <c:pt idx="7">
                  <c:v>56.116999999999997</c:v>
                </c:pt>
                <c:pt idx="8">
                  <c:v>62.832999999999998</c:v>
                </c:pt>
                <c:pt idx="9">
                  <c:v>47.371000000000002</c:v>
                </c:pt>
              </c:numCache>
            </c:numRef>
          </c:val>
          <c:extLst>
            <c:ext xmlns:c16="http://schemas.microsoft.com/office/drawing/2014/chart" uri="{C3380CC4-5D6E-409C-BE32-E72D297353CC}">
              <c16:uniqueId val="{00000000-B5D5-4D7D-9E5D-3C0ADFEFBD38}"/>
            </c:ext>
          </c:extLst>
        </c:ser>
        <c:ser>
          <c:idx val="0"/>
          <c:order val="1"/>
          <c:tx>
            <c:v>Consumption</c:v>
          </c:tx>
          <c:spPr>
            <a:solidFill>
              <a:srgbClr val="A65628"/>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WHEAT!$B$8:$K$8</c:f>
              <c:numCache>
                <c:formatCode>0</c:formatCode>
                <c:ptCount val="10"/>
                <c:pt idx="0">
                  <c:v>34.64</c:v>
                </c:pt>
                <c:pt idx="1">
                  <c:v>30.728000000000002</c:v>
                </c:pt>
                <c:pt idx="2">
                  <c:v>29.423999999999999</c:v>
                </c:pt>
                <c:pt idx="3">
                  <c:v>31.992999999999999</c:v>
                </c:pt>
                <c:pt idx="4">
                  <c:v>37.81</c:v>
                </c:pt>
                <c:pt idx="5">
                  <c:v>34.26</c:v>
                </c:pt>
                <c:pt idx="6">
                  <c:v>31.327999999999999</c:v>
                </c:pt>
                <c:pt idx="7">
                  <c:v>31.942</c:v>
                </c:pt>
                <c:pt idx="8">
                  <c:v>31.753</c:v>
                </c:pt>
                <c:pt idx="9">
                  <c:v>29.827999999999999</c:v>
                </c:pt>
              </c:numCache>
            </c:numRef>
          </c:val>
          <c:extLst>
            <c:ext xmlns:c16="http://schemas.microsoft.com/office/drawing/2014/chart" uri="{C3380CC4-5D6E-409C-BE32-E72D297353CC}">
              <c16:uniqueId val="{00000001-B5D5-4D7D-9E5D-3C0ADFEFBD3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WHEAT!$B$16:$K$16</c:f>
              <c:numCache>
                <c:formatCode>0</c:formatCode>
                <c:ptCount val="10"/>
                <c:pt idx="0">
                  <c:v>16.701284999999999</c:v>
                </c:pt>
                <c:pt idx="1">
                  <c:v>10.607218</c:v>
                </c:pt>
                <c:pt idx="2">
                  <c:v>12.579124999999999</c:v>
                </c:pt>
                <c:pt idx="3">
                  <c:v>14.269225</c:v>
                </c:pt>
                <c:pt idx="4">
                  <c:v>17.383149</c:v>
                </c:pt>
                <c:pt idx="5">
                  <c:v>14.604442000000001</c:v>
                </c:pt>
                <c:pt idx="6">
                  <c:v>11.914954</c:v>
                </c:pt>
                <c:pt idx="7">
                  <c:v>10.018323000000001</c:v>
                </c:pt>
                <c:pt idx="8">
                  <c:v>9.1794239999999991</c:v>
                </c:pt>
                <c:pt idx="9">
                  <c:v>8.1420650000000006</c:v>
                </c:pt>
              </c:numCache>
            </c:numRef>
          </c:val>
          <c:extLst>
            <c:ext xmlns:c16="http://schemas.microsoft.com/office/drawing/2014/chart" uri="{C3380CC4-5D6E-409C-BE32-E72D297353CC}">
              <c16:uniqueId val="{00000000-C5BD-480E-8C96-AFCD94A55D6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WHEAT!$B$9:$K$9</c:f>
              <c:numCache>
                <c:formatCode>#,##0.0</c:formatCode>
                <c:ptCount val="10"/>
                <c:pt idx="0">
                  <c:v>3.456</c:v>
                </c:pt>
                <c:pt idx="1">
                  <c:v>3.2269999999999999</c:v>
                </c:pt>
                <c:pt idx="2">
                  <c:v>2.6379999999999999</c:v>
                </c:pt>
                <c:pt idx="3">
                  <c:v>3.0790000000000002</c:v>
                </c:pt>
                <c:pt idx="4">
                  <c:v>3.383</c:v>
                </c:pt>
                <c:pt idx="5">
                  <c:v>4.694</c:v>
                </c:pt>
                <c:pt idx="6">
                  <c:v>4.1159999999999997</c:v>
                </c:pt>
                <c:pt idx="7">
                  <c:v>3.0680000000000001</c:v>
                </c:pt>
                <c:pt idx="8">
                  <c:v>3.2149999999999999</c:v>
                </c:pt>
                <c:pt idx="9">
                  <c:v>4.218</c:v>
                </c:pt>
              </c:numCache>
            </c:numRef>
          </c:val>
          <c:extLst>
            <c:ext xmlns:c16="http://schemas.microsoft.com/office/drawing/2014/chart" uri="{C3380CC4-5D6E-409C-BE32-E72D297353CC}">
              <c16:uniqueId val="{00000000-E3B1-47D8-96AB-33CB9B2BF64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WHEAT!$B$6:$K$6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WHEAT!$B$10:$K$10</c:f>
              <c:numCache>
                <c:formatCode>#,##0</c:formatCode>
                <c:ptCount val="10"/>
                <c:pt idx="0">
                  <c:v>27.635000000000002</c:v>
                </c:pt>
                <c:pt idx="1">
                  <c:v>23.931000000000001</c:v>
                </c:pt>
                <c:pt idx="2">
                  <c:v>35.146999999999998</c:v>
                </c:pt>
                <c:pt idx="3">
                  <c:v>28.606000000000002</c:v>
                </c:pt>
                <c:pt idx="4">
                  <c:v>27.544</c:v>
                </c:pt>
                <c:pt idx="5">
                  <c:v>32.012</c:v>
                </c:pt>
                <c:pt idx="6">
                  <c:v>23.523</c:v>
                </c:pt>
                <c:pt idx="7">
                  <c:v>21.167999999999999</c:v>
                </c:pt>
                <c:pt idx="8">
                  <c:v>28.716000000000001</c:v>
                </c:pt>
                <c:pt idx="9">
                  <c:v>24.494</c:v>
                </c:pt>
              </c:numCache>
            </c:numRef>
          </c:val>
          <c:extLst>
            <c:ext xmlns:c16="http://schemas.microsoft.com/office/drawing/2014/chart" uri="{C3380CC4-5D6E-409C-BE32-E72D297353CC}">
              <c16:uniqueId val="{00000000-65FB-48E5-A66B-CE131D85368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WHEAT!$B$14:$K$14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WHEAT!$B$15:$K$15</c:f>
              <c:numCache>
                <c:formatCode>0</c:formatCode>
                <c:ptCount val="10"/>
                <c:pt idx="0">
                  <c:v>251.11111111111111</c:v>
                </c:pt>
                <c:pt idx="1">
                  <c:v>180.37037037037038</c:v>
                </c:pt>
                <c:pt idx="2">
                  <c:v>211.11111111111111</c:v>
                </c:pt>
                <c:pt idx="3">
                  <c:v>268.14814814814815</c:v>
                </c:pt>
                <c:pt idx="4">
                  <c:v>287.77777777777777</c:v>
                </c:pt>
                <c:pt idx="5">
                  <c:v>254.44444444444446</c:v>
                </c:pt>
                <c:pt idx="6">
                  <c:v>221.85185185185188</c:v>
                </c:pt>
                <c:pt idx="7">
                  <c:v>181.11111111111111</c:v>
                </c:pt>
                <c:pt idx="8">
                  <c:v>144.07407407407408</c:v>
                </c:pt>
                <c:pt idx="9">
                  <c:v>170.37037037037035</c:v>
                </c:pt>
              </c:numCache>
            </c:numRef>
          </c:val>
          <c:extLst>
            <c:ext xmlns:c16="http://schemas.microsoft.com/office/drawing/2014/chart" uri="{C3380CC4-5D6E-409C-BE32-E72D297353CC}">
              <c16:uniqueId val="{00000000-A033-49C8-BBC3-B12CB9729D4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BARLEY!$B$4:$K$4</c:f>
              <c:numCache>
                <c:formatCode>0</c:formatCode>
                <c:ptCount val="10"/>
                <c:pt idx="0">
                  <c:v>4.2389999999999999</c:v>
                </c:pt>
                <c:pt idx="1">
                  <c:v>3.5680000000000001</c:v>
                </c:pt>
                <c:pt idx="2">
                  <c:v>2.8719999999999999</c:v>
                </c:pt>
                <c:pt idx="3">
                  <c:v>2.5640000000000001</c:v>
                </c:pt>
                <c:pt idx="4">
                  <c:v>3.66</c:v>
                </c:pt>
                <c:pt idx="5">
                  <c:v>3.528</c:v>
                </c:pt>
                <c:pt idx="6">
                  <c:v>3.0310000000000001</c:v>
                </c:pt>
                <c:pt idx="7">
                  <c:v>3.6230000000000002</c:v>
                </c:pt>
                <c:pt idx="8">
                  <c:v>3.0590000000000002</c:v>
                </c:pt>
                <c:pt idx="9">
                  <c:v>2.4809999999999999</c:v>
                </c:pt>
              </c:numCache>
            </c:numRef>
          </c:val>
          <c:extLst>
            <c:ext xmlns:c16="http://schemas.microsoft.com/office/drawing/2014/chart" uri="{C3380CC4-5D6E-409C-BE32-E72D297353CC}">
              <c16:uniqueId val="{00000000-7B04-4627-A25F-BC980217CAB1}"/>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BARLEY!$B$3:$K$3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7B04-4627-A25F-BC980217CAB1}"/>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BARLEY!$B$7:$K$7</c:f>
              <c:numCache>
                <c:formatCode>0</c:formatCode>
                <c:ptCount val="10"/>
                <c:pt idx="0">
                  <c:v>5.2050000000000001</c:v>
                </c:pt>
                <c:pt idx="1">
                  <c:v>4.9340000000000002</c:v>
                </c:pt>
                <c:pt idx="2">
                  <c:v>3.9239999999999999</c:v>
                </c:pt>
                <c:pt idx="3">
                  <c:v>3.37</c:v>
                </c:pt>
                <c:pt idx="4">
                  <c:v>4.7679999999999998</c:v>
                </c:pt>
                <c:pt idx="5">
                  <c:v>4.7190000000000003</c:v>
                </c:pt>
                <c:pt idx="6">
                  <c:v>3.9529999999999998</c:v>
                </c:pt>
                <c:pt idx="7">
                  <c:v>4.75</c:v>
                </c:pt>
                <c:pt idx="8">
                  <c:v>4.3529999999999998</c:v>
                </c:pt>
                <c:pt idx="9">
                  <c:v>3.09</c:v>
                </c:pt>
              </c:numCache>
            </c:numRef>
          </c:val>
          <c:extLst>
            <c:ext xmlns:c16="http://schemas.microsoft.com/office/drawing/2014/chart" uri="{C3380CC4-5D6E-409C-BE32-E72D297353CC}">
              <c16:uniqueId val="{00000000-E656-4D9B-B563-FC60078508D7}"/>
            </c:ext>
          </c:extLst>
        </c:ser>
        <c:ser>
          <c:idx val="0"/>
          <c:order val="1"/>
          <c:tx>
            <c:v>Consumption</c:v>
          </c:tx>
          <c:spPr>
            <a:solidFill>
              <a:srgbClr val="A65628"/>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BARLEY!$B$8:$K$8</c:f>
              <c:numCache>
                <c:formatCode>0</c:formatCode>
                <c:ptCount val="10"/>
                <c:pt idx="0">
                  <c:v>5.1020000000000003</c:v>
                </c:pt>
                <c:pt idx="1">
                  <c:v>4.5890000000000004</c:v>
                </c:pt>
                <c:pt idx="2">
                  <c:v>4.5359999999999996</c:v>
                </c:pt>
                <c:pt idx="3">
                  <c:v>4.17</c:v>
                </c:pt>
                <c:pt idx="4">
                  <c:v>4.6379999999999999</c:v>
                </c:pt>
                <c:pt idx="5">
                  <c:v>4.7750000000000004</c:v>
                </c:pt>
                <c:pt idx="6">
                  <c:v>4.2350000000000003</c:v>
                </c:pt>
                <c:pt idx="7">
                  <c:v>4.4080000000000004</c:v>
                </c:pt>
                <c:pt idx="8">
                  <c:v>4.375</c:v>
                </c:pt>
                <c:pt idx="9">
                  <c:v>4.0720000000000001</c:v>
                </c:pt>
              </c:numCache>
            </c:numRef>
          </c:val>
          <c:extLst>
            <c:ext xmlns:c16="http://schemas.microsoft.com/office/drawing/2014/chart" uri="{C3380CC4-5D6E-409C-BE32-E72D297353CC}">
              <c16:uniqueId val="{00000001-E656-4D9B-B563-FC60078508D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BARLEY!$B$16:$K$16</c:f>
              <c:numCache>
                <c:formatCode>0.0</c:formatCode>
                <c:ptCount val="10"/>
                <c:pt idx="0">
                  <c:v>1.253452</c:v>
                </c:pt>
                <c:pt idx="1">
                  <c:v>0.96867599999999998</c:v>
                </c:pt>
                <c:pt idx="2">
                  <c:v>0.69157299999999999</c:v>
                </c:pt>
                <c:pt idx="3">
                  <c:v>0.80874100000000004</c:v>
                </c:pt>
                <c:pt idx="4">
                  <c:v>1.371381</c:v>
                </c:pt>
                <c:pt idx="5">
                  <c:v>1.265798</c:v>
                </c:pt>
                <c:pt idx="6">
                  <c:v>0.91495499999999996</c:v>
                </c:pt>
                <c:pt idx="7">
                  <c:v>1.149831</c:v>
                </c:pt>
                <c:pt idx="8">
                  <c:v>0.94987600000000005</c:v>
                </c:pt>
                <c:pt idx="9">
                  <c:v>0.61425600000000002</c:v>
                </c:pt>
              </c:numCache>
            </c:numRef>
          </c:val>
          <c:extLst>
            <c:ext xmlns:c16="http://schemas.microsoft.com/office/drawing/2014/chart" uri="{C3380CC4-5D6E-409C-BE32-E72D297353CC}">
              <c16:uniqueId val="{00000000-4C26-475F-AFFF-F839429B72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BARLEY!$B$9:$K$9</c:f>
              <c:numCache>
                <c:formatCode>#,##0.0</c:formatCode>
                <c:ptCount val="10"/>
                <c:pt idx="0">
                  <c:v>0.63200000000000001</c:v>
                </c:pt>
                <c:pt idx="1">
                  <c:v>0.36099999999999999</c:v>
                </c:pt>
                <c:pt idx="2">
                  <c:v>0.20699999999999999</c:v>
                </c:pt>
                <c:pt idx="3">
                  <c:v>0.35399999999999998</c:v>
                </c:pt>
                <c:pt idx="4">
                  <c:v>0.50700000000000001</c:v>
                </c:pt>
                <c:pt idx="5">
                  <c:v>0.40799999999999997</c:v>
                </c:pt>
                <c:pt idx="6">
                  <c:v>0.51300000000000001</c:v>
                </c:pt>
                <c:pt idx="7">
                  <c:v>0.40500000000000003</c:v>
                </c:pt>
                <c:pt idx="8">
                  <c:v>0.21</c:v>
                </c:pt>
                <c:pt idx="9">
                  <c:v>0.218</c:v>
                </c:pt>
              </c:numCache>
            </c:numRef>
          </c:val>
          <c:extLst>
            <c:ext xmlns:c16="http://schemas.microsoft.com/office/drawing/2014/chart" uri="{C3380CC4-5D6E-409C-BE32-E72D297353CC}">
              <c16:uniqueId val="{00000000-D638-4114-AB4F-B3004964BF3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BARLEY!$B$6:$K$6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BARLEY!$B$10:$K$10</c:f>
              <c:numCache>
                <c:formatCode>#,##0.0</c:formatCode>
                <c:ptCount val="10"/>
                <c:pt idx="0">
                  <c:v>0.28799999999999998</c:v>
                </c:pt>
                <c:pt idx="1">
                  <c:v>0.123</c:v>
                </c:pt>
                <c:pt idx="2">
                  <c:v>0.16500000000000001</c:v>
                </c:pt>
                <c:pt idx="3">
                  <c:v>0.193</c:v>
                </c:pt>
                <c:pt idx="4">
                  <c:v>0.193</c:v>
                </c:pt>
                <c:pt idx="5">
                  <c:v>0.311</c:v>
                </c:pt>
                <c:pt idx="6">
                  <c:v>0.311</c:v>
                </c:pt>
                <c:pt idx="7">
                  <c:v>0.23499999999999999</c:v>
                </c:pt>
                <c:pt idx="8">
                  <c:v>9.5000000000000001E-2</c:v>
                </c:pt>
                <c:pt idx="9">
                  <c:v>0.13100000000000001</c:v>
                </c:pt>
              </c:numCache>
            </c:numRef>
          </c:val>
          <c:extLst>
            <c:ext xmlns:c16="http://schemas.microsoft.com/office/drawing/2014/chart" uri="{C3380CC4-5D6E-409C-BE32-E72D297353CC}">
              <c16:uniqueId val="{00000000-F3FD-405D-943F-2CEFE676C40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BARLEY!$B$14:$K$14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BARLEY!$B$15:$K$15</c:f>
              <c:numCache>
                <c:formatCode>0</c:formatCode>
                <c:ptCount val="10"/>
                <c:pt idx="0">
                  <c:v>255.71428571428569</c:v>
                </c:pt>
                <c:pt idx="1">
                  <c:v>221.9047619047619</c:v>
                </c:pt>
                <c:pt idx="2">
                  <c:v>183.8095238095238</c:v>
                </c:pt>
                <c:pt idx="3">
                  <c:v>254.76190476190473</c:v>
                </c:pt>
                <c:pt idx="4">
                  <c:v>306.19047619047615</c:v>
                </c:pt>
                <c:pt idx="5">
                  <c:v>288.57142857142856</c:v>
                </c:pt>
                <c:pt idx="6">
                  <c:v>252.38095238095235</c:v>
                </c:pt>
                <c:pt idx="7">
                  <c:v>262.85714285714283</c:v>
                </c:pt>
                <c:pt idx="8">
                  <c:v>236.19047619047618</c:v>
                </c:pt>
                <c:pt idx="9">
                  <c:v>211.9047619047619</c:v>
                </c:pt>
              </c:numCache>
            </c:numRef>
          </c:val>
          <c:extLst>
            <c:ext xmlns:c16="http://schemas.microsoft.com/office/drawing/2014/chart" uri="{C3380CC4-5D6E-409C-BE32-E72D297353CC}">
              <c16:uniqueId val="{00000000-36E5-47FB-B349-B98295079B6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3377148757452713"/>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SORGHUM!$B$4:$K$4</c:f>
              <c:numCache>
                <c:formatCode>0</c:formatCode>
                <c:ptCount val="10"/>
                <c:pt idx="0">
                  <c:v>8.4039999999999999</c:v>
                </c:pt>
                <c:pt idx="1">
                  <c:v>6.5990000000000002</c:v>
                </c:pt>
                <c:pt idx="2">
                  <c:v>5.3689999999999998</c:v>
                </c:pt>
                <c:pt idx="3">
                  <c:v>5.4509999999999996</c:v>
                </c:pt>
                <c:pt idx="4">
                  <c:v>6.2590000000000003</c:v>
                </c:pt>
                <c:pt idx="5">
                  <c:v>8.0760000000000005</c:v>
                </c:pt>
                <c:pt idx="6">
                  <c:v>7.1379999999999999</c:v>
                </c:pt>
                <c:pt idx="7">
                  <c:v>8.4589999999999996</c:v>
                </c:pt>
                <c:pt idx="8">
                  <c:v>6.69</c:v>
                </c:pt>
                <c:pt idx="9">
                  <c:v>5.6260000000000003</c:v>
                </c:pt>
              </c:numCache>
            </c:numRef>
          </c:val>
          <c:extLst>
            <c:ext xmlns:c16="http://schemas.microsoft.com/office/drawing/2014/chart" uri="{C3380CC4-5D6E-409C-BE32-E72D297353CC}">
              <c16:uniqueId val="{00000000-1831-4D45-9C10-89ADE5079538}"/>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chemeClr val="accent1"/>
              </a:solidFill>
              <a:round/>
            </a:ln>
            <a:effectLst/>
          </c:spPr>
          <c:marker>
            <c:symbol val="none"/>
          </c:marker>
          <c:cat>
            <c:numRef>
              <c:f>SORGHUM!$B$3:$K$3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WHEAT!#REF!</c:f>
              <c:numCache>
                <c:formatCode>General</c:formatCode>
                <c:ptCount val="1"/>
                <c:pt idx="0">
                  <c:v>1</c:v>
                </c:pt>
              </c:numCache>
            </c:numRef>
          </c:val>
          <c:smooth val="0"/>
          <c:extLst>
            <c:ext xmlns:c16="http://schemas.microsoft.com/office/drawing/2014/chart" uri="{C3380CC4-5D6E-409C-BE32-E72D297353CC}">
              <c16:uniqueId val="{00000001-1831-4D45-9C10-89ADE5079538}"/>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SORGHUM!$B$7:$K$7</c:f>
              <c:numCache>
                <c:formatCode>0</c:formatCode>
                <c:ptCount val="10"/>
                <c:pt idx="0">
                  <c:v>12.087</c:v>
                </c:pt>
                <c:pt idx="1">
                  <c:v>9.6929999999999996</c:v>
                </c:pt>
                <c:pt idx="2">
                  <c:v>8.7750000000000004</c:v>
                </c:pt>
                <c:pt idx="3">
                  <c:v>5.41</c:v>
                </c:pt>
                <c:pt idx="4">
                  <c:v>6.2930000000000001</c:v>
                </c:pt>
                <c:pt idx="5">
                  <c:v>9.9659999999999993</c:v>
                </c:pt>
                <c:pt idx="6">
                  <c:v>10.988</c:v>
                </c:pt>
                <c:pt idx="7">
                  <c:v>15.157999999999999</c:v>
                </c:pt>
                <c:pt idx="8">
                  <c:v>12.199</c:v>
                </c:pt>
                <c:pt idx="9">
                  <c:v>9.2420000000000009</c:v>
                </c:pt>
              </c:numCache>
            </c:numRef>
          </c:val>
          <c:extLst>
            <c:ext xmlns:c16="http://schemas.microsoft.com/office/drawing/2014/chart" uri="{C3380CC4-5D6E-409C-BE32-E72D297353CC}">
              <c16:uniqueId val="{00000000-34E7-4B70-97E4-F0598C2049BE}"/>
            </c:ext>
          </c:extLst>
        </c:ser>
        <c:ser>
          <c:idx val="0"/>
          <c:order val="1"/>
          <c:tx>
            <c:v>Consumption</c:v>
          </c:tx>
          <c:spPr>
            <a:solidFill>
              <a:srgbClr val="A65628"/>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SORGHUM!$B$8:$K$8</c:f>
              <c:numCache>
                <c:formatCode>0</c:formatCode>
                <c:ptCount val="10"/>
                <c:pt idx="0">
                  <c:v>8.4079999999999995</c:v>
                </c:pt>
                <c:pt idx="1">
                  <c:v>5.8659999999999997</c:v>
                </c:pt>
                <c:pt idx="2">
                  <c:v>5.2770000000000001</c:v>
                </c:pt>
                <c:pt idx="3">
                  <c:v>3.9159999999999999</c:v>
                </c:pt>
                <c:pt idx="4">
                  <c:v>4.7960000000000003</c:v>
                </c:pt>
                <c:pt idx="5">
                  <c:v>4.13</c:v>
                </c:pt>
                <c:pt idx="6">
                  <c:v>2.4590000000000001</c:v>
                </c:pt>
                <c:pt idx="7">
                  <c:v>6.1870000000000003</c:v>
                </c:pt>
                <c:pt idx="8">
                  <c:v>6.2119999999999997</c:v>
                </c:pt>
                <c:pt idx="9">
                  <c:v>3.5569999999999999</c:v>
                </c:pt>
              </c:numCache>
            </c:numRef>
          </c:val>
          <c:extLst>
            <c:ext xmlns:c16="http://schemas.microsoft.com/office/drawing/2014/chart" uri="{C3380CC4-5D6E-409C-BE32-E72D297353CC}">
              <c16:uniqueId val="{00000001-34E7-4B70-97E4-F0598C2049B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SORGHUM!$B$16:$K$16</c:f>
              <c:numCache>
                <c:formatCode>0.0</c:formatCode>
                <c:ptCount val="10"/>
                <c:pt idx="0">
                  <c:v>1.6419630000000001</c:v>
                </c:pt>
                <c:pt idx="1">
                  <c:v>1.202331</c:v>
                </c:pt>
                <c:pt idx="2">
                  <c:v>1.616773</c:v>
                </c:pt>
                <c:pt idx="3">
                  <c:v>1.2596350000000001</c:v>
                </c:pt>
                <c:pt idx="4">
                  <c:v>1.6062369999999999</c:v>
                </c:pt>
                <c:pt idx="5">
                  <c:v>1.7169270000000001</c:v>
                </c:pt>
                <c:pt idx="6">
                  <c:v>1.72133</c:v>
                </c:pt>
                <c:pt idx="7">
                  <c:v>2.064638</c:v>
                </c:pt>
                <c:pt idx="8">
                  <c:v>1.352438</c:v>
                </c:pt>
                <c:pt idx="9">
                  <c:v>1.175125</c:v>
                </c:pt>
              </c:numCache>
            </c:numRef>
          </c:val>
          <c:extLst>
            <c:ext xmlns:c16="http://schemas.microsoft.com/office/drawing/2014/chart" uri="{C3380CC4-5D6E-409C-BE32-E72D297353CC}">
              <c16:uniqueId val="{00000000-6123-490D-BC23-7A9F69B508F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SORGHUM!$B$9:$K$9</c:f>
              <c:numCache>
                <c:formatCode>#,##0.00</c:formatCode>
                <c:ptCount val="10"/>
                <c:pt idx="0">
                  <c:v>3.0000000000000001E-3</c:v>
                </c:pt>
                <c:pt idx="1">
                  <c:v>0</c:v>
                </c:pt>
                <c:pt idx="2">
                  <c:v>1E-3</c:v>
                </c:pt>
                <c:pt idx="3">
                  <c:v>3.0000000000000001E-3</c:v>
                </c:pt>
                <c:pt idx="4">
                  <c:v>0.24299999999999999</c:v>
                </c:pt>
                <c:pt idx="5">
                  <c:v>2E-3</c:v>
                </c:pt>
                <c:pt idx="6">
                  <c:v>0.01</c:v>
                </c:pt>
                <c:pt idx="7">
                  <c:v>0.11700000000000001</c:v>
                </c:pt>
                <c:pt idx="8">
                  <c:v>4.3999999999999997E-2</c:v>
                </c:pt>
                <c:pt idx="9">
                  <c:v>5.0999999999999997E-2</c:v>
                </c:pt>
              </c:numCache>
            </c:numRef>
          </c:val>
          <c:extLst>
            <c:ext xmlns:c16="http://schemas.microsoft.com/office/drawing/2014/chart" uri="{C3380CC4-5D6E-409C-BE32-E72D297353CC}">
              <c16:uniqueId val="{00000000-39AF-4115-A9C0-22DABF1DDD2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SORGHUM!$B$6:$K$6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SORGHUM!$B$10:$K$10</c:f>
              <c:numCache>
                <c:formatCode>#,##0</c:formatCode>
                <c:ptCount val="10"/>
                <c:pt idx="0">
                  <c:v>3.6320000000000001</c:v>
                </c:pt>
                <c:pt idx="1">
                  <c:v>4.1689999999999996</c:v>
                </c:pt>
                <c:pt idx="2">
                  <c:v>3.85</c:v>
                </c:pt>
                <c:pt idx="3">
                  <c:v>1.611</c:v>
                </c:pt>
                <c:pt idx="4">
                  <c:v>1.9379999999999999</c:v>
                </c:pt>
                <c:pt idx="5">
                  <c:v>5.359</c:v>
                </c:pt>
                <c:pt idx="6">
                  <c:v>8.9350000000000005</c:v>
                </c:pt>
                <c:pt idx="7">
                  <c:v>8.6259999999999994</c:v>
                </c:pt>
                <c:pt idx="8">
                  <c:v>6.1109999999999998</c:v>
                </c:pt>
                <c:pt idx="9">
                  <c:v>5.8419999999999996</c:v>
                </c:pt>
              </c:numCache>
            </c:numRef>
          </c:val>
          <c:extLst>
            <c:ext xmlns:c16="http://schemas.microsoft.com/office/drawing/2014/chart" uri="{C3380CC4-5D6E-409C-BE32-E72D297353CC}">
              <c16:uniqueId val="{00000000-D9C6-4AA7-8611-F043F064C9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SORGHUM!$B$14:$K$14</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SORGHUM!$B$15:$K$15</c:f>
              <c:numCache>
                <c:formatCode>0</c:formatCode>
                <c:ptCount val="10"/>
                <c:pt idx="0">
                  <c:v>126.10441396974998</c:v>
                </c:pt>
                <c:pt idx="1">
                  <c:v>126.76580075630461</c:v>
                </c:pt>
                <c:pt idx="2">
                  <c:v>197.53418691765035</c:v>
                </c:pt>
                <c:pt idx="3">
                  <c:v>235.89462053781901</c:v>
                </c:pt>
                <c:pt idx="4">
                  <c:v>249.12235626891169</c:v>
                </c:pt>
                <c:pt idx="5">
                  <c:v>168.43316830924647</c:v>
                </c:pt>
                <c:pt idx="6">
                  <c:v>158.73282877311186</c:v>
                </c:pt>
                <c:pt idx="7">
                  <c:v>130.29319695126267</c:v>
                </c:pt>
                <c:pt idx="8">
                  <c:v>109.79020656806905</c:v>
                </c:pt>
                <c:pt idx="9">
                  <c:v>124.56117813445584</c:v>
                </c:pt>
              </c:numCache>
            </c:numRef>
          </c:val>
          <c:extLst>
            <c:ext xmlns:c16="http://schemas.microsoft.com/office/drawing/2014/chart" uri="{C3380CC4-5D6E-409C-BE32-E72D297353CC}">
              <c16:uniqueId val="{00000000-0DAA-4E2C-B11C-7724929A47B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377EB8"/>
            </a:solidFill>
            <a:ln>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FAC6-4CC3-9E2E-17C31EAC659A}"/>
              </c:ext>
            </c:extLst>
          </c:dPt>
          <c:dPt>
            <c:idx val="1"/>
            <c:bubble3D val="0"/>
            <c:spPr>
              <a:solidFill>
                <a:srgbClr val="377EB8"/>
              </a:solidFill>
              <a:ln w="9525">
                <a:solidFill>
                  <a:schemeClr val="tx1"/>
                </a:solidFill>
              </a:ln>
              <a:effectLst/>
            </c:spPr>
            <c:extLst>
              <c:ext xmlns:c16="http://schemas.microsoft.com/office/drawing/2014/chart" uri="{C3380CC4-5D6E-409C-BE32-E72D297353CC}">
                <c16:uniqueId val="{00000003-FAC6-4CC3-9E2E-17C31EAC659A}"/>
              </c:ext>
            </c:extLst>
          </c:dPt>
          <c:cat>
            <c:strRef>
              <c:f>SOY!$A$17:$A$18</c:f>
              <c:strCache>
                <c:ptCount val="2"/>
                <c:pt idx="0">
                  <c:v>Total Volume of Soy Consumed for Crush (million metric tons)</c:v>
                </c:pt>
                <c:pt idx="1">
                  <c:v>Total Volume of Soy Consumed for Seed, feed and residual (million metric tons)</c:v>
                </c:pt>
              </c:strCache>
            </c:strRef>
          </c:cat>
          <c:val>
            <c:numRef>
              <c:f>SOY!$K$17:$K$18</c:f>
              <c:numCache>
                <c:formatCode>0</c:formatCode>
                <c:ptCount val="2"/>
                <c:pt idx="0">
                  <c:v>52.92</c:v>
                </c:pt>
                <c:pt idx="1">
                  <c:v>3.7409309999999967</c:v>
                </c:pt>
              </c:numCache>
            </c:numRef>
          </c:val>
          <c:extLst>
            <c:ext xmlns:c16="http://schemas.microsoft.com/office/drawing/2014/chart" uri="{C3380CC4-5D6E-409C-BE32-E72D297353CC}">
              <c16:uniqueId val="{00000010-FAC6-4CC3-9E2E-17C31EAC65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SOY!$B$5:$K$5</c:f>
              <c:numCache>
                <c:formatCode>#,##0</c:formatCode>
                <c:ptCount val="10"/>
                <c:pt idx="0">
                  <c:v>75.718000000000004</c:v>
                </c:pt>
                <c:pt idx="1">
                  <c:v>77.450999999999993</c:v>
                </c:pt>
                <c:pt idx="2">
                  <c:v>77.403999999999996</c:v>
                </c:pt>
                <c:pt idx="3">
                  <c:v>75.046000000000006</c:v>
                </c:pt>
                <c:pt idx="4">
                  <c:v>77.197999999999993</c:v>
                </c:pt>
                <c:pt idx="5">
                  <c:v>76.84</c:v>
                </c:pt>
                <c:pt idx="6">
                  <c:v>83.275999999999996</c:v>
                </c:pt>
                <c:pt idx="7">
                  <c:v>82.65</c:v>
                </c:pt>
                <c:pt idx="8">
                  <c:v>83.433000000000007</c:v>
                </c:pt>
                <c:pt idx="9">
                  <c:v>90.141999999999996</c:v>
                </c:pt>
              </c:numCache>
            </c:numRef>
          </c:val>
          <c:extLst>
            <c:ext xmlns:c16="http://schemas.microsoft.com/office/drawing/2014/chart" uri="{C3380CC4-5D6E-409C-BE32-E72D297353CC}">
              <c16:uniqueId val="{00000000-E39A-479C-A74E-C3FC99E293D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SOY!$B$10:$K$10</c:f>
              <c:numCache>
                <c:formatCode>0</c:formatCode>
                <c:ptCount val="10"/>
                <c:pt idx="0">
                  <c:v>80.109189000000001</c:v>
                </c:pt>
                <c:pt idx="1">
                  <c:v>90.745137</c:v>
                </c:pt>
                <c:pt idx="2">
                  <c:v>89.945262</c:v>
                </c:pt>
                <c:pt idx="3">
                  <c:v>83.623833000000005</c:v>
                </c:pt>
                <c:pt idx="4">
                  <c:v>82.135187999999999</c:v>
                </c:pt>
                <c:pt idx="5">
                  <c:v>90.665567999999993</c:v>
                </c:pt>
                <c:pt idx="6">
                  <c:v>106.03142999999999</c:v>
                </c:pt>
                <c:pt idx="7">
                  <c:v>106.01115300000001</c:v>
                </c:pt>
                <c:pt idx="8">
                  <c:v>115.994322</c:v>
                </c:pt>
                <c:pt idx="9">
                  <c:v>118.57193099999999</c:v>
                </c:pt>
              </c:numCache>
            </c:numRef>
          </c:val>
          <c:extLst>
            <c:ext xmlns:c16="http://schemas.microsoft.com/office/drawing/2014/chart" uri="{C3380CC4-5D6E-409C-BE32-E72D297353CC}">
              <c16:uniqueId val="{00000000-47FC-4885-B43C-77CC09ACD7DC}"/>
            </c:ext>
          </c:extLst>
        </c:ser>
        <c:ser>
          <c:idx val="0"/>
          <c:order val="1"/>
          <c:tx>
            <c:v>Consumption</c:v>
          </c:tx>
          <c:spPr>
            <a:solidFill>
              <a:srgbClr val="A65628"/>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SOY!$B$11:$K$11</c:f>
              <c:numCache>
                <c:formatCode>0</c:formatCode>
                <c:ptCount val="10"/>
                <c:pt idx="0">
                  <c:v>47.730939071472754</c:v>
                </c:pt>
                <c:pt idx="1">
                  <c:v>50.322167522595478</c:v>
                </c:pt>
                <c:pt idx="2">
                  <c:v>47.969535349395869</c:v>
                </c:pt>
                <c:pt idx="3">
                  <c:v>48.429981545582777</c:v>
                </c:pt>
                <c:pt idx="4">
                  <c:v>48.163880912102357</c:v>
                </c:pt>
                <c:pt idx="5">
                  <c:v>49.673738872789393</c:v>
                </c:pt>
                <c:pt idx="6">
                  <c:v>54.520370481741651</c:v>
                </c:pt>
                <c:pt idx="7">
                  <c:v>54.033393599999997</c:v>
                </c:pt>
                <c:pt idx="8">
                  <c:v>55.139347800000003</c:v>
                </c:pt>
                <c:pt idx="9">
                  <c:v>56.660930999999998</c:v>
                </c:pt>
              </c:numCache>
            </c:numRef>
          </c:val>
          <c:extLst>
            <c:ext xmlns:c16="http://schemas.microsoft.com/office/drawing/2014/chart" uri="{C3380CC4-5D6E-409C-BE32-E72D297353CC}">
              <c16:uniqueId val="{00000001-47FC-4885-B43C-77CC09ACD7D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SOY!$B$26:$K$26</c:f>
              <c:numCache>
                <c:formatCode>0</c:formatCode>
                <c:ptCount val="10"/>
                <c:pt idx="0">
                  <c:v>29.458224999999999</c:v>
                </c:pt>
                <c:pt idx="1">
                  <c:v>32.163204</c:v>
                </c:pt>
                <c:pt idx="2">
                  <c:v>37.571277000000002</c:v>
                </c:pt>
                <c:pt idx="3">
                  <c:v>38.542177000000002</c:v>
                </c:pt>
                <c:pt idx="4">
                  <c:v>43.723143999999998</c:v>
                </c:pt>
                <c:pt idx="5">
                  <c:v>43.582901</c:v>
                </c:pt>
                <c:pt idx="6">
                  <c:v>39.474860999999997</c:v>
                </c:pt>
                <c:pt idx="7">
                  <c:v>35.140734000000002</c:v>
                </c:pt>
                <c:pt idx="8">
                  <c:v>40.683934000000001</c:v>
                </c:pt>
                <c:pt idx="9">
                  <c:v>40.841442999999998</c:v>
                </c:pt>
              </c:numCache>
            </c:numRef>
          </c:val>
          <c:extLst>
            <c:ext xmlns:c16="http://schemas.microsoft.com/office/drawing/2014/chart" uri="{C3380CC4-5D6E-409C-BE32-E72D297353CC}">
              <c16:uniqueId val="{00000000-FFA4-4EFE-90D7-19747EDB122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SOY!$B$24:$K$24</c:f>
              <c:numCache>
                <c:formatCode>0</c:formatCode>
                <c:ptCount val="10"/>
                <c:pt idx="0">
                  <c:v>369.2592592592593</c:v>
                </c:pt>
                <c:pt idx="1">
                  <c:v>355.18518518518516</c:v>
                </c:pt>
                <c:pt idx="2">
                  <c:v>418.51851851851853</c:v>
                </c:pt>
                <c:pt idx="3">
                  <c:v>462.96296296296299</c:v>
                </c:pt>
                <c:pt idx="4">
                  <c:v>533.33333333333337</c:v>
                </c:pt>
                <c:pt idx="5">
                  <c:v>481.48148148148147</c:v>
                </c:pt>
                <c:pt idx="6">
                  <c:v>374.07407407407408</c:v>
                </c:pt>
                <c:pt idx="7">
                  <c:v>331.48148148148147</c:v>
                </c:pt>
                <c:pt idx="8">
                  <c:v>350.74074074074076</c:v>
                </c:pt>
                <c:pt idx="9">
                  <c:v>355.55555555555554</c:v>
                </c:pt>
              </c:numCache>
            </c:numRef>
          </c:val>
          <c:extLst>
            <c:ext xmlns:c16="http://schemas.microsoft.com/office/drawing/2014/chart" uri="{C3380CC4-5D6E-409C-BE32-E72D297353CC}">
              <c16:uniqueId val="{00000000-3E8B-47A4-B5B9-C7B4CD8665B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SOY!$C$20:$K$20</c:f>
              <c:numCache>
                <c:formatCode>0.0</c:formatCode>
                <c:ptCount val="9"/>
                <c:pt idx="0">
                  <c:v>0.93848287824398025</c:v>
                </c:pt>
                <c:pt idx="1">
                  <c:v>0.76022102655239765</c:v>
                </c:pt>
                <c:pt idx="2">
                  <c:v>1.2414826668698762</c:v>
                </c:pt>
                <c:pt idx="3">
                  <c:v>2.2108098349739778</c:v>
                </c:pt>
                <c:pt idx="4">
                  <c:v>2.1268952228545301</c:v>
                </c:pt>
                <c:pt idx="5">
                  <c:v>2.2724076961946311</c:v>
                </c:pt>
                <c:pt idx="6">
                  <c:v>2.2856525971345656</c:v>
                </c:pt>
                <c:pt idx="7">
                  <c:v>2.5719601818361606</c:v>
                </c:pt>
                <c:pt idx="8">
                  <c:v>2.81227348724634</c:v>
                </c:pt>
              </c:numCache>
            </c:numRef>
          </c:val>
          <c:extLst>
            <c:ext xmlns:c16="http://schemas.microsoft.com/office/drawing/2014/chart" uri="{C3380CC4-5D6E-409C-BE32-E72D297353CC}">
              <c16:uniqueId val="{00000000-D939-4B50-9A47-636FD4A176A4}"/>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SOY!$C$21:$K$21</c:f>
              <c:numCache>
                <c:formatCode>0</c:formatCode>
                <c:ptCount val="9"/>
                <c:pt idx="0">
                  <c:v>11.208624519204724</c:v>
                </c:pt>
                <c:pt idx="1">
                  <c:v>8.6614987080103365</c:v>
                </c:pt>
                <c:pt idx="2">
                  <c:v>13.666538869255248</c:v>
                </c:pt>
                <c:pt idx="3">
                  <c:v>24.647729045756794</c:v>
                </c:pt>
                <c:pt idx="4">
                  <c:v>22.488572672124</c:v>
                </c:pt>
                <c:pt idx="5">
                  <c:v>24.102917291948962</c:v>
                </c:pt>
                <c:pt idx="6">
                  <c:v>24.025538968885737</c:v>
                </c:pt>
                <c:pt idx="7">
                  <c:v>25.306747485892757</c:v>
                </c:pt>
                <c:pt idx="8">
                  <c:v>27.193205488132726</c:v>
                </c:pt>
              </c:numCache>
            </c:numRef>
          </c:val>
          <c:smooth val="0"/>
          <c:extLst>
            <c:ext xmlns:c16="http://schemas.microsoft.com/office/drawing/2014/chart" uri="{C3380CC4-5D6E-409C-BE32-E72D297353CC}">
              <c16:uniqueId val="{00000001-D939-4B50-9A47-636FD4A176A4}"/>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SOY!$B$12:$K$12</c:f>
              <c:numCache>
                <c:formatCode>0</c:formatCode>
                <c:ptCount val="10"/>
                <c:pt idx="0">
                  <c:v>0.35810450004494337</c:v>
                </c:pt>
                <c:pt idx="1">
                  <c:v>0.39387888437358509</c:v>
                </c:pt>
                <c:pt idx="2">
                  <c:v>0.39012560503646937</c:v>
                </c:pt>
                <c:pt idx="3">
                  <c:v>0.4355640460236303</c:v>
                </c:pt>
                <c:pt idx="4">
                  <c:v>1.0939439121023573</c:v>
                </c:pt>
                <c:pt idx="5">
                  <c:v>1.9379802465572225</c:v>
                </c:pt>
                <c:pt idx="6">
                  <c:v>0.89706618174970432</c:v>
                </c:pt>
                <c:pt idx="7">
                  <c:v>0.63559727003301469</c:v>
                </c:pt>
                <c:pt idx="8">
                  <c:v>0.60052796681010212</c:v>
                </c:pt>
                <c:pt idx="9">
                  <c:v>0.67500000000000004</c:v>
                </c:pt>
              </c:numCache>
            </c:numRef>
          </c:val>
          <c:extLst>
            <c:ext xmlns:c16="http://schemas.microsoft.com/office/drawing/2014/chart" uri="{C3380CC4-5D6E-409C-BE32-E72D297353CC}">
              <c16:uniqueId val="{00000000-EA38-4CE8-8CD5-96AF71D22B3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SOY!$B$13:$K$13</c:f>
              <c:numCache>
                <c:formatCode>0</c:formatCode>
                <c:ptCount val="10"/>
                <c:pt idx="0">
                  <c:v>34.540926428572199</c:v>
                </c:pt>
                <c:pt idx="1">
                  <c:v>40.474299361778101</c:v>
                </c:pt>
                <c:pt idx="2">
                  <c:v>40.634396255640596</c:v>
                </c:pt>
                <c:pt idx="3">
                  <c:v>36.861776500440861</c:v>
                </c:pt>
                <c:pt idx="4">
                  <c:v>35.843201999999998</c:v>
                </c:pt>
                <c:pt idx="5">
                  <c:v>44.241091373767823</c:v>
                </c:pt>
                <c:pt idx="6">
                  <c:v>49.745412700008053</c:v>
                </c:pt>
                <c:pt idx="7">
                  <c:v>52.440919809571746</c:v>
                </c:pt>
                <c:pt idx="8">
                  <c:v>58.688618626906205</c:v>
                </c:pt>
                <c:pt idx="9">
                  <c:v>55.755000000000003</c:v>
                </c:pt>
              </c:numCache>
            </c:numRef>
          </c:val>
          <c:extLst>
            <c:ext xmlns:c16="http://schemas.microsoft.com/office/drawing/2014/chart" uri="{C3380CC4-5D6E-409C-BE32-E72D297353CC}">
              <c16:uniqueId val="{00000000-FCF4-4540-9631-0BB9CAB31E0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SOY!$B$23:$K$23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SOY!$C$27:$K$27</c:f>
              <c:numCache>
                <c:formatCode>0.0</c:formatCode>
                <c:ptCount val="9"/>
                <c:pt idx="0">
                  <c:v>0.66539039999999994</c:v>
                </c:pt>
                <c:pt idx="1">
                  <c:v>0.60252199999999989</c:v>
                </c:pt>
                <c:pt idx="2">
                  <c:v>1.4560840000000002</c:v>
                </c:pt>
                <c:pt idx="3">
                  <c:v>2.5296060000000002</c:v>
                </c:pt>
                <c:pt idx="4">
                  <c:v>2.2099257000000003</c:v>
                </c:pt>
                <c:pt idx="5">
                  <c:v>1.9152465399999996</c:v>
                </c:pt>
                <c:pt idx="6">
                  <c:v>1.5923240000000003</c:v>
                </c:pt>
                <c:pt idx="7">
                  <c:v>1.6931217199999999</c:v>
                </c:pt>
                <c:pt idx="8">
                  <c:v>2.0181</c:v>
                </c:pt>
              </c:numCache>
            </c:numRef>
          </c:val>
          <c:extLst>
            <c:ext xmlns:c16="http://schemas.microsoft.com/office/drawing/2014/chart" uri="{C3380CC4-5D6E-409C-BE32-E72D297353CC}">
              <c16:uniqueId val="{00000000-D285-4871-807E-D71D51F8D56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COTTON!$B$4:$K$4</c:f>
              <c:numCache>
                <c:formatCode>#,##0</c:formatCode>
                <c:ptCount val="10"/>
                <c:pt idx="0">
                  <c:v>9.4710000000000001</c:v>
                </c:pt>
                <c:pt idx="1">
                  <c:v>9.1494999999999997</c:v>
                </c:pt>
                <c:pt idx="2">
                  <c:v>10.974200000000002</c:v>
                </c:pt>
                <c:pt idx="3">
                  <c:v>14.7354</c:v>
                </c:pt>
                <c:pt idx="4">
                  <c:v>12.2644</c:v>
                </c:pt>
                <c:pt idx="5">
                  <c:v>10.407</c:v>
                </c:pt>
                <c:pt idx="6">
                  <c:v>11.0374</c:v>
                </c:pt>
                <c:pt idx="7">
                  <c:v>8.5805000000000007</c:v>
                </c:pt>
                <c:pt idx="8">
                  <c:v>10.0725</c:v>
                </c:pt>
                <c:pt idx="9">
                  <c:v>12.611499999999999</c:v>
                </c:pt>
              </c:numCache>
            </c:numRef>
          </c:val>
          <c:extLst>
            <c:ext xmlns:c16="http://schemas.microsoft.com/office/drawing/2014/chart" uri="{C3380CC4-5D6E-409C-BE32-E72D297353CC}">
              <c16:uniqueId val="{00000000-7CBC-4C9F-BEF0-9841CEDE3C1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COTTON!$B$7:$K$7</c:f>
              <c:numCache>
                <c:formatCode>0</c:formatCode>
                <c:ptCount val="10"/>
                <c:pt idx="0">
                  <c:v>5.9771698095000003</c:v>
                </c:pt>
                <c:pt idx="1">
                  <c:v>3.9011676555000006</c:v>
                </c:pt>
                <c:pt idx="2">
                  <c:v>3.7637291280000005</c:v>
                </c:pt>
                <c:pt idx="3">
                  <c:v>5.5302904785000004</c:v>
                </c:pt>
                <c:pt idx="4">
                  <c:v>4.8715834500000001</c:v>
                </c:pt>
                <c:pt idx="5">
                  <c:v>5.1401102099999996</c:v>
                </c:pt>
                <c:pt idx="6">
                  <c:v>3.8128985550000003</c:v>
                </c:pt>
                <c:pt idx="7">
                  <c:v>4.6493231249999996</c:v>
                </c:pt>
                <c:pt idx="8">
                  <c:v>3.667748955</c:v>
                </c:pt>
                <c:pt idx="9">
                  <c:v>4.8706762650000002</c:v>
                </c:pt>
              </c:numCache>
            </c:numRef>
          </c:val>
          <c:extLst>
            <c:ext xmlns:c16="http://schemas.microsoft.com/office/drawing/2014/chart" uri="{C3380CC4-5D6E-409C-BE32-E72D297353CC}">
              <c16:uniqueId val="{00000000-4500-4736-BCD0-FD4E6FBD3D63}"/>
            </c:ext>
          </c:extLst>
        </c:ser>
        <c:ser>
          <c:idx val="0"/>
          <c:order val="1"/>
          <c:tx>
            <c:v>Consumption</c:v>
          </c:tx>
          <c:spPr>
            <a:solidFill>
              <a:srgbClr val="A65628"/>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COTTON!$B$8:$K$8</c:f>
              <c:numCache>
                <c:formatCode>0.0</c:formatCode>
                <c:ptCount val="10"/>
                <c:pt idx="0">
                  <c:v>5.2961485240800927</c:v>
                </c:pt>
                <c:pt idx="1">
                  <c:v>3.8457032173878263</c:v>
                </c:pt>
                <c:pt idx="2">
                  <c:v>3.6742145931644212</c:v>
                </c:pt>
                <c:pt idx="3">
                  <c:v>5.0305691723990948</c:v>
                </c:pt>
                <c:pt idx="4">
                  <c:v>5.007811880001146</c:v>
                </c:pt>
                <c:pt idx="5">
                  <c:v>4.9932598365891074</c:v>
                </c:pt>
                <c:pt idx="6">
                  <c:v>3.7572643484720558</c:v>
                </c:pt>
                <c:pt idx="7">
                  <c:v>4.4858972833082333</c:v>
                </c:pt>
                <c:pt idx="8">
                  <c:v>3.6008518195073735</c:v>
                </c:pt>
                <c:pt idx="9">
                  <c:v>4.5989058498045479</c:v>
                </c:pt>
              </c:numCache>
            </c:numRef>
          </c:val>
          <c:extLst>
            <c:ext xmlns:c16="http://schemas.microsoft.com/office/drawing/2014/chart" uri="{C3380CC4-5D6E-409C-BE32-E72D297353CC}">
              <c16:uniqueId val="{00000001-4500-4736-BCD0-FD4E6FBD3D6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COTTON!$B$19:$K$19</c:f>
              <c:numCache>
                <c:formatCode>#,##0</c:formatCode>
                <c:ptCount val="10"/>
                <c:pt idx="0">
                  <c:v>3.0236320000000001</c:v>
                </c:pt>
                <c:pt idx="1">
                  <c:v>3.7866740000000001</c:v>
                </c:pt>
                <c:pt idx="2">
                  <c:v>7.3468679999999997</c:v>
                </c:pt>
                <c:pt idx="3">
                  <c:v>6.985976</c:v>
                </c:pt>
                <c:pt idx="4">
                  <c:v>6.2918130000000003</c:v>
                </c:pt>
                <c:pt idx="5">
                  <c:v>5.1915050000000003</c:v>
                </c:pt>
                <c:pt idx="6">
                  <c:v>5.1472410000000002</c:v>
                </c:pt>
                <c:pt idx="7">
                  <c:v>3.9889779999999999</c:v>
                </c:pt>
                <c:pt idx="8">
                  <c:v>5.8137740000000004</c:v>
                </c:pt>
                <c:pt idx="9">
                  <c:v>7.227322</c:v>
                </c:pt>
              </c:numCache>
            </c:numRef>
          </c:val>
          <c:extLst>
            <c:ext xmlns:c16="http://schemas.microsoft.com/office/drawing/2014/chart" uri="{C3380CC4-5D6E-409C-BE32-E72D297353CC}">
              <c16:uniqueId val="{00000000-5386-4415-ACC1-C1649527CF1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COTTON!$B$9:$K$9</c:f>
              <c:numCache>
                <c:formatCode>#,##0.00</c:formatCode>
                <c:ptCount val="10"/>
                <c:pt idx="0">
                  <c:v>2.338293010604159E-3</c:v>
                </c:pt>
                <c:pt idx="1">
                  <c:v>0</c:v>
                </c:pt>
                <c:pt idx="2">
                  <c:v>2.1921000099411739E-2</c:v>
                </c:pt>
                <c:pt idx="3">
                  <c:v>2.458650011149978E-4</c:v>
                </c:pt>
                <c:pt idx="4">
                  <c:v>8.6447567392039723E-2</c:v>
                </c:pt>
                <c:pt idx="5">
                  <c:v>8.3010330376451849E-2</c:v>
                </c:pt>
                <c:pt idx="6">
                  <c:v>8.2190294372733008E-2</c:v>
                </c:pt>
                <c:pt idx="7">
                  <c:v>5.442555124681988E-2</c:v>
                </c:pt>
                <c:pt idx="8">
                  <c:v>1.4852045067354026E-2</c:v>
                </c:pt>
                <c:pt idx="9">
                  <c:v>4.6338221210143839E-2</c:v>
                </c:pt>
              </c:numCache>
            </c:numRef>
          </c:val>
          <c:extLst>
            <c:ext xmlns:c16="http://schemas.microsoft.com/office/drawing/2014/chart" uri="{C3380CC4-5D6E-409C-BE32-E72D297353CC}">
              <c16:uniqueId val="{00000000-C962-409C-953E-753F0A1DF76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COTTON!$B$6:$K$6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COTTON!$B$10:$K$10</c:f>
              <c:numCache>
                <c:formatCode>#,##0.0</c:formatCode>
                <c:ptCount val="10"/>
                <c:pt idx="0">
                  <c:v>0.54366306746551196</c:v>
                </c:pt>
                <c:pt idx="1">
                  <c:v>0.17247497378217402</c:v>
                </c:pt>
                <c:pt idx="2">
                  <c:v>0.26791406121499028</c:v>
                </c:pt>
                <c:pt idx="3">
                  <c:v>0.24961858413202029</c:v>
                </c:pt>
                <c:pt idx="4">
                  <c:v>0.12037347754589371</c:v>
                </c:pt>
                <c:pt idx="5">
                  <c:v>0.17361523378734509</c:v>
                </c:pt>
                <c:pt idx="6">
                  <c:v>0.19860589590067776</c:v>
                </c:pt>
                <c:pt idx="7">
                  <c:v>0.20696517293858707</c:v>
                </c:pt>
                <c:pt idx="8">
                  <c:v>0.1234796905599804</c:v>
                </c:pt>
                <c:pt idx="9">
                  <c:v>0.30994397140559599</c:v>
                </c:pt>
              </c:numCache>
            </c:numRef>
          </c:val>
          <c:extLst>
            <c:ext xmlns:c16="http://schemas.microsoft.com/office/drawing/2014/chart" uri="{C3380CC4-5D6E-409C-BE32-E72D297353CC}">
              <c16:uniqueId val="{00000000-F8C4-4774-9F37-FAE55EAAC5F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COTTON!$B$16:$K$16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COTTON!$B$17:$K$17</c:f>
              <c:numCache>
                <c:formatCode>0</c:formatCode>
                <c:ptCount val="10"/>
                <c:pt idx="0">
                  <c:v>178.57438119016518</c:v>
                </c:pt>
                <c:pt idx="1">
                  <c:v>245.81535188522739</c:v>
                </c:pt>
                <c:pt idx="2">
                  <c:v>174.16513721016111</c:v>
                </c:pt>
                <c:pt idx="3">
                  <c:v>177.47207019516415</c:v>
                </c:pt>
                <c:pt idx="4">
                  <c:v>286.60085870026512</c:v>
                </c:pt>
                <c:pt idx="5">
                  <c:v>277.78237074025697</c:v>
                </c:pt>
                <c:pt idx="6">
                  <c:v>271.16850477025082</c:v>
                </c:pt>
                <c:pt idx="7">
                  <c:v>213.84833303019781</c:v>
                </c:pt>
                <c:pt idx="8">
                  <c:v>250.22459586523146</c:v>
                </c:pt>
                <c:pt idx="9">
                  <c:v>214.95064402519881</c:v>
                </c:pt>
              </c:numCache>
            </c:numRef>
          </c:val>
          <c:extLst>
            <c:ext xmlns:c16="http://schemas.microsoft.com/office/drawing/2014/chart" uri="{C3380CC4-5D6E-409C-BE32-E72D297353CC}">
              <c16:uniqueId val="{00000000-475E-4336-AF1E-AC90A904E94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3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PEANUTS!$B$4:$K$4</c:f>
              <c:numCache>
                <c:formatCode>0.0</c:formatCode>
                <c:ptCount val="10"/>
                <c:pt idx="0">
                  <c:v>1.534</c:v>
                </c:pt>
                <c:pt idx="1">
                  <c:v>1.1160000000000001</c:v>
                </c:pt>
                <c:pt idx="2">
                  <c:v>1.288</c:v>
                </c:pt>
                <c:pt idx="3">
                  <c:v>1.1405999999999998</c:v>
                </c:pt>
                <c:pt idx="4">
                  <c:v>1.6379999999999999</c:v>
                </c:pt>
                <c:pt idx="5">
                  <c:v>1.0669999999999999</c:v>
                </c:pt>
                <c:pt idx="6">
                  <c:v>1.3534999999999999</c:v>
                </c:pt>
                <c:pt idx="7">
                  <c:v>1.625</c:v>
                </c:pt>
                <c:pt idx="8">
                  <c:v>1.671</c:v>
                </c:pt>
                <c:pt idx="9">
                  <c:v>1.8705999999999998</c:v>
                </c:pt>
              </c:numCache>
            </c:numRef>
          </c:val>
          <c:extLst>
            <c:ext xmlns:c16="http://schemas.microsoft.com/office/drawing/2014/chart" uri="{C3380CC4-5D6E-409C-BE32-E72D297353CC}">
              <c16:uniqueId val="{00000000-24EE-44DC-812B-D27E14E91B4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PEANUTS!$B$7:$K$7</c:f>
              <c:numCache>
                <c:formatCode>#,##0.0</c:formatCode>
                <c:ptCount val="10"/>
                <c:pt idx="0">
                  <c:v>1.6657050505710278</c:v>
                </c:pt>
                <c:pt idx="1">
                  <c:v>2.3416259113807265</c:v>
                </c:pt>
                <c:pt idx="2">
                  <c:v>1.6745047450311212</c:v>
                </c:pt>
                <c:pt idx="3">
                  <c:v>1.8855114391492058</c:v>
                </c:pt>
                <c:pt idx="4">
                  <c:v>1.6595089770491269</c:v>
                </c:pt>
                <c:pt idx="5">
                  <c:v>3.0635093000069857</c:v>
                </c:pt>
                <c:pt idx="6">
                  <c:v>1.8929186046406143</c:v>
                </c:pt>
                <c:pt idx="7">
                  <c:v>2.3535395183391983</c:v>
                </c:pt>
                <c:pt idx="8">
                  <c:v>2.7221705126774567</c:v>
                </c:pt>
                <c:pt idx="9">
                  <c:v>2.5317582787434763</c:v>
                </c:pt>
              </c:numCache>
            </c:numRef>
          </c:val>
          <c:extLst>
            <c:ext xmlns:c16="http://schemas.microsoft.com/office/drawing/2014/chart" uri="{C3380CC4-5D6E-409C-BE32-E72D297353CC}">
              <c16:uniqueId val="{00000000-C8F6-4F2A-9AB8-98456418B430}"/>
            </c:ext>
          </c:extLst>
        </c:ser>
        <c:ser>
          <c:idx val="0"/>
          <c:order val="1"/>
          <c:tx>
            <c:v>Consumption</c:v>
          </c:tx>
          <c:spPr>
            <a:solidFill>
              <a:srgbClr val="A65628"/>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PEANUTS!$B$8:$K$8</c:f>
              <c:numCache>
                <c:formatCode>0.0</c:formatCode>
                <c:ptCount val="10"/>
                <c:pt idx="0">
                  <c:v>1.580251260435517</c:v>
                </c:pt>
                <c:pt idx="1">
                  <c:v>1.5525720636884897</c:v>
                </c:pt>
                <c:pt idx="2">
                  <c:v>1.5752008649462272</c:v>
                </c:pt>
                <c:pt idx="3">
                  <c:v>1.7817828014482444</c:v>
                </c:pt>
                <c:pt idx="4">
                  <c:v>1.7594438954351708</c:v>
                </c:pt>
                <c:pt idx="5">
                  <c:v>1.7735424274226388</c:v>
                </c:pt>
                <c:pt idx="6">
                  <c:v>1.8497752602625928</c:v>
                </c:pt>
                <c:pt idx="7">
                  <c:v>1.7935982011120533</c:v>
                </c:pt>
                <c:pt idx="8">
                  <c:v>2.2051319586720437</c:v>
                </c:pt>
                <c:pt idx="9">
                  <c:v>2.1615329891174242</c:v>
                </c:pt>
              </c:numCache>
            </c:numRef>
          </c:val>
          <c:extLst>
            <c:ext xmlns:c16="http://schemas.microsoft.com/office/drawing/2014/chart" uri="{C3380CC4-5D6E-409C-BE32-E72D297353CC}">
              <c16:uniqueId val="{00000001-C8F6-4F2A-9AB8-98456418B4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PEANUTS!$B$19:$K$19</c:f>
              <c:numCache>
                <c:formatCode>#,##0.0</c:formatCode>
                <c:ptCount val="10"/>
                <c:pt idx="0">
                  <c:v>1.1936169999999999</c:v>
                </c:pt>
                <c:pt idx="1">
                  <c:v>0.79314700000000005</c:v>
                </c:pt>
                <c:pt idx="2">
                  <c:v>0.93861099999999997</c:v>
                </c:pt>
                <c:pt idx="3">
                  <c:v>1.168587</c:v>
                </c:pt>
                <c:pt idx="4">
                  <c:v>2.0263260000000001</c:v>
                </c:pt>
                <c:pt idx="5">
                  <c:v>1.0550949999999999</c:v>
                </c:pt>
                <c:pt idx="6">
                  <c:v>1.1582509999999999</c:v>
                </c:pt>
                <c:pt idx="7">
                  <c:v>1.16056</c:v>
                </c:pt>
                <c:pt idx="8">
                  <c:v>1.088165</c:v>
                </c:pt>
                <c:pt idx="9">
                  <c:v>1.6380950000000001</c:v>
                </c:pt>
              </c:numCache>
            </c:numRef>
          </c:val>
          <c:extLst>
            <c:ext xmlns:c16="http://schemas.microsoft.com/office/drawing/2014/chart" uri="{C3380CC4-5D6E-409C-BE32-E72D297353CC}">
              <c16:uniqueId val="{00000000-85FE-4021-B471-58F2BC9159F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PEANUTS!$B$9:$K$9</c:f>
              <c:numCache>
                <c:formatCode>0.00</c:formatCode>
                <c:ptCount val="10"/>
                <c:pt idx="0">
                  <c:v>3.3084793400000007E-2</c:v>
                </c:pt>
                <c:pt idx="1">
                  <c:v>3.8912802700000006E-2</c:v>
                </c:pt>
                <c:pt idx="2">
                  <c:v>3.2646103100000004E-2</c:v>
                </c:pt>
                <c:pt idx="3">
                  <c:v>2.9298406900000001E-2</c:v>
                </c:pt>
                <c:pt idx="4">
                  <c:v>0.11516560140000001</c:v>
                </c:pt>
                <c:pt idx="5">
                  <c:v>5.3915584400000015E-2</c:v>
                </c:pt>
                <c:pt idx="6">
                  <c:v>3.9809245200000003E-2</c:v>
                </c:pt>
                <c:pt idx="7">
                  <c:v>4.0663831500000011E-2</c:v>
                </c:pt>
                <c:pt idx="8">
                  <c:v>4.283435540000001E-2</c:v>
                </c:pt>
                <c:pt idx="9">
                  <c:v>7.3444834200000017E-2</c:v>
                </c:pt>
              </c:numCache>
            </c:numRef>
          </c:val>
          <c:extLst>
            <c:ext xmlns:c16="http://schemas.microsoft.com/office/drawing/2014/chart" uri="{C3380CC4-5D6E-409C-BE32-E72D297353CC}">
              <c16:uniqueId val="{00000000-28C6-448F-B152-B963E132332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PEANUTS!$B$6:$K$6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PEANUTS!$B$10:$K$10</c:f>
              <c:numCache>
                <c:formatCode>0.0</c:formatCode>
                <c:ptCount val="10"/>
                <c:pt idx="0">
                  <c:v>0.34026094682500002</c:v>
                </c:pt>
                <c:pt idx="1">
                  <c:v>0.32956238879999999</c:v>
                </c:pt>
                <c:pt idx="2">
                  <c:v>0.26864098962499999</c:v>
                </c:pt>
                <c:pt idx="3">
                  <c:v>0.27491486029000006</c:v>
                </c:pt>
                <c:pt idx="4">
                  <c:v>0.24774582619949997</c:v>
                </c:pt>
                <c:pt idx="5">
                  <c:v>0.54219491145499998</c:v>
                </c:pt>
                <c:pt idx="6">
                  <c:v>0.4970698396099999</c:v>
                </c:pt>
                <c:pt idx="7">
                  <c:v>0.49027330952749998</c:v>
                </c:pt>
                <c:pt idx="8">
                  <c:v>0.70053738612749994</c:v>
                </c:pt>
                <c:pt idx="9">
                  <c:v>0.60211588006000005</c:v>
                </c:pt>
              </c:numCache>
            </c:numRef>
          </c:val>
          <c:extLst>
            <c:ext xmlns:c16="http://schemas.microsoft.com/office/drawing/2014/chart" uri="{C3380CC4-5D6E-409C-BE32-E72D297353CC}">
              <c16:uniqueId val="{00000000-B02B-437C-9666-8E3BEF77BA8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PEANUTS!$B$16:$K$16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PEANUTS!$B$17:$K$17</c:f>
              <c:numCache>
                <c:formatCode>0</c:formatCode>
                <c:ptCount val="10"/>
                <c:pt idx="0">
                  <c:v>451.94750999999997</c:v>
                </c:pt>
                <c:pt idx="1">
                  <c:v>507.06305999999995</c:v>
                </c:pt>
                <c:pt idx="2">
                  <c:v>478.40297399999997</c:v>
                </c:pt>
                <c:pt idx="3">
                  <c:v>496.03994999999998</c:v>
                </c:pt>
                <c:pt idx="4">
                  <c:v>701.06979599999988</c:v>
                </c:pt>
                <c:pt idx="5">
                  <c:v>663.59122200000002</c:v>
                </c:pt>
                <c:pt idx="6">
                  <c:v>548.95087799999999</c:v>
                </c:pt>
                <c:pt idx="7">
                  <c:v>485.01683999999995</c:v>
                </c:pt>
                <c:pt idx="8">
                  <c:v>425.49204599999996</c:v>
                </c:pt>
                <c:pt idx="9">
                  <c:v>434.31053399999996</c:v>
                </c:pt>
              </c:numCache>
            </c:numRef>
          </c:val>
          <c:extLst>
            <c:ext xmlns:c16="http://schemas.microsoft.com/office/drawing/2014/chart" uri="{C3380CC4-5D6E-409C-BE32-E72D297353CC}">
              <c16:uniqueId val="{00000000-7469-4BE4-B30B-47D41B8E5CA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SUNFLOWERS!$B$4:$K$4</c:f>
              <c:numCache>
                <c:formatCode>0.0</c:formatCode>
                <c:ptCount val="10"/>
                <c:pt idx="0">
                  <c:v>2.5165000000000002</c:v>
                </c:pt>
                <c:pt idx="1">
                  <c:v>2.0299999999999998</c:v>
                </c:pt>
                <c:pt idx="2">
                  <c:v>1.9515</c:v>
                </c:pt>
                <c:pt idx="3">
                  <c:v>1.5429999999999999</c:v>
                </c:pt>
                <c:pt idx="4">
                  <c:v>1.92</c:v>
                </c:pt>
                <c:pt idx="5">
                  <c:v>1.5754999999999999</c:v>
                </c:pt>
                <c:pt idx="6">
                  <c:v>1.5652999999999999</c:v>
                </c:pt>
                <c:pt idx="7">
                  <c:v>1.8591</c:v>
                </c:pt>
                <c:pt idx="8">
                  <c:v>1.5966</c:v>
                </c:pt>
                <c:pt idx="9">
                  <c:v>1.403</c:v>
                </c:pt>
              </c:numCache>
            </c:numRef>
          </c:val>
          <c:extLst>
            <c:ext xmlns:c16="http://schemas.microsoft.com/office/drawing/2014/chart" uri="{C3380CC4-5D6E-409C-BE32-E72D297353CC}">
              <c16:uniqueId val="{00000000-A168-40C8-A18C-5C4FB6138B2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SUNFLOWERS!$B$7:$K$7</c:f>
              <c:numCache>
                <c:formatCode>0.0</c:formatCode>
                <c:ptCount val="10"/>
                <c:pt idx="0">
                  <c:v>1.3012979095736141</c:v>
                </c:pt>
                <c:pt idx="1">
                  <c:v>1.5525745456590747</c:v>
                </c:pt>
                <c:pt idx="2">
                  <c:v>1.3773154763038744</c:v>
                </c:pt>
                <c:pt idx="3">
                  <c:v>1.2408340295978177</c:v>
                </c:pt>
                <c:pt idx="4">
                  <c:v>0.92454624874468283</c:v>
                </c:pt>
                <c:pt idx="5">
                  <c:v>1.2410562899218098</c:v>
                </c:pt>
                <c:pt idx="6">
                  <c:v>0.91705743660364458</c:v>
                </c:pt>
                <c:pt idx="7">
                  <c:v>1.0065444325603212</c:v>
                </c:pt>
                <c:pt idx="8">
                  <c:v>1.3261819940107649</c:v>
                </c:pt>
                <c:pt idx="9">
                  <c:v>1.2027617432829756</c:v>
                </c:pt>
              </c:numCache>
            </c:numRef>
          </c:val>
          <c:extLst>
            <c:ext xmlns:c16="http://schemas.microsoft.com/office/drawing/2014/chart" uri="{C3380CC4-5D6E-409C-BE32-E72D297353CC}">
              <c16:uniqueId val="{00000000-F4D3-4391-B8DB-C8597BA33321}"/>
            </c:ext>
          </c:extLst>
        </c:ser>
        <c:ser>
          <c:idx val="0"/>
          <c:order val="1"/>
          <c:tx>
            <c:v>Consumption</c:v>
          </c:tx>
          <c:spPr>
            <a:solidFill>
              <a:srgbClr val="A65628"/>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SUNFLOWERS!$B$8:$K$8</c:f>
              <c:numCache>
                <c:formatCode>0.0</c:formatCode>
                <c:ptCount val="10"/>
                <c:pt idx="0">
                  <c:v>1.2053676321836579</c:v>
                </c:pt>
                <c:pt idx="1">
                  <c:v>1.3356806745101883</c:v>
                </c:pt>
                <c:pt idx="2">
                  <c:v>1.2908879617458233</c:v>
                </c:pt>
                <c:pt idx="3">
                  <c:v>1.1803066466723096</c:v>
                </c:pt>
                <c:pt idx="4">
                  <c:v>0.89335223906864758</c:v>
                </c:pt>
                <c:pt idx="5">
                  <c:v>1.0909738721649336</c:v>
                </c:pt>
                <c:pt idx="6">
                  <c:v>0.92565755036464314</c:v>
                </c:pt>
                <c:pt idx="7">
                  <c:v>0.94816707807506229</c:v>
                </c:pt>
                <c:pt idx="8">
                  <c:v>1.2195677989242601</c:v>
                </c:pt>
                <c:pt idx="9">
                  <c:v>1.1122219591385734</c:v>
                </c:pt>
              </c:numCache>
            </c:numRef>
          </c:val>
          <c:extLst>
            <c:ext xmlns:c16="http://schemas.microsoft.com/office/drawing/2014/chart" uri="{C3380CC4-5D6E-409C-BE32-E72D297353CC}">
              <c16:uniqueId val="{00000001-F4D3-4391-B8DB-C8597BA3332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SUNFLOWERS!$B$19:$K$19</c:f>
              <c:numCache>
                <c:formatCode>#,##0.0</c:formatCode>
                <c:ptCount val="10"/>
                <c:pt idx="0">
                  <c:v>0.70410499999999998</c:v>
                </c:pt>
                <c:pt idx="1">
                  <c:v>0.45895900000000001</c:v>
                </c:pt>
                <c:pt idx="2">
                  <c:v>0.63377799999999995</c:v>
                </c:pt>
                <c:pt idx="3">
                  <c:v>0.58928199999999997</c:v>
                </c:pt>
                <c:pt idx="4">
                  <c:v>0.69996999999999998</c:v>
                </c:pt>
                <c:pt idx="5">
                  <c:v>0.44329600000000002</c:v>
                </c:pt>
                <c:pt idx="6">
                  <c:v>0.49777500000000002</c:v>
                </c:pt>
                <c:pt idx="7">
                  <c:v>0.574156</c:v>
                </c:pt>
                <c:pt idx="8">
                  <c:v>0.46401500000000001</c:v>
                </c:pt>
                <c:pt idx="9">
                  <c:v>0.38916800000000001</c:v>
                </c:pt>
              </c:numCache>
            </c:numRef>
          </c:val>
          <c:extLst>
            <c:ext xmlns:c16="http://schemas.microsoft.com/office/drawing/2014/chart" uri="{C3380CC4-5D6E-409C-BE32-E72D297353CC}">
              <c16:uniqueId val="{00000000-1750-495E-A6E7-7C91788DBB1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SUNFLOWERS!$B$9:$K$9</c:f>
              <c:numCache>
                <c:formatCode>0.00</c:formatCode>
                <c:ptCount val="10"/>
                <c:pt idx="0">
                  <c:v>8.7236723574381475E-2</c:v>
                </c:pt>
                <c:pt idx="1">
                  <c:v>6.9865038088162065E-2</c:v>
                </c:pt>
                <c:pt idx="2">
                  <c:v>4.6478262486721079E-2</c:v>
                </c:pt>
                <c:pt idx="3">
                  <c:v>4.0649598888154073E-2</c:v>
                </c:pt>
                <c:pt idx="4">
                  <c:v>4.4082386912586383E-2</c:v>
                </c:pt>
                <c:pt idx="5">
                  <c:v>5.3476741137482985E-2</c:v>
                </c:pt>
                <c:pt idx="6">
                  <c:v>6.5244291311617145E-2</c:v>
                </c:pt>
                <c:pt idx="7">
                  <c:v>7.4430446579957926E-2</c:v>
                </c:pt>
                <c:pt idx="8">
                  <c:v>7.1555577327995459E-2</c:v>
                </c:pt>
                <c:pt idx="9">
                  <c:v>7.9944316984952538E-2</c:v>
                </c:pt>
              </c:numCache>
            </c:numRef>
          </c:val>
          <c:extLst>
            <c:ext xmlns:c16="http://schemas.microsoft.com/office/drawing/2014/chart" uri="{C3380CC4-5D6E-409C-BE32-E72D297353CC}">
              <c16:uniqueId val="{00000000-7242-47C3-BEC9-9F97B5DEF0C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6.0366799413954716E-4"/>
              <c:y val="0.364858103674540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4DAF4A"/>
            </a:solidFill>
            <a:ln>
              <a:solidFill>
                <a:sysClr val="windowText" lastClr="000000"/>
              </a:solidFill>
            </a:ln>
            <a:effectLst/>
          </c:spPr>
          <c:invertIfNegative val="0"/>
          <c:cat>
            <c:numRef>
              <c:f>SUNFLOWERS!$B$6:$K$6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SUNFLOWERS!$B$10:$K$10</c:f>
              <c:numCache>
                <c:formatCode>0.0</c:formatCode>
                <c:ptCount val="10"/>
                <c:pt idx="0">
                  <c:v>0.20009461939507089</c:v>
                </c:pt>
                <c:pt idx="1">
                  <c:v>0.18392631480589416</c:v>
                </c:pt>
                <c:pt idx="2">
                  <c:v>0.1791794693149211</c:v>
                </c:pt>
                <c:pt idx="3">
                  <c:v>0.16046288207230083</c:v>
                </c:pt>
                <c:pt idx="4">
                  <c:v>0.1060404005766068</c:v>
                </c:pt>
                <c:pt idx="5">
                  <c:v>0.13641522220135696</c:v>
                </c:pt>
                <c:pt idx="6">
                  <c:v>0.11974978023443475</c:v>
                </c:pt>
                <c:pt idx="7">
                  <c:v>0.11581259735228988</c:v>
                </c:pt>
                <c:pt idx="8">
                  <c:v>9.887227833161423E-2</c:v>
                </c:pt>
                <c:pt idx="9">
                  <c:v>8.9948753119582406E-2</c:v>
                </c:pt>
              </c:numCache>
            </c:numRef>
          </c:val>
          <c:extLst>
            <c:ext xmlns:c16="http://schemas.microsoft.com/office/drawing/2014/chart" uri="{C3380CC4-5D6E-409C-BE32-E72D297353CC}">
              <c16:uniqueId val="{00000000-E6AC-49CA-AE9F-AE1F5E9CC55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SUNFLOWERS!$B$16:$K$16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SUNFLOWERS!$B$17:$K$17</c:f>
              <c:numCache>
                <c:formatCode>0</c:formatCode>
                <c:ptCount val="10"/>
                <c:pt idx="0">
                  <c:v>427.146015042626</c:v>
                </c:pt>
                <c:pt idx="1">
                  <c:v>429.11442985849067</c:v>
                </c:pt>
                <c:pt idx="2">
                  <c:v>297.23063719556001</c:v>
                </c:pt>
                <c:pt idx="3">
                  <c:v>458.6406520964602</c:v>
                </c:pt>
                <c:pt idx="4">
                  <c:v>572.80871141660907</c:v>
                </c:pt>
                <c:pt idx="5">
                  <c:v>499.97736322961754</c:v>
                </c:pt>
                <c:pt idx="6">
                  <c:v>421.24077059503207</c:v>
                </c:pt>
                <c:pt idx="7">
                  <c:v>427.146015042626</c:v>
                </c:pt>
                <c:pt idx="8">
                  <c:v>385.80930390946867</c:v>
                </c:pt>
                <c:pt idx="9">
                  <c:v>341.51997055251439</c:v>
                </c:pt>
              </c:numCache>
            </c:numRef>
          </c:val>
          <c:extLst>
            <c:ext xmlns:c16="http://schemas.microsoft.com/office/drawing/2014/chart" uri="{C3380CC4-5D6E-409C-BE32-E72D297353CC}">
              <c16:uniqueId val="{00000000-F3B2-4933-9228-D3501A49B5C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CANOLA!$B$4:$K$4</c:f>
              <c:numCache>
                <c:formatCode>0.0</c:formatCode>
                <c:ptCount val="10"/>
                <c:pt idx="0">
                  <c:v>1.1759999999999999</c:v>
                </c:pt>
                <c:pt idx="1">
                  <c:v>1.0109999999999999</c:v>
                </c:pt>
                <c:pt idx="2">
                  <c:v>0.82</c:v>
                </c:pt>
                <c:pt idx="3">
                  <c:v>1.4487999999999999</c:v>
                </c:pt>
                <c:pt idx="4">
                  <c:v>1.0615000000000001</c:v>
                </c:pt>
                <c:pt idx="5">
                  <c:v>1.7544000000000002</c:v>
                </c:pt>
                <c:pt idx="6">
                  <c:v>1.3480000000000001</c:v>
                </c:pt>
                <c:pt idx="7">
                  <c:v>1.7150000000000001</c:v>
                </c:pt>
                <c:pt idx="8">
                  <c:v>1.7769999999999999</c:v>
                </c:pt>
                <c:pt idx="9">
                  <c:v>1.714</c:v>
                </c:pt>
              </c:numCache>
            </c:numRef>
          </c:val>
          <c:extLst>
            <c:ext xmlns:c16="http://schemas.microsoft.com/office/drawing/2014/chart" uri="{C3380CC4-5D6E-409C-BE32-E72D297353CC}">
              <c16:uniqueId val="{00000000-B96F-4522-9CD9-621362E59C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acres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4DAF4A"/>
            </a:solidFill>
            <a:ln>
              <a:solidFill>
                <a:sysClr val="windowText" lastClr="000000"/>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CANOLA!$B$7:$K$7</c:f>
              <c:numCache>
                <c:formatCode>#,##0.0</c:formatCode>
                <c:ptCount val="10"/>
                <c:pt idx="0">
                  <c:v>0.64897668511294559</c:v>
                </c:pt>
                <c:pt idx="1">
                  <c:v>0.65547673047264809</c:v>
                </c:pt>
                <c:pt idx="2">
                  <c:v>0.66441984940578791</c:v>
                </c:pt>
                <c:pt idx="3">
                  <c:v>1.1102367776467388</c:v>
                </c:pt>
                <c:pt idx="4">
                  <c:v>0.69310078925882246</c:v>
                </c:pt>
                <c:pt idx="5">
                  <c:v>1.0848271795337023</c:v>
                </c:pt>
                <c:pt idx="6">
                  <c:v>1.0026784904291028</c:v>
                </c:pt>
                <c:pt idx="7">
                  <c:v>1.1389798602921164</c:v>
                </c:pt>
                <c:pt idx="8">
                  <c:v>1.3056654268347998</c:v>
                </c:pt>
                <c:pt idx="9">
                  <c:v>1.3999546402975598</c:v>
                </c:pt>
              </c:numCache>
            </c:numRef>
          </c:val>
          <c:extLst>
            <c:ext xmlns:c16="http://schemas.microsoft.com/office/drawing/2014/chart" uri="{C3380CC4-5D6E-409C-BE32-E72D297353CC}">
              <c16:uniqueId val="{00000000-B653-4184-AF96-7A17468C468F}"/>
            </c:ext>
          </c:extLst>
        </c:ser>
        <c:ser>
          <c:idx val="0"/>
          <c:order val="1"/>
          <c:tx>
            <c:v>Consumption</c:v>
          </c:tx>
          <c:spPr>
            <a:solidFill>
              <a:srgbClr val="A65628"/>
            </a:solidFill>
            <a:ln>
              <a:solidFill>
                <a:sysClr val="windowText" lastClr="000000"/>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CANOLA!$B$8:$K$8</c:f>
              <c:numCache>
                <c:formatCode>#,##0.0</c:formatCode>
                <c:ptCount val="10"/>
                <c:pt idx="0">
                  <c:v>1.076620939321661</c:v>
                </c:pt>
                <c:pt idx="1">
                  <c:v>1.2425111820759089</c:v>
                </c:pt>
                <c:pt idx="2">
                  <c:v>1.1386332720231458</c:v>
                </c:pt>
                <c:pt idx="3">
                  <c:v>1.3187594043403239</c:v>
                </c:pt>
                <c:pt idx="4">
                  <c:v>1.1940519952190662</c:v>
                </c:pt>
                <c:pt idx="5">
                  <c:v>1.2908923647945607</c:v>
                </c:pt>
                <c:pt idx="6">
                  <c:v>1.7297199280161839</c:v>
                </c:pt>
                <c:pt idx="7">
                  <c:v>1.7787423756288623</c:v>
                </c:pt>
                <c:pt idx="8">
                  <c:v>1.4371028758051345</c:v>
                </c:pt>
                <c:pt idx="9">
                  <c:v>2.028755365483724</c:v>
                </c:pt>
              </c:numCache>
            </c:numRef>
          </c:val>
          <c:extLst>
            <c:ext xmlns:c16="http://schemas.microsoft.com/office/drawing/2014/chart" uri="{C3380CC4-5D6E-409C-BE32-E72D297353CC}">
              <c16:uniqueId val="{00000001-B653-4184-AF96-7A17468C468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9035012450366787"/>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CANOLA!$B$19:$K$19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CANOLA!$B$22:$K$22</c:f>
              <c:numCache>
                <c:formatCode>#,##0.0</c:formatCode>
                <c:ptCount val="10"/>
                <c:pt idx="0">
                  <c:v>0.27098800000000001</c:v>
                </c:pt>
                <c:pt idx="1">
                  <c:v>0.23715600000000001</c:v>
                </c:pt>
                <c:pt idx="2">
                  <c:v>0.47106799999999999</c:v>
                </c:pt>
                <c:pt idx="3">
                  <c:v>0.36419699999999999</c:v>
                </c:pt>
                <c:pt idx="4">
                  <c:v>0.63025299999999995</c:v>
                </c:pt>
                <c:pt idx="5">
                  <c:v>0.45644800000000002</c:v>
                </c:pt>
                <c:pt idx="6">
                  <c:v>0.42338199999999998</c:v>
                </c:pt>
                <c:pt idx="7">
                  <c:v>0.44855200000000001</c:v>
                </c:pt>
                <c:pt idx="8">
                  <c:v>0.51009800000000005</c:v>
                </c:pt>
                <c:pt idx="9">
                  <c:v>0.53265399999999996</c:v>
                </c:pt>
              </c:numCache>
            </c:numRef>
          </c:val>
          <c:extLst>
            <c:ext xmlns:c16="http://schemas.microsoft.com/office/drawing/2014/chart" uri="{C3380CC4-5D6E-409C-BE32-E72D297353CC}">
              <c16:uniqueId val="{00000000-B3B7-44D0-8566-74984FB966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4DAF4A"/>
            </a:solidFill>
            <a:ln>
              <a:solidFill>
                <a:schemeClr val="tx1"/>
              </a:solidFill>
            </a:ln>
            <a:effectLst/>
          </c:spPr>
          <c:invertIfNegative val="0"/>
          <c:cat>
            <c:numRef>
              <c:f>CANOLA!$C$6:$K$6</c:f>
              <c:numCache>
                <c:formatCode>General</c:formatCode>
                <c:ptCount val="9"/>
                <c:pt idx="0">
                  <c:v>2009</c:v>
                </c:pt>
                <c:pt idx="1">
                  <c:v>2010</c:v>
                </c:pt>
                <c:pt idx="2">
                  <c:v>2011</c:v>
                </c:pt>
                <c:pt idx="3">
                  <c:v>2012</c:v>
                </c:pt>
                <c:pt idx="4">
                  <c:v>2013</c:v>
                </c:pt>
                <c:pt idx="5">
                  <c:v>2014</c:v>
                </c:pt>
                <c:pt idx="6">
                  <c:v>2015</c:v>
                </c:pt>
                <c:pt idx="7">
                  <c:v>2016</c:v>
                </c:pt>
                <c:pt idx="8">
                  <c:v>2017</c:v>
                </c:pt>
              </c:numCache>
            </c:numRef>
          </c:cat>
          <c:val>
            <c:numRef>
              <c:f>CANOLA!$C$16:$K$16</c:f>
              <c:numCache>
                <c:formatCode>0.0</c:formatCode>
                <c:ptCount val="9"/>
                <c:pt idx="0" formatCode="General">
                  <c:v>0</c:v>
                </c:pt>
                <c:pt idx="1">
                  <c:v>0.11158172998854247</c:v>
                </c:pt>
                <c:pt idx="2">
                  <c:v>0.38418587520445313</c:v>
                </c:pt>
                <c:pt idx="3">
                  <c:v>0.3569708191096867</c:v>
                </c:pt>
                <c:pt idx="4">
                  <c:v>0.29301543728698554</c:v>
                </c:pt>
                <c:pt idx="5">
                  <c:v>0.47444914458542858</c:v>
                </c:pt>
                <c:pt idx="6">
                  <c:v>0.33792027984335016</c:v>
                </c:pt>
                <c:pt idx="7">
                  <c:v>0.51255022311810161</c:v>
                </c:pt>
                <c:pt idx="8">
                  <c:v>0.65860435749334822</c:v>
                </c:pt>
              </c:numCache>
            </c:numRef>
          </c:val>
          <c:extLst>
            <c:ext xmlns:c16="http://schemas.microsoft.com/office/drawing/2014/chart" uri="{C3380CC4-5D6E-409C-BE32-E72D297353CC}">
              <c16:uniqueId val="{00000000-B3BF-4D22-890B-A833DFF9EC21}"/>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A65628"/>
              </a:solidFill>
              <a:round/>
            </a:ln>
            <a:effectLst/>
          </c:spPr>
          <c:marker>
            <c:symbol val="none"/>
          </c:marker>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CANOLA!$C$17:$K$17</c:f>
              <c:numCache>
                <c:formatCode>0</c:formatCode>
                <c:ptCount val="9"/>
                <c:pt idx="0">
                  <c:v>0</c:v>
                </c:pt>
                <c:pt idx="1">
                  <c:v>6.84333600946717</c:v>
                </c:pt>
                <c:pt idx="2">
                  <c:v>18.987974581670485</c:v>
                </c:pt>
                <c:pt idx="3">
                  <c:v>16.792080965568125</c:v>
                </c:pt>
                <c:pt idx="4">
                  <c:v>15.298569583743921</c:v>
                </c:pt>
                <c:pt idx="5">
                  <c:v>20.539751685005825</c:v>
                </c:pt>
                <c:pt idx="6">
                  <c:v>13.498822250407683</c:v>
                </c:pt>
                <c:pt idx="7">
                  <c:v>19.44587850628119</c:v>
                </c:pt>
                <c:pt idx="8">
                  <c:v>22.020018198362145</c:v>
                </c:pt>
              </c:numCache>
            </c:numRef>
          </c:val>
          <c:smooth val="0"/>
          <c:extLst>
            <c:ext xmlns:c16="http://schemas.microsoft.com/office/drawing/2014/chart" uri="{C3380CC4-5D6E-409C-BE32-E72D297353CC}">
              <c16:uniqueId val="{00000001-B3BF-4D22-890B-A833DFF9EC21}"/>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Imports</c:v>
          </c:tx>
          <c:spPr>
            <a:solidFill>
              <a:srgbClr val="4DAF4A"/>
            </a:solidFill>
            <a:ln>
              <a:solidFill>
                <a:schemeClr val="tx1"/>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CANOLA!$B$9:$K$9</c:f>
              <c:numCache>
                <c:formatCode>#,##0.0</c:formatCode>
                <c:ptCount val="10"/>
                <c:pt idx="0">
                  <c:v>0.87349178989385834</c:v>
                </c:pt>
                <c:pt idx="1">
                  <c:v>0.82519167361655565</c:v>
                </c:pt>
                <c:pt idx="2">
                  <c:v>0.56799512964325283</c:v>
                </c:pt>
                <c:pt idx="3">
                  <c:v>0.48219158240665566</c:v>
                </c:pt>
                <c:pt idx="4">
                  <c:v>0.62197444470472463</c:v>
                </c:pt>
                <c:pt idx="5">
                  <c:v>0.39403797511872724</c:v>
                </c:pt>
                <c:pt idx="6">
                  <c:v>0.93313214375828002</c:v>
                </c:pt>
                <c:pt idx="7">
                  <c:v>0.77687062241909643</c:v>
                </c:pt>
                <c:pt idx="8">
                  <c:v>0.35879524630318427</c:v>
                </c:pt>
                <c:pt idx="9">
                  <c:v>0.69478775231126644</c:v>
                </c:pt>
              </c:numCache>
            </c:numRef>
          </c:val>
          <c:extLst>
            <c:ext xmlns:c16="http://schemas.microsoft.com/office/drawing/2014/chart" uri="{C3380CC4-5D6E-409C-BE32-E72D297353CC}">
              <c16:uniqueId val="{00000000-DB90-4C43-A228-E932B52F0C79}"/>
            </c:ext>
          </c:extLst>
        </c:ser>
        <c:ser>
          <c:idx val="0"/>
          <c:order val="1"/>
          <c:tx>
            <c:v>Exports</c:v>
          </c:tx>
          <c:spPr>
            <a:solidFill>
              <a:srgbClr val="A65628"/>
            </a:solidFill>
            <a:ln>
              <a:solidFill>
                <a:schemeClr val="tx1"/>
              </a:solidFill>
            </a:ln>
            <a:effectLst/>
          </c:spPr>
          <c:invertIfNegative val="0"/>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CANOLA!$B$10:$K$10</c:f>
              <c:numCache>
                <c:formatCode>#,##0.0</c:formatCode>
                <c:ptCount val="10"/>
                <c:pt idx="0">
                  <c:v>0.42313502547920984</c:v>
                </c:pt>
                <c:pt idx="1">
                  <c:v>0.1905386063914134</c:v>
                </c:pt>
                <c:pt idx="2">
                  <c:v>0.17591315944356711</c:v>
                </c:pt>
                <c:pt idx="3">
                  <c:v>0.29373427368458455</c:v>
                </c:pt>
                <c:pt idx="4">
                  <c:v>0.15285395633497323</c:v>
                </c:pt>
                <c:pt idx="5">
                  <c:v>0.17713000658652725</c:v>
                </c:pt>
                <c:pt idx="6">
                  <c:v>0.15809424422798932</c:v>
                </c:pt>
                <c:pt idx="7">
                  <c:v>0.15656968741438357</c:v>
                </c:pt>
                <c:pt idx="8">
                  <c:v>0.17599564546856572</c:v>
                </c:pt>
                <c:pt idx="9">
                  <c:v>0.11884242039372223</c:v>
                </c:pt>
              </c:numCache>
            </c:numRef>
          </c:val>
          <c:extLst>
            <c:ext xmlns:c16="http://schemas.microsoft.com/office/drawing/2014/chart" uri="{C3380CC4-5D6E-409C-BE32-E72D297353CC}">
              <c16:uniqueId val="{00000001-DB90-4C43-A228-E932B52F0C7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2729562337342285"/>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ysClr val="windowText" lastClr="000000"/>
              </a:solidFill>
            </a:ln>
            <a:effectLst/>
          </c:spPr>
          <c:invertIfNegative val="0"/>
          <c:cat>
            <c:numRef>
              <c:f>CANOLA!$B$19:$K$19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CANOLA!$B$20:$K$20</c:f>
              <c:numCache>
                <c:formatCode>0</c:formatCode>
                <c:ptCount val="10"/>
                <c:pt idx="0">
                  <c:v>360.2199113032284</c:v>
                </c:pt>
                <c:pt idx="1">
                  <c:v>368.09357056668694</c:v>
                </c:pt>
                <c:pt idx="2">
                  <c:v>318.88320017007101</c:v>
                </c:pt>
                <c:pt idx="3">
                  <c:v>379.90405946187474</c:v>
                </c:pt>
                <c:pt idx="4">
                  <c:v>472.41955580751261</c:v>
                </c:pt>
                <c:pt idx="5">
                  <c:v>521.62992620412854</c:v>
                </c:pt>
                <c:pt idx="6">
                  <c:v>405.49345206811506</c:v>
                </c:pt>
                <c:pt idx="7">
                  <c:v>332.66210388112347</c:v>
                </c:pt>
                <c:pt idx="8">
                  <c:v>307.0727112748832</c:v>
                </c:pt>
                <c:pt idx="9">
                  <c:v>326.7568594335296</c:v>
                </c:pt>
              </c:numCache>
            </c:numRef>
          </c:val>
          <c:extLst>
            <c:ext xmlns:c16="http://schemas.microsoft.com/office/drawing/2014/chart" uri="{C3380CC4-5D6E-409C-BE32-E72D297353CC}">
              <c16:uniqueId val="{00000000-EDAD-4FE1-BA5E-290F8FDF35E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4DAF4A"/>
            </a:solidFill>
            <a:ln>
              <a:solidFill>
                <a:schemeClr val="tx1"/>
              </a:solidFill>
            </a:ln>
            <a:effectLst/>
          </c:spPr>
          <c:invertIfNegative val="0"/>
          <c:cat>
            <c:numRef>
              <c:f>CANOLA!$D$19:$K$19</c:f>
              <c:numCache>
                <c:formatCode>General</c:formatCode>
                <c:ptCount val="8"/>
                <c:pt idx="0">
                  <c:v>2010</c:v>
                </c:pt>
                <c:pt idx="1">
                  <c:v>2011</c:v>
                </c:pt>
                <c:pt idx="2">
                  <c:v>2012</c:v>
                </c:pt>
                <c:pt idx="3">
                  <c:v>2013</c:v>
                </c:pt>
                <c:pt idx="4">
                  <c:v>2014</c:v>
                </c:pt>
                <c:pt idx="5">
                  <c:v>2015</c:v>
                </c:pt>
                <c:pt idx="6">
                  <c:v>2016</c:v>
                </c:pt>
                <c:pt idx="7">
                  <c:v>2017</c:v>
                </c:pt>
              </c:numCache>
            </c:numRef>
          </c:cat>
          <c:val>
            <c:numRef>
              <c:f>CANOLA!$D$23:$K$23</c:f>
              <c:numCache>
                <c:formatCode>0.00</c:formatCode>
                <c:ptCount val="8"/>
                <c:pt idx="0">
                  <c:v>0.10548288615016725</c:v>
                </c:pt>
                <c:pt idx="1">
                  <c:v>0.4970105823891372</c:v>
                </c:pt>
                <c:pt idx="2">
                  <c:v>0.450077133935542</c:v>
                </c:pt>
                <c:pt idx="3">
                  <c:v>0.3628516165291551</c:v>
                </c:pt>
                <c:pt idx="4">
                  <c:v>0.45709370662895277</c:v>
                </c:pt>
                <c:pt idx="5">
                  <c:v>0.28167938929368769</c:v>
                </c:pt>
                <c:pt idx="6">
                  <c:v>0.39854376894145233</c:v>
                </c:pt>
                <c:pt idx="7">
                  <c:v>0.5623493969012936</c:v>
                </c:pt>
              </c:numCache>
            </c:numRef>
          </c:val>
          <c:extLst>
            <c:ext xmlns:c16="http://schemas.microsoft.com/office/drawing/2014/chart" uri="{C3380CC4-5D6E-409C-BE32-E72D297353CC}">
              <c16:uniqueId val="{00000000-1D47-4300-B5CB-0AB930302DA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377EB8"/>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ETHANOL!$B$34:$I$34</c:f>
              <c:numCache>
                <c:formatCode>0</c:formatCode>
                <c:ptCount val="8"/>
                <c:pt idx="0" formatCode="General">
                  <c:v>54</c:v>
                </c:pt>
                <c:pt idx="1">
                  <c:v>42.4</c:v>
                </c:pt>
                <c:pt idx="2">
                  <c:v>40.6</c:v>
                </c:pt>
                <c:pt idx="3" formatCode="General">
                  <c:v>44</c:v>
                </c:pt>
                <c:pt idx="4" formatCode="General">
                  <c:v>53</c:v>
                </c:pt>
                <c:pt idx="5" formatCode="General">
                  <c:v>44</c:v>
                </c:pt>
                <c:pt idx="6" formatCode="General">
                  <c:v>42</c:v>
                </c:pt>
                <c:pt idx="7" formatCode="General">
                  <c:v>45</c:v>
                </c:pt>
              </c:numCache>
            </c:numRef>
          </c:val>
          <c:extLst>
            <c:ext xmlns:c16="http://schemas.microsoft.com/office/drawing/2014/chart" uri="{C3380CC4-5D6E-409C-BE32-E72D297353CC}">
              <c16:uniqueId val="{00000000-12A4-4636-9BCD-6ECC6E4F6437}"/>
            </c:ext>
          </c:extLst>
        </c:ser>
        <c:ser>
          <c:idx val="2"/>
          <c:order val="1"/>
          <c:tx>
            <c:v>Household income from industry</c:v>
          </c:tx>
          <c:spPr>
            <a:solidFill>
              <a:srgbClr val="FF7F00"/>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ETHANOL!$B$35:$I$35</c:f>
              <c:numCache>
                <c:formatCode>0</c:formatCode>
                <c:ptCount val="8"/>
                <c:pt idx="0" formatCode="General">
                  <c:v>36</c:v>
                </c:pt>
                <c:pt idx="1">
                  <c:v>29.9</c:v>
                </c:pt>
                <c:pt idx="2">
                  <c:v>29.9</c:v>
                </c:pt>
                <c:pt idx="3" formatCode="General">
                  <c:v>31</c:v>
                </c:pt>
                <c:pt idx="4" formatCode="General">
                  <c:v>27</c:v>
                </c:pt>
                <c:pt idx="5" formatCode="General">
                  <c:v>24</c:v>
                </c:pt>
                <c:pt idx="6" formatCode="General">
                  <c:v>23</c:v>
                </c:pt>
                <c:pt idx="7" formatCode="General">
                  <c:v>24</c:v>
                </c:pt>
              </c:numCache>
            </c:numRef>
          </c:val>
          <c:extLst>
            <c:ext xmlns:c16="http://schemas.microsoft.com/office/drawing/2014/chart" uri="{C3380CC4-5D6E-409C-BE32-E72D297353CC}">
              <c16:uniqueId val="{00000001-12A4-4636-9BCD-6ECC6E4F6437}"/>
            </c:ext>
          </c:extLst>
        </c:ser>
        <c:ser>
          <c:idx val="0"/>
          <c:order val="2"/>
          <c:tx>
            <c:v>Tax revenue</c:v>
          </c:tx>
          <c:spPr>
            <a:solidFill>
              <a:srgbClr val="999999"/>
            </a:solidFill>
            <a:ln>
              <a:solidFill>
                <a:sysClr val="windowText" lastClr="000000"/>
              </a:solidFill>
            </a:ln>
            <a:effectLst/>
          </c:spPr>
          <c:invertIfNegative val="0"/>
          <c:cat>
            <c:numRef>
              <c:f>ETHANOL!$B$25:$I$25</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ETHANOL!$B$36:$I$36</c:f>
              <c:numCache>
                <c:formatCode>General</c:formatCode>
                <c:ptCount val="8"/>
                <c:pt idx="2" formatCode="0.0">
                  <c:v>7.9</c:v>
                </c:pt>
                <c:pt idx="3">
                  <c:v>8.3000000000000007</c:v>
                </c:pt>
                <c:pt idx="4">
                  <c:v>10.3</c:v>
                </c:pt>
                <c:pt idx="5">
                  <c:v>10</c:v>
                </c:pt>
                <c:pt idx="6">
                  <c:v>9</c:v>
                </c:pt>
                <c:pt idx="7">
                  <c:v>10</c:v>
                </c:pt>
              </c:numCache>
            </c:numRef>
          </c:val>
          <c:extLst>
            <c:ext xmlns:c16="http://schemas.microsoft.com/office/drawing/2014/chart" uri="{C3380CC4-5D6E-409C-BE32-E72D297353CC}">
              <c16:uniqueId val="{00000002-12A4-4636-9BCD-6ECC6E4F64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87064190249282"/>
          <c:y val="5.5555448160942426E-2"/>
          <c:w val="0.83958786840165622"/>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917195082720262E-2"/>
          <c:y val="3.8579213453513429E-2"/>
          <c:w val="0.804052519806009"/>
          <c:h val="0.87825897008136433"/>
        </c:manualLayout>
      </c:layout>
      <c:barChart>
        <c:barDir val="col"/>
        <c:grouping val="clustered"/>
        <c:varyColors val="0"/>
        <c:ser>
          <c:idx val="1"/>
          <c:order val="0"/>
          <c:tx>
            <c:v>Ethanol</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ETHANOL!$B$27:$I$27</c:f>
              <c:numCache>
                <c:formatCode>0.0</c:formatCode>
                <c:ptCount val="8"/>
                <c:pt idx="0">
                  <c:v>2.7600000000000002</c:v>
                </c:pt>
                <c:pt idx="1">
                  <c:v>3.84</c:v>
                </c:pt>
                <c:pt idx="2">
                  <c:v>3.75</c:v>
                </c:pt>
                <c:pt idx="3">
                  <c:v>3.75</c:v>
                </c:pt>
                <c:pt idx="4">
                  <c:v>3.585</c:v>
                </c:pt>
                <c:pt idx="5">
                  <c:v>2.73</c:v>
                </c:pt>
                <c:pt idx="6">
                  <c:v>2.3250000000000002</c:v>
                </c:pt>
                <c:pt idx="7">
                  <c:v>2.4000000000000004</c:v>
                </c:pt>
              </c:numCache>
            </c:numRef>
          </c:val>
          <c:extLst>
            <c:ext xmlns:c16="http://schemas.microsoft.com/office/drawing/2014/chart" uri="{C3380CC4-5D6E-409C-BE32-E72D297353CC}">
              <c16:uniqueId val="{00000000-5853-4469-B116-2F4377D09D29}"/>
            </c:ext>
          </c:extLst>
        </c:ser>
        <c:ser>
          <c:idx val="0"/>
          <c:order val="1"/>
          <c:tx>
            <c:v>E85</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ETHANOL!$B$28:$I$28</c:f>
              <c:numCache>
                <c:formatCode>0.0</c:formatCode>
                <c:ptCount val="8"/>
                <c:pt idx="0">
                  <c:v>3.37</c:v>
                </c:pt>
                <c:pt idx="1">
                  <c:v>4.38</c:v>
                </c:pt>
                <c:pt idx="2">
                  <c:v>4.7074999999999996</c:v>
                </c:pt>
                <c:pt idx="3">
                  <c:v>4.5025000000000004</c:v>
                </c:pt>
                <c:pt idx="4">
                  <c:v>4.4349999999999996</c:v>
                </c:pt>
                <c:pt idx="5">
                  <c:v>2.95</c:v>
                </c:pt>
                <c:pt idx="6">
                  <c:v>2.4550000000000001</c:v>
                </c:pt>
                <c:pt idx="7">
                  <c:v>2.6750000000000003</c:v>
                </c:pt>
              </c:numCache>
            </c:numRef>
          </c:val>
          <c:extLst>
            <c:ext xmlns:c16="http://schemas.microsoft.com/office/drawing/2014/chart" uri="{C3380CC4-5D6E-409C-BE32-E72D297353CC}">
              <c16:uniqueId val="{00000008-7FC1-41A9-8323-2C227982CB09}"/>
            </c:ext>
          </c:extLst>
        </c:ser>
        <c:ser>
          <c:idx val="2"/>
          <c:order val="2"/>
          <c:tx>
            <c:v>E10</c:v>
          </c:tx>
          <c:spPr>
            <a:solidFill>
              <a:srgbClr val="999999"/>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ETHANOL!$B$29:$I$29</c:f>
              <c:numCache>
                <c:formatCode>0.0</c:formatCode>
                <c:ptCount val="8"/>
                <c:pt idx="0">
                  <c:v>2.7449999999999997</c:v>
                </c:pt>
                <c:pt idx="1">
                  <c:v>3.4775</c:v>
                </c:pt>
                <c:pt idx="2">
                  <c:v>3.65</c:v>
                </c:pt>
                <c:pt idx="3">
                  <c:v>3.4950000000000001</c:v>
                </c:pt>
                <c:pt idx="4">
                  <c:v>3.5075000000000003</c:v>
                </c:pt>
                <c:pt idx="5">
                  <c:v>2.4724999999999997</c:v>
                </c:pt>
                <c:pt idx="6">
                  <c:v>2.13</c:v>
                </c:pt>
                <c:pt idx="7">
                  <c:v>2.3624999999999998</c:v>
                </c:pt>
              </c:numCache>
            </c:numRef>
          </c:val>
          <c:extLst>
            <c:ext xmlns:c16="http://schemas.microsoft.com/office/drawing/2014/chart" uri="{C3380CC4-5D6E-409C-BE32-E72D297353CC}">
              <c16:uniqueId val="{00000009-7FC1-41A9-8323-2C227982CB0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4"/>
          <c:order val="3"/>
          <c:tx>
            <c:v>Crude oil</c:v>
          </c:tx>
          <c:spPr>
            <a:ln w="28575" cap="rnd">
              <a:solidFill>
                <a:srgbClr val="E41A1C"/>
              </a:solidFill>
              <a:round/>
            </a:ln>
            <a:effectLst/>
          </c:spPr>
          <c:marker>
            <c:symbol val="none"/>
          </c:marker>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ETHANOL!$B$37:$I$37</c:f>
              <c:numCache>
                <c:formatCode>0.0</c:formatCode>
                <c:ptCount val="8"/>
                <c:pt idx="0">
                  <c:v>79.48</c:v>
                </c:pt>
                <c:pt idx="1">
                  <c:v>94.88</c:v>
                </c:pt>
                <c:pt idx="2">
                  <c:v>94.05</c:v>
                </c:pt>
                <c:pt idx="3">
                  <c:v>97.98</c:v>
                </c:pt>
                <c:pt idx="4">
                  <c:v>93.17</c:v>
                </c:pt>
                <c:pt idx="5">
                  <c:v>48.66</c:v>
                </c:pt>
                <c:pt idx="6">
                  <c:v>43.29</c:v>
                </c:pt>
                <c:pt idx="7">
                  <c:v>50.8</c:v>
                </c:pt>
              </c:numCache>
            </c:numRef>
          </c:val>
          <c:smooth val="0"/>
          <c:extLst>
            <c:ext xmlns:c16="http://schemas.microsoft.com/office/drawing/2014/chart" uri="{C3380CC4-5D6E-409C-BE32-E72D297353CC}">
              <c16:uniqueId val="{00000000-553B-421D-8C94-28669F7E207C}"/>
            </c:ext>
          </c:extLst>
        </c:ser>
        <c:dLbls>
          <c:showLegendKey val="0"/>
          <c:showVal val="0"/>
          <c:showCatName val="0"/>
          <c:showSerName val="0"/>
          <c:showPercent val="0"/>
          <c:showBubbleSize val="0"/>
        </c:dLbls>
        <c:marker val="1"/>
        <c:smooth val="0"/>
        <c:axId val="831673728"/>
        <c:axId val="831665528"/>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5"/>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 gallon equivalent</a:t>
                </a:r>
              </a:p>
            </c:rich>
          </c:tx>
          <c:layout>
            <c:manualLayout>
              <c:xMode val="edge"/>
              <c:yMode val="edge"/>
              <c:x val="1.3863375525917243E-2"/>
              <c:y val="0.18602581907646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316655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solidFill>
                      <a:schemeClr val="tx1"/>
                    </a:solidFill>
                  </a:rPr>
                  <a:t>Dollars</a:t>
                </a:r>
                <a:r>
                  <a:rPr lang="en-US" baseline="0">
                    <a:solidFill>
                      <a:schemeClr val="tx1"/>
                    </a:solidFill>
                  </a:rPr>
                  <a:t> per barrel</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31673728"/>
        <c:crosses val="max"/>
        <c:crossBetween val="between"/>
      </c:valAx>
      <c:catAx>
        <c:axId val="831673728"/>
        <c:scaling>
          <c:orientation val="minMax"/>
        </c:scaling>
        <c:delete val="1"/>
        <c:axPos val="b"/>
        <c:numFmt formatCode="General" sourceLinked="1"/>
        <c:majorTickMark val="out"/>
        <c:minorTickMark val="none"/>
        <c:tickLblPos val="nextTo"/>
        <c:crossAx val="831665528"/>
        <c:crosses val="autoZero"/>
        <c:auto val="1"/>
        <c:lblAlgn val="ctr"/>
        <c:lblOffset val="100"/>
        <c:noMultiLvlLbl val="0"/>
      </c:catAx>
      <c:spPr>
        <a:noFill/>
        <a:ln>
          <a:solidFill>
            <a:schemeClr val="tx1"/>
          </a:solidFill>
        </a:ln>
        <a:effectLst/>
      </c:spPr>
    </c:plotArea>
    <c:legend>
      <c:legendPos val="t"/>
      <c:layout>
        <c:manualLayout>
          <c:xMode val="edge"/>
          <c:yMode val="edge"/>
          <c:x val="0.11656979720311478"/>
          <c:y val="5.962242079179348E-2"/>
          <c:w val="0.49556678011662947"/>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E41A1C"/>
            </a:solidFill>
            <a:ln w="9525">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3B65-407F-A0EC-3B21C2594931}"/>
              </c:ext>
            </c:extLst>
          </c:dPt>
          <c:dPt>
            <c:idx val="1"/>
            <c:bubble3D val="0"/>
            <c:spPr>
              <a:solidFill>
                <a:srgbClr val="984EA3"/>
              </a:solidFill>
              <a:ln w="9525">
                <a:solidFill>
                  <a:schemeClr val="tx1"/>
                </a:solidFill>
              </a:ln>
              <a:effectLst/>
            </c:spPr>
            <c:extLst>
              <c:ext xmlns:c16="http://schemas.microsoft.com/office/drawing/2014/chart" uri="{C3380CC4-5D6E-409C-BE32-E72D297353CC}">
                <c16:uniqueId val="{00000003-3B65-407F-A0EC-3B21C2594931}"/>
              </c:ext>
            </c:extLst>
          </c:dPt>
          <c:val>
            <c:numRef>
              <c:f>(ETHANOL!$I$16,ETHANOL!$I$17)</c:f>
              <c:numCache>
                <c:formatCode>0.00</c:formatCode>
                <c:ptCount val="2"/>
                <c:pt idx="0">
                  <c:v>14.800207264268414</c:v>
                </c:pt>
                <c:pt idx="1">
                  <c:v>0.23205899891710055</c:v>
                </c:pt>
              </c:numCache>
            </c:numRef>
          </c:val>
          <c:extLst>
            <c:ext xmlns:c16="http://schemas.microsoft.com/office/drawing/2014/chart" uri="{C3380CC4-5D6E-409C-BE32-E72D297353CC}">
              <c16:uniqueId val="{00000004-3B65-407F-A0EC-3B21C25949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Exports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ETHANOL!$B$19:$I$19</c:f>
              <c:numCache>
                <c:formatCode>0.0</c:formatCode>
                <c:ptCount val="8"/>
                <c:pt idx="0">
                  <c:v>0.39849599999999996</c:v>
                </c:pt>
                <c:pt idx="1">
                  <c:v>1.1951939999999999</c:v>
                </c:pt>
                <c:pt idx="2">
                  <c:v>0.74155199999999999</c:v>
                </c:pt>
                <c:pt idx="3">
                  <c:v>0.618954</c:v>
                </c:pt>
                <c:pt idx="4">
                  <c:v>0.84625800000000007</c:v>
                </c:pt>
                <c:pt idx="5">
                  <c:v>0.83206199999999997</c:v>
                </c:pt>
                <c:pt idx="6">
                  <c:v>1.170288</c:v>
                </c:pt>
                <c:pt idx="7">
                  <c:v>1.3789020000000001</c:v>
                </c:pt>
              </c:numCache>
            </c:numRef>
          </c:val>
          <c:extLst>
            <c:ext xmlns:c16="http://schemas.microsoft.com/office/drawing/2014/chart" uri="{C3380CC4-5D6E-409C-BE32-E72D297353CC}">
              <c16:uniqueId val="{00000000-EE04-433B-A6FF-6CBBA462ACB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ETHANOL!$B$18:$I$18</c:f>
              <c:numCache>
                <c:formatCode>0.0</c:formatCode>
                <c:ptCount val="8"/>
                <c:pt idx="0">
                  <c:v>1.5665999999999999E-2</c:v>
                </c:pt>
                <c:pt idx="1">
                  <c:v>0.17186400000000002</c:v>
                </c:pt>
                <c:pt idx="2">
                  <c:v>0.49413000000000001</c:v>
                </c:pt>
                <c:pt idx="3">
                  <c:v>0.37699199999999999</c:v>
                </c:pt>
                <c:pt idx="4">
                  <c:v>7.4676000000000006E-2</c:v>
                </c:pt>
                <c:pt idx="5">
                  <c:v>9.1518000000000002E-2</c:v>
                </c:pt>
                <c:pt idx="6">
                  <c:v>3.6204E-2</c:v>
                </c:pt>
                <c:pt idx="7">
                  <c:v>7.6608000000000009E-2</c:v>
                </c:pt>
              </c:numCache>
            </c:numRef>
          </c:val>
          <c:extLst>
            <c:ext xmlns:c16="http://schemas.microsoft.com/office/drawing/2014/chart" uri="{C3380CC4-5D6E-409C-BE32-E72D297353CC}">
              <c16:uniqueId val="{00000000-9ED7-4657-A369-1995707797A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Indirect jobs</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ETHANOL!$B$33:$I$33</c:f>
              <c:numCache>
                <c:formatCode>General</c:formatCode>
                <c:ptCount val="8"/>
                <c:pt idx="0">
                  <c:v>329600</c:v>
                </c:pt>
                <c:pt idx="1">
                  <c:v>311400</c:v>
                </c:pt>
                <c:pt idx="2">
                  <c:v>295000</c:v>
                </c:pt>
                <c:pt idx="3">
                  <c:v>300277</c:v>
                </c:pt>
                <c:pt idx="4">
                  <c:v>295265</c:v>
                </c:pt>
                <c:pt idx="5">
                  <c:v>271440</c:v>
                </c:pt>
                <c:pt idx="6">
                  <c:v>264756</c:v>
                </c:pt>
                <c:pt idx="7">
                  <c:v>285587</c:v>
                </c:pt>
              </c:numCache>
            </c:numRef>
          </c:val>
          <c:extLst>
            <c:ext xmlns:c16="http://schemas.microsoft.com/office/drawing/2014/chart" uri="{C3380CC4-5D6E-409C-BE32-E72D297353CC}">
              <c16:uniqueId val="{00000000-C644-429C-A767-C48A11CC4B02}"/>
            </c:ext>
          </c:extLst>
        </c:ser>
        <c:ser>
          <c:idx val="0"/>
          <c:order val="1"/>
          <c:tx>
            <c:v>Direct jobs</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ETHANOL!$B$32:$I$32</c:f>
              <c:numCache>
                <c:formatCode>General</c:formatCode>
                <c:ptCount val="8"/>
                <c:pt idx="0">
                  <c:v>70400</c:v>
                </c:pt>
                <c:pt idx="1">
                  <c:v>90200</c:v>
                </c:pt>
                <c:pt idx="2">
                  <c:v>70000</c:v>
                </c:pt>
                <c:pt idx="3">
                  <c:v>86504</c:v>
                </c:pt>
                <c:pt idx="4">
                  <c:v>83949</c:v>
                </c:pt>
                <c:pt idx="5">
                  <c:v>85967</c:v>
                </c:pt>
                <c:pt idx="6">
                  <c:v>74420</c:v>
                </c:pt>
                <c:pt idx="7">
                  <c:v>71906</c:v>
                </c:pt>
              </c:numCache>
            </c:numRef>
          </c:val>
          <c:extLst>
            <c:ext xmlns:c16="http://schemas.microsoft.com/office/drawing/2014/chart" uri="{C3380CC4-5D6E-409C-BE32-E72D297353CC}">
              <c16:uniqueId val="{00000001-C644-429C-A767-C48A11CC4B0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5354888808608377"/>
          <c:y val="4.5593615899606782E-2"/>
          <c:w val="0.29415781729861434"/>
          <c:h val="5.9844175325817615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ETHANOL!$B$4:$I$4</c:f>
              <c:numCache>
                <c:formatCode>General</c:formatCode>
                <c:ptCount val="8"/>
                <c:pt idx="0">
                  <c:v>204</c:v>
                </c:pt>
                <c:pt idx="1">
                  <c:v>209</c:v>
                </c:pt>
                <c:pt idx="2">
                  <c:v>211</c:v>
                </c:pt>
                <c:pt idx="3">
                  <c:v>210</c:v>
                </c:pt>
                <c:pt idx="4">
                  <c:v>213</c:v>
                </c:pt>
                <c:pt idx="5">
                  <c:v>214</c:v>
                </c:pt>
                <c:pt idx="6">
                  <c:v>213</c:v>
                </c:pt>
                <c:pt idx="7">
                  <c:v>209</c:v>
                </c:pt>
              </c:numCache>
            </c:numRef>
          </c:val>
          <c:extLst>
            <c:ext xmlns:c16="http://schemas.microsoft.com/office/drawing/2014/chart" uri="{C3380CC4-5D6E-409C-BE32-E72D297353CC}">
              <c16:uniqueId val="{00000000-628F-4ED4-AF2D-7B4A739B01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E41A1C"/>
            </a:solidFill>
            <a:ln w="9525">
              <a:solidFill>
                <a:schemeClr val="tx1"/>
              </a:solidFill>
            </a:ln>
          </c:spPr>
          <c:dPt>
            <c:idx val="0"/>
            <c:bubble3D val="0"/>
            <c:spPr>
              <a:solidFill>
                <a:srgbClr val="E41A1C"/>
              </a:solidFill>
              <a:ln w="9525">
                <a:solidFill>
                  <a:schemeClr val="tx1"/>
                </a:solidFill>
              </a:ln>
              <a:effectLst/>
            </c:spPr>
            <c:extLst>
              <c:ext xmlns:c16="http://schemas.microsoft.com/office/drawing/2014/chart" uri="{C3380CC4-5D6E-409C-BE32-E72D297353CC}">
                <c16:uniqueId val="{00000001-17A1-40AA-AFC9-BB7D8876551E}"/>
              </c:ext>
            </c:extLst>
          </c:dPt>
          <c:dPt>
            <c:idx val="1"/>
            <c:bubble3D val="0"/>
            <c:spPr>
              <a:solidFill>
                <a:srgbClr val="984EA3"/>
              </a:solidFill>
              <a:ln w="9525">
                <a:solidFill>
                  <a:schemeClr val="tx1"/>
                </a:solidFill>
              </a:ln>
              <a:effectLst/>
            </c:spPr>
            <c:extLst>
              <c:ext xmlns:c16="http://schemas.microsoft.com/office/drawing/2014/chart" uri="{C3380CC4-5D6E-409C-BE32-E72D297353CC}">
                <c16:uniqueId val="{00000003-17A1-40AA-AFC9-BB7D8876551E}"/>
              </c:ext>
            </c:extLst>
          </c:dPt>
          <c:val>
            <c:numRef>
              <c:f>(ETHANOL!$I$5,ETHANOL!$I$6)</c:f>
              <c:numCache>
                <c:formatCode>General</c:formatCode>
                <c:ptCount val="2"/>
                <c:pt idx="0">
                  <c:v>202</c:v>
                </c:pt>
                <c:pt idx="1">
                  <c:v>7</c:v>
                </c:pt>
              </c:numCache>
            </c:numRef>
          </c:val>
          <c:extLst>
            <c:ext xmlns:c15="http://schemas.microsoft.com/office/drawing/2012/chart" uri="{02D57815-91ED-43cb-92C2-25804820EDAC}">
              <c15:filteredCategoryTitle>
                <c15:cat>
                  <c:multiLvlStrRef>
                    <c:extLst>
                      <c:ext uri="{02D57815-91ED-43cb-92C2-25804820EDAC}">
                        <c15:formulaRef>
                          <c15:sqref>ETHANOL!#REF!</c15:sqref>
                        </c15:formulaRef>
                      </c:ext>
                    </c:extLst>
                  </c:multiLvlStrRef>
                </c15:cat>
              </c15:filteredCategoryTitle>
            </c:ext>
            <c:ext xmlns:c16="http://schemas.microsoft.com/office/drawing/2014/chart" uri="{C3380CC4-5D6E-409C-BE32-E72D297353CC}">
              <c16:uniqueId val="{00000004-17A1-40AA-AFC9-BB7D887655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Total ethanol production in the U.S.</c:v>
          </c:tx>
          <c:spPr>
            <a:solidFill>
              <a:srgbClr val="377EB8"/>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ETHANOL!$B$14:$I$14</c:f>
              <c:numCache>
                <c:formatCode>#,##0</c:formatCode>
                <c:ptCount val="8"/>
                <c:pt idx="0">
                  <c:v>13.298</c:v>
                </c:pt>
                <c:pt idx="1">
                  <c:v>13.929</c:v>
                </c:pt>
                <c:pt idx="2">
                  <c:v>13.218</c:v>
                </c:pt>
                <c:pt idx="3">
                  <c:v>13.292999999999999</c:v>
                </c:pt>
                <c:pt idx="4">
                  <c:v>14.313000000000001</c:v>
                </c:pt>
                <c:pt idx="5">
                  <c:v>14.807</c:v>
                </c:pt>
                <c:pt idx="6">
                  <c:v>15.413</c:v>
                </c:pt>
                <c:pt idx="7">
                  <c:v>15.848000000000001</c:v>
                </c:pt>
              </c:numCache>
            </c:numRef>
          </c:val>
          <c:extLst>
            <c:ext xmlns:c16="http://schemas.microsoft.com/office/drawing/2014/chart" uri="{C3380CC4-5D6E-409C-BE32-E72D297353CC}">
              <c16:uniqueId val="{00000000-058F-4863-B99A-548895C23466}"/>
            </c:ext>
          </c:extLst>
        </c:ser>
        <c:ser>
          <c:idx val="2"/>
          <c:order val="1"/>
          <c:tx>
            <c:v>Total ethanol consumption in the U.S.</c:v>
          </c:tx>
          <c:spPr>
            <a:solidFill>
              <a:srgbClr val="FF7F00"/>
            </a:solidFill>
            <a:ln>
              <a:solidFill>
                <a:schemeClr val="tx1"/>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ETHANOL!$B$15:$I$15</c:f>
              <c:numCache>
                <c:formatCode>#,##0.00</c:formatCode>
                <c:ptCount val="8"/>
                <c:pt idx="0">
                  <c:v>12.858000000000001</c:v>
                </c:pt>
                <c:pt idx="1">
                  <c:v>12.893000000000001</c:v>
                </c:pt>
                <c:pt idx="2">
                  <c:v>12.882</c:v>
                </c:pt>
                <c:pt idx="3">
                  <c:v>13.215999999999999</c:v>
                </c:pt>
                <c:pt idx="4">
                  <c:v>13.444000000000001</c:v>
                </c:pt>
                <c:pt idx="5">
                  <c:v>13.946999999999999</c:v>
                </c:pt>
                <c:pt idx="6">
                  <c:v>14.356999999999999</c:v>
                </c:pt>
                <c:pt idx="7">
                  <c:v>14.395</c:v>
                </c:pt>
              </c:numCache>
            </c:numRef>
          </c:val>
          <c:extLst>
            <c:ext xmlns:c16="http://schemas.microsoft.com/office/drawing/2014/chart" uri="{C3380CC4-5D6E-409C-BE32-E72D297353CC}">
              <c16:uniqueId val="{00000001-058F-4863-B99A-548895C2346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
          <c:min val="1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770329405766724"/>
          <c:y val="5.5555448160942426E-2"/>
          <c:w val="0.46572741806554757"/>
          <c:h val="9.2662741731082729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Gross domestic product influence</c:v>
          </c:tx>
          <c:spPr>
            <a:solidFill>
              <a:srgbClr val="377EB8"/>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BIODIESEL!$D$34:$H$34</c:f>
              <c:numCache>
                <c:formatCode>0</c:formatCode>
                <c:ptCount val="5"/>
                <c:pt idx="0">
                  <c:v>6.0880000000000001</c:v>
                </c:pt>
                <c:pt idx="1">
                  <c:v>16.8</c:v>
                </c:pt>
                <c:pt idx="2">
                  <c:v>12.3</c:v>
                </c:pt>
                <c:pt idx="3">
                  <c:v>8.4</c:v>
                </c:pt>
                <c:pt idx="4">
                  <c:v>14.7</c:v>
                </c:pt>
              </c:numCache>
            </c:numRef>
          </c:val>
          <c:extLst>
            <c:ext xmlns:c16="http://schemas.microsoft.com/office/drawing/2014/chart" uri="{C3380CC4-5D6E-409C-BE32-E72D297353CC}">
              <c16:uniqueId val="{00000000-6F71-421F-91E8-BAFBA5AE62B2}"/>
            </c:ext>
          </c:extLst>
        </c:ser>
        <c:ser>
          <c:idx val="0"/>
          <c:order val="1"/>
          <c:tx>
            <c:v>Household income from industry</c:v>
          </c:tx>
          <c:spPr>
            <a:solidFill>
              <a:srgbClr val="FF7F00"/>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BIODIESEL!$D$35:$H$35</c:f>
              <c:numCache>
                <c:formatCode>General</c:formatCode>
                <c:ptCount val="5"/>
                <c:pt idx="1">
                  <c:v>2.6</c:v>
                </c:pt>
                <c:pt idx="2">
                  <c:v>2.2999999999999998</c:v>
                </c:pt>
                <c:pt idx="3">
                  <c:v>1.9</c:v>
                </c:pt>
              </c:numCache>
            </c:numRef>
          </c:val>
          <c:extLst>
            <c:ext xmlns:c16="http://schemas.microsoft.com/office/drawing/2014/chart" uri="{C3380CC4-5D6E-409C-BE32-E72D297353CC}">
              <c16:uniqueId val="{00000001-6F71-421F-91E8-BAFBA5AE62B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9"/>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1.5873006000463367E-2"/>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67361100689807"/>
          <c:y val="5.6115219568746807E-2"/>
          <c:w val="0.7430065754260646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BIODIESEL!$D$28:$H$28</c:f>
              <c:numCache>
                <c:formatCode>General</c:formatCode>
                <c:ptCount val="5"/>
                <c:pt idx="0">
                  <c:v>2012</c:v>
                </c:pt>
                <c:pt idx="1">
                  <c:v>2013</c:v>
                </c:pt>
                <c:pt idx="2">
                  <c:v>2014</c:v>
                </c:pt>
                <c:pt idx="3">
                  <c:v>2015</c:v>
                </c:pt>
                <c:pt idx="4">
                  <c:v>2016</c:v>
                </c:pt>
              </c:numCache>
            </c:numRef>
          </c:cat>
          <c:val>
            <c:numRef>
              <c:f>BIODIESEL!$D$33:$H$33</c:f>
              <c:numCache>
                <c:formatCode>General</c:formatCode>
                <c:ptCount val="5"/>
                <c:pt idx="0">
                  <c:v>64044</c:v>
                </c:pt>
                <c:pt idx="1">
                  <c:v>62000</c:v>
                </c:pt>
                <c:pt idx="2">
                  <c:v>54500</c:v>
                </c:pt>
                <c:pt idx="3">
                  <c:v>49486</c:v>
                </c:pt>
                <c:pt idx="4">
                  <c:v>47400</c:v>
                </c:pt>
              </c:numCache>
            </c:numRef>
          </c:val>
          <c:extLst>
            <c:ext xmlns:c16="http://schemas.microsoft.com/office/drawing/2014/chart" uri="{C3380CC4-5D6E-409C-BE32-E72D297353CC}">
              <c16:uniqueId val="{00000000-C41D-4DA5-9839-63FD4F8F26C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2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direct jobs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0000"/>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BIODIESEL!$C$3:$I$3</c:f>
              <c:numCache>
                <c:formatCode>General</c:formatCode>
                <c:ptCount val="7"/>
                <c:pt idx="0">
                  <c:v>2011</c:v>
                </c:pt>
                <c:pt idx="1">
                  <c:v>2012</c:v>
                </c:pt>
                <c:pt idx="2">
                  <c:v>2013</c:v>
                </c:pt>
                <c:pt idx="3">
                  <c:v>2014</c:v>
                </c:pt>
                <c:pt idx="4">
                  <c:v>2015</c:v>
                </c:pt>
                <c:pt idx="5">
                  <c:v>2016</c:v>
                </c:pt>
                <c:pt idx="6">
                  <c:v>2017</c:v>
                </c:pt>
              </c:numCache>
            </c:numRef>
          </c:cat>
          <c:val>
            <c:numRef>
              <c:f>BIODIESEL!$C$4:$I$4</c:f>
              <c:numCache>
                <c:formatCode>General</c:formatCode>
                <c:ptCount val="7"/>
                <c:pt idx="0">
                  <c:v>103</c:v>
                </c:pt>
                <c:pt idx="1">
                  <c:v>112</c:v>
                </c:pt>
                <c:pt idx="2">
                  <c:v>115</c:v>
                </c:pt>
                <c:pt idx="3">
                  <c:v>98</c:v>
                </c:pt>
                <c:pt idx="4">
                  <c:v>94</c:v>
                </c:pt>
                <c:pt idx="5">
                  <c:v>96</c:v>
                </c:pt>
                <c:pt idx="6">
                  <c:v>95</c:v>
                </c:pt>
              </c:numCache>
            </c:numRef>
          </c:val>
          <c:extLst>
            <c:ext xmlns:c16="http://schemas.microsoft.com/office/drawing/2014/chart" uri="{C3380CC4-5D6E-409C-BE32-E72D297353CC}">
              <c16:uniqueId val="{00000000-4958-48C5-B9F4-FB8ACE09E2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253521126760563E-2"/>
          <c:y val="1.9824838962208706E-2"/>
          <c:w val="0.91439946767217473"/>
          <c:h val="0.96530653181613479"/>
        </c:manualLayout>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150D-47D0-88AA-F6F64C9A70D4}"/>
              </c:ext>
            </c:extLst>
          </c:dPt>
          <c:dPt>
            <c:idx val="1"/>
            <c:bubble3D val="0"/>
            <c:spPr>
              <a:solidFill>
                <a:srgbClr val="984EA3"/>
              </a:solidFill>
              <a:ln w="9525">
                <a:solidFill>
                  <a:sysClr val="windowText" lastClr="000000"/>
                </a:solidFill>
              </a:ln>
              <a:effectLst/>
            </c:spPr>
            <c:extLst>
              <c:ext xmlns:c16="http://schemas.microsoft.com/office/drawing/2014/chart" uri="{C3380CC4-5D6E-409C-BE32-E72D297353CC}">
                <c16:uniqueId val="{00000002-150D-47D0-88AA-F6F64C9A70D4}"/>
              </c:ext>
            </c:extLst>
          </c:dPt>
          <c:dPt>
            <c:idx val="2"/>
            <c:bubble3D val="0"/>
            <c:spPr>
              <a:solidFill>
                <a:srgbClr val="FF7F00"/>
              </a:solidFill>
              <a:ln w="9525">
                <a:solidFill>
                  <a:sysClr val="windowText" lastClr="000000"/>
                </a:solidFill>
              </a:ln>
              <a:effectLst/>
            </c:spPr>
            <c:extLst>
              <c:ext xmlns:c16="http://schemas.microsoft.com/office/drawing/2014/chart" uri="{C3380CC4-5D6E-409C-BE32-E72D297353CC}">
                <c16:uniqueId val="{00000003-150D-47D0-88AA-F6F64C9A70D4}"/>
              </c:ext>
            </c:extLst>
          </c:dPt>
          <c:dPt>
            <c:idx val="3"/>
            <c:bubble3D val="0"/>
            <c:spPr>
              <a:solidFill>
                <a:srgbClr val="FFFF33"/>
              </a:solidFill>
              <a:ln w="9525">
                <a:solidFill>
                  <a:sysClr val="windowText" lastClr="000000"/>
                </a:solidFill>
              </a:ln>
              <a:effectLst/>
            </c:spPr>
            <c:extLst>
              <c:ext xmlns:c16="http://schemas.microsoft.com/office/drawing/2014/chart" uri="{C3380CC4-5D6E-409C-BE32-E72D297353CC}">
                <c16:uniqueId val="{00000004-150D-47D0-88AA-F6F64C9A70D4}"/>
              </c:ext>
            </c:extLst>
          </c:dPt>
          <c:dPt>
            <c:idx val="4"/>
            <c:bubble3D val="0"/>
            <c:spPr>
              <a:solidFill>
                <a:srgbClr val="A65628"/>
              </a:solidFill>
              <a:ln w="9525">
                <a:solidFill>
                  <a:sysClr val="windowText" lastClr="000000"/>
                </a:solidFill>
              </a:ln>
              <a:effectLst/>
            </c:spPr>
            <c:extLst>
              <c:ext xmlns:c16="http://schemas.microsoft.com/office/drawing/2014/chart" uri="{C3380CC4-5D6E-409C-BE32-E72D297353CC}">
                <c16:uniqueId val="{00000005-150D-47D0-88AA-F6F64C9A70D4}"/>
              </c:ext>
            </c:extLst>
          </c:dPt>
          <c:dPt>
            <c:idx val="5"/>
            <c:bubble3D val="0"/>
            <c:spPr>
              <a:solidFill>
                <a:srgbClr val="9ECAE1"/>
              </a:solidFill>
              <a:ln w="9525">
                <a:solidFill>
                  <a:sysClr val="windowText" lastClr="000000"/>
                </a:solidFill>
              </a:ln>
              <a:effectLst/>
            </c:spPr>
            <c:extLst>
              <c:ext xmlns:c16="http://schemas.microsoft.com/office/drawing/2014/chart" uri="{C3380CC4-5D6E-409C-BE32-E72D297353CC}">
                <c16:uniqueId val="{00000006-150D-47D0-88AA-F6F64C9A70D4}"/>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07-150D-47D0-88AA-F6F64C9A70D4}"/>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08-150D-47D0-88AA-F6F64C9A70D4}"/>
              </c:ext>
            </c:extLst>
          </c:dPt>
          <c:dPt>
            <c:idx val="8"/>
            <c:bubble3D val="0"/>
            <c:spPr>
              <a:solidFill>
                <a:srgbClr val="E41A1C"/>
              </a:solidFill>
              <a:ln w="9525">
                <a:solidFill>
                  <a:sysClr val="windowText" lastClr="000000"/>
                </a:solidFill>
              </a:ln>
              <a:effectLst/>
            </c:spPr>
            <c:extLst>
              <c:ext xmlns:c16="http://schemas.microsoft.com/office/drawing/2014/chart" uri="{C3380CC4-5D6E-409C-BE32-E72D297353CC}">
                <c16:uniqueId val="{00000009-150D-47D0-88AA-F6F64C9A70D4}"/>
              </c:ext>
            </c:extLst>
          </c:dPt>
          <c:val>
            <c:numRef>
              <c:f>BIODIESEL!$I$5:$I$13</c:f>
              <c:numCache>
                <c:formatCode>General</c:formatCode>
                <c:ptCount val="9"/>
                <c:pt idx="0">
                  <c:v>19</c:v>
                </c:pt>
                <c:pt idx="1">
                  <c:v>7</c:v>
                </c:pt>
                <c:pt idx="2">
                  <c:v>45</c:v>
                </c:pt>
                <c:pt idx="3">
                  <c:v>13</c:v>
                </c:pt>
                <c:pt idx="4">
                  <c:v>3</c:v>
                </c:pt>
                <c:pt idx="5">
                  <c:v>0</c:v>
                </c:pt>
                <c:pt idx="6">
                  <c:v>7</c:v>
                </c:pt>
                <c:pt idx="7">
                  <c:v>12</c:v>
                </c:pt>
                <c:pt idx="8">
                  <c:v>6</c:v>
                </c:pt>
              </c:numCache>
            </c:numRef>
          </c:val>
          <c:extLst>
            <c:ext xmlns:c16="http://schemas.microsoft.com/office/drawing/2014/chart" uri="{C3380CC4-5D6E-409C-BE32-E72D297353CC}">
              <c16:uniqueId val="{00000000-150D-47D0-88AA-F6F64C9A70D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Export</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BIODIESEL!$B$25:$I$25</c:f>
              <c:numCache>
                <c:formatCode>0</c:formatCode>
                <c:ptCount val="8"/>
                <c:pt idx="0">
                  <c:v>108.696</c:v>
                </c:pt>
                <c:pt idx="1">
                  <c:v>75.558000000000007</c:v>
                </c:pt>
                <c:pt idx="2">
                  <c:v>128.352</c:v>
                </c:pt>
                <c:pt idx="3">
                  <c:v>196.35</c:v>
                </c:pt>
                <c:pt idx="4">
                  <c:v>82.908000000000001</c:v>
                </c:pt>
                <c:pt idx="5">
                  <c:v>87.822000000000003</c:v>
                </c:pt>
                <c:pt idx="6">
                  <c:v>88.116</c:v>
                </c:pt>
                <c:pt idx="7">
                  <c:v>93.156000000000006</c:v>
                </c:pt>
              </c:numCache>
            </c:numRef>
          </c:val>
          <c:extLst>
            <c:ext xmlns:c16="http://schemas.microsoft.com/office/drawing/2014/chart" uri="{C3380CC4-5D6E-409C-BE32-E72D297353CC}">
              <c16:uniqueId val="{00000001-8BAC-4FB8-9483-08E59EED1E7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2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40"/>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ETHANOL!$B$13:$H$13</c:f>
              <c:numCache>
                <c:formatCode>General</c:formatCode>
                <c:ptCount val="7"/>
                <c:pt idx="0">
                  <c:v>2010</c:v>
                </c:pt>
                <c:pt idx="1">
                  <c:v>2011</c:v>
                </c:pt>
                <c:pt idx="2">
                  <c:v>2012</c:v>
                </c:pt>
                <c:pt idx="3">
                  <c:v>2013</c:v>
                </c:pt>
                <c:pt idx="4">
                  <c:v>2014</c:v>
                </c:pt>
                <c:pt idx="5">
                  <c:v>2015</c:v>
                </c:pt>
                <c:pt idx="6">
                  <c:v>2016</c:v>
                </c:pt>
              </c:numCache>
            </c:numRef>
          </c:cat>
          <c:val>
            <c:numRef>
              <c:f>BIODIESEL!$B$26:$H$26</c:f>
              <c:numCache>
                <c:formatCode>General</c:formatCode>
                <c:ptCount val="7"/>
                <c:pt idx="0">
                  <c:v>644</c:v>
                </c:pt>
                <c:pt idx="1">
                  <c:v>627</c:v>
                </c:pt>
                <c:pt idx="2">
                  <c:v>675</c:v>
                </c:pt>
                <c:pt idx="3">
                  <c:v>757</c:v>
                </c:pt>
                <c:pt idx="4">
                  <c:v>783</c:v>
                </c:pt>
                <c:pt idx="5">
                  <c:v>721</c:v>
                </c:pt>
                <c:pt idx="6">
                  <c:v>697</c:v>
                </c:pt>
              </c:numCache>
            </c:numRef>
          </c:val>
          <c:extLst>
            <c:ext xmlns:c16="http://schemas.microsoft.com/office/drawing/2014/chart" uri="{C3380CC4-5D6E-409C-BE32-E72D297353CC}">
              <c16:uniqueId val="{00000000-093F-4118-BEF2-B7F6FCB6039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Production</c:v>
          </c:tx>
          <c:spPr>
            <a:solidFill>
              <a:srgbClr val="377EB8"/>
            </a:solidFill>
            <a:ln>
              <a:solidFill>
                <a:sysClr val="windowText" lastClr="000000"/>
              </a:solidFill>
            </a:ln>
            <a:effectLst/>
          </c:spPr>
          <c:invertIfNegative val="0"/>
          <c:cat>
            <c:numRef>
              <c:f>BIODIESEL!$B$21:$I$21</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BIODIESEL!$B$22:$I$22</c:f>
              <c:numCache>
                <c:formatCode>0.0</c:formatCode>
                <c:ptCount val="8"/>
                <c:pt idx="0">
                  <c:v>0.34350000000000003</c:v>
                </c:pt>
                <c:pt idx="1">
                  <c:v>0.96750000000000003</c:v>
                </c:pt>
                <c:pt idx="2">
                  <c:v>0.96960000000000002</c:v>
                </c:pt>
                <c:pt idx="3">
                  <c:v>1.3580000000000001</c:v>
                </c:pt>
                <c:pt idx="4">
                  <c:v>1.268</c:v>
                </c:pt>
                <c:pt idx="5">
                  <c:v>1.266</c:v>
                </c:pt>
                <c:pt idx="6">
                  <c:v>1.569</c:v>
                </c:pt>
                <c:pt idx="7">
                  <c:v>1.5960000000000001</c:v>
                </c:pt>
              </c:numCache>
            </c:numRef>
          </c:val>
          <c:extLst>
            <c:ext xmlns:c16="http://schemas.microsoft.com/office/drawing/2014/chart" uri="{C3380CC4-5D6E-409C-BE32-E72D297353CC}">
              <c16:uniqueId val="{00000000-D93E-4018-85E8-04195A070B4C}"/>
            </c:ext>
          </c:extLst>
        </c:ser>
        <c:ser>
          <c:idx val="2"/>
          <c:order val="1"/>
          <c:tx>
            <c:v>Consumption</c:v>
          </c:tx>
          <c:spPr>
            <a:solidFill>
              <a:srgbClr val="FF7F00"/>
            </a:solidFill>
            <a:ln>
              <a:solidFill>
                <a:sysClr val="windowText" lastClr="000000"/>
              </a:solidFill>
            </a:ln>
            <a:effectLst/>
          </c:spPr>
          <c:invertIfNegative val="0"/>
          <c:cat>
            <c:numRef>
              <c:f>BIODIESEL!$B$21:$I$21</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BIODIESEL!$B$23:$I$23</c:f>
              <c:numCache>
                <c:formatCode>0.0</c:formatCode>
                <c:ptCount val="8"/>
                <c:pt idx="0">
                  <c:v>0.25863034148161967</c:v>
                </c:pt>
                <c:pt idx="1">
                  <c:v>0.88561298749766748</c:v>
                </c:pt>
                <c:pt idx="2">
                  <c:v>0.90128755364806867</c:v>
                </c:pt>
                <c:pt idx="3">
                  <c:v>1.4263855196865085</c:v>
                </c:pt>
                <c:pt idx="4">
                  <c:v>1.418548236611308</c:v>
                </c:pt>
                <c:pt idx="5">
                  <c:v>1.496921067363314</c:v>
                </c:pt>
                <c:pt idx="6">
                  <c:v>2.0847172980033588</c:v>
                </c:pt>
                <c:pt idx="7">
                  <c:v>1.9514834857249486</c:v>
                </c:pt>
              </c:numCache>
            </c:numRef>
          </c:val>
          <c:extLst>
            <c:ext xmlns:c16="http://schemas.microsoft.com/office/drawing/2014/chart" uri="{C3380CC4-5D6E-409C-BE32-E72D297353CC}">
              <c16:uniqueId val="{00000001-D93E-4018-85E8-04195A070B4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875601432645555"/>
          <c:y val="5.5555448160942426E-2"/>
          <c:w val="0.3014107607566823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BIODIESEL!$B$24:$I$24</c:f>
              <c:numCache>
                <c:formatCode>0</c:formatCode>
                <c:ptCount val="8"/>
                <c:pt idx="0">
                  <c:v>23.687999999999999</c:v>
                </c:pt>
                <c:pt idx="1">
                  <c:v>37.380000000000003</c:v>
                </c:pt>
                <c:pt idx="2">
                  <c:v>35.826000000000001</c:v>
                </c:pt>
                <c:pt idx="3">
                  <c:v>342.38400000000001</c:v>
                </c:pt>
                <c:pt idx="4">
                  <c:v>192.27600000000001</c:v>
                </c:pt>
                <c:pt idx="5">
                  <c:v>352.75799999999998</c:v>
                </c:pt>
                <c:pt idx="6">
                  <c:v>708.91800000000001</c:v>
                </c:pt>
                <c:pt idx="7">
                  <c:v>393.70800000000003</c:v>
                </c:pt>
              </c:numCache>
            </c:numRef>
          </c:val>
          <c:extLst>
            <c:ext xmlns:c16="http://schemas.microsoft.com/office/drawing/2014/chart" uri="{C3380CC4-5D6E-409C-BE32-E72D297353CC}">
              <c16:uniqueId val="{00000000-C999-42E2-88E8-41A220CEB74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907136947561"/>
          <c:y val="3.0118021463519166E-2"/>
          <c:w val="0.7950705906177562"/>
          <c:h val="0.89206602043952687"/>
        </c:manualLayout>
      </c:layout>
      <c:barChart>
        <c:barDir val="col"/>
        <c:grouping val="clustered"/>
        <c:varyColors val="0"/>
        <c:ser>
          <c:idx val="1"/>
          <c:order val="0"/>
          <c:tx>
            <c:v>B99/100</c:v>
          </c:tx>
          <c:spPr>
            <a:solidFill>
              <a:srgbClr val="377EB8"/>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BIODIESEL!$B$30:$I$30</c:f>
              <c:numCache>
                <c:formatCode>0.0</c:formatCode>
                <c:ptCount val="8"/>
                <c:pt idx="0">
                  <c:v>3.6274999999999999</c:v>
                </c:pt>
                <c:pt idx="1">
                  <c:v>4.125</c:v>
                </c:pt>
                <c:pt idx="2">
                  <c:v>4.2275</c:v>
                </c:pt>
                <c:pt idx="3">
                  <c:v>4.2125000000000004</c:v>
                </c:pt>
                <c:pt idx="4">
                  <c:v>4.18</c:v>
                </c:pt>
                <c:pt idx="5">
                  <c:v>3.6150000000000002</c:v>
                </c:pt>
                <c:pt idx="6">
                  <c:v>3</c:v>
                </c:pt>
                <c:pt idx="7">
                  <c:v>3.12</c:v>
                </c:pt>
              </c:numCache>
            </c:numRef>
          </c:val>
          <c:extLst>
            <c:ext xmlns:c16="http://schemas.microsoft.com/office/drawing/2014/chart" uri="{C3380CC4-5D6E-409C-BE32-E72D297353CC}">
              <c16:uniqueId val="{00000000-80F0-4355-92D1-3A0C48C4AE20}"/>
            </c:ext>
          </c:extLst>
        </c:ser>
        <c:ser>
          <c:idx val="0"/>
          <c:order val="1"/>
          <c:tx>
            <c:v>B20</c:v>
          </c:tx>
          <c:spPr>
            <a:solidFill>
              <a:srgbClr val="FF7F00"/>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BIODIESEL!$B$31:$I$31</c:f>
              <c:numCache>
                <c:formatCode>0.0</c:formatCode>
                <c:ptCount val="8"/>
                <c:pt idx="0">
                  <c:v>2.8</c:v>
                </c:pt>
                <c:pt idx="1">
                  <c:v>3.5300000000000002</c:v>
                </c:pt>
                <c:pt idx="2">
                  <c:v>3.6875</c:v>
                </c:pt>
                <c:pt idx="3">
                  <c:v>3.6675</c:v>
                </c:pt>
                <c:pt idx="4">
                  <c:v>3.5975000000000001</c:v>
                </c:pt>
                <c:pt idx="5">
                  <c:v>2.6349999999999998</c:v>
                </c:pt>
                <c:pt idx="6">
                  <c:v>2.1674999999999995</c:v>
                </c:pt>
                <c:pt idx="7">
                  <c:v>2.3025000000000002</c:v>
                </c:pt>
              </c:numCache>
            </c:numRef>
          </c:val>
          <c:extLst>
            <c:ext xmlns:c16="http://schemas.microsoft.com/office/drawing/2014/chart" uri="{C3380CC4-5D6E-409C-BE32-E72D297353CC}">
              <c16:uniqueId val="{00000001-80F0-4355-92D1-3A0C48C4AE20}"/>
            </c:ext>
          </c:extLst>
        </c:ser>
        <c:ser>
          <c:idx val="2"/>
          <c:order val="2"/>
          <c:tx>
            <c:v>Diesel</c:v>
          </c:tx>
          <c:spPr>
            <a:solidFill>
              <a:srgbClr val="999999"/>
            </a:solidFill>
            <a:ln>
              <a:solidFill>
                <a:sysClr val="windowText" lastClr="000000"/>
              </a:solidFill>
            </a:ln>
            <a:effectLst/>
          </c:spPr>
          <c:invertIfNegative val="0"/>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BIODIESEL!$B$32:$I$32</c:f>
              <c:numCache>
                <c:formatCode>0.0</c:formatCode>
                <c:ptCount val="8"/>
                <c:pt idx="0">
                  <c:v>2.67</c:v>
                </c:pt>
                <c:pt idx="1">
                  <c:v>4.1675000000000004</c:v>
                </c:pt>
                <c:pt idx="2">
                  <c:v>3.5525000000000002</c:v>
                </c:pt>
                <c:pt idx="3">
                  <c:v>3.5349999999999997</c:v>
                </c:pt>
                <c:pt idx="4">
                  <c:v>3.4850000000000003</c:v>
                </c:pt>
                <c:pt idx="5">
                  <c:v>2.5549999999999997</c:v>
                </c:pt>
                <c:pt idx="6">
                  <c:v>2.0724999999999998</c:v>
                </c:pt>
                <c:pt idx="7">
                  <c:v>2.3075000000000001</c:v>
                </c:pt>
              </c:numCache>
            </c:numRef>
          </c:val>
          <c:extLst>
            <c:ext xmlns:c16="http://schemas.microsoft.com/office/drawing/2014/chart" uri="{C3380CC4-5D6E-409C-BE32-E72D297353CC}">
              <c16:uniqueId val="{00000002-80F0-4355-92D1-3A0C48C4AE20}"/>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3"/>
          <c:order val="3"/>
          <c:tx>
            <c:v>Soy</c:v>
          </c:tx>
          <c:spPr>
            <a:ln w="28575" cap="rnd">
              <a:solidFill>
                <a:srgbClr val="4DAF4A"/>
              </a:solidFill>
              <a:round/>
            </a:ln>
            <a:effectLst/>
          </c:spPr>
          <c:marker>
            <c:symbol val="none"/>
          </c:marker>
          <c:cat>
            <c:numRef>
              <c:f>ETHANOL!$B$13:$I$13</c:f>
              <c:numCache>
                <c:formatCode>General</c:formatCode>
                <c:ptCount val="8"/>
                <c:pt idx="0">
                  <c:v>2010</c:v>
                </c:pt>
                <c:pt idx="1">
                  <c:v>2011</c:v>
                </c:pt>
                <c:pt idx="2">
                  <c:v>2012</c:v>
                </c:pt>
                <c:pt idx="3">
                  <c:v>2013</c:v>
                </c:pt>
                <c:pt idx="4">
                  <c:v>2014</c:v>
                </c:pt>
                <c:pt idx="5">
                  <c:v>2015</c:v>
                </c:pt>
                <c:pt idx="6">
                  <c:v>2016</c:v>
                </c:pt>
                <c:pt idx="7">
                  <c:v>2017</c:v>
                </c:pt>
              </c:numCache>
            </c:numRef>
          </c:cat>
          <c:val>
            <c:numRef>
              <c:f>BIODIESEL!$C$128:$J$128</c:f>
              <c:numCache>
                <c:formatCode>0</c:formatCode>
                <c:ptCount val="8"/>
                <c:pt idx="0">
                  <c:v>418.51851851851853</c:v>
                </c:pt>
                <c:pt idx="1">
                  <c:v>462.96296296296299</c:v>
                </c:pt>
                <c:pt idx="2">
                  <c:v>533.33333333333337</c:v>
                </c:pt>
                <c:pt idx="3">
                  <c:v>481.48148148148147</c:v>
                </c:pt>
                <c:pt idx="4">
                  <c:v>374.07407407407408</c:v>
                </c:pt>
                <c:pt idx="5">
                  <c:v>331.48148148148147</c:v>
                </c:pt>
                <c:pt idx="6">
                  <c:v>350.74074074074076</c:v>
                </c:pt>
                <c:pt idx="7">
                  <c:v>355.55555555555554</c:v>
                </c:pt>
              </c:numCache>
            </c:numRef>
          </c:val>
          <c:smooth val="0"/>
          <c:extLst>
            <c:ext xmlns:c16="http://schemas.microsoft.com/office/drawing/2014/chart" uri="{C3380CC4-5D6E-409C-BE32-E72D297353CC}">
              <c16:uniqueId val="{00000003-80F0-4355-92D1-3A0C48C4AE20}"/>
            </c:ext>
          </c:extLst>
        </c:ser>
        <c:dLbls>
          <c:showLegendKey val="0"/>
          <c:showVal val="0"/>
          <c:showCatName val="0"/>
          <c:showSerName val="0"/>
          <c:showPercent val="0"/>
          <c:showBubbleSize val="0"/>
        </c:dLbls>
        <c:marker val="1"/>
        <c:smooth val="0"/>
        <c:axId val="1026692360"/>
        <c:axId val="102669170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a:t>
                </a:r>
                <a:r>
                  <a:rPr lang="en-US" sz="1000" baseline="0">
                    <a:solidFill>
                      <a:sysClr val="windowText" lastClr="000000"/>
                    </a:solidFill>
                  </a:rPr>
                  <a:t> </a:t>
                </a:r>
                <a:r>
                  <a:rPr lang="en-US" sz="1000">
                    <a:solidFill>
                      <a:sysClr val="windowText" lastClr="000000"/>
                    </a:solidFill>
                  </a:rPr>
                  <a:t>gallon equivalent</a:t>
                </a:r>
              </a:p>
            </c:rich>
          </c:tx>
          <c:layout>
            <c:manualLayout>
              <c:xMode val="edge"/>
              <c:yMode val="edge"/>
              <c:x val="1.5873048042090752E-2"/>
              <c:y val="0.17199701418428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102669170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 per metirc 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26692360"/>
        <c:crosses val="max"/>
        <c:crossBetween val="between"/>
      </c:valAx>
      <c:catAx>
        <c:axId val="1026692360"/>
        <c:scaling>
          <c:orientation val="minMax"/>
        </c:scaling>
        <c:delete val="1"/>
        <c:axPos val="b"/>
        <c:numFmt formatCode="General" sourceLinked="1"/>
        <c:majorTickMark val="out"/>
        <c:minorTickMark val="none"/>
        <c:tickLblPos val="nextTo"/>
        <c:crossAx val="1026691704"/>
        <c:crosses val="autoZero"/>
        <c:auto val="1"/>
        <c:lblAlgn val="ctr"/>
        <c:lblOffset val="100"/>
        <c:noMultiLvlLbl val="0"/>
      </c:catAx>
      <c:spPr>
        <a:noFill/>
        <a:ln>
          <a:solidFill>
            <a:schemeClr val="tx1"/>
          </a:solidFill>
        </a:ln>
        <a:effectLst/>
      </c:spPr>
    </c:plotArea>
    <c:legend>
      <c:legendPos val="t"/>
      <c:layout>
        <c:manualLayout>
          <c:xMode val="edge"/>
          <c:yMode val="edge"/>
          <c:x val="0.10838813997179214"/>
          <c:y val="4.2086414676560102E-2"/>
          <c:w val="0.46578723493149371"/>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solidFill>
              <a:srgbClr val="377EB8"/>
            </a:solidFill>
            <a:ln>
              <a:solidFill>
                <a:sysClr val="windowText" lastClr="000000"/>
              </a:solidFill>
            </a:ln>
            <a:effectLst/>
          </c:spPr>
          <c:invertIfNegative val="0"/>
          <c:cat>
            <c:numRef>
              <c:f>'WOOD PELLETS'!$E$3:$I$3</c:f>
              <c:numCache>
                <c:formatCode>General</c:formatCode>
                <c:ptCount val="5"/>
                <c:pt idx="0">
                  <c:v>2013</c:v>
                </c:pt>
                <c:pt idx="1">
                  <c:v>2014</c:v>
                </c:pt>
                <c:pt idx="2">
                  <c:v>2015</c:v>
                </c:pt>
                <c:pt idx="3">
                  <c:v>2016</c:v>
                </c:pt>
                <c:pt idx="4">
                  <c:v>2017</c:v>
                </c:pt>
              </c:numCache>
            </c:numRef>
          </c:cat>
          <c:val>
            <c:numRef>
              <c:f>'WOOD PELLETS'!$E$4:$I$4</c:f>
              <c:numCache>
                <c:formatCode>General</c:formatCode>
                <c:ptCount val="5"/>
                <c:pt idx="0">
                  <c:v>123</c:v>
                </c:pt>
                <c:pt idx="1">
                  <c:v>122</c:v>
                </c:pt>
                <c:pt idx="2">
                  <c:v>137</c:v>
                </c:pt>
                <c:pt idx="3">
                  <c:v>147</c:v>
                </c:pt>
                <c:pt idx="4">
                  <c:v>148</c:v>
                </c:pt>
              </c:numCache>
            </c:numRef>
          </c:val>
          <c:extLst>
            <c:ext xmlns:c16="http://schemas.microsoft.com/office/drawing/2014/chart" uri="{C3380CC4-5D6E-409C-BE32-E72D297353CC}">
              <c16:uniqueId val="{00000000-8382-4CD5-81DB-B17AD6C8EA8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670392348691E-2"/>
          <c:y val="2.8028683914510674E-2"/>
          <c:w val="0.88461623208770401"/>
          <c:h val="0.87787714035745534"/>
        </c:manualLayout>
      </c:layout>
      <c:barChart>
        <c:barDir val="col"/>
        <c:grouping val="clustered"/>
        <c:varyColors val="0"/>
        <c:ser>
          <c:idx val="1"/>
          <c:order val="0"/>
          <c:tx>
            <c:v>Production</c:v>
          </c:tx>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PELLETS'!$D$13:$I$13</c:f>
              <c:numCache>
                <c:formatCode>0.0</c:formatCode>
                <c:ptCount val="6"/>
                <c:pt idx="0">
                  <c:v>3.1515606900000002</c:v>
                </c:pt>
                <c:pt idx="1">
                  <c:v>4.2673982399999995</c:v>
                </c:pt>
                <c:pt idx="2">
                  <c:v>5.3950291950000002</c:v>
                </c:pt>
                <c:pt idx="3">
                  <c:v>5.9121246450000005</c:v>
                </c:pt>
                <c:pt idx="4">
                  <c:v>5.7996337049999998</c:v>
                </c:pt>
                <c:pt idx="5">
                  <c:v>6.2595765000000005</c:v>
                </c:pt>
              </c:numCache>
            </c:numRef>
          </c:val>
          <c:extLst>
            <c:ext xmlns:c16="http://schemas.microsoft.com/office/drawing/2014/chart" uri="{C3380CC4-5D6E-409C-BE32-E72D297353CC}">
              <c16:uniqueId val="{00000000-339E-49E1-B5B3-2516DC28D383}"/>
            </c:ext>
          </c:extLst>
        </c:ser>
        <c:ser>
          <c:idx val="0"/>
          <c:order val="1"/>
          <c:tx>
            <c:v>Consumption</c:v>
          </c:tx>
          <c:spPr>
            <a:solidFill>
              <a:srgbClr val="FF7F00"/>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PELLETS'!$D$16:$I$16</c:f>
              <c:numCache>
                <c:formatCode>0.0</c:formatCode>
                <c:ptCount val="6"/>
                <c:pt idx="0">
                  <c:v>1.3401723310000002</c:v>
                </c:pt>
                <c:pt idx="1">
                  <c:v>1.5373232249999993</c:v>
                </c:pt>
                <c:pt idx="2">
                  <c:v>1.5592832410000002</c:v>
                </c:pt>
                <c:pt idx="3">
                  <c:v>1.4505213960000001</c:v>
                </c:pt>
                <c:pt idx="4">
                  <c:v>1.9452404359999997</c:v>
                </c:pt>
                <c:pt idx="5">
                  <c:v>1.2672118090000009</c:v>
                </c:pt>
              </c:numCache>
            </c:numRef>
          </c:val>
          <c:extLst>
            <c:ext xmlns:c16="http://schemas.microsoft.com/office/drawing/2014/chart" uri="{C3380CC4-5D6E-409C-BE32-E72D297353CC}">
              <c16:uniqueId val="{00000001-339E-49E1-B5B3-2516DC28D38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80526480798069"/>
          <c:y val="5.5555555555555552E-2"/>
          <c:w val="0.29560596883431534"/>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9878310665712"/>
          <c:y val="2.8028762029746284E-2"/>
          <c:w val="0.88461623208770401"/>
          <c:h val="0.87787714035745534"/>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PELLETS'!$D$15:$I$15</c:f>
              <c:numCache>
                <c:formatCode>0.0</c:formatCode>
                <c:ptCount val="6"/>
                <c:pt idx="0">
                  <c:v>1.898124809</c:v>
                </c:pt>
                <c:pt idx="1">
                  <c:v>2.8825167500000002</c:v>
                </c:pt>
                <c:pt idx="2">
                  <c:v>4.0557324440000002</c:v>
                </c:pt>
                <c:pt idx="3">
                  <c:v>4.6687747760000002</c:v>
                </c:pt>
                <c:pt idx="4">
                  <c:v>4.0592406399999996</c:v>
                </c:pt>
                <c:pt idx="5">
                  <c:v>5.2039813539999997</c:v>
                </c:pt>
              </c:numCache>
            </c:numRef>
          </c:val>
          <c:extLst>
            <c:ext xmlns:c16="http://schemas.microsoft.com/office/drawing/2014/chart" uri="{C3380CC4-5D6E-409C-BE32-E72D297353CC}">
              <c16:uniqueId val="{00000000-D148-49BE-BC70-C0D6A50A85F5}"/>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8054673658868"/>
          <c:y val="3.8194444444444448E-2"/>
          <c:w val="0.8393802754387919"/>
          <c:h val="0.87947315179352581"/>
        </c:manualLayout>
      </c:layout>
      <c:barChart>
        <c:barDir val="col"/>
        <c:grouping val="clustered"/>
        <c:varyColors val="0"/>
        <c:ser>
          <c:idx val="1"/>
          <c:order val="0"/>
          <c:tx>
            <c:v>Electricity generation</c:v>
          </c:tx>
          <c:spPr>
            <a:solidFill>
              <a:srgbClr val="377EB8"/>
            </a:solidFill>
            <a:ln>
              <a:solidFill>
                <a:sysClr val="windowText" lastClr="000000"/>
              </a:solidFill>
            </a:ln>
            <a:effectLst/>
          </c:spPr>
          <c:invertIfNegative val="0"/>
          <c:cat>
            <c:numRef>
              <c:f>'WOOD PELLETS'!$B$12:$I$12</c:f>
              <c:numCache>
                <c:formatCode>General</c:formatCode>
                <c:ptCount val="8"/>
                <c:pt idx="0">
                  <c:v>2010</c:v>
                </c:pt>
                <c:pt idx="1">
                  <c:v>2011</c:v>
                </c:pt>
                <c:pt idx="2">
                  <c:v>2012</c:v>
                </c:pt>
                <c:pt idx="3">
                  <c:v>2013</c:v>
                </c:pt>
                <c:pt idx="4">
                  <c:v>2014</c:v>
                </c:pt>
                <c:pt idx="5">
                  <c:v>2015</c:v>
                </c:pt>
                <c:pt idx="6">
                  <c:v>2016</c:v>
                </c:pt>
                <c:pt idx="7">
                  <c:v>2017</c:v>
                </c:pt>
              </c:numCache>
            </c:numRef>
          </c:cat>
          <c:val>
            <c:numRef>
              <c:f>'WOOD PELLETS'!$B$17:$I$17</c:f>
              <c:numCache>
                <c:formatCode>0</c:formatCode>
                <c:ptCount val="8"/>
                <c:pt idx="0">
                  <c:v>126.83606808</c:v>
                </c:pt>
                <c:pt idx="1">
                  <c:v>127.78123085999999</c:v>
                </c:pt>
                <c:pt idx="2">
                  <c:v>128.97547985999998</c:v>
                </c:pt>
                <c:pt idx="3">
                  <c:v>136.58113992</c:v>
                </c:pt>
                <c:pt idx="4">
                  <c:v>144.47000759999997</c:v>
                </c:pt>
                <c:pt idx="5">
                  <c:v>143.06761806</c:v>
                </c:pt>
                <c:pt idx="6">
                  <c:v>139.71689657999997</c:v>
                </c:pt>
                <c:pt idx="7">
                  <c:v>147.69106775999998</c:v>
                </c:pt>
              </c:numCache>
            </c:numRef>
          </c:val>
          <c:extLst>
            <c:ext xmlns:c16="http://schemas.microsoft.com/office/drawing/2014/chart" uri="{C3380CC4-5D6E-409C-BE32-E72D297353CC}">
              <c16:uniqueId val="{00000000-F3BB-422B-A682-B35F7CC4D8C3}"/>
            </c:ext>
          </c:extLst>
        </c:ser>
        <c:ser>
          <c:idx val="0"/>
          <c:order val="1"/>
          <c:tx>
            <c:v>Heating</c:v>
          </c:tx>
          <c:spPr>
            <a:solidFill>
              <a:srgbClr val="FF7F00"/>
            </a:solidFill>
            <a:ln>
              <a:solidFill>
                <a:sysClr val="windowText" lastClr="000000"/>
              </a:solidFill>
            </a:ln>
            <a:effectLst/>
          </c:spPr>
          <c:invertIfNegative val="0"/>
          <c:cat>
            <c:numRef>
              <c:f>'WOOD PELLETS'!$B$12:$I$12</c:f>
              <c:numCache>
                <c:formatCode>General</c:formatCode>
                <c:ptCount val="8"/>
                <c:pt idx="0">
                  <c:v>2010</c:v>
                </c:pt>
                <c:pt idx="1">
                  <c:v>2011</c:v>
                </c:pt>
                <c:pt idx="2">
                  <c:v>2012</c:v>
                </c:pt>
                <c:pt idx="3">
                  <c:v>2013</c:v>
                </c:pt>
                <c:pt idx="4">
                  <c:v>2014</c:v>
                </c:pt>
                <c:pt idx="5">
                  <c:v>2015</c:v>
                </c:pt>
                <c:pt idx="6">
                  <c:v>2016</c:v>
                </c:pt>
                <c:pt idx="7">
                  <c:v>2017</c:v>
                </c:pt>
              </c:numCache>
            </c:numRef>
          </c:cat>
          <c:val>
            <c:numRef>
              <c:f>'WOOD PELLETS'!$B$20:$I$20</c:f>
              <c:numCache>
                <c:formatCode>0</c:formatCode>
                <c:ptCount val="8"/>
                <c:pt idx="0">
                  <c:v>1989.1639319200001</c:v>
                </c:pt>
                <c:pt idx="1">
                  <c:v>2011.2187691399999</c:v>
                </c:pt>
                <c:pt idx="2">
                  <c:v>2004.02452014</c:v>
                </c:pt>
                <c:pt idx="3">
                  <c:v>2210.4188600799998</c:v>
                </c:pt>
                <c:pt idx="4">
                  <c:v>2265.5299924000001</c:v>
                </c:pt>
                <c:pt idx="5">
                  <c:v>2091.9323819400001</c:v>
                </c:pt>
                <c:pt idx="6">
                  <c:v>1991.2831034200001</c:v>
                </c:pt>
                <c:pt idx="7">
                  <c:v>1997.3089322400001</c:v>
                </c:pt>
              </c:numCache>
            </c:numRef>
          </c:val>
          <c:extLst>
            <c:ext xmlns:c16="http://schemas.microsoft.com/office/drawing/2014/chart" uri="{C3380CC4-5D6E-409C-BE32-E72D297353CC}">
              <c16:uniqueId val="{00000001-F3BB-422B-A682-B35F7CC4D8C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0902206567156236E-2"/>
              <c:y val="0.37541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489098869778427"/>
          <c:y val="5.0595199037620303E-2"/>
          <c:w val="0.41571206229183721"/>
          <c:h val="6.0766896325459313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E41A1C"/>
              </a:solidFill>
              <a:ln w="9525">
                <a:solidFill>
                  <a:sysClr val="windowText" lastClr="000000"/>
                </a:solidFill>
              </a:ln>
              <a:effectLst/>
            </c:spPr>
            <c:extLst>
              <c:ext xmlns:c16="http://schemas.microsoft.com/office/drawing/2014/chart" uri="{C3380CC4-5D6E-409C-BE32-E72D297353CC}">
                <c16:uniqueId val="{00000001-4C79-4EF0-9F31-1F9B79C24321}"/>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4C79-4EF0-9F31-1F9B79C24321}"/>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4C79-4EF0-9F31-1F9B79C24321}"/>
              </c:ext>
            </c:extLst>
          </c:dPt>
          <c:dPt>
            <c:idx val="3"/>
            <c:bubble3D val="0"/>
            <c:spPr>
              <a:solidFill>
                <a:srgbClr val="999999"/>
              </a:solidFill>
              <a:ln w="9525">
                <a:solidFill>
                  <a:sysClr val="windowText" lastClr="000000"/>
                </a:solidFill>
              </a:ln>
              <a:effectLst/>
            </c:spPr>
            <c:extLst>
              <c:ext xmlns:c16="http://schemas.microsoft.com/office/drawing/2014/chart" uri="{C3380CC4-5D6E-409C-BE32-E72D297353CC}">
                <c16:uniqueId val="{00000007-4C79-4EF0-9F31-1F9B79C24321}"/>
              </c:ext>
            </c:extLst>
          </c:dPt>
          <c:val>
            <c:numRef>
              <c:f>'WOOD PELLETS'!$I$22:$I$25</c:f>
              <c:numCache>
                <c:formatCode>General</c:formatCode>
                <c:ptCount val="4"/>
                <c:pt idx="0">
                  <c:v>334</c:v>
                </c:pt>
                <c:pt idx="1">
                  <c:v>84</c:v>
                </c:pt>
                <c:pt idx="2">
                  <c:v>1480</c:v>
                </c:pt>
                <c:pt idx="3">
                  <c:v>247</c:v>
                </c:pt>
              </c:numCache>
            </c:numRef>
          </c:val>
          <c:extLst>
            <c:ext xmlns:c16="http://schemas.microsoft.com/office/drawing/2014/chart" uri="{C3380CC4-5D6E-409C-BE32-E72D297353CC}">
              <c16:uniqueId val="{00000008-4C79-4EF0-9F31-1F9B79C2432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9979320766722"/>
          <c:y val="2.8028762029746284E-2"/>
          <c:w val="0.87451523105066409"/>
          <c:h val="0.87787714035745534"/>
        </c:manualLayout>
      </c:layout>
      <c:barChart>
        <c:barDir val="col"/>
        <c:grouping val="clustered"/>
        <c:varyColors val="0"/>
        <c:ser>
          <c:idx val="0"/>
          <c:order val="0"/>
          <c:spPr>
            <a:solidFill>
              <a:srgbClr val="377EB8"/>
            </a:solidFill>
            <a:ln>
              <a:solidFill>
                <a:sysClr val="windowText" lastClr="000000"/>
              </a:solidFill>
            </a:ln>
            <a:effectLst/>
          </c:spPr>
          <c:invertIfNegative val="0"/>
          <c:cat>
            <c:numRef>
              <c:f>'WOOD PELLETS'!$D$12:$I$12</c:f>
              <c:numCache>
                <c:formatCode>General</c:formatCode>
                <c:ptCount val="6"/>
                <c:pt idx="0">
                  <c:v>2012</c:v>
                </c:pt>
                <c:pt idx="1">
                  <c:v>2013</c:v>
                </c:pt>
                <c:pt idx="2">
                  <c:v>2014</c:v>
                </c:pt>
                <c:pt idx="3">
                  <c:v>2015</c:v>
                </c:pt>
                <c:pt idx="4">
                  <c:v>2016</c:v>
                </c:pt>
                <c:pt idx="5">
                  <c:v>2017</c:v>
                </c:pt>
              </c:numCache>
            </c:numRef>
          </c:cat>
          <c:val>
            <c:numRef>
              <c:f>'WOOD PELLETS'!$D$14:$I$14</c:f>
              <c:numCache>
                <c:formatCode>0.0</c:formatCode>
                <c:ptCount val="6"/>
                <c:pt idx="0">
                  <c:v>8.6736450000000007E-2</c:v>
                </c:pt>
                <c:pt idx="1">
                  <c:v>0.15244173499999999</c:v>
                </c:pt>
                <c:pt idx="2">
                  <c:v>0.21998649000000001</c:v>
                </c:pt>
                <c:pt idx="3">
                  <c:v>0.20717152699999999</c:v>
                </c:pt>
                <c:pt idx="4">
                  <c:v>0.204847371</c:v>
                </c:pt>
                <c:pt idx="5">
                  <c:v>0.21161666300000001</c:v>
                </c:pt>
              </c:numCache>
            </c:numRef>
          </c:val>
          <c:extLst>
            <c:ext xmlns:c16="http://schemas.microsoft.com/office/drawing/2014/chart" uri="{C3380CC4-5D6E-409C-BE32-E72D297353CC}">
              <c16:uniqueId val="{00000000-98CD-49C3-80AC-E86D40FD1D4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7595037520518"/>
          <c:y val="3.5806958203599679E-2"/>
          <c:w val="0.78260695996916452"/>
          <c:h val="0.86189760588349362"/>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'WOOD PELLETS'!$B$33:$H$33</c:f>
              <c:numCache>
                <c:formatCode>General</c:formatCode>
                <c:ptCount val="7"/>
                <c:pt idx="0">
                  <c:v>2010</c:v>
                </c:pt>
                <c:pt idx="1">
                  <c:v>2011</c:v>
                </c:pt>
                <c:pt idx="2">
                  <c:v>2012</c:v>
                </c:pt>
                <c:pt idx="3">
                  <c:v>2013</c:v>
                </c:pt>
                <c:pt idx="4">
                  <c:v>2014</c:v>
                </c:pt>
                <c:pt idx="5">
                  <c:v>2015</c:v>
                </c:pt>
                <c:pt idx="6">
                  <c:v>2016</c:v>
                </c:pt>
              </c:numCache>
            </c:numRef>
          </c:cat>
          <c:val>
            <c:numRef>
              <c:f>'WOOD PELLETS'!$B$34:$H$34</c:f>
              <c:numCache>
                <c:formatCode>General</c:formatCode>
                <c:ptCount val="7"/>
                <c:pt idx="0">
                  <c:v>26549</c:v>
                </c:pt>
                <c:pt idx="1">
                  <c:v>25477</c:v>
                </c:pt>
                <c:pt idx="2">
                  <c:v>25484</c:v>
                </c:pt>
                <c:pt idx="3">
                  <c:v>25085</c:v>
                </c:pt>
                <c:pt idx="4">
                  <c:v>26895</c:v>
                </c:pt>
                <c:pt idx="5">
                  <c:v>23416</c:v>
                </c:pt>
                <c:pt idx="6">
                  <c:v>23596</c:v>
                </c:pt>
              </c:numCache>
            </c:numRef>
          </c:val>
          <c:extLst>
            <c:ext xmlns:c16="http://schemas.microsoft.com/office/drawing/2014/chart" uri="{C3380CC4-5D6E-409C-BE32-E72D297353CC}">
              <c16:uniqueId val="{00000000-79C2-4FEE-A94A-1F72758D1933}"/>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F7F00"/>
              </a:solidFill>
              <a:round/>
            </a:ln>
            <a:effectLst/>
          </c:spPr>
          <c:marker>
            <c:symbol val="none"/>
          </c:marker>
          <c:cat>
            <c:numRef>
              <c:f>'WOOD PELLETS'!$B$33:$H$33</c:f>
              <c:numCache>
                <c:formatCode>General</c:formatCode>
                <c:ptCount val="7"/>
                <c:pt idx="0">
                  <c:v>2010</c:v>
                </c:pt>
                <c:pt idx="1">
                  <c:v>2011</c:v>
                </c:pt>
                <c:pt idx="2">
                  <c:v>2012</c:v>
                </c:pt>
                <c:pt idx="3">
                  <c:v>2013</c:v>
                </c:pt>
                <c:pt idx="4">
                  <c:v>2014</c:v>
                </c:pt>
                <c:pt idx="5">
                  <c:v>2015</c:v>
                </c:pt>
                <c:pt idx="6">
                  <c:v>2016</c:v>
                </c:pt>
              </c:numCache>
            </c:numRef>
          </c:cat>
          <c:val>
            <c:numRef>
              <c:f>'WOOD PELLETS'!$B$13:$H$13</c:f>
              <c:numCache>
                <c:formatCode>General</c:formatCode>
                <c:ptCount val="7"/>
                <c:pt idx="2" formatCode="0.0">
                  <c:v>3.1515606900000002</c:v>
                </c:pt>
                <c:pt idx="3" formatCode="0.0">
                  <c:v>4.2673982399999995</c:v>
                </c:pt>
                <c:pt idx="4" formatCode="0.0">
                  <c:v>5.3950291950000002</c:v>
                </c:pt>
                <c:pt idx="5" formatCode="0.0">
                  <c:v>5.9121246450000005</c:v>
                </c:pt>
                <c:pt idx="6" formatCode="0.0">
                  <c:v>5.7996337049999998</c:v>
                </c:pt>
              </c:numCache>
            </c:numRef>
          </c:val>
          <c:smooth val="0"/>
          <c:extLst>
            <c:ext xmlns:c16="http://schemas.microsoft.com/office/drawing/2014/chart" uri="{C3380CC4-5D6E-409C-BE32-E72D297353CC}">
              <c16:uniqueId val="{00000001-79C2-4FEE-A94A-1F72758D1933}"/>
            </c:ext>
          </c:extLst>
        </c:ser>
        <c:dLbls>
          <c:showLegendKey val="0"/>
          <c:showVal val="0"/>
          <c:showCatName val="0"/>
          <c:showSerName val="0"/>
          <c:showPercent val="0"/>
          <c:showBubbleSize val="0"/>
        </c:dLbls>
        <c:marker val="1"/>
        <c:smooth val="0"/>
        <c:axId val="619386592"/>
        <c:axId val="61938626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1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Number of jobs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61938626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 metric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9386592"/>
        <c:crosses val="max"/>
        <c:crossBetween val="between"/>
      </c:valAx>
      <c:catAx>
        <c:axId val="619386592"/>
        <c:scaling>
          <c:orientation val="minMax"/>
        </c:scaling>
        <c:delete val="1"/>
        <c:axPos val="b"/>
        <c:numFmt formatCode="General" sourceLinked="1"/>
        <c:majorTickMark val="out"/>
        <c:minorTickMark val="none"/>
        <c:tickLblPos val="nextTo"/>
        <c:crossAx val="619386264"/>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ENERGY'!$B$3:$I$3</c:f>
              <c:numCache>
                <c:formatCode>General</c:formatCode>
                <c:ptCount val="8"/>
                <c:pt idx="0">
                  <c:v>2010</c:v>
                </c:pt>
                <c:pt idx="1">
                  <c:v>2011</c:v>
                </c:pt>
                <c:pt idx="2">
                  <c:v>2012</c:v>
                </c:pt>
                <c:pt idx="3">
                  <c:v>2013</c:v>
                </c:pt>
                <c:pt idx="4">
                  <c:v>2014</c:v>
                </c:pt>
                <c:pt idx="5">
                  <c:v>2015</c:v>
                </c:pt>
                <c:pt idx="6">
                  <c:v>2016</c:v>
                </c:pt>
                <c:pt idx="7">
                  <c:v>2017</c:v>
                </c:pt>
              </c:numCache>
            </c:numRef>
          </c:cat>
          <c:val>
            <c:numRef>
              <c:f>'WASTE TO ENERGY'!$B$4:$I$4</c:f>
              <c:numCache>
                <c:formatCode>General</c:formatCode>
                <c:ptCount val="8"/>
                <c:pt idx="0">
                  <c:v>86</c:v>
                </c:pt>
                <c:pt idx="1">
                  <c:v>85</c:v>
                </c:pt>
                <c:pt idx="2">
                  <c:v>85</c:v>
                </c:pt>
                <c:pt idx="3">
                  <c:v>84</c:v>
                </c:pt>
                <c:pt idx="4">
                  <c:v>84</c:v>
                </c:pt>
                <c:pt idx="5">
                  <c:v>78</c:v>
                </c:pt>
                <c:pt idx="6">
                  <c:v>77</c:v>
                </c:pt>
                <c:pt idx="7">
                  <c:v>70</c:v>
                </c:pt>
              </c:numCache>
            </c:numRef>
          </c:val>
          <c:extLst>
            <c:ext xmlns:c16="http://schemas.microsoft.com/office/drawing/2014/chart" uri="{C3380CC4-5D6E-409C-BE32-E72D297353CC}">
              <c16:uniqueId val="{00000000-DCFE-4EED-899E-E385095AED5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5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spPr>
            <a:solidFill>
              <a:srgbClr val="377EB8"/>
            </a:solidFill>
            <a:ln>
              <a:solidFill>
                <a:sysClr val="windowText" lastClr="000000"/>
              </a:solidFill>
            </a:ln>
          </c:spPr>
          <c:invertIfNegative val="0"/>
          <c:cat>
            <c:numRef>
              <c:f>'WASTE TO ENERGY'!$B$11:$F$11</c:f>
              <c:numCache>
                <c:formatCode>General</c:formatCode>
                <c:ptCount val="5"/>
                <c:pt idx="0">
                  <c:v>2010</c:v>
                </c:pt>
                <c:pt idx="1">
                  <c:v>2011</c:v>
                </c:pt>
                <c:pt idx="2">
                  <c:v>2012</c:v>
                </c:pt>
                <c:pt idx="3">
                  <c:v>2013</c:v>
                </c:pt>
                <c:pt idx="4">
                  <c:v>2014</c:v>
                </c:pt>
              </c:numCache>
            </c:numRef>
          </c:cat>
          <c:val>
            <c:numRef>
              <c:f>'WASTE TO ENERGY'!$B$12:$F$12</c:f>
              <c:numCache>
                <c:formatCode>0</c:formatCode>
                <c:ptCount val="5"/>
                <c:pt idx="0">
                  <c:v>227.79415349999999</c:v>
                </c:pt>
                <c:pt idx="1">
                  <c:v>227.1409803</c:v>
                </c:pt>
                <c:pt idx="2">
                  <c:v>228.42918300000002</c:v>
                </c:pt>
                <c:pt idx="3">
                  <c:v>231.33217500000001</c:v>
                </c:pt>
                <c:pt idx="4">
                  <c:v>234.50732250000001</c:v>
                </c:pt>
              </c:numCache>
            </c:numRef>
          </c:val>
          <c:extLst>
            <c:ext xmlns:c16="http://schemas.microsoft.com/office/drawing/2014/chart" uri="{C3380CC4-5D6E-409C-BE32-E72D297353CC}">
              <c16:uniqueId val="{00000000-5F6A-4731-A197-18CE1A2D2978}"/>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2902250855008E-2"/>
              <c:y val="0.3024980861767279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8-F801-4879-9253-6DC673F4220F}"/>
              </c:ext>
            </c:extLst>
          </c:dPt>
          <c:dPt>
            <c:idx val="1"/>
            <c:bubble3D val="0"/>
            <c:spPr>
              <a:solidFill>
                <a:srgbClr val="E41A1C"/>
              </a:solidFill>
              <a:ln w="9525">
                <a:solidFill>
                  <a:sysClr val="windowText" lastClr="000000"/>
                </a:solidFill>
              </a:ln>
              <a:effectLst/>
            </c:spPr>
            <c:extLst>
              <c:ext xmlns:c16="http://schemas.microsoft.com/office/drawing/2014/chart" uri="{C3380CC4-5D6E-409C-BE32-E72D297353CC}">
                <c16:uniqueId val="{00000016-F801-4879-9253-6DC673F4220F}"/>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D-F801-4879-9253-6DC673F4220F}"/>
              </c:ext>
            </c:extLst>
          </c:dPt>
          <c:val>
            <c:numRef>
              <c:f>'WASTE TO ENERGY'!$F$13:$F$15</c:f>
              <c:numCache>
                <c:formatCode>0</c:formatCode>
                <c:ptCount val="3"/>
                <c:pt idx="0">
                  <c:v>81.102339000000001</c:v>
                </c:pt>
                <c:pt idx="1">
                  <c:v>30.0278235</c:v>
                </c:pt>
                <c:pt idx="2">
                  <c:v>123.37716</c:v>
                </c:pt>
              </c:numCache>
            </c:numRef>
          </c:val>
          <c:extLst>
            <c:ext xmlns:c16="http://schemas.microsoft.com/office/drawing/2014/chart" uri="{C3380CC4-5D6E-409C-BE32-E72D297353CC}">
              <c16:uniqueId val="{00000000-F801-4879-9253-6DC673F422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340093851907"/>
          <c:y val="3.8194444444444448E-2"/>
          <c:w val="0.8553388212837032"/>
          <c:h val="0.87947315179352581"/>
        </c:manualLayout>
      </c:layout>
      <c:barChart>
        <c:barDir val="col"/>
        <c:grouping val="clustered"/>
        <c:varyColors val="0"/>
        <c:ser>
          <c:idx val="4"/>
          <c:order val="0"/>
          <c:tx>
            <c:v>Electricity generation</c:v>
          </c:tx>
          <c:spPr>
            <a:solidFill>
              <a:srgbClr val="377EB8"/>
            </a:solidFill>
            <a:ln>
              <a:solidFill>
                <a:sysClr val="windowText" lastClr="000000"/>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ENERGY'!$B$23:$H$23</c:f>
              <c:numCache>
                <c:formatCode>0</c:formatCode>
                <c:ptCount val="7"/>
                <c:pt idx="0">
                  <c:v>144.934</c:v>
                </c:pt>
                <c:pt idx="1">
                  <c:v>135.24100000000001</c:v>
                </c:pt>
                <c:pt idx="2">
                  <c:v>135.73500000000001</c:v>
                </c:pt>
                <c:pt idx="3">
                  <c:v>135.76400000000001</c:v>
                </c:pt>
                <c:pt idx="4">
                  <c:v>134.40799999999999</c:v>
                </c:pt>
                <c:pt idx="5">
                  <c:v>133.11699999999999</c:v>
                </c:pt>
                <c:pt idx="6">
                  <c:v>135.95699999999999</c:v>
                </c:pt>
              </c:numCache>
            </c:numRef>
          </c:val>
          <c:extLst>
            <c:ext xmlns:c16="http://schemas.microsoft.com/office/drawing/2014/chart" uri="{C3380CC4-5D6E-409C-BE32-E72D297353CC}">
              <c16:uniqueId val="{00000001-9C5F-4BC4-9372-A522D7511D6D}"/>
            </c:ext>
          </c:extLst>
        </c:ser>
        <c:ser>
          <c:idx val="3"/>
          <c:order val="1"/>
          <c:tx>
            <c:v>Heating</c:v>
          </c:tx>
          <c:spPr>
            <a:solidFill>
              <a:srgbClr val="FF7F00"/>
            </a:solidFill>
            <a:ln>
              <a:solidFill>
                <a:sysClr val="windowText" lastClr="000000"/>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ENERGY'!$B$24:$H$24</c:f>
              <c:numCache>
                <c:formatCode>0</c:formatCode>
                <c:ptCount val="7"/>
                <c:pt idx="0">
                  <c:v>17.501999999999999</c:v>
                </c:pt>
                <c:pt idx="1">
                  <c:v>16.765999999999998</c:v>
                </c:pt>
                <c:pt idx="2">
                  <c:v>16.309999999999999</c:v>
                </c:pt>
                <c:pt idx="3">
                  <c:v>15.167999999999999</c:v>
                </c:pt>
                <c:pt idx="4">
                  <c:v>15.782999999999999</c:v>
                </c:pt>
                <c:pt idx="5">
                  <c:v>16.623000000000001</c:v>
                </c:pt>
                <c:pt idx="6">
                  <c:v>18.259</c:v>
                </c:pt>
              </c:numCache>
            </c:numRef>
          </c:val>
          <c:extLst>
            <c:ext xmlns:c16="http://schemas.microsoft.com/office/drawing/2014/chart" uri="{C3380CC4-5D6E-409C-BE32-E72D297353CC}">
              <c16:uniqueId val="{00000000-9C5F-4BC4-9372-A522D7511D6D}"/>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5.7718921498449054E-3"/>
              <c:y val="0.37541475284339459"/>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945935735305814"/>
          <c:y val="5.0595199037620303E-2"/>
          <c:w val="0.42953292770221901"/>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4DAF4A"/>
            </a:solidFill>
            <a:ln w="9525">
              <a:solidFill>
                <a:sysClr val="windowText" lastClr="000000"/>
              </a:solidFill>
            </a:ln>
          </c:spPr>
          <c:dPt>
            <c:idx val="0"/>
            <c:bubble3D val="0"/>
            <c:spPr>
              <a:solidFill>
                <a:schemeClr val="tx1">
                  <a:lumMod val="65000"/>
                  <a:lumOff val="35000"/>
                </a:schemeClr>
              </a:solidFill>
              <a:ln w="9525">
                <a:solidFill>
                  <a:sysClr val="windowText" lastClr="000000"/>
                </a:solidFill>
              </a:ln>
              <a:effectLst/>
            </c:spPr>
            <c:extLst>
              <c:ext xmlns:c16="http://schemas.microsoft.com/office/drawing/2014/chart" uri="{C3380CC4-5D6E-409C-BE32-E72D297353CC}">
                <c16:uniqueId val="{00000001-97E4-4ACF-92D3-AF39F788EB08}"/>
              </c:ext>
            </c:extLst>
          </c:dPt>
          <c:dPt>
            <c:idx val="1"/>
            <c:bubble3D val="0"/>
            <c:spPr>
              <a:solidFill>
                <a:srgbClr val="999999"/>
              </a:solidFill>
              <a:ln w="9525">
                <a:solidFill>
                  <a:sysClr val="windowText" lastClr="000000"/>
                </a:solidFill>
              </a:ln>
              <a:effectLst/>
            </c:spPr>
            <c:extLst>
              <c:ext xmlns:c16="http://schemas.microsoft.com/office/drawing/2014/chart" uri="{C3380CC4-5D6E-409C-BE32-E72D297353CC}">
                <c16:uniqueId val="{00000003-97E4-4ACF-92D3-AF39F788EB08}"/>
              </c:ext>
            </c:extLst>
          </c:dPt>
          <c:dPt>
            <c:idx val="2"/>
            <c:bubble3D val="0"/>
            <c:spPr>
              <a:solidFill>
                <a:srgbClr val="4DAF4A"/>
              </a:solidFill>
              <a:ln w="9525">
                <a:solidFill>
                  <a:sysClr val="windowText" lastClr="000000"/>
                </a:solidFill>
              </a:ln>
              <a:effectLst/>
            </c:spPr>
            <c:extLst>
              <c:ext xmlns:c16="http://schemas.microsoft.com/office/drawing/2014/chart" uri="{C3380CC4-5D6E-409C-BE32-E72D297353CC}">
                <c16:uniqueId val="{00000005-97E4-4ACF-92D3-AF39F788EB08}"/>
              </c:ext>
            </c:extLst>
          </c:dPt>
          <c:dPt>
            <c:idx val="3"/>
            <c:bubble3D val="0"/>
            <c:spPr>
              <a:solidFill>
                <a:srgbClr val="984EA3"/>
              </a:solidFill>
              <a:ln w="9525">
                <a:solidFill>
                  <a:schemeClr val="tx1"/>
                </a:solidFill>
              </a:ln>
              <a:effectLst/>
            </c:spPr>
            <c:extLst>
              <c:ext xmlns:c16="http://schemas.microsoft.com/office/drawing/2014/chart" uri="{C3380CC4-5D6E-409C-BE32-E72D297353CC}">
                <c16:uniqueId val="{0000000F-97E4-4ACF-92D3-AF39F788EB08}"/>
              </c:ext>
            </c:extLst>
          </c:dPt>
          <c:val>
            <c:numRef>
              <c:f>'WASTE TO ENERGY'!$H$26:$H$29</c:f>
              <c:numCache>
                <c:formatCode>0</c:formatCode>
                <c:ptCount val="4"/>
                <c:pt idx="0" formatCode="0.0">
                  <c:v>4.4340000000000002</c:v>
                </c:pt>
                <c:pt idx="1">
                  <c:v>117.88</c:v>
                </c:pt>
                <c:pt idx="2">
                  <c:v>30.094999999999999</c:v>
                </c:pt>
                <c:pt idx="3" formatCode="0.0">
                  <c:v>1.806</c:v>
                </c:pt>
              </c:numCache>
            </c:numRef>
          </c:val>
          <c:extLst>
            <c:ext xmlns:c16="http://schemas.microsoft.com/office/drawing/2014/chart" uri="{C3380CC4-5D6E-409C-BE32-E72D297353CC}">
              <c16:uniqueId val="{00000006-97E4-4ACF-92D3-AF39F788EB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92491847609964E-2"/>
          <c:y val="3.8194444444444448E-2"/>
          <c:w val="0.87442973037461225"/>
          <c:h val="0.87947315179352581"/>
        </c:manualLayout>
      </c:layout>
      <c:barChart>
        <c:barDir val="col"/>
        <c:grouping val="clustered"/>
        <c:varyColors val="0"/>
        <c:ser>
          <c:idx val="4"/>
          <c:order val="0"/>
          <c:tx>
            <c:v>Electricity generation</c:v>
          </c:tx>
          <c:spPr>
            <a:solidFill>
              <a:srgbClr val="377EB8"/>
            </a:solidFill>
            <a:ln>
              <a:solidFill>
                <a:schemeClr val="tx1"/>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ENERGY'!$B$16:$H$16</c:f>
              <c:numCache>
                <c:formatCode>0</c:formatCode>
                <c:ptCount val="7"/>
                <c:pt idx="0">
                  <c:v>19.437000000000001</c:v>
                </c:pt>
                <c:pt idx="1">
                  <c:v>16.972000000000001</c:v>
                </c:pt>
                <c:pt idx="2">
                  <c:v>16.968</c:v>
                </c:pt>
                <c:pt idx="3">
                  <c:v>17.007000000000001</c:v>
                </c:pt>
                <c:pt idx="4">
                  <c:v>16.706</c:v>
                </c:pt>
                <c:pt idx="5">
                  <c:v>16.631</c:v>
                </c:pt>
                <c:pt idx="6">
                  <c:v>16.994</c:v>
                </c:pt>
              </c:numCache>
            </c:numRef>
          </c:val>
          <c:extLst>
            <c:ext xmlns:c16="http://schemas.microsoft.com/office/drawing/2014/chart" uri="{C3380CC4-5D6E-409C-BE32-E72D297353CC}">
              <c16:uniqueId val="{00000000-3F7E-4683-84B2-3DB5FBA82A28}"/>
            </c:ext>
          </c:extLst>
        </c:ser>
        <c:ser>
          <c:idx val="3"/>
          <c:order val="1"/>
          <c:tx>
            <c:v>Heating</c:v>
          </c:tx>
          <c:spPr>
            <a:solidFill>
              <a:srgbClr val="FF7F00"/>
            </a:solidFill>
            <a:ln>
              <a:solidFill>
                <a:schemeClr val="tx1"/>
              </a:solidFill>
            </a:ln>
          </c:spPr>
          <c:invertIfNegative val="0"/>
          <c:cat>
            <c:numRef>
              <c:f>'WASTE TO ENERGY'!$B$11:$H$11</c:f>
              <c:numCache>
                <c:formatCode>General</c:formatCode>
                <c:ptCount val="7"/>
                <c:pt idx="0">
                  <c:v>2010</c:v>
                </c:pt>
                <c:pt idx="1">
                  <c:v>2011</c:v>
                </c:pt>
                <c:pt idx="2">
                  <c:v>2012</c:v>
                </c:pt>
                <c:pt idx="3">
                  <c:v>2013</c:v>
                </c:pt>
                <c:pt idx="4">
                  <c:v>2014</c:v>
                </c:pt>
                <c:pt idx="5">
                  <c:v>2015</c:v>
                </c:pt>
                <c:pt idx="6">
                  <c:v>2016</c:v>
                </c:pt>
              </c:numCache>
            </c:numRef>
          </c:cat>
          <c:val>
            <c:numRef>
              <c:f>'WASTE TO ENERGY'!$B$17:$H$17</c:f>
              <c:numCache>
                <c:formatCode>0</c:formatCode>
                <c:ptCount val="7"/>
                <c:pt idx="0">
                  <c:v>2.2869999999999999</c:v>
                </c:pt>
                <c:pt idx="1">
                  <c:v>2.044</c:v>
                </c:pt>
                <c:pt idx="2">
                  <c:v>1.986</c:v>
                </c:pt>
                <c:pt idx="3">
                  <c:v>1.865</c:v>
                </c:pt>
                <c:pt idx="4">
                  <c:v>1.9550000000000001</c:v>
                </c:pt>
                <c:pt idx="5">
                  <c:v>1.986</c:v>
                </c:pt>
                <c:pt idx="6">
                  <c:v>2.2320000000000002</c:v>
                </c:pt>
              </c:numCache>
            </c:numRef>
          </c:val>
          <c:extLst>
            <c:ext xmlns:c16="http://schemas.microsoft.com/office/drawing/2014/chart" uri="{C3380CC4-5D6E-409C-BE32-E72D297353CC}">
              <c16:uniqueId val="{00000001-3F7E-4683-84B2-3DB5FBA82A28}"/>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7.2138709933985609E-4"/>
              <c:y val="0.3198591972878390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188359977730058"/>
          <c:y val="5.4067421259842513E-2"/>
          <c:w val="0.4396339378032291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chemeClr val="tx1">
                  <a:lumMod val="65000"/>
                  <a:lumOff val="35000"/>
                </a:schemeClr>
              </a:solidFill>
              <a:ln w="9525">
                <a:solidFill>
                  <a:schemeClr val="tx1"/>
                </a:solidFill>
              </a:ln>
              <a:effectLst/>
            </c:spPr>
            <c:extLst>
              <c:ext xmlns:c16="http://schemas.microsoft.com/office/drawing/2014/chart" uri="{C3380CC4-5D6E-409C-BE32-E72D297353CC}">
                <c16:uniqueId val="{00000001-BAD4-481E-9707-CD188CEC93F8}"/>
              </c:ext>
            </c:extLst>
          </c:dPt>
          <c:dPt>
            <c:idx val="1"/>
            <c:bubble3D val="0"/>
            <c:spPr>
              <a:solidFill>
                <a:srgbClr val="999999"/>
              </a:solidFill>
              <a:ln w="9525">
                <a:solidFill>
                  <a:sysClr val="windowText" lastClr="000000"/>
                </a:solidFill>
              </a:ln>
              <a:effectLst/>
            </c:spPr>
            <c:extLst>
              <c:ext xmlns:c16="http://schemas.microsoft.com/office/drawing/2014/chart" uri="{C3380CC4-5D6E-409C-BE32-E72D297353CC}">
                <c16:uniqueId val="{00000003-BAD4-481E-9707-CD188CEC93F8}"/>
              </c:ext>
            </c:extLst>
          </c:dPt>
          <c:dPt>
            <c:idx val="2"/>
            <c:bubble3D val="0"/>
            <c:spPr>
              <a:solidFill>
                <a:srgbClr val="4DAF4A"/>
              </a:solidFill>
              <a:ln w="9525">
                <a:solidFill>
                  <a:schemeClr val="tx1"/>
                </a:solidFill>
              </a:ln>
              <a:effectLst/>
            </c:spPr>
            <c:extLst>
              <c:ext xmlns:c16="http://schemas.microsoft.com/office/drawing/2014/chart" uri="{C3380CC4-5D6E-409C-BE32-E72D297353CC}">
                <c16:uniqueId val="{00000005-BAD4-481E-9707-CD188CEC93F8}"/>
              </c:ext>
            </c:extLst>
          </c:dPt>
          <c:dPt>
            <c:idx val="3"/>
            <c:bubble3D val="0"/>
            <c:spPr>
              <a:solidFill>
                <a:srgbClr val="984EA3"/>
              </a:solidFill>
              <a:ln w="9525">
                <a:solidFill>
                  <a:schemeClr val="tx1"/>
                </a:solidFill>
              </a:ln>
              <a:effectLst/>
            </c:spPr>
            <c:extLst>
              <c:ext xmlns:c16="http://schemas.microsoft.com/office/drawing/2014/chart" uri="{C3380CC4-5D6E-409C-BE32-E72D297353CC}">
                <c16:uniqueId val="{00000007-BAD4-481E-9707-CD188CEC93F8}"/>
              </c:ext>
            </c:extLst>
          </c:dPt>
          <c:val>
            <c:numRef>
              <c:f>'WASTE TO ENERGY'!$H$19:$H$22</c:f>
              <c:numCache>
                <c:formatCode>0</c:formatCode>
                <c:ptCount val="4"/>
                <c:pt idx="0" formatCode="0.0">
                  <c:v>0.46400000000000002</c:v>
                </c:pt>
                <c:pt idx="1">
                  <c:v>14.837999999999999</c:v>
                </c:pt>
                <c:pt idx="2" formatCode="0.0">
                  <c:v>3.7</c:v>
                </c:pt>
                <c:pt idx="3" formatCode="0.0">
                  <c:v>0.224</c:v>
                </c:pt>
              </c:numCache>
            </c:numRef>
          </c:val>
          <c:extLst>
            <c:ext xmlns:c16="http://schemas.microsoft.com/office/drawing/2014/chart" uri="{C3380CC4-5D6E-409C-BE32-E72D297353CC}">
              <c16:uniqueId val="{00000008-BAD4-481E-9707-CD188CEC93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ENERGY'!$C$31:$H$31</c:f>
              <c:numCache>
                <c:formatCode>General</c:formatCode>
                <c:ptCount val="6"/>
                <c:pt idx="0">
                  <c:v>2011</c:v>
                </c:pt>
                <c:pt idx="1">
                  <c:v>2012</c:v>
                </c:pt>
                <c:pt idx="2">
                  <c:v>2013</c:v>
                </c:pt>
                <c:pt idx="3">
                  <c:v>2014</c:v>
                </c:pt>
                <c:pt idx="4">
                  <c:v>2015</c:v>
                </c:pt>
                <c:pt idx="5">
                  <c:v>2016</c:v>
                </c:pt>
              </c:numCache>
            </c:numRef>
          </c:cat>
          <c:val>
            <c:numRef>
              <c:f>'WASTE TO ENERGY'!$C$32:$H$32</c:f>
              <c:numCache>
                <c:formatCode>General</c:formatCode>
                <c:ptCount val="6"/>
                <c:pt idx="0">
                  <c:v>0.64</c:v>
                </c:pt>
                <c:pt idx="1">
                  <c:v>0.28999999999999998</c:v>
                </c:pt>
                <c:pt idx="2">
                  <c:v>0.55000000000000004</c:v>
                </c:pt>
                <c:pt idx="3">
                  <c:v>0.34799999999999998</c:v>
                </c:pt>
                <c:pt idx="4">
                  <c:v>0.52400000000000002</c:v>
                </c:pt>
                <c:pt idx="5">
                  <c:v>0.22700000000000001</c:v>
                </c:pt>
              </c:numCache>
            </c:numRef>
          </c:val>
          <c:extLst>
            <c:ext xmlns:c16="http://schemas.microsoft.com/office/drawing/2014/chart" uri="{C3380CC4-5D6E-409C-BE32-E72D297353CC}">
              <c16:uniqueId val="{00000000-A095-48B4-BC64-09E2FD70728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7860541019666956E-2"/>
              <c:y val="0.354969686692731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377EB8"/>
            </a:solidFill>
            <a:ln>
              <a:solidFill>
                <a:sysClr val="windowText" lastClr="000000"/>
              </a:solidFill>
            </a:ln>
            <a:effectLst/>
          </c:spPr>
          <c:invertIfNegative val="0"/>
          <c:cat>
            <c:numRef>
              <c:f>'WASTE TO ENERGY'!$D$31:$F$31</c:f>
              <c:numCache>
                <c:formatCode>General</c:formatCode>
                <c:ptCount val="3"/>
                <c:pt idx="0">
                  <c:v>2012</c:v>
                </c:pt>
                <c:pt idx="1">
                  <c:v>2013</c:v>
                </c:pt>
                <c:pt idx="2">
                  <c:v>2014</c:v>
                </c:pt>
              </c:numCache>
            </c:numRef>
          </c:cat>
          <c:val>
            <c:numRef>
              <c:f>'WASTE TO ENERGY'!$D$33:$F$33</c:f>
              <c:numCache>
                <c:formatCode>#,##0</c:formatCode>
                <c:ptCount val="3"/>
                <c:pt idx="0" formatCode="General">
                  <c:v>7000</c:v>
                </c:pt>
                <c:pt idx="1">
                  <c:v>5350</c:v>
                </c:pt>
                <c:pt idx="2" formatCode="General">
                  <c:v>5350</c:v>
                </c:pt>
              </c:numCache>
            </c:numRef>
          </c:val>
          <c:extLst>
            <c:ext xmlns:c16="http://schemas.microsoft.com/office/drawing/2014/chart" uri="{C3380CC4-5D6E-409C-BE32-E72D297353CC}">
              <c16:uniqueId val="{00000000-6909-4CEE-B89B-8BEED275E4D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direct jobs</a:t>
                </a:r>
              </a:p>
            </c:rich>
          </c:tx>
          <c:layout>
            <c:manualLayout>
              <c:xMode val="edge"/>
              <c:yMode val="edge"/>
              <c:x val="3.9481953700214456E-3"/>
              <c:y val="0.303857232854924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BIOGAS!$B$23:$I$23</c:f>
              <c:numCache>
                <c:formatCode>0.0</c:formatCode>
                <c:ptCount val="8"/>
                <c:pt idx="0">
                  <c:v>1.4244193400000007</c:v>
                </c:pt>
                <c:pt idx="1">
                  <c:v>1.6239672099999991</c:v>
                </c:pt>
                <c:pt idx="2">
                  <c:v>2.079268659999999</c:v>
                </c:pt>
                <c:pt idx="3">
                  <c:v>2.6209886599999992</c:v>
                </c:pt>
                <c:pt idx="4">
                  <c:v>2.9980130900000002</c:v>
                </c:pt>
                <c:pt idx="5">
                  <c:v>3.1023333399999999</c:v>
                </c:pt>
                <c:pt idx="6">
                  <c:v>3.12800323</c:v>
                </c:pt>
                <c:pt idx="7">
                  <c:v>3.1886742300000002</c:v>
                </c:pt>
              </c:numCache>
            </c:numRef>
          </c:val>
          <c:extLst>
            <c:ext xmlns:c16="http://schemas.microsoft.com/office/drawing/2014/chart" uri="{C3380CC4-5D6E-409C-BE32-E72D297353CC}">
              <c16:uniqueId val="{00000000-2441-4D5B-A984-4358F3F8E586}"/>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BIOGAS!$B$27:$I$27</c:f>
              <c:numCache>
                <c:formatCode>0</c:formatCode>
                <c:ptCount val="8"/>
                <c:pt idx="0">
                  <c:v>83.899940000000143</c:v>
                </c:pt>
                <c:pt idx="1">
                  <c:v>91.965610000000183</c:v>
                </c:pt>
                <c:pt idx="2">
                  <c:v>99.652080000000268</c:v>
                </c:pt>
                <c:pt idx="3">
                  <c:v>107.74365000000024</c:v>
                </c:pt>
                <c:pt idx="4">
                  <c:v>114.94529000000021</c:v>
                </c:pt>
                <c:pt idx="5">
                  <c:v>116.47309000000023</c:v>
                </c:pt>
                <c:pt idx="6">
                  <c:v>120.82829000000019</c:v>
                </c:pt>
                <c:pt idx="7">
                  <c:v>122.66627000000021</c:v>
                </c:pt>
              </c:numCache>
            </c:numRef>
          </c:val>
          <c:extLst>
            <c:ext xmlns:c16="http://schemas.microsoft.com/office/drawing/2014/chart" uri="{C3380CC4-5D6E-409C-BE32-E72D297353CC}">
              <c16:uniqueId val="{00000001-2441-4D5B-A984-4358F3F8E58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4189492463616"/>
          <c:y val="3.8579213453513429E-2"/>
          <c:w val="0.87161118195841614"/>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BIOGAS!$B$22:$I$22</c:f>
              <c:numCache>
                <c:formatCode>0</c:formatCode>
                <c:ptCount val="8"/>
                <c:pt idx="0">
                  <c:v>4761.1220499999999</c:v>
                </c:pt>
                <c:pt idx="1">
                  <c:v>5261.6520250000003</c:v>
                </c:pt>
                <c:pt idx="2">
                  <c:v>6531.9958350000006</c:v>
                </c:pt>
                <c:pt idx="3">
                  <c:v>7481.5093899999993</c:v>
                </c:pt>
                <c:pt idx="4">
                  <c:v>7526.3313900000003</c:v>
                </c:pt>
                <c:pt idx="5">
                  <c:v>7857.45939</c:v>
                </c:pt>
                <c:pt idx="6">
                  <c:v>7857.45939</c:v>
                </c:pt>
                <c:pt idx="7">
                  <c:v>7857.45939</c:v>
                </c:pt>
              </c:numCache>
            </c:numRef>
          </c:val>
          <c:extLst>
            <c:ext xmlns:c16="http://schemas.microsoft.com/office/drawing/2014/chart" uri="{C3380CC4-5D6E-409C-BE32-E72D297353CC}">
              <c16:uniqueId val="{00000000-D413-4EB2-ACE5-BBA7227A2D50}"/>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BIOGAS!$B$26:$I$26</c:f>
              <c:numCache>
                <c:formatCode>0</c:formatCode>
                <c:ptCount val="8"/>
                <c:pt idx="0">
                  <c:v>219954</c:v>
                </c:pt>
                <c:pt idx="1">
                  <c:v>235990</c:v>
                </c:pt>
                <c:pt idx="2">
                  <c:v>259564</c:v>
                </c:pt>
                <c:pt idx="3">
                  <c:v>272798</c:v>
                </c:pt>
                <c:pt idx="4">
                  <c:v>287692</c:v>
                </c:pt>
                <c:pt idx="5">
                  <c:v>284052</c:v>
                </c:pt>
                <c:pt idx="6">
                  <c:v>277720</c:v>
                </c:pt>
                <c:pt idx="7">
                  <c:v>282051</c:v>
                </c:pt>
              </c:numCache>
            </c:numRef>
          </c:val>
          <c:extLst>
            <c:ext xmlns:c16="http://schemas.microsoft.com/office/drawing/2014/chart" uri="{C3380CC4-5D6E-409C-BE32-E72D297353CC}">
              <c16:uniqueId val="{00000001-D413-4EB2-ACE5-BBA7227A2D5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cubic</a:t>
                </a:r>
                <a:r>
                  <a:rPr lang="en-US" sz="1000" baseline="0">
                    <a:solidFill>
                      <a:sysClr val="windowText" lastClr="000000"/>
                    </a:solidFill>
                  </a:rPr>
                  <a:t> feet</a:t>
                </a:r>
                <a:endParaRPr lang="en-US" sz="1000">
                  <a:solidFill>
                    <a:sysClr val="windowText" lastClr="000000"/>
                  </a:solidFill>
                </a:endParaRP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972400604069776"/>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9139580684348618"/>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BIOGAS!$B$21:$I$21</c:f>
              <c:numCache>
                <c:formatCode>0.00</c:formatCode>
                <c:ptCount val="8"/>
                <c:pt idx="0">
                  <c:v>1.5007690871199999</c:v>
                </c:pt>
                <c:pt idx="1">
                  <c:v>2.1536735174360002</c:v>
                </c:pt>
                <c:pt idx="2">
                  <c:v>2.8289595765944004</c:v>
                </c:pt>
                <c:pt idx="3">
                  <c:v>3.1898447864544006</c:v>
                </c:pt>
                <c:pt idx="4">
                  <c:v>3.2540013048544005</c:v>
                </c:pt>
                <c:pt idx="5">
                  <c:v>3.2540013048544005</c:v>
                </c:pt>
                <c:pt idx="6">
                  <c:v>3.3017693048544006</c:v>
                </c:pt>
                <c:pt idx="7">
                  <c:v>3.3174645048544003</c:v>
                </c:pt>
              </c:numCache>
            </c:numRef>
          </c:val>
          <c:extLst>
            <c:ext xmlns:c16="http://schemas.microsoft.com/office/drawing/2014/chart" uri="{C3380CC4-5D6E-409C-BE32-E72D297353CC}">
              <c16:uniqueId val="{00000000-3073-4917-8060-733EDCD4B7D0}"/>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BIOGAS!$B$25:$I$25</c:f>
              <c:numCache>
                <c:formatCode>0</c:formatCode>
                <c:ptCount val="8"/>
                <c:pt idx="0">
                  <c:v>106.681</c:v>
                </c:pt>
                <c:pt idx="1">
                  <c:v>114.173</c:v>
                </c:pt>
                <c:pt idx="2">
                  <c:v>125.92700000000001</c:v>
                </c:pt>
                <c:pt idx="3">
                  <c:v>133.18</c:v>
                </c:pt>
                <c:pt idx="4">
                  <c:v>141.63200000000001</c:v>
                </c:pt>
                <c:pt idx="5">
                  <c:v>138.84100000000001</c:v>
                </c:pt>
                <c:pt idx="6">
                  <c:v>137.6</c:v>
                </c:pt>
                <c:pt idx="7">
                  <c:v>139.83099999999999</c:v>
                </c:pt>
              </c:numCache>
            </c:numRef>
          </c:val>
          <c:extLst>
            <c:ext xmlns:c16="http://schemas.microsoft.com/office/drawing/2014/chart" uri="{C3380CC4-5D6E-409C-BE32-E72D297353CC}">
              <c16:uniqueId val="{00000001-3073-4917-8060-733EDCD4B7D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3846900652830308E-2"/>
              <c:y val="0.378921886344035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004706871309272"/>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83965364587238E-2"/>
          <c:y val="3.1564811007420077E-2"/>
          <c:w val="0.50126250622340196"/>
          <c:h val="0.88527337252745764"/>
        </c:manualLayout>
      </c:layout>
      <c:pieChart>
        <c:varyColors val="1"/>
        <c:ser>
          <c:idx val="3"/>
          <c:order val="0"/>
          <c:spPr>
            <a:solidFill>
              <a:srgbClr val="4DAF4A"/>
            </a:solidFill>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FB4F-445A-A091-0FBFA990D569}"/>
              </c:ext>
            </c:extLst>
          </c:dPt>
          <c:dPt>
            <c:idx val="1"/>
            <c:bubble3D val="0"/>
            <c:spPr>
              <a:solidFill>
                <a:srgbClr val="E41A1C"/>
              </a:solidFill>
              <a:ln w="9525">
                <a:solidFill>
                  <a:sysClr val="windowText" lastClr="000000"/>
                </a:solidFill>
              </a:ln>
              <a:effectLst/>
            </c:spPr>
            <c:extLst>
              <c:ext xmlns:c16="http://schemas.microsoft.com/office/drawing/2014/chart" uri="{C3380CC4-5D6E-409C-BE32-E72D297353CC}">
                <c16:uniqueId val="{00000003-FB4F-445A-A091-0FBFA990D569}"/>
              </c:ext>
            </c:extLst>
          </c:dPt>
          <c:dPt>
            <c:idx val="2"/>
            <c:bubble3D val="0"/>
            <c:spPr>
              <a:solidFill>
                <a:srgbClr val="377EB8"/>
              </a:solidFill>
              <a:ln w="9525">
                <a:solidFill>
                  <a:sysClr val="windowText" lastClr="000000"/>
                </a:solidFill>
              </a:ln>
              <a:effectLst/>
            </c:spPr>
            <c:extLst>
              <c:ext xmlns:c16="http://schemas.microsoft.com/office/drawing/2014/chart" uri="{C3380CC4-5D6E-409C-BE32-E72D297353CC}">
                <c16:uniqueId val="{00000005-FB4F-445A-A091-0FBFA990D569}"/>
              </c:ext>
            </c:extLst>
          </c:dPt>
          <c:dPt>
            <c:idx val="3"/>
            <c:bubble3D val="0"/>
            <c:spPr>
              <a:solidFill>
                <a:srgbClr val="002060"/>
              </a:solidFill>
              <a:ln w="9525">
                <a:solidFill>
                  <a:sysClr val="windowText" lastClr="000000"/>
                </a:solidFill>
              </a:ln>
              <a:effectLst/>
            </c:spPr>
            <c:extLst>
              <c:ext xmlns:c16="http://schemas.microsoft.com/office/drawing/2014/chart" uri="{C3380CC4-5D6E-409C-BE32-E72D297353CC}">
                <c16:uniqueId val="{00000007-FB4F-445A-A091-0FBFA990D569}"/>
              </c:ext>
            </c:extLst>
          </c:dPt>
          <c:cat>
            <c:strRef>
              <c:f>BIOGAS!$A$35:$A$38</c:f>
              <c:strCache>
                <c:ptCount val="4"/>
                <c:pt idx="0">
                  <c:v>Methane potential for biogas from landfills</c:v>
                </c:pt>
                <c:pt idx="1">
                  <c:v>Methane potential for biogas from wastewater</c:v>
                </c:pt>
                <c:pt idx="2">
                  <c:v>Methane potential for biogas from manure </c:v>
                </c:pt>
                <c:pt idx="3">
                  <c:v>Methane potential for biogas from organic waste </c:v>
                </c:pt>
              </c:strCache>
            </c:strRef>
          </c:cat>
          <c:val>
            <c:numRef>
              <c:f>BIOGAS!$F$17:$F$20</c:f>
              <c:numCache>
                <c:formatCode>0.0</c:formatCode>
                <c:ptCount val="4"/>
                <c:pt idx="0">
                  <c:v>2.4550000000000001</c:v>
                </c:pt>
                <c:pt idx="1">
                  <c:v>2.339</c:v>
                </c:pt>
                <c:pt idx="2">
                  <c:v>1.905</c:v>
                </c:pt>
                <c:pt idx="3">
                  <c:v>1.1579999999999999</c:v>
                </c:pt>
              </c:numCache>
            </c:numRef>
          </c:val>
          <c:extLst>
            <c:ext xmlns:c16="http://schemas.microsoft.com/office/drawing/2014/chart" uri="{C3380CC4-5D6E-409C-BE32-E72D297353CC}">
              <c16:uniqueId val="{00000008-FB4F-445A-A091-0FBFA990D56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58711214758031638"/>
          <c:y val="0.28759050028982736"/>
          <c:w val="0.39770306429055718"/>
          <c:h val="0.4164903630671275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9139580684348618"/>
          <c:h val="0.87825897008136433"/>
        </c:manualLayout>
      </c:layout>
      <c:barChart>
        <c:barDir val="col"/>
        <c:grouping val="clustered"/>
        <c:varyColors val="0"/>
        <c:ser>
          <c:idx val="1"/>
          <c:order val="0"/>
          <c:tx>
            <c:v>Anaerobic digester</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BIOGAS!$B$4:$I$4</c:f>
              <c:numCache>
                <c:formatCode>General</c:formatCode>
                <c:ptCount val="8"/>
                <c:pt idx="0">
                  <c:v>154</c:v>
                </c:pt>
                <c:pt idx="1">
                  <c:v>181</c:v>
                </c:pt>
                <c:pt idx="2">
                  <c:v>211</c:v>
                </c:pt>
                <c:pt idx="3">
                  <c:v>234</c:v>
                </c:pt>
                <c:pt idx="4">
                  <c:v>242</c:v>
                </c:pt>
                <c:pt idx="5">
                  <c:v>246</c:v>
                </c:pt>
                <c:pt idx="6">
                  <c:v>248</c:v>
                </c:pt>
                <c:pt idx="7">
                  <c:v>250</c:v>
                </c:pt>
              </c:numCache>
            </c:numRef>
          </c:val>
          <c:extLst>
            <c:ext xmlns:c16="http://schemas.microsoft.com/office/drawing/2014/chart" uri="{C3380CC4-5D6E-409C-BE32-E72D297353CC}">
              <c16:uniqueId val="{00000000-DC9B-478A-8142-4BEEBB17A19E}"/>
            </c:ext>
          </c:extLst>
        </c:ser>
        <c:ser>
          <c:idx val="0"/>
          <c:order val="1"/>
          <c:tx>
            <c:v>Landfill</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BIOGAS!$B$13:$I$13</c:f>
              <c:numCache>
                <c:formatCode>General</c:formatCode>
                <c:ptCount val="8"/>
                <c:pt idx="0">
                  <c:v>583</c:v>
                </c:pt>
                <c:pt idx="1">
                  <c:v>648</c:v>
                </c:pt>
                <c:pt idx="2">
                  <c:v>706</c:v>
                </c:pt>
                <c:pt idx="3">
                  <c:v>763</c:v>
                </c:pt>
                <c:pt idx="4">
                  <c:v>804</c:v>
                </c:pt>
                <c:pt idx="5">
                  <c:v>819</c:v>
                </c:pt>
                <c:pt idx="6">
                  <c:v>836</c:v>
                </c:pt>
                <c:pt idx="7">
                  <c:v>849</c:v>
                </c:pt>
              </c:numCache>
            </c:numRef>
          </c:val>
          <c:extLst>
            <c:ext xmlns:c16="http://schemas.microsoft.com/office/drawing/2014/chart" uri="{C3380CC4-5D6E-409C-BE32-E72D297353CC}">
              <c16:uniqueId val="{00000001-DC9B-478A-8142-4BEEBB17A19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004706871309272"/>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Methane emissions from waste</c:v>
          </c:tx>
          <c:spPr>
            <a:solidFill>
              <a:srgbClr val="2B642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BIOGAS!$B$28:$I$28</c:f>
              <c:numCache>
                <c:formatCode>0</c:formatCode>
                <c:ptCount val="8"/>
                <c:pt idx="0">
                  <c:v>142.09846855534701</c:v>
                </c:pt>
                <c:pt idx="1">
                  <c:v>133.02217232584701</c:v>
                </c:pt>
                <c:pt idx="2">
                  <c:v>134.03739622368701</c:v>
                </c:pt>
                <c:pt idx="3">
                  <c:v>130.20841120125499</c:v>
                </c:pt>
                <c:pt idx="4">
                  <c:v>129.75822609420001</c:v>
                </c:pt>
                <c:pt idx="5">
                  <c:v>128.88486263028199</c:v>
                </c:pt>
                <c:pt idx="6">
                  <c:v>124.60689596118</c:v>
                </c:pt>
              </c:numCache>
            </c:numRef>
          </c:val>
          <c:extLst>
            <c:ext xmlns:c16="http://schemas.microsoft.com/office/drawing/2014/chart" uri="{C3380CC4-5D6E-409C-BE32-E72D297353CC}">
              <c16:uniqueId val="{00000000-4E46-4522-9BE0-6168A2485177}"/>
            </c:ext>
          </c:extLst>
        </c:ser>
        <c:ser>
          <c:idx val="0"/>
          <c:order val="1"/>
          <c:tx>
            <c:v>Methane capture from landfills</c:v>
          </c:tx>
          <c:spPr>
            <a:solidFill>
              <a:srgbClr val="4DAF4A"/>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BIOGAS!$B$27:$I$27</c:f>
              <c:numCache>
                <c:formatCode>0</c:formatCode>
                <c:ptCount val="8"/>
                <c:pt idx="0">
                  <c:v>83.899940000000143</c:v>
                </c:pt>
                <c:pt idx="1">
                  <c:v>91.965610000000183</c:v>
                </c:pt>
                <c:pt idx="2">
                  <c:v>99.652080000000268</c:v>
                </c:pt>
                <c:pt idx="3">
                  <c:v>107.74365000000024</c:v>
                </c:pt>
                <c:pt idx="4">
                  <c:v>114.94529000000021</c:v>
                </c:pt>
                <c:pt idx="5">
                  <c:v>116.47309000000023</c:v>
                </c:pt>
                <c:pt idx="6">
                  <c:v>120.82829000000019</c:v>
                </c:pt>
                <c:pt idx="7">
                  <c:v>122.66627000000021</c:v>
                </c:pt>
              </c:numCache>
            </c:numRef>
          </c:val>
          <c:extLst>
            <c:ext xmlns:c16="http://schemas.microsoft.com/office/drawing/2014/chart" uri="{C3380CC4-5D6E-409C-BE32-E72D297353CC}">
              <c16:uniqueId val="{00000001-4E46-4522-9BE0-6168A248517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275643487235409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0"/>
          <c:order val="0"/>
          <c:tx>
            <c:v>Methane emissions from agriculture</c:v>
          </c:tx>
          <c:spPr>
            <a:solidFill>
              <a:srgbClr val="285A84"/>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BIOGAS!$B$24:$I$24</c:f>
              <c:numCache>
                <c:formatCode>0</c:formatCode>
                <c:ptCount val="8"/>
                <c:pt idx="0">
                  <c:v>249.53452315832499</c:v>
                </c:pt>
                <c:pt idx="1">
                  <c:v>246.27775554512999</c:v>
                </c:pt>
                <c:pt idx="2">
                  <c:v>243.989469086295</c:v>
                </c:pt>
                <c:pt idx="3">
                  <c:v>240.565534508947</c:v>
                </c:pt>
                <c:pt idx="4">
                  <c:v>240.054295778495</c:v>
                </c:pt>
                <c:pt idx="5">
                  <c:v>245.40556105131199</c:v>
                </c:pt>
                <c:pt idx="6">
                  <c:v>251.828534047445</c:v>
                </c:pt>
              </c:numCache>
            </c:numRef>
          </c:val>
          <c:extLst>
            <c:ext xmlns:c16="http://schemas.microsoft.com/office/drawing/2014/chart" uri="{C3380CC4-5D6E-409C-BE32-E72D297353CC}">
              <c16:uniqueId val="{00000000-1ACF-42E5-AE67-BD0CAC3639AA}"/>
            </c:ext>
          </c:extLst>
        </c:ser>
        <c:ser>
          <c:idx val="1"/>
          <c:order val="1"/>
          <c:tx>
            <c:v>Methane capture from farms</c:v>
          </c:tx>
          <c:spPr>
            <a:solidFill>
              <a:srgbClr val="377EB8"/>
            </a:solidFill>
            <a:ln>
              <a:solidFill>
                <a:sysClr val="windowText" lastClr="000000"/>
              </a:solidFill>
            </a:ln>
            <a:effectLst/>
          </c:spPr>
          <c:invertIfNegative val="0"/>
          <c:cat>
            <c:numRef>
              <c:f>BIOGAS!$B$3:$I$3</c:f>
              <c:numCache>
                <c:formatCode>General</c:formatCode>
                <c:ptCount val="8"/>
                <c:pt idx="0">
                  <c:v>2010</c:v>
                </c:pt>
                <c:pt idx="1">
                  <c:v>2011</c:v>
                </c:pt>
                <c:pt idx="2">
                  <c:v>2012</c:v>
                </c:pt>
                <c:pt idx="3">
                  <c:v>2013</c:v>
                </c:pt>
                <c:pt idx="4">
                  <c:v>2014</c:v>
                </c:pt>
                <c:pt idx="5">
                  <c:v>2015</c:v>
                </c:pt>
                <c:pt idx="6">
                  <c:v>2016</c:v>
                </c:pt>
                <c:pt idx="7">
                  <c:v>2017</c:v>
                </c:pt>
              </c:numCache>
            </c:numRef>
          </c:cat>
          <c:val>
            <c:numRef>
              <c:f>BIOGAS!$B$23:$I$23</c:f>
              <c:numCache>
                <c:formatCode>0.0</c:formatCode>
                <c:ptCount val="8"/>
                <c:pt idx="0">
                  <c:v>1.4244193400000007</c:v>
                </c:pt>
                <c:pt idx="1">
                  <c:v>1.6239672099999991</c:v>
                </c:pt>
                <c:pt idx="2">
                  <c:v>2.079268659999999</c:v>
                </c:pt>
                <c:pt idx="3">
                  <c:v>2.6209886599999992</c:v>
                </c:pt>
                <c:pt idx="4">
                  <c:v>2.9980130900000002</c:v>
                </c:pt>
                <c:pt idx="5">
                  <c:v>3.1023333399999999</c:v>
                </c:pt>
                <c:pt idx="6">
                  <c:v>3.12800323</c:v>
                </c:pt>
                <c:pt idx="7">
                  <c:v>3.1886742300000002</c:v>
                </c:pt>
              </c:numCache>
            </c:numRef>
          </c:val>
          <c:extLst>
            <c:ext xmlns:c16="http://schemas.microsoft.com/office/drawing/2014/chart" uri="{C3380CC4-5D6E-409C-BE32-E72D297353CC}">
              <c16:uniqueId val="{00000001-1ACF-42E5-AE67-BD0CAC3639A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5130590228418972"/>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3256560594192"/>
          <c:y val="3.8579213453513429E-2"/>
          <c:w val="0.87548366731993432"/>
          <c:h val="0.87825897008136433"/>
        </c:manualLayout>
      </c:layout>
      <c:barChart>
        <c:barDir val="col"/>
        <c:grouping val="clustered"/>
        <c:varyColors val="0"/>
        <c:ser>
          <c:idx val="1"/>
          <c:order val="0"/>
          <c:spPr>
            <a:solidFill>
              <a:srgbClr val="E41A1C"/>
            </a:solidFill>
            <a:ln>
              <a:solidFill>
                <a:sysClr val="windowText" lastClr="000000"/>
              </a:solidFill>
            </a:ln>
            <a:effectLst/>
          </c:spPr>
          <c:invertIfNegative val="0"/>
          <c:cat>
            <c:numRef>
              <c:f>BIOPRODUCTS!$B$20:$H$20</c:f>
              <c:numCache>
                <c:formatCode>General</c:formatCode>
                <c:ptCount val="7"/>
                <c:pt idx="0">
                  <c:v>2008</c:v>
                </c:pt>
                <c:pt idx="1">
                  <c:v>2009</c:v>
                </c:pt>
                <c:pt idx="2">
                  <c:v>2010</c:v>
                </c:pt>
                <c:pt idx="3">
                  <c:v>2011</c:v>
                </c:pt>
                <c:pt idx="4">
                  <c:v>2012</c:v>
                </c:pt>
                <c:pt idx="5">
                  <c:v>2013</c:v>
                </c:pt>
                <c:pt idx="6">
                  <c:v>2014</c:v>
                </c:pt>
              </c:numCache>
            </c:numRef>
          </c:cat>
          <c:val>
            <c:numRef>
              <c:f>BIOPRODUCTS!$B$24:$H$24</c:f>
              <c:numCache>
                <c:formatCode>#,##0</c:formatCode>
                <c:ptCount val="7"/>
                <c:pt idx="0">
                  <c:v>17197</c:v>
                </c:pt>
                <c:pt idx="1">
                  <c:v>24361</c:v>
                </c:pt>
                <c:pt idx="2">
                  <c:v>30334</c:v>
                </c:pt>
                <c:pt idx="3">
                  <c:v>36053</c:v>
                </c:pt>
                <c:pt idx="4">
                  <c:v>38978</c:v>
                </c:pt>
                <c:pt idx="5">
                  <c:v>39626</c:v>
                </c:pt>
                <c:pt idx="6">
                  <c:v>40424</c:v>
                </c:pt>
              </c:numCache>
            </c:numRef>
          </c:val>
          <c:extLst>
            <c:ext xmlns:c16="http://schemas.microsoft.com/office/drawing/2014/chart" uri="{C3380CC4-5D6E-409C-BE32-E72D297353CC}">
              <c16:uniqueId val="{00000000-C31C-4E44-8457-03659294308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certified products</a:t>
                </a:r>
              </a:p>
            </c:rich>
          </c:tx>
          <c:layout>
            <c:manualLayout>
              <c:xMode val="edge"/>
              <c:yMode val="edge"/>
              <c:x val="1.9761944978773744E-3"/>
              <c:y val="0.25967704476044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stacked"/>
        <c:varyColors val="0"/>
        <c:ser>
          <c:idx val="1"/>
          <c:order val="0"/>
          <c:tx>
            <c:v>Mandatory Federal Purchasing categories</c:v>
          </c:tx>
          <c:spPr>
            <a:solidFill>
              <a:srgbClr val="E41A1C"/>
            </a:solidFill>
            <a:ln>
              <a:solidFill>
                <a:schemeClr val="tx1"/>
              </a:solidFill>
            </a:ln>
            <a:effectLst/>
          </c:spPr>
          <c:invertIfNegative val="0"/>
          <c:cat>
            <c:numRef>
              <c:f>BIOPRODUCTS!$B$20:$K$20</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BIOPRODUCTS!$B$21:$K$21</c:f>
              <c:numCache>
                <c:formatCode>#,##0</c:formatCode>
                <c:ptCount val="10"/>
                <c:pt idx="0">
                  <c:v>32</c:v>
                </c:pt>
                <c:pt idx="1">
                  <c:v>42</c:v>
                </c:pt>
                <c:pt idx="2">
                  <c:v>50</c:v>
                </c:pt>
                <c:pt idx="3">
                  <c:v>64</c:v>
                </c:pt>
                <c:pt idx="4">
                  <c:v>89</c:v>
                </c:pt>
                <c:pt idx="5">
                  <c:v>97</c:v>
                </c:pt>
                <c:pt idx="6">
                  <c:v>97</c:v>
                </c:pt>
                <c:pt idx="7" formatCode="General">
                  <c:v>97</c:v>
                </c:pt>
                <c:pt idx="8" formatCode="General">
                  <c:v>97</c:v>
                </c:pt>
                <c:pt idx="9" formatCode="General">
                  <c:v>109</c:v>
                </c:pt>
              </c:numCache>
            </c:numRef>
          </c:val>
          <c:extLst>
            <c:ext xmlns:c16="http://schemas.microsoft.com/office/drawing/2014/chart" uri="{C3380CC4-5D6E-409C-BE32-E72D297353CC}">
              <c16:uniqueId val="{00000000-247E-4CE7-8619-514DDA28E46B}"/>
            </c:ext>
          </c:extLst>
        </c:ser>
        <c:ser>
          <c:idx val="0"/>
          <c:order val="1"/>
          <c:tx>
            <c:v>Certification-only categories</c:v>
          </c:tx>
          <c:spPr>
            <a:solidFill>
              <a:srgbClr val="999999"/>
            </a:solidFill>
            <a:ln>
              <a:solidFill>
                <a:sysClr val="windowText" lastClr="000000"/>
              </a:solidFill>
            </a:ln>
            <a:effectLst/>
          </c:spPr>
          <c:invertIfNegative val="0"/>
          <c:cat>
            <c:numRef>
              <c:f>BIOPRODUCTS!$B$20:$K$20</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BIOPRODUCTS!$B$22:$K$22</c:f>
              <c:numCache>
                <c:formatCode>General</c:formatCode>
                <c:ptCount val="10"/>
                <c:pt idx="3" formatCode="#,##0">
                  <c:v>50</c:v>
                </c:pt>
                <c:pt idx="4" formatCode="#,##0">
                  <c:v>75</c:v>
                </c:pt>
                <c:pt idx="5" formatCode="#,##0">
                  <c:v>97</c:v>
                </c:pt>
                <c:pt idx="6" formatCode="#,##0">
                  <c:v>98</c:v>
                </c:pt>
                <c:pt idx="7">
                  <c:v>99</c:v>
                </c:pt>
                <c:pt idx="8">
                  <c:v>100</c:v>
                </c:pt>
              </c:numCache>
            </c:numRef>
          </c:val>
          <c:extLst>
            <c:ext xmlns:c16="http://schemas.microsoft.com/office/drawing/2014/chart" uri="{C3380CC4-5D6E-409C-BE32-E72D297353CC}">
              <c16:uniqueId val="{00000003-3E24-40D9-B37A-1BFC77EF8E5D}"/>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categories</a:t>
                </a:r>
              </a:p>
            </c:rich>
          </c:tx>
          <c:layout>
            <c:manualLayout>
              <c:xMode val="edge"/>
              <c:yMode val="edge"/>
              <c:x val="1.9761856341132789E-3"/>
              <c:y val="0.312285063106148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4786751829532515E-2"/>
          <c:y val="5.6115219568746807E-2"/>
          <c:w val="0.68678353998700659"/>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1-679B-495A-8F8D-65565C07DF86}"/>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679B-495A-8F8D-65565C07DF86}"/>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679B-495A-8F8D-65565C07DF86}"/>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07-679B-495A-8F8D-65565C07DF86}"/>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09-679B-495A-8F8D-65565C07DF86}"/>
              </c:ext>
            </c:extLst>
          </c:dPt>
          <c:val>
            <c:numRef>
              <c:f>BIOPRODUCTS!$J$28:$J$32</c:f>
              <c:numCache>
                <c:formatCode>General</c:formatCode>
                <c:ptCount val="5"/>
                <c:pt idx="0">
                  <c:v>500</c:v>
                </c:pt>
                <c:pt idx="1">
                  <c:v>125</c:v>
                </c:pt>
                <c:pt idx="2">
                  <c:v>300</c:v>
                </c:pt>
                <c:pt idx="3">
                  <c:v>250</c:v>
                </c:pt>
                <c:pt idx="4">
                  <c:v>2250</c:v>
                </c:pt>
              </c:numCache>
            </c:numRef>
          </c:val>
          <c:extLst>
            <c:ext xmlns:c16="http://schemas.microsoft.com/office/drawing/2014/chart" uri="{C3380CC4-5D6E-409C-BE32-E72D297353CC}">
              <c16:uniqueId val="{0000000A-679B-495A-8F8D-65565C07DF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559253956891759E-2"/>
          <c:y val="3.8579115335066035E-2"/>
          <c:w val="0.8962308120575837"/>
          <c:h val="0.87825897008136433"/>
        </c:manualLayout>
      </c:layout>
      <c:barChart>
        <c:barDir val="col"/>
        <c:grouping val="stacked"/>
        <c:varyColors val="0"/>
        <c:ser>
          <c:idx val="1"/>
          <c:order val="0"/>
          <c:tx>
            <c:v>Biodegradable bioplastics</c:v>
          </c:tx>
          <c:spPr>
            <a:solidFill>
              <a:srgbClr val="E41A1C"/>
            </a:solidFill>
            <a:ln>
              <a:solidFill>
                <a:sysClr val="windowText" lastClr="000000"/>
              </a:solidFill>
            </a:ln>
            <a:effectLst/>
          </c:spPr>
          <c:invertIfNegative val="0"/>
          <c:cat>
            <c:numRef>
              <c:f>BIOPLASTICS!$B$13:$K$13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BIOPLASTICS!$B$14:$K$14</c:f>
              <c:numCache>
                <c:formatCode>#,##0.00</c:formatCode>
                <c:ptCount val="10"/>
                <c:pt idx="0">
                  <c:v>0.17799999999999999</c:v>
                </c:pt>
                <c:pt idx="1">
                  <c:v>0.29499999999999998</c:v>
                </c:pt>
                <c:pt idx="2">
                  <c:v>0.34200000000000003</c:v>
                </c:pt>
                <c:pt idx="3">
                  <c:v>0.48599999999999999</c:v>
                </c:pt>
                <c:pt idx="4">
                  <c:v>0.57099999999999995</c:v>
                </c:pt>
                <c:pt idx="5">
                  <c:v>0.61</c:v>
                </c:pt>
                <c:pt idx="6">
                  <c:v>0.64300000000000002</c:v>
                </c:pt>
                <c:pt idx="7">
                  <c:v>0.75900000000000001</c:v>
                </c:pt>
                <c:pt idx="8">
                  <c:v>0.86199999999999999</c:v>
                </c:pt>
                <c:pt idx="9">
                  <c:v>0.88</c:v>
                </c:pt>
              </c:numCache>
            </c:numRef>
          </c:val>
          <c:extLst>
            <c:ext xmlns:c16="http://schemas.microsoft.com/office/drawing/2014/chart" uri="{C3380CC4-5D6E-409C-BE32-E72D297353CC}">
              <c16:uniqueId val="{00000000-2A30-446D-9D16-46D0B6A4DC6F}"/>
            </c:ext>
          </c:extLst>
        </c:ser>
        <c:ser>
          <c:idx val="0"/>
          <c:order val="1"/>
          <c:tx>
            <c:v>Non-biodegradable bioplastics</c:v>
          </c:tx>
          <c:spPr>
            <a:solidFill>
              <a:srgbClr val="999999"/>
            </a:solidFill>
            <a:ln>
              <a:solidFill>
                <a:sysClr val="windowText" lastClr="000000"/>
              </a:solidFill>
            </a:ln>
            <a:effectLst/>
          </c:spPr>
          <c:invertIfNegative val="0"/>
          <c:cat>
            <c:numRef>
              <c:f>BIOPLASTICS!$B$13:$K$13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BIOPLASTICS!$B$15:$K$15</c:f>
              <c:numCache>
                <c:formatCode>#,##0.00</c:formatCode>
                <c:ptCount val="10"/>
                <c:pt idx="0">
                  <c:v>6.0000000000000001E-3</c:v>
                </c:pt>
                <c:pt idx="1">
                  <c:v>2.3E-2</c:v>
                </c:pt>
                <c:pt idx="2">
                  <c:v>0.67400000000000004</c:v>
                </c:pt>
                <c:pt idx="3">
                  <c:v>0.67500000000000004</c:v>
                </c:pt>
                <c:pt idx="4">
                  <c:v>0.92100000000000004</c:v>
                </c:pt>
                <c:pt idx="5">
                  <c:v>1.0109999999999999</c:v>
                </c:pt>
                <c:pt idx="6">
                  <c:v>1.028</c:v>
                </c:pt>
                <c:pt idx="7">
                  <c:v>1.177</c:v>
                </c:pt>
                <c:pt idx="8">
                  <c:v>1.177</c:v>
                </c:pt>
                <c:pt idx="9">
                  <c:v>1.1739999999999999</c:v>
                </c:pt>
              </c:numCache>
            </c:numRef>
          </c:val>
          <c:extLst>
            <c:ext xmlns:c16="http://schemas.microsoft.com/office/drawing/2014/chart" uri="{C3380CC4-5D6E-409C-BE32-E72D297353CC}">
              <c16:uniqueId val="{00000001-2A30-446D-9D16-46D0B6A4DC6F}"/>
            </c:ext>
          </c:extLst>
        </c:ser>
        <c:dLbls>
          <c:showLegendKey val="0"/>
          <c:showVal val="0"/>
          <c:showCatName val="0"/>
          <c:showSerName val="0"/>
          <c:showPercent val="0"/>
          <c:showBubbleSize val="0"/>
        </c:dLbls>
        <c:gapWidth val="150"/>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566412153026329"/>
          <c:y val="5.6115176567178016E-2"/>
          <c:w val="0.37533729098589963"/>
          <c:h val="0.12907592972742035"/>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43-52BB-4782-878E-3649D32493B5}"/>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5-52BB-4782-878E-3649D32493B5}"/>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B-52BB-4782-878E-3649D32493B5}"/>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1-52BB-4782-878E-3649D32493B5}"/>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16-52BB-4782-878E-3649D32493B5}"/>
              </c:ext>
            </c:extLst>
          </c:dPt>
          <c:dPt>
            <c:idx val="5"/>
            <c:bubble3D val="0"/>
            <c:spPr>
              <a:solidFill>
                <a:srgbClr val="A65628"/>
              </a:solidFill>
              <a:ln w="9525">
                <a:solidFill>
                  <a:sysClr val="windowText" lastClr="000000"/>
                </a:solidFill>
              </a:ln>
              <a:effectLst/>
            </c:spPr>
            <c:extLst>
              <c:ext xmlns:c16="http://schemas.microsoft.com/office/drawing/2014/chart" uri="{C3380CC4-5D6E-409C-BE32-E72D297353CC}">
                <c16:uniqueId val="{0000001E-52BB-4782-878E-3649D32493B5}"/>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30-52BB-4782-878E-3649D32493B5}"/>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39-52BB-4782-878E-3649D32493B5}"/>
              </c:ext>
            </c:extLst>
          </c:dPt>
          <c:val>
            <c:numRef>
              <c:f>BIOPLASTICS!$B$47:$B$54</c:f>
              <c:numCache>
                <c:formatCode>#,##0.00</c:formatCode>
                <c:ptCount val="8"/>
                <c:pt idx="0">
                  <c:v>1.198</c:v>
                </c:pt>
                <c:pt idx="1">
                  <c:v>0.21769999999999998</c:v>
                </c:pt>
                <c:pt idx="2">
                  <c:v>0.1449</c:v>
                </c:pt>
                <c:pt idx="3">
                  <c:v>0.1095</c:v>
                </c:pt>
                <c:pt idx="4">
                  <c:v>0.15209999999999999</c:v>
                </c:pt>
                <c:pt idx="5">
                  <c:v>7.6499999999999999E-2</c:v>
                </c:pt>
                <c:pt idx="6">
                  <c:v>3.5000000000000003E-2</c:v>
                </c:pt>
                <c:pt idx="7">
                  <c:v>0.12079999999999999</c:v>
                </c:pt>
              </c:numCache>
            </c:numRef>
          </c:val>
          <c:extLst>
            <c:ext xmlns:c16="http://schemas.microsoft.com/office/drawing/2014/chart" uri="{C3380CC4-5D6E-409C-BE32-E72D297353CC}">
              <c16:uniqueId val="{00000000-52BB-4782-878E-3649D32493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5-DD4C-4C14-8BD4-9D3B59567C51}"/>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9-DD4C-4C14-8BD4-9D3B59567C51}"/>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2-DD4C-4C14-8BD4-9D3B59567C51}"/>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6-DD4C-4C14-8BD4-9D3B59567C51}"/>
              </c:ext>
            </c:extLst>
          </c:dPt>
          <c:val>
            <c:numRef>
              <c:f>BIOPLASTICS!$B$56:$B$59</c:f>
              <c:numCache>
                <c:formatCode>General</c:formatCode>
                <c:ptCount val="4"/>
                <c:pt idx="0">
                  <c:v>56</c:v>
                </c:pt>
                <c:pt idx="1">
                  <c:v>18</c:v>
                </c:pt>
                <c:pt idx="2" formatCode="#,##0.00">
                  <c:v>16</c:v>
                </c:pt>
                <c:pt idx="3">
                  <c:v>10</c:v>
                </c:pt>
              </c:numCache>
            </c:numRef>
          </c:val>
          <c:extLst>
            <c:ext xmlns:c16="http://schemas.microsoft.com/office/drawing/2014/chart" uri="{C3380CC4-5D6E-409C-BE32-E72D297353CC}">
              <c16:uniqueId val="{00000000-DD4C-4C14-8BD4-9D3B59567C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813528990694339E-2"/>
          <c:y val="3.8579213453513429E-2"/>
          <c:w val="0.88735028480709577"/>
          <c:h val="0.87825897008136433"/>
        </c:manualLayout>
      </c:layout>
      <c:barChart>
        <c:barDir val="col"/>
        <c:grouping val="clustered"/>
        <c:varyColors val="0"/>
        <c:ser>
          <c:idx val="1"/>
          <c:order val="0"/>
          <c:spPr>
            <a:solidFill>
              <a:srgbClr val="E41A1C"/>
            </a:solidFill>
            <a:ln>
              <a:solidFill>
                <a:sysClr val="windowText" lastClr="000000"/>
              </a:solidFill>
            </a:ln>
            <a:effectLst/>
          </c:spPr>
          <c:invertIfNegative val="0"/>
          <c:cat>
            <c:numRef>
              <c:f>ENZYMES!$B$3:$J$3</c:f>
              <c:numCache>
                <c:formatCode>General</c:formatCode>
                <c:ptCount val="9"/>
                <c:pt idx="0">
                  <c:v>2008</c:v>
                </c:pt>
                <c:pt idx="1">
                  <c:v>2009</c:v>
                </c:pt>
                <c:pt idx="2">
                  <c:v>2010</c:v>
                </c:pt>
                <c:pt idx="3">
                  <c:v>2011</c:v>
                </c:pt>
                <c:pt idx="4">
                  <c:v>2012</c:v>
                </c:pt>
                <c:pt idx="5">
                  <c:v>2013</c:v>
                </c:pt>
                <c:pt idx="6">
                  <c:v>2014</c:v>
                </c:pt>
                <c:pt idx="7">
                  <c:v>2015</c:v>
                </c:pt>
                <c:pt idx="8">
                  <c:v>2016</c:v>
                </c:pt>
              </c:numCache>
            </c:numRef>
          </c:cat>
          <c:val>
            <c:numRef>
              <c:f>ENZYMES!$B$4:$J$4</c:f>
              <c:numCache>
                <c:formatCode>#,##0.0</c:formatCode>
                <c:ptCount val="9"/>
                <c:pt idx="0">
                  <c:v>2.93</c:v>
                </c:pt>
                <c:pt idx="1">
                  <c:v>3.16</c:v>
                </c:pt>
                <c:pt idx="2">
                  <c:v>3.63</c:v>
                </c:pt>
                <c:pt idx="3">
                  <c:v>4.03</c:v>
                </c:pt>
                <c:pt idx="4">
                  <c:v>4.49</c:v>
                </c:pt>
                <c:pt idx="5">
                  <c:v>4.7699999999999996</c:v>
                </c:pt>
                <c:pt idx="6">
                  <c:v>4.5999999999999996</c:v>
                </c:pt>
                <c:pt idx="7">
                  <c:v>4.9000000000000004</c:v>
                </c:pt>
                <c:pt idx="8">
                  <c:v>5</c:v>
                </c:pt>
              </c:numCache>
            </c:numRef>
          </c:val>
          <c:extLst>
            <c:ext xmlns:c16="http://schemas.microsoft.com/office/drawing/2014/chart" uri="{C3380CC4-5D6E-409C-BE32-E72D297353CC}">
              <c16:uniqueId val="{00000000-5907-4214-9F6A-E8A925756DFE}"/>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6.2860892388451441E-3"/>
              <c:y val="0.3578786790057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7-07F5-4DB4-9492-BE7A65FF4FAA}"/>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E-07F5-4DB4-9492-BE7A65FF4FAA}"/>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5-07F5-4DB4-9492-BE7A65FF4FAA}"/>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7-07F5-4DB4-9492-BE7A65FF4FAA}"/>
              </c:ext>
            </c:extLst>
          </c:dPt>
          <c:val>
            <c:numRef>
              <c:f>ENZYMES!$J$5:$J$8</c:f>
              <c:numCache>
                <c:formatCode>General</c:formatCode>
                <c:ptCount val="4"/>
                <c:pt idx="0">
                  <c:v>1.5</c:v>
                </c:pt>
                <c:pt idx="1">
                  <c:v>1.2</c:v>
                </c:pt>
                <c:pt idx="2">
                  <c:v>1.2</c:v>
                </c:pt>
                <c:pt idx="3">
                  <c:v>1.1000000000000001</c:v>
                </c:pt>
              </c:numCache>
            </c:numRef>
          </c:val>
          <c:extLst>
            <c:ext xmlns:c16="http://schemas.microsoft.com/office/drawing/2014/chart" uri="{C3380CC4-5D6E-409C-BE32-E72D297353CC}">
              <c16:uniqueId val="{00000000-07F5-4DB4-9492-BE7A65FF4F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8"/>
          <c:order val="0"/>
          <c:tx>
            <c:v>Paper</c:v>
          </c:tx>
          <c:spPr>
            <a:solidFill>
              <a:srgbClr val="E41A1C"/>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PRODUCTS'!$B$30:$K$30</c:f>
              <c:numCache>
                <c:formatCode>#,##0</c:formatCode>
                <c:ptCount val="10"/>
                <c:pt idx="0">
                  <c:v>248.47749300000001</c:v>
                </c:pt>
                <c:pt idx="1">
                  <c:v>226.84045</c:v>
                </c:pt>
                <c:pt idx="2">
                  <c:v>239.027635</c:v>
                </c:pt>
                <c:pt idx="3">
                  <c:v>243.709507</c:v>
                </c:pt>
                <c:pt idx="4">
                  <c:v>238.3553</c:v>
                </c:pt>
                <c:pt idx="5">
                  <c:v>230.37697600000001</c:v>
                </c:pt>
                <c:pt idx="6">
                  <c:v>238.01830799999999</c:v>
                </c:pt>
                <c:pt idx="7">
                  <c:v>237.95964699999999</c:v>
                </c:pt>
                <c:pt idx="8">
                  <c:v>237.32083</c:v>
                </c:pt>
                <c:pt idx="9">
                  <c:v>239.13180199999999</c:v>
                </c:pt>
              </c:numCache>
            </c:numRef>
          </c:val>
          <c:extLst>
            <c:ext xmlns:c16="http://schemas.microsoft.com/office/drawing/2014/chart" uri="{C3380CC4-5D6E-409C-BE32-E72D297353CC}">
              <c16:uniqueId val="{00000000-4203-43AF-9DA3-4462B3B8CB97}"/>
            </c:ext>
          </c:extLst>
        </c:ser>
        <c:ser>
          <c:idx val="6"/>
          <c:order val="1"/>
          <c:tx>
            <c:v>Wood pulp</c:v>
          </c:tx>
          <c:spPr>
            <a:solidFill>
              <a:srgbClr val="377EB8"/>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PRODUCTS'!$B$28:$K$28</c:f>
              <c:numCache>
                <c:formatCode>#,##0</c:formatCode>
                <c:ptCount val="10"/>
                <c:pt idx="0">
                  <c:v>97.528875999999997</c:v>
                </c:pt>
                <c:pt idx="1">
                  <c:v>90.370024999999998</c:v>
                </c:pt>
                <c:pt idx="2">
                  <c:v>93.952157999999997</c:v>
                </c:pt>
                <c:pt idx="3">
                  <c:v>94.212686000000005</c:v>
                </c:pt>
                <c:pt idx="4">
                  <c:v>92.260570000000001</c:v>
                </c:pt>
                <c:pt idx="5">
                  <c:v>89.995199999999997</c:v>
                </c:pt>
                <c:pt idx="6">
                  <c:v>92.440640000000002</c:v>
                </c:pt>
                <c:pt idx="7">
                  <c:v>91.478210000000004</c:v>
                </c:pt>
                <c:pt idx="8">
                  <c:v>91.996429000000006</c:v>
                </c:pt>
                <c:pt idx="9">
                  <c:v>91.772818000000001</c:v>
                </c:pt>
              </c:numCache>
            </c:numRef>
          </c:val>
          <c:extLst>
            <c:ext xmlns:c16="http://schemas.microsoft.com/office/drawing/2014/chart" uri="{C3380CC4-5D6E-409C-BE32-E72D297353CC}">
              <c16:uniqueId val="{00000001-4203-43AF-9DA3-4462B3B8CB97}"/>
            </c:ext>
          </c:extLst>
        </c:ser>
        <c:ser>
          <c:idx val="3"/>
          <c:order val="2"/>
          <c:tx>
            <c:v>Wood pellets</c:v>
          </c:tx>
          <c:spPr>
            <a:solidFill>
              <a:srgbClr val="4DAF4A"/>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PRODUCTS'!$B$25:$K$25</c:f>
              <c:numCache>
                <c:formatCode>General</c:formatCode>
                <c:ptCount val="10"/>
                <c:pt idx="4" formatCode="#,##0">
                  <c:v>3.4740000000000002</c:v>
                </c:pt>
                <c:pt idx="5" formatCode="#,##0">
                  <c:v>4.7039999999999997</c:v>
                </c:pt>
                <c:pt idx="6" formatCode="#,##0">
                  <c:v>5.9470000000000001</c:v>
                </c:pt>
                <c:pt idx="7" formatCode="#,##0">
                  <c:v>6.5170000000000003</c:v>
                </c:pt>
                <c:pt idx="8" formatCode="#,##0">
                  <c:v>6.3929999999999998</c:v>
                </c:pt>
                <c:pt idx="9" formatCode="#,##0">
                  <c:v>6.9</c:v>
                </c:pt>
              </c:numCache>
            </c:numRef>
          </c:val>
          <c:extLst>
            <c:ext xmlns:c16="http://schemas.microsoft.com/office/drawing/2014/chart" uri="{C3380CC4-5D6E-409C-BE32-E72D297353CC}">
              <c16:uniqueId val="{00000002-4203-43AF-9DA3-4462B3B8CB97}"/>
            </c:ext>
          </c:extLst>
        </c:ser>
        <c:ser>
          <c:idx val="1"/>
          <c:order val="3"/>
          <c:tx>
            <c:v>Wood fuel</c:v>
          </c:tx>
          <c:spPr>
            <a:solidFill>
              <a:srgbClr val="984EA3"/>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PRODUCTS'!$B$22:$K$22</c:f>
              <c:numCache>
                <c:formatCode>#,##0</c:formatCode>
                <c:ptCount val="10"/>
                <c:pt idx="0">
                  <c:v>0.91652400000000001</c:v>
                </c:pt>
                <c:pt idx="1">
                  <c:v>0.92350699999999997</c:v>
                </c:pt>
                <c:pt idx="2">
                  <c:v>1.07</c:v>
                </c:pt>
                <c:pt idx="3">
                  <c:v>1.038</c:v>
                </c:pt>
                <c:pt idx="4">
                  <c:v>1.0389999999999999</c:v>
                </c:pt>
                <c:pt idx="5">
                  <c:v>0.98226000000000002</c:v>
                </c:pt>
                <c:pt idx="6">
                  <c:v>0.98226000000000002</c:v>
                </c:pt>
                <c:pt idx="7">
                  <c:v>0.98226000000000002</c:v>
                </c:pt>
                <c:pt idx="8">
                  <c:v>0.85199999999999998</c:v>
                </c:pt>
                <c:pt idx="9">
                  <c:v>0.85199999999999998</c:v>
                </c:pt>
              </c:numCache>
            </c:numRef>
          </c:val>
          <c:extLst>
            <c:ext xmlns:c16="http://schemas.microsoft.com/office/drawing/2014/chart" uri="{C3380CC4-5D6E-409C-BE32-E72D297353CC}">
              <c16:uniqueId val="{00000003-4203-43AF-9DA3-4462B3B8CB97}"/>
            </c:ext>
          </c:extLst>
        </c:ser>
        <c:ser>
          <c:idx val="7"/>
          <c:order val="4"/>
          <c:tx>
            <c:v>Other fiber pulp</c:v>
          </c:tx>
          <c:spPr>
            <a:solidFill>
              <a:srgbClr val="FF7F00"/>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PRODUCTS'!$B$29:$K$29</c:f>
              <c:numCache>
                <c:formatCode>#,##0</c:formatCode>
                <c:ptCount val="10"/>
                <c:pt idx="0">
                  <c:v>0.245</c:v>
                </c:pt>
                <c:pt idx="1">
                  <c:v>0.245</c:v>
                </c:pt>
                <c:pt idx="2">
                  <c:v>0.245</c:v>
                </c:pt>
                <c:pt idx="3">
                  <c:v>0.245</c:v>
                </c:pt>
                <c:pt idx="4">
                  <c:v>0.245</c:v>
                </c:pt>
                <c:pt idx="5">
                  <c:v>0.245</c:v>
                </c:pt>
                <c:pt idx="6">
                  <c:v>0.31977</c:v>
                </c:pt>
                <c:pt idx="7">
                  <c:v>0.31977</c:v>
                </c:pt>
                <c:pt idx="8">
                  <c:v>0.31977</c:v>
                </c:pt>
                <c:pt idx="9">
                  <c:v>0.32</c:v>
                </c:pt>
              </c:numCache>
            </c:numRef>
          </c:val>
          <c:extLst>
            <c:ext xmlns:c16="http://schemas.microsoft.com/office/drawing/2014/chart" uri="{C3380CC4-5D6E-409C-BE32-E72D297353CC}">
              <c16:uniqueId val="{00000004-4203-43AF-9DA3-4462B3B8CB97}"/>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6.3129622014840153E-2"/>
          <c:w val="0.70055041696737685"/>
          <c:h val="6.2041285005389218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5"/>
          <c:order val="0"/>
          <c:tx>
            <c:v>Wood-based panels</c:v>
          </c:tx>
          <c:spPr>
            <a:solidFill>
              <a:srgbClr val="FFFF3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PRODUCTS'!$B$27:$K$27</c:f>
              <c:numCache>
                <c:formatCode>#,##0</c:formatCode>
                <c:ptCount val="10"/>
                <c:pt idx="0">
                  <c:v>224.77545000000001</c:v>
                </c:pt>
                <c:pt idx="1">
                  <c:v>181.59378899999999</c:v>
                </c:pt>
                <c:pt idx="2">
                  <c:v>180.71127999999999</c:v>
                </c:pt>
                <c:pt idx="3">
                  <c:v>190.715823</c:v>
                </c:pt>
                <c:pt idx="4">
                  <c:v>181.68199999999999</c:v>
                </c:pt>
                <c:pt idx="5">
                  <c:v>186.78539000000001</c:v>
                </c:pt>
                <c:pt idx="6">
                  <c:v>190.54456500000001</c:v>
                </c:pt>
                <c:pt idx="7">
                  <c:v>194.40253999999999</c:v>
                </c:pt>
                <c:pt idx="8">
                  <c:v>200.94472999999999</c:v>
                </c:pt>
                <c:pt idx="9">
                  <c:v>206.84778800000001</c:v>
                </c:pt>
              </c:numCache>
            </c:numRef>
          </c:val>
          <c:extLst>
            <c:ext xmlns:c16="http://schemas.microsoft.com/office/drawing/2014/chart" uri="{C3380CC4-5D6E-409C-BE32-E72D297353CC}">
              <c16:uniqueId val="{00000000-EA6A-4D37-B7EE-60140AE56D74}"/>
            </c:ext>
          </c:extLst>
        </c:ser>
        <c:ser>
          <c:idx val="4"/>
          <c:order val="1"/>
          <c:tx>
            <c:v>Sawnwood</c:v>
          </c:tx>
          <c:spPr>
            <a:solidFill>
              <a:srgbClr val="A65628"/>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PRODUCTS'!$B$26:$K$26</c:f>
              <c:numCache>
                <c:formatCode>#,##0</c:formatCode>
                <c:ptCount val="10"/>
                <c:pt idx="0">
                  <c:v>72.869280000000003</c:v>
                </c:pt>
                <c:pt idx="1">
                  <c:v>54.276000000000003</c:v>
                </c:pt>
                <c:pt idx="2">
                  <c:v>60.013399999999997</c:v>
                </c:pt>
                <c:pt idx="3">
                  <c:v>63.1738</c:v>
                </c:pt>
                <c:pt idx="4">
                  <c:v>67.474000000000004</c:v>
                </c:pt>
                <c:pt idx="5">
                  <c:v>71.114999999999995</c:v>
                </c:pt>
                <c:pt idx="6">
                  <c:v>75.833299999999994</c:v>
                </c:pt>
                <c:pt idx="7">
                  <c:v>76.361999999999995</c:v>
                </c:pt>
                <c:pt idx="8">
                  <c:v>78.165000000000006</c:v>
                </c:pt>
                <c:pt idx="9">
                  <c:v>80.373999999999995</c:v>
                </c:pt>
              </c:numCache>
            </c:numRef>
          </c:val>
          <c:extLst>
            <c:ext xmlns:c16="http://schemas.microsoft.com/office/drawing/2014/chart" uri="{C3380CC4-5D6E-409C-BE32-E72D297353CC}">
              <c16:uniqueId val="{00000001-EA6A-4D37-B7EE-60140AE56D74}"/>
            </c:ext>
          </c:extLst>
        </c:ser>
        <c:ser>
          <c:idx val="0"/>
          <c:order val="2"/>
          <c:tx>
            <c:v>Wood residues</c:v>
          </c:tx>
          <c:spPr>
            <a:solidFill>
              <a:srgbClr val="F781BF"/>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PRODUCTS'!$B$23:$K$23</c:f>
              <c:numCache>
                <c:formatCode>#,##0</c:formatCode>
                <c:ptCount val="10"/>
                <c:pt idx="0">
                  <c:v>65.522999999999996</c:v>
                </c:pt>
                <c:pt idx="1">
                  <c:v>48.027000000000001</c:v>
                </c:pt>
                <c:pt idx="2">
                  <c:v>53.747999999999998</c:v>
                </c:pt>
                <c:pt idx="3">
                  <c:v>55.345999999999997</c:v>
                </c:pt>
                <c:pt idx="4">
                  <c:v>58.530999999999999</c:v>
                </c:pt>
                <c:pt idx="5">
                  <c:v>61.612000000000002</c:v>
                </c:pt>
                <c:pt idx="6">
                  <c:v>64.063999999999993</c:v>
                </c:pt>
                <c:pt idx="7">
                  <c:v>64.063999999999993</c:v>
                </c:pt>
                <c:pt idx="8">
                  <c:v>64.063999999999993</c:v>
                </c:pt>
                <c:pt idx="9">
                  <c:v>64.063999999999993</c:v>
                </c:pt>
              </c:numCache>
            </c:numRef>
          </c:val>
          <c:extLst>
            <c:ext xmlns:c16="http://schemas.microsoft.com/office/drawing/2014/chart" uri="{C3380CC4-5D6E-409C-BE32-E72D297353CC}">
              <c16:uniqueId val="{00000002-EA6A-4D37-B7EE-60140AE56D74}"/>
            </c:ext>
          </c:extLst>
        </c:ser>
        <c:ser>
          <c:idx val="2"/>
          <c:order val="3"/>
          <c:tx>
            <c:v>Roundwood</c:v>
          </c:tx>
          <c:spPr>
            <a:solidFill>
              <a:srgbClr val="99999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PRODUCTS'!$B$24:$K$24</c:f>
              <c:numCache>
                <c:formatCode>#,##0</c:formatCode>
                <c:ptCount val="10"/>
                <c:pt idx="0">
                  <c:v>8.2119999999999997</c:v>
                </c:pt>
                <c:pt idx="1">
                  <c:v>8.3109999999999999</c:v>
                </c:pt>
                <c:pt idx="2">
                  <c:v>8.3109999999999999</c:v>
                </c:pt>
                <c:pt idx="3">
                  <c:v>12.217000000000001</c:v>
                </c:pt>
                <c:pt idx="4">
                  <c:v>12.404999999999999</c:v>
                </c:pt>
                <c:pt idx="5">
                  <c:v>15.224</c:v>
                </c:pt>
                <c:pt idx="6">
                  <c:v>15.224</c:v>
                </c:pt>
                <c:pt idx="7">
                  <c:v>14.904</c:v>
                </c:pt>
                <c:pt idx="8">
                  <c:v>13.4</c:v>
                </c:pt>
                <c:pt idx="9">
                  <c:v>8.5909999999999993</c:v>
                </c:pt>
              </c:numCache>
            </c:numRef>
          </c:val>
          <c:extLst>
            <c:ext xmlns:c16="http://schemas.microsoft.com/office/drawing/2014/chart" uri="{C3380CC4-5D6E-409C-BE32-E72D297353CC}">
              <c16:uniqueId val="{00000003-EA6A-4D37-B7EE-60140AE56D74}"/>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cubic meters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67272755439854737"/>
          <c:h val="5.502688255929586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1"/>
          <c:order val="0"/>
          <c:tx>
            <c:v>Imports</c:v>
          </c:tx>
          <c:spPr>
            <a:solidFill>
              <a:srgbClr val="E41A1C"/>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PRODUCTS'!$B$31:$K$31</c:f>
              <c:numCache>
                <c:formatCode>#,##0</c:formatCode>
                <c:ptCount val="10"/>
                <c:pt idx="0">
                  <c:v>24.326145</c:v>
                </c:pt>
                <c:pt idx="1">
                  <c:v>17.122207</c:v>
                </c:pt>
                <c:pt idx="2">
                  <c:v>19.540624000000001</c:v>
                </c:pt>
                <c:pt idx="3">
                  <c:v>19.524853</c:v>
                </c:pt>
                <c:pt idx="4">
                  <c:v>20.750095999999999</c:v>
                </c:pt>
                <c:pt idx="5">
                  <c:v>22.951174999999999</c:v>
                </c:pt>
                <c:pt idx="6">
                  <c:v>24.613015999999998</c:v>
                </c:pt>
                <c:pt idx="7">
                  <c:v>23.684847000000001</c:v>
                </c:pt>
                <c:pt idx="8">
                  <c:v>24.078119000000001</c:v>
                </c:pt>
                <c:pt idx="9">
                  <c:v>24.944213999999999</c:v>
                </c:pt>
              </c:numCache>
            </c:numRef>
          </c:val>
          <c:extLst>
            <c:ext xmlns:c16="http://schemas.microsoft.com/office/drawing/2014/chart" uri="{C3380CC4-5D6E-409C-BE32-E72D297353CC}">
              <c16:uniqueId val="{00000000-8583-4203-839F-FB4AD079000F}"/>
            </c:ext>
          </c:extLst>
        </c:ser>
        <c:ser>
          <c:idx val="0"/>
          <c:order val="1"/>
          <c:tx>
            <c:v>Exports</c:v>
          </c:tx>
          <c:spPr>
            <a:solidFill>
              <a:srgbClr val="999999"/>
            </a:solidFill>
            <a:ln>
              <a:solidFill>
                <a:sysClr val="windowText" lastClr="000000"/>
              </a:solidFill>
            </a:ln>
            <a:effectLst/>
          </c:spPr>
          <c:invertIfNegative val="0"/>
          <c:cat>
            <c:numRef>
              <c:f>'FOREST PRODUCTS'!$B$3:$K$3</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'FOREST PRODUCTS'!$B$32:$K$32</c:f>
              <c:numCache>
                <c:formatCode>#,##0</c:formatCode>
                <c:ptCount val="10"/>
                <c:pt idx="0">
                  <c:v>21.257016</c:v>
                </c:pt>
                <c:pt idx="1">
                  <c:v>19.115033</c:v>
                </c:pt>
                <c:pt idx="2">
                  <c:v>22.862099000000001</c:v>
                </c:pt>
                <c:pt idx="3">
                  <c:v>25.208741</c:v>
                </c:pt>
                <c:pt idx="4">
                  <c:v>25.527652</c:v>
                </c:pt>
                <c:pt idx="5">
                  <c:v>26.509537000000002</c:v>
                </c:pt>
                <c:pt idx="6">
                  <c:v>27.151489999999999</c:v>
                </c:pt>
                <c:pt idx="7">
                  <c:v>25.083577999999999</c:v>
                </c:pt>
                <c:pt idx="8">
                  <c:v>24.606137</c:v>
                </c:pt>
                <c:pt idx="9">
                  <c:v>26.910592000000001</c:v>
                </c:pt>
              </c:numCache>
            </c:numRef>
          </c:val>
          <c:extLst>
            <c:ext xmlns:c16="http://schemas.microsoft.com/office/drawing/2014/chart" uri="{C3380CC4-5D6E-409C-BE32-E72D297353CC}">
              <c16:uniqueId val="{00000001-8583-4203-839F-FB4AD079000F}"/>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2474305753560334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7.xml"/><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 Id="rId9" Type="http://schemas.openxmlformats.org/officeDocument/2006/relationships/chart" Target="../charts/chart4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9.xml"/><Relationship Id="rId7" Type="http://schemas.openxmlformats.org/officeDocument/2006/relationships/chart" Target="../charts/chart73.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81.xml"/><Relationship Id="rId3" Type="http://schemas.openxmlformats.org/officeDocument/2006/relationships/chart" Target="../charts/chart76.xml"/><Relationship Id="rId7" Type="http://schemas.openxmlformats.org/officeDocument/2006/relationships/chart" Target="../charts/chart80.xml"/><Relationship Id="rId2" Type="http://schemas.openxmlformats.org/officeDocument/2006/relationships/chart" Target="../charts/chart75.xml"/><Relationship Id="rId1" Type="http://schemas.openxmlformats.org/officeDocument/2006/relationships/chart" Target="../charts/chart74.xml"/><Relationship Id="rId6" Type="http://schemas.openxmlformats.org/officeDocument/2006/relationships/chart" Target="../charts/chart79.xml"/><Relationship Id="rId5" Type="http://schemas.openxmlformats.org/officeDocument/2006/relationships/chart" Target="../charts/chart78.xml"/><Relationship Id="rId4" Type="http://schemas.openxmlformats.org/officeDocument/2006/relationships/chart" Target="../charts/chart77.xml"/><Relationship Id="rId9" Type="http://schemas.openxmlformats.org/officeDocument/2006/relationships/chart" Target="../charts/chart82.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90.xml"/><Relationship Id="rId3" Type="http://schemas.openxmlformats.org/officeDocument/2006/relationships/chart" Target="../charts/chart85.xml"/><Relationship Id="rId7" Type="http://schemas.openxmlformats.org/officeDocument/2006/relationships/chart" Target="../charts/chart89.xml"/><Relationship Id="rId2" Type="http://schemas.openxmlformats.org/officeDocument/2006/relationships/chart" Target="../charts/chart84.xml"/><Relationship Id="rId1" Type="http://schemas.openxmlformats.org/officeDocument/2006/relationships/chart" Target="../charts/chart83.xml"/><Relationship Id="rId6" Type="http://schemas.openxmlformats.org/officeDocument/2006/relationships/chart" Target="../charts/chart88.xml"/><Relationship Id="rId5" Type="http://schemas.openxmlformats.org/officeDocument/2006/relationships/chart" Target="../charts/chart87.xml"/><Relationship Id="rId4" Type="http://schemas.openxmlformats.org/officeDocument/2006/relationships/chart" Target="../charts/chart86.xml"/><Relationship Id="rId9" Type="http://schemas.openxmlformats.org/officeDocument/2006/relationships/chart" Target="../charts/chart9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94.xml"/><Relationship Id="rId7" Type="http://schemas.openxmlformats.org/officeDocument/2006/relationships/chart" Target="../charts/chart98.xml"/><Relationship Id="rId2" Type="http://schemas.openxmlformats.org/officeDocument/2006/relationships/chart" Target="../charts/chart93.xml"/><Relationship Id="rId1" Type="http://schemas.openxmlformats.org/officeDocument/2006/relationships/chart" Target="../charts/chart92.xml"/><Relationship Id="rId6" Type="http://schemas.openxmlformats.org/officeDocument/2006/relationships/chart" Target="../charts/chart97.xml"/><Relationship Id="rId5" Type="http://schemas.openxmlformats.org/officeDocument/2006/relationships/chart" Target="../charts/chart96.xml"/><Relationship Id="rId4" Type="http://schemas.openxmlformats.org/officeDocument/2006/relationships/chart" Target="../charts/chart95.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06.xml"/><Relationship Id="rId3" Type="http://schemas.openxmlformats.org/officeDocument/2006/relationships/chart" Target="../charts/chart101.xml"/><Relationship Id="rId7" Type="http://schemas.openxmlformats.org/officeDocument/2006/relationships/chart" Target="../charts/chart105.xml"/><Relationship Id="rId2" Type="http://schemas.openxmlformats.org/officeDocument/2006/relationships/chart" Target="../charts/chart100.xml"/><Relationship Id="rId1" Type="http://schemas.openxmlformats.org/officeDocument/2006/relationships/chart" Target="../charts/chart99.xml"/><Relationship Id="rId6" Type="http://schemas.openxmlformats.org/officeDocument/2006/relationships/chart" Target="../charts/chart104.xml"/><Relationship Id="rId5" Type="http://schemas.openxmlformats.org/officeDocument/2006/relationships/chart" Target="../charts/chart103.xml"/><Relationship Id="rId4" Type="http://schemas.openxmlformats.org/officeDocument/2006/relationships/chart" Target="../charts/chart102.xml"/><Relationship Id="rId9" Type="http://schemas.openxmlformats.org/officeDocument/2006/relationships/chart" Target="../charts/chart10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10.xml"/><Relationship Id="rId7" Type="http://schemas.openxmlformats.org/officeDocument/2006/relationships/chart" Target="../charts/chart114.xml"/><Relationship Id="rId2" Type="http://schemas.openxmlformats.org/officeDocument/2006/relationships/chart" Target="../charts/chart109.xml"/><Relationship Id="rId1" Type="http://schemas.openxmlformats.org/officeDocument/2006/relationships/chart" Target="../charts/chart108.xml"/><Relationship Id="rId6" Type="http://schemas.openxmlformats.org/officeDocument/2006/relationships/chart" Target="../charts/chart113.xml"/><Relationship Id="rId5" Type="http://schemas.openxmlformats.org/officeDocument/2006/relationships/chart" Target="../charts/chart112.xml"/><Relationship Id="rId4" Type="http://schemas.openxmlformats.org/officeDocument/2006/relationships/chart" Target="../charts/chart11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17.xml"/><Relationship Id="rId2" Type="http://schemas.openxmlformats.org/officeDocument/2006/relationships/chart" Target="../charts/chart116.xml"/><Relationship Id="rId1" Type="http://schemas.openxmlformats.org/officeDocument/2006/relationships/chart" Target="../charts/chart115.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20.xml"/><Relationship Id="rId2" Type="http://schemas.openxmlformats.org/officeDocument/2006/relationships/chart" Target="../charts/chart119.xml"/><Relationship Id="rId1" Type="http://schemas.openxmlformats.org/officeDocument/2006/relationships/chart" Target="../charts/chart1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122.xml"/><Relationship Id="rId1" Type="http://schemas.openxmlformats.org/officeDocument/2006/relationships/chart" Target="../charts/chart1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25.xml"/><Relationship Id="rId2" Type="http://schemas.openxmlformats.org/officeDocument/2006/relationships/chart" Target="../charts/chart124.xml"/><Relationship Id="rId1" Type="http://schemas.openxmlformats.org/officeDocument/2006/relationships/chart" Target="../charts/chart123.xml"/></Relationships>
</file>

<file path=xl/drawings/drawing1.xml><?xml version="1.0" encoding="utf-8"?>
<xdr:wsDr xmlns:xdr="http://schemas.openxmlformats.org/drawingml/2006/spreadsheetDrawing" xmlns:a="http://schemas.openxmlformats.org/drawingml/2006/main">
  <xdr:twoCellAnchor>
    <xdr:from>
      <xdr:col>1</xdr:col>
      <xdr:colOff>671513</xdr:colOff>
      <xdr:row>68</xdr:row>
      <xdr:rowOff>35019</xdr:rowOff>
    </xdr:from>
    <xdr:to>
      <xdr:col>10</xdr:col>
      <xdr:colOff>241848</xdr:colOff>
      <xdr:row>87</xdr:row>
      <xdr:rowOff>73119</xdr:rowOff>
    </xdr:to>
    <xdr:graphicFrame macro="">
      <xdr:nvGraphicFramePr>
        <xdr:cNvPr id="2" name="Chart 1">
          <a:extLst>
            <a:ext uri="{FF2B5EF4-FFF2-40B4-BE49-F238E27FC236}">
              <a16:creationId xmlns:a16="http://schemas.microsoft.com/office/drawing/2014/main" id="{C8344249-69D9-4AE4-B85B-FC9635124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693925</xdr:colOff>
      <xdr:row>68</xdr:row>
      <xdr:rowOff>35019</xdr:rowOff>
    </xdr:from>
    <xdr:to>
      <xdr:col>12</xdr:col>
      <xdr:colOff>5362936</xdr:colOff>
      <xdr:row>87</xdr:row>
      <xdr:rowOff>73119</xdr:rowOff>
    </xdr:to>
    <xdr:graphicFrame macro="">
      <xdr:nvGraphicFramePr>
        <xdr:cNvPr id="3" name="Chart 2">
          <a:extLst>
            <a:ext uri="{FF2B5EF4-FFF2-40B4-BE49-F238E27FC236}">
              <a16:creationId xmlns:a16="http://schemas.microsoft.com/office/drawing/2014/main" id="{203B721C-EE91-48D0-A445-D56B5ECF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5609844</xdr:colOff>
      <xdr:row>69</xdr:row>
      <xdr:rowOff>135871</xdr:rowOff>
    </xdr:from>
    <xdr:to>
      <xdr:col>13</xdr:col>
      <xdr:colOff>1194726</xdr:colOff>
      <xdr:row>84</xdr:row>
      <xdr:rowOff>21571</xdr:rowOff>
    </xdr:to>
    <xdr:graphicFrame macro="">
      <xdr:nvGraphicFramePr>
        <xdr:cNvPr id="5" name="Chart 4">
          <a:extLst>
            <a:ext uri="{FF2B5EF4-FFF2-40B4-BE49-F238E27FC236}">
              <a16:creationId xmlns:a16="http://schemas.microsoft.com/office/drawing/2014/main" id="{5034C975-C765-4AD4-AD8C-C68C1520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671513</xdr:colOff>
      <xdr:row>107</xdr:row>
      <xdr:rowOff>23814</xdr:rowOff>
    </xdr:from>
    <xdr:to>
      <xdr:col>10</xdr:col>
      <xdr:colOff>241848</xdr:colOff>
      <xdr:row>126</xdr:row>
      <xdr:rowOff>61914</xdr:rowOff>
    </xdr:to>
    <xdr:graphicFrame macro="">
      <xdr:nvGraphicFramePr>
        <xdr:cNvPr id="6" name="Chart 5">
          <a:extLst>
            <a:ext uri="{FF2B5EF4-FFF2-40B4-BE49-F238E27FC236}">
              <a16:creationId xmlns:a16="http://schemas.microsoft.com/office/drawing/2014/main" id="{367299C6-752D-4884-9E6F-81C48C943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671513</xdr:colOff>
      <xdr:row>107</xdr:row>
      <xdr:rowOff>23814</xdr:rowOff>
    </xdr:from>
    <xdr:to>
      <xdr:col>12</xdr:col>
      <xdr:colOff>5340524</xdr:colOff>
      <xdr:row>126</xdr:row>
      <xdr:rowOff>61914</xdr:rowOff>
    </xdr:to>
    <xdr:graphicFrame macro="">
      <xdr:nvGraphicFramePr>
        <xdr:cNvPr id="7" name="Chart 6">
          <a:extLst>
            <a:ext uri="{FF2B5EF4-FFF2-40B4-BE49-F238E27FC236}">
              <a16:creationId xmlns:a16="http://schemas.microsoft.com/office/drawing/2014/main" id="{51045B09-4AE3-47B5-9F4F-1F391A30E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3233177</xdr:colOff>
      <xdr:row>87</xdr:row>
      <xdr:rowOff>17090</xdr:rowOff>
    </xdr:from>
    <xdr:to>
      <xdr:col>13</xdr:col>
      <xdr:colOff>277626</xdr:colOff>
      <xdr:row>103</xdr:row>
      <xdr:rowOff>17090</xdr:rowOff>
    </xdr:to>
    <xdr:graphicFrame macro="">
      <xdr:nvGraphicFramePr>
        <xdr:cNvPr id="8" name="Chart 7">
          <a:extLst>
            <a:ext uri="{FF2B5EF4-FFF2-40B4-BE49-F238E27FC236}">
              <a16:creationId xmlns:a16="http://schemas.microsoft.com/office/drawing/2014/main" id="{308E3F39-8B80-4418-B588-171E550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671514</xdr:colOff>
      <xdr:row>87</xdr:row>
      <xdr:rowOff>22132</xdr:rowOff>
    </xdr:from>
    <xdr:to>
      <xdr:col>12</xdr:col>
      <xdr:colOff>2843774</xdr:colOff>
      <xdr:row>103</xdr:row>
      <xdr:rowOff>22132</xdr:rowOff>
    </xdr:to>
    <xdr:graphicFrame macro="">
      <xdr:nvGraphicFramePr>
        <xdr:cNvPr id="9" name="Chart 8">
          <a:extLst>
            <a:ext uri="{FF2B5EF4-FFF2-40B4-BE49-F238E27FC236}">
              <a16:creationId xmlns:a16="http://schemas.microsoft.com/office/drawing/2014/main" id="{D2FEE7B6-CAFE-4CF1-A5FA-8CB6862E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671513</xdr:colOff>
      <xdr:row>87</xdr:row>
      <xdr:rowOff>23810</xdr:rowOff>
    </xdr:from>
    <xdr:to>
      <xdr:col>10</xdr:col>
      <xdr:colOff>241848</xdr:colOff>
      <xdr:row>106</xdr:row>
      <xdr:rowOff>61910</xdr:rowOff>
    </xdr:to>
    <xdr:graphicFrame macro="">
      <xdr:nvGraphicFramePr>
        <xdr:cNvPr id="10" name="Chart 9">
          <a:extLst>
            <a:ext uri="{FF2B5EF4-FFF2-40B4-BE49-F238E27FC236}">
              <a16:creationId xmlns:a16="http://schemas.microsoft.com/office/drawing/2014/main" id="{930865B1-8F95-4809-86FE-1593B3DB0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647700</xdr:colOff>
      <xdr:row>128</xdr:row>
      <xdr:rowOff>0</xdr:rowOff>
    </xdr:from>
    <xdr:to>
      <xdr:col>9</xdr:col>
      <xdr:colOff>654112</xdr:colOff>
      <xdr:row>147</xdr:row>
      <xdr:rowOff>38100</xdr:rowOff>
    </xdr:to>
    <xdr:graphicFrame macro="">
      <xdr:nvGraphicFramePr>
        <xdr:cNvPr id="11" name="Chart 10">
          <a:extLst>
            <a:ext uri="{FF2B5EF4-FFF2-40B4-BE49-F238E27FC236}">
              <a16:creationId xmlns:a16="http://schemas.microsoft.com/office/drawing/2014/main" id="{57B16854-B38F-4478-9676-DF060BB8F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601756</xdr:colOff>
      <xdr:row>128</xdr:row>
      <xdr:rowOff>0</xdr:rowOff>
    </xdr:from>
    <xdr:to>
      <xdr:col>12</xdr:col>
      <xdr:colOff>4922432</xdr:colOff>
      <xdr:row>147</xdr:row>
      <xdr:rowOff>38100</xdr:rowOff>
    </xdr:to>
    <xdr:graphicFrame macro="">
      <xdr:nvGraphicFramePr>
        <xdr:cNvPr id="12" name="Chart 11">
          <a:extLst>
            <a:ext uri="{FF2B5EF4-FFF2-40B4-BE49-F238E27FC236}">
              <a16:creationId xmlns:a16="http://schemas.microsoft.com/office/drawing/2014/main" id="{E893770B-B860-458A-87D8-A87A9F1F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3725574</xdr:colOff>
      <xdr:row>86</xdr:row>
      <xdr:rowOff>186171</xdr:rowOff>
    </xdr:from>
    <xdr:to>
      <xdr:col>13</xdr:col>
      <xdr:colOff>2141702</xdr:colOff>
      <xdr:row>106</xdr:row>
      <xdr:rowOff>33771</xdr:rowOff>
    </xdr:to>
    <xdr:graphicFrame macro="">
      <xdr:nvGraphicFramePr>
        <xdr:cNvPr id="3" name="Chart 2">
          <a:extLst>
            <a:ext uri="{FF2B5EF4-FFF2-40B4-BE49-F238E27FC236}">
              <a16:creationId xmlns:a16="http://schemas.microsoft.com/office/drawing/2014/main" id="{46C81263-1206-4887-892F-BE3CC18CE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5371821</xdr:colOff>
      <xdr:row>48</xdr:row>
      <xdr:rowOff>11926</xdr:rowOff>
    </xdr:from>
    <xdr:to>
      <xdr:col>13</xdr:col>
      <xdr:colOff>1503551</xdr:colOff>
      <xdr:row>62</xdr:row>
      <xdr:rowOff>88126</xdr:rowOff>
    </xdr:to>
    <xdr:graphicFrame macro="">
      <xdr:nvGraphicFramePr>
        <xdr:cNvPr id="14" name="Chart 13">
          <a:extLst>
            <a:ext uri="{FF2B5EF4-FFF2-40B4-BE49-F238E27FC236}">
              <a16:creationId xmlns:a16="http://schemas.microsoft.com/office/drawing/2014/main" id="{3F75D046-D29D-402E-8BE2-430F7568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47</xdr:row>
      <xdr:rowOff>0</xdr:rowOff>
    </xdr:from>
    <xdr:to>
      <xdr:col>10</xdr:col>
      <xdr:colOff>328285</xdr:colOff>
      <xdr:row>66</xdr:row>
      <xdr:rowOff>38100</xdr:rowOff>
    </xdr:to>
    <xdr:graphicFrame macro="">
      <xdr:nvGraphicFramePr>
        <xdr:cNvPr id="12" name="Chart 11">
          <a:extLst>
            <a:ext uri="{FF2B5EF4-FFF2-40B4-BE49-F238E27FC236}">
              <a16:creationId xmlns:a16="http://schemas.microsoft.com/office/drawing/2014/main" id="{B63D57FE-8BA5-4214-AB09-169B6EB2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47</xdr:row>
      <xdr:rowOff>0</xdr:rowOff>
    </xdr:from>
    <xdr:to>
      <xdr:col>12</xdr:col>
      <xdr:colOff>4976949</xdr:colOff>
      <xdr:row>66</xdr:row>
      <xdr:rowOff>38100</xdr:rowOff>
    </xdr:to>
    <xdr:graphicFrame macro="">
      <xdr:nvGraphicFramePr>
        <xdr:cNvPr id="16" name="Chart 15">
          <a:extLst>
            <a:ext uri="{FF2B5EF4-FFF2-40B4-BE49-F238E27FC236}">
              <a16:creationId xmlns:a16="http://schemas.microsoft.com/office/drawing/2014/main" id="{A960E0CE-C1DC-47DC-B98F-BF3A5C7BF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67</xdr:row>
      <xdr:rowOff>0</xdr:rowOff>
    </xdr:from>
    <xdr:to>
      <xdr:col>10</xdr:col>
      <xdr:colOff>371332</xdr:colOff>
      <xdr:row>86</xdr:row>
      <xdr:rowOff>38100</xdr:rowOff>
    </xdr:to>
    <xdr:graphicFrame macro="">
      <xdr:nvGraphicFramePr>
        <xdr:cNvPr id="17" name="Chart 16">
          <a:extLst>
            <a:ext uri="{FF2B5EF4-FFF2-40B4-BE49-F238E27FC236}">
              <a16:creationId xmlns:a16="http://schemas.microsoft.com/office/drawing/2014/main" id="{BA7932C6-97E7-4DB2-AFDF-BB389C66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67</xdr:row>
      <xdr:rowOff>0</xdr:rowOff>
    </xdr:from>
    <xdr:to>
      <xdr:col>12</xdr:col>
      <xdr:colOff>5081198</xdr:colOff>
      <xdr:row>86</xdr:row>
      <xdr:rowOff>38100</xdr:rowOff>
    </xdr:to>
    <xdr:graphicFrame macro="">
      <xdr:nvGraphicFramePr>
        <xdr:cNvPr id="18" name="Chart 17">
          <a:extLst>
            <a:ext uri="{FF2B5EF4-FFF2-40B4-BE49-F238E27FC236}">
              <a16:creationId xmlns:a16="http://schemas.microsoft.com/office/drawing/2014/main" id="{3E77C347-B8CF-4079-9CA3-64581CCE3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87</xdr:row>
      <xdr:rowOff>0</xdr:rowOff>
    </xdr:from>
    <xdr:to>
      <xdr:col>10</xdr:col>
      <xdr:colOff>550018</xdr:colOff>
      <xdr:row>106</xdr:row>
      <xdr:rowOff>38100</xdr:rowOff>
    </xdr:to>
    <xdr:graphicFrame macro="">
      <xdr:nvGraphicFramePr>
        <xdr:cNvPr id="19" name="Chart 18">
          <a:extLst>
            <a:ext uri="{FF2B5EF4-FFF2-40B4-BE49-F238E27FC236}">
              <a16:creationId xmlns:a16="http://schemas.microsoft.com/office/drawing/2014/main" id="{D44B6333-B261-4301-8319-A379EF19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87</xdr:row>
      <xdr:rowOff>0</xdr:rowOff>
    </xdr:from>
    <xdr:to>
      <xdr:col>12</xdr:col>
      <xdr:colOff>3349027</xdr:colOff>
      <xdr:row>106</xdr:row>
      <xdr:rowOff>38100</xdr:rowOff>
    </xdr:to>
    <xdr:graphicFrame macro="">
      <xdr:nvGraphicFramePr>
        <xdr:cNvPr id="20" name="Chart 19">
          <a:extLst>
            <a:ext uri="{FF2B5EF4-FFF2-40B4-BE49-F238E27FC236}">
              <a16:creationId xmlns:a16="http://schemas.microsoft.com/office/drawing/2014/main" id="{C62D6FEE-6531-4BE6-AC68-41EE517AA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108</xdr:row>
      <xdr:rowOff>0</xdr:rowOff>
    </xdr:from>
    <xdr:to>
      <xdr:col>10</xdr:col>
      <xdr:colOff>449482</xdr:colOff>
      <xdr:row>127</xdr:row>
      <xdr:rowOff>38100</xdr:rowOff>
    </xdr:to>
    <xdr:graphicFrame macro="">
      <xdr:nvGraphicFramePr>
        <xdr:cNvPr id="21" name="Chart 20">
          <a:extLst>
            <a:ext uri="{FF2B5EF4-FFF2-40B4-BE49-F238E27FC236}">
              <a16:creationId xmlns:a16="http://schemas.microsoft.com/office/drawing/2014/main" id="{F24B2D37-29A7-4603-B437-FF88DD00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108</xdr:row>
      <xdr:rowOff>0</xdr:rowOff>
    </xdr:from>
    <xdr:to>
      <xdr:col>12</xdr:col>
      <xdr:colOff>5021481</xdr:colOff>
      <xdr:row>127</xdr:row>
      <xdr:rowOff>38100</xdr:rowOff>
    </xdr:to>
    <xdr:graphicFrame macro="">
      <xdr:nvGraphicFramePr>
        <xdr:cNvPr id="22" name="Chart 21">
          <a:extLst>
            <a:ext uri="{FF2B5EF4-FFF2-40B4-BE49-F238E27FC236}">
              <a16:creationId xmlns:a16="http://schemas.microsoft.com/office/drawing/2014/main" id="{2C30295D-46B4-45C0-B6FA-FF1DC8E16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128</xdr:row>
      <xdr:rowOff>0</xdr:rowOff>
    </xdr:from>
    <xdr:to>
      <xdr:col>10</xdr:col>
      <xdr:colOff>449482</xdr:colOff>
      <xdr:row>147</xdr:row>
      <xdr:rowOff>38100</xdr:rowOff>
    </xdr:to>
    <xdr:graphicFrame macro="">
      <xdr:nvGraphicFramePr>
        <xdr:cNvPr id="23" name="Chart 22">
          <a:extLst>
            <a:ext uri="{FF2B5EF4-FFF2-40B4-BE49-F238E27FC236}">
              <a16:creationId xmlns:a16="http://schemas.microsoft.com/office/drawing/2014/main" id="{185BB1B3-0DEF-47D2-86A0-D0032D02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4" name="Chart 3">
          <a:extLst>
            <a:ext uri="{FF2B5EF4-FFF2-40B4-BE49-F238E27FC236}">
              <a16:creationId xmlns:a16="http://schemas.microsoft.com/office/drawing/2014/main" id="{093CE176-EC1E-4122-B03C-6890DE5C7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5" name="Chart 4">
          <a:extLst>
            <a:ext uri="{FF2B5EF4-FFF2-40B4-BE49-F238E27FC236}">
              <a16:creationId xmlns:a16="http://schemas.microsoft.com/office/drawing/2014/main" id="{7EF42414-563B-4246-A7A5-539F324D6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6" name="Chart 5">
          <a:extLst>
            <a:ext uri="{FF2B5EF4-FFF2-40B4-BE49-F238E27FC236}">
              <a16:creationId xmlns:a16="http://schemas.microsoft.com/office/drawing/2014/main" id="{F21F3258-C73E-4213-A756-DCEBB2D4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13" name="Chart 12">
          <a:extLst>
            <a:ext uri="{FF2B5EF4-FFF2-40B4-BE49-F238E27FC236}">
              <a16:creationId xmlns:a16="http://schemas.microsoft.com/office/drawing/2014/main" id="{ACEBF915-D4DD-4A4E-B175-39E73271E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14" name="Chart 13">
          <a:extLst>
            <a:ext uri="{FF2B5EF4-FFF2-40B4-BE49-F238E27FC236}">
              <a16:creationId xmlns:a16="http://schemas.microsoft.com/office/drawing/2014/main" id="{21CA78AE-0B28-4671-8DF9-AB947F5A0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15" name="Chart 14">
          <a:extLst>
            <a:ext uri="{FF2B5EF4-FFF2-40B4-BE49-F238E27FC236}">
              <a16:creationId xmlns:a16="http://schemas.microsoft.com/office/drawing/2014/main" id="{D25E000B-B5F9-4DD6-B29F-AE7A0A970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2" name="Chart 1">
          <a:extLst>
            <a:ext uri="{FF2B5EF4-FFF2-40B4-BE49-F238E27FC236}">
              <a16:creationId xmlns:a16="http://schemas.microsoft.com/office/drawing/2014/main" id="{24B14D79-5735-4001-8533-1A8883198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3" name="Chart 2">
          <a:extLst>
            <a:ext uri="{FF2B5EF4-FFF2-40B4-BE49-F238E27FC236}">
              <a16:creationId xmlns:a16="http://schemas.microsoft.com/office/drawing/2014/main" id="{CAE881C4-144A-4DB8-A1E6-B6A90B77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4" name="Chart 3">
          <a:extLst>
            <a:ext uri="{FF2B5EF4-FFF2-40B4-BE49-F238E27FC236}">
              <a16:creationId xmlns:a16="http://schemas.microsoft.com/office/drawing/2014/main" id="{BC6809CE-C851-4794-8371-6FD85B265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5" name="Chart 4">
          <a:extLst>
            <a:ext uri="{FF2B5EF4-FFF2-40B4-BE49-F238E27FC236}">
              <a16:creationId xmlns:a16="http://schemas.microsoft.com/office/drawing/2014/main" id="{BB028831-E990-4B10-A870-D643D3911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6" name="Chart 5">
          <a:extLst>
            <a:ext uri="{FF2B5EF4-FFF2-40B4-BE49-F238E27FC236}">
              <a16:creationId xmlns:a16="http://schemas.microsoft.com/office/drawing/2014/main" id="{7E82917F-CB8A-46C1-B17E-54249C78A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7" name="Chart 6">
          <a:extLst>
            <a:ext uri="{FF2B5EF4-FFF2-40B4-BE49-F238E27FC236}">
              <a16:creationId xmlns:a16="http://schemas.microsoft.com/office/drawing/2014/main" id="{8578F417-1AFA-483B-8BCF-75BA5FD15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328285</xdr:colOff>
      <xdr:row>36</xdr:row>
      <xdr:rowOff>38100</xdr:rowOff>
    </xdr:to>
    <xdr:graphicFrame macro="">
      <xdr:nvGraphicFramePr>
        <xdr:cNvPr id="2" name="Chart 1">
          <a:extLst>
            <a:ext uri="{FF2B5EF4-FFF2-40B4-BE49-F238E27FC236}">
              <a16:creationId xmlns:a16="http://schemas.microsoft.com/office/drawing/2014/main" id="{357187F8-1072-4403-A615-C20C0875F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12</xdr:col>
      <xdr:colOff>4976949</xdr:colOff>
      <xdr:row>36</xdr:row>
      <xdr:rowOff>38100</xdr:rowOff>
    </xdr:to>
    <xdr:graphicFrame macro="">
      <xdr:nvGraphicFramePr>
        <xdr:cNvPr id="3" name="Chart 2">
          <a:extLst>
            <a:ext uri="{FF2B5EF4-FFF2-40B4-BE49-F238E27FC236}">
              <a16:creationId xmlns:a16="http://schemas.microsoft.com/office/drawing/2014/main" id="{7679D37A-44B2-4C2A-9570-FAA61DFA6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4" name="Chart 3">
          <a:extLst>
            <a:ext uri="{FF2B5EF4-FFF2-40B4-BE49-F238E27FC236}">
              <a16:creationId xmlns:a16="http://schemas.microsoft.com/office/drawing/2014/main" id="{07944C18-5FA4-46D5-9B91-DE4C5CB64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37</xdr:row>
      <xdr:rowOff>0</xdr:rowOff>
    </xdr:from>
    <xdr:to>
      <xdr:col>13</xdr:col>
      <xdr:colOff>2141702</xdr:colOff>
      <xdr:row>56</xdr:row>
      <xdr:rowOff>38100</xdr:rowOff>
    </xdr:to>
    <xdr:graphicFrame macro="">
      <xdr:nvGraphicFramePr>
        <xdr:cNvPr id="5" name="Chart 4">
          <a:extLst>
            <a:ext uri="{FF2B5EF4-FFF2-40B4-BE49-F238E27FC236}">
              <a16:creationId xmlns:a16="http://schemas.microsoft.com/office/drawing/2014/main" id="{F4C0191B-5838-4E70-A2C9-8A99F6C98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37</xdr:row>
      <xdr:rowOff>4329</xdr:rowOff>
    </xdr:from>
    <xdr:to>
      <xdr:col>12</xdr:col>
      <xdr:colOff>3349027</xdr:colOff>
      <xdr:row>56</xdr:row>
      <xdr:rowOff>42429</xdr:rowOff>
    </xdr:to>
    <xdr:graphicFrame macro="">
      <xdr:nvGraphicFramePr>
        <xdr:cNvPr id="6" name="Chart 5">
          <a:extLst>
            <a:ext uri="{FF2B5EF4-FFF2-40B4-BE49-F238E27FC236}">
              <a16:creationId xmlns:a16="http://schemas.microsoft.com/office/drawing/2014/main" id="{7594E47E-2345-4873-83FB-BF3F7962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7" name="Chart 6">
          <a:extLst>
            <a:ext uri="{FF2B5EF4-FFF2-40B4-BE49-F238E27FC236}">
              <a16:creationId xmlns:a16="http://schemas.microsoft.com/office/drawing/2014/main" id="{E11CF593-BE26-40CE-A42D-C043DCB49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5371821</xdr:colOff>
      <xdr:row>35</xdr:row>
      <xdr:rowOff>11926</xdr:rowOff>
    </xdr:from>
    <xdr:to>
      <xdr:col>13</xdr:col>
      <xdr:colOff>1503551</xdr:colOff>
      <xdr:row>49</xdr:row>
      <xdr:rowOff>88126</xdr:rowOff>
    </xdr:to>
    <xdr:graphicFrame macro="">
      <xdr:nvGraphicFramePr>
        <xdr:cNvPr id="3" name="Chart 2">
          <a:extLst>
            <a:ext uri="{FF2B5EF4-FFF2-40B4-BE49-F238E27FC236}">
              <a16:creationId xmlns:a16="http://schemas.microsoft.com/office/drawing/2014/main" id="{095BE85B-C232-480F-A181-D6AF4B00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34</xdr:row>
      <xdr:rowOff>0</xdr:rowOff>
    </xdr:from>
    <xdr:to>
      <xdr:col>10</xdr:col>
      <xdr:colOff>328285</xdr:colOff>
      <xdr:row>53</xdr:row>
      <xdr:rowOff>38100</xdr:rowOff>
    </xdr:to>
    <xdr:graphicFrame macro="">
      <xdr:nvGraphicFramePr>
        <xdr:cNvPr id="4" name="Chart 3">
          <a:extLst>
            <a:ext uri="{FF2B5EF4-FFF2-40B4-BE49-F238E27FC236}">
              <a16:creationId xmlns:a16="http://schemas.microsoft.com/office/drawing/2014/main" id="{D9E8BEB5-E178-4233-8BDF-E417CBA23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34</xdr:row>
      <xdr:rowOff>0</xdr:rowOff>
    </xdr:from>
    <xdr:to>
      <xdr:col>12</xdr:col>
      <xdr:colOff>4976949</xdr:colOff>
      <xdr:row>53</xdr:row>
      <xdr:rowOff>38100</xdr:rowOff>
    </xdr:to>
    <xdr:graphicFrame macro="">
      <xdr:nvGraphicFramePr>
        <xdr:cNvPr id="5" name="Chart 4">
          <a:extLst>
            <a:ext uri="{FF2B5EF4-FFF2-40B4-BE49-F238E27FC236}">
              <a16:creationId xmlns:a16="http://schemas.microsoft.com/office/drawing/2014/main" id="{5634AB84-933C-4A27-8DA3-48C87F04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54</xdr:row>
      <xdr:rowOff>0</xdr:rowOff>
    </xdr:from>
    <xdr:to>
      <xdr:col>10</xdr:col>
      <xdr:colOff>371332</xdr:colOff>
      <xdr:row>73</xdr:row>
      <xdr:rowOff>38100</xdr:rowOff>
    </xdr:to>
    <xdr:graphicFrame macro="">
      <xdr:nvGraphicFramePr>
        <xdr:cNvPr id="6" name="Chart 5">
          <a:extLst>
            <a:ext uri="{FF2B5EF4-FFF2-40B4-BE49-F238E27FC236}">
              <a16:creationId xmlns:a16="http://schemas.microsoft.com/office/drawing/2014/main" id="{F6554B8B-040A-4E81-8E95-FC7B1C8BB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95</xdr:row>
      <xdr:rowOff>0</xdr:rowOff>
    </xdr:from>
    <xdr:to>
      <xdr:col>10</xdr:col>
      <xdr:colOff>449482</xdr:colOff>
      <xdr:row>114</xdr:row>
      <xdr:rowOff>38100</xdr:rowOff>
    </xdr:to>
    <xdr:graphicFrame macro="">
      <xdr:nvGraphicFramePr>
        <xdr:cNvPr id="10" name="Chart 9">
          <a:extLst>
            <a:ext uri="{FF2B5EF4-FFF2-40B4-BE49-F238E27FC236}">
              <a16:creationId xmlns:a16="http://schemas.microsoft.com/office/drawing/2014/main" id="{28AE006E-2492-4CEA-8911-ECDA3952D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54</xdr:row>
      <xdr:rowOff>0</xdr:rowOff>
    </xdr:from>
    <xdr:to>
      <xdr:col>12</xdr:col>
      <xdr:colOff>5155636</xdr:colOff>
      <xdr:row>73</xdr:row>
      <xdr:rowOff>38100</xdr:rowOff>
    </xdr:to>
    <xdr:graphicFrame macro="">
      <xdr:nvGraphicFramePr>
        <xdr:cNvPr id="13" name="Chart 12">
          <a:extLst>
            <a:ext uri="{FF2B5EF4-FFF2-40B4-BE49-F238E27FC236}">
              <a16:creationId xmlns:a16="http://schemas.microsoft.com/office/drawing/2014/main" id="{5D5D74C7-5FDB-4900-A673-49319ACA2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688780</xdr:colOff>
      <xdr:row>74</xdr:row>
      <xdr:rowOff>0</xdr:rowOff>
    </xdr:from>
    <xdr:to>
      <xdr:col>12</xdr:col>
      <xdr:colOff>1693466</xdr:colOff>
      <xdr:row>93</xdr:row>
      <xdr:rowOff>38100</xdr:rowOff>
    </xdr:to>
    <xdr:graphicFrame macro="">
      <xdr:nvGraphicFramePr>
        <xdr:cNvPr id="14" name="Chart 13">
          <a:extLst>
            <a:ext uri="{FF2B5EF4-FFF2-40B4-BE49-F238E27FC236}">
              <a16:creationId xmlns:a16="http://schemas.microsoft.com/office/drawing/2014/main" id="{E7FE27EF-A971-442E-8D8F-9E752790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74</xdr:row>
      <xdr:rowOff>4329</xdr:rowOff>
    </xdr:from>
    <xdr:to>
      <xdr:col>8</xdr:col>
      <xdr:colOff>312233</xdr:colOff>
      <xdr:row>93</xdr:row>
      <xdr:rowOff>42429</xdr:rowOff>
    </xdr:to>
    <xdr:graphicFrame macro="">
      <xdr:nvGraphicFramePr>
        <xdr:cNvPr id="15" name="Chart 14">
          <a:extLst>
            <a:ext uri="{FF2B5EF4-FFF2-40B4-BE49-F238E27FC236}">
              <a16:creationId xmlns:a16="http://schemas.microsoft.com/office/drawing/2014/main" id="{1A7EEC60-392C-4371-B49F-E5A08CA0A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95</xdr:row>
      <xdr:rowOff>0</xdr:rowOff>
    </xdr:from>
    <xdr:to>
      <xdr:col>12</xdr:col>
      <xdr:colOff>5055100</xdr:colOff>
      <xdr:row>114</xdr:row>
      <xdr:rowOff>38100</xdr:rowOff>
    </xdr:to>
    <xdr:graphicFrame macro="">
      <xdr:nvGraphicFramePr>
        <xdr:cNvPr id="16" name="Chart 15">
          <a:extLst>
            <a:ext uri="{FF2B5EF4-FFF2-40B4-BE49-F238E27FC236}">
              <a16:creationId xmlns:a16="http://schemas.microsoft.com/office/drawing/2014/main" id="{98A4B8B4-95F2-4515-83E2-99E7D87A5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3" name="Chart 2">
          <a:extLst>
            <a:ext uri="{FF2B5EF4-FFF2-40B4-BE49-F238E27FC236}">
              <a16:creationId xmlns:a16="http://schemas.microsoft.com/office/drawing/2014/main" id="{A5E51337-A9C3-4FFB-9AC5-12C401B7C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4" name="Chart 3">
          <a:extLst>
            <a:ext uri="{FF2B5EF4-FFF2-40B4-BE49-F238E27FC236}">
              <a16:creationId xmlns:a16="http://schemas.microsoft.com/office/drawing/2014/main" id="{1798CDD7-E563-4182-9529-F3F8DEBA2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5" name="Chart 4">
          <a:extLst>
            <a:ext uri="{FF2B5EF4-FFF2-40B4-BE49-F238E27FC236}">
              <a16:creationId xmlns:a16="http://schemas.microsoft.com/office/drawing/2014/main" id="{4D8A899E-90F9-4239-AE73-607138C8D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11" name="Chart 10">
          <a:extLst>
            <a:ext uri="{FF2B5EF4-FFF2-40B4-BE49-F238E27FC236}">
              <a16:creationId xmlns:a16="http://schemas.microsoft.com/office/drawing/2014/main" id="{CDAAE30F-E391-4CF6-A984-14F9D424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12" name="Chart 11">
          <a:extLst>
            <a:ext uri="{FF2B5EF4-FFF2-40B4-BE49-F238E27FC236}">
              <a16:creationId xmlns:a16="http://schemas.microsoft.com/office/drawing/2014/main" id="{E4F09CA6-4B09-4240-AD94-E24138F6B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13" name="Chart 12">
          <a:extLst>
            <a:ext uri="{FF2B5EF4-FFF2-40B4-BE49-F238E27FC236}">
              <a16:creationId xmlns:a16="http://schemas.microsoft.com/office/drawing/2014/main" id="{3FF7B59B-DC20-49E5-9BA1-0C64A3BBE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2" name="Chart 1">
          <a:extLst>
            <a:ext uri="{FF2B5EF4-FFF2-40B4-BE49-F238E27FC236}">
              <a16:creationId xmlns:a16="http://schemas.microsoft.com/office/drawing/2014/main" id="{F92341AC-1E79-495B-8E16-70C3AFBA6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3" name="Chart 2">
          <a:extLst>
            <a:ext uri="{FF2B5EF4-FFF2-40B4-BE49-F238E27FC236}">
              <a16:creationId xmlns:a16="http://schemas.microsoft.com/office/drawing/2014/main" id="{3DA95E66-C5ED-4E3C-928E-DB8C4192C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4" name="Chart 3">
          <a:extLst>
            <a:ext uri="{FF2B5EF4-FFF2-40B4-BE49-F238E27FC236}">
              <a16:creationId xmlns:a16="http://schemas.microsoft.com/office/drawing/2014/main" id="{8E82A115-9917-40A4-A41D-0F973DDB8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5" name="Chart 4">
          <a:extLst>
            <a:ext uri="{FF2B5EF4-FFF2-40B4-BE49-F238E27FC236}">
              <a16:creationId xmlns:a16="http://schemas.microsoft.com/office/drawing/2014/main" id="{476FA8D4-5F43-413B-8BD4-26704EC9C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6" name="Chart 5">
          <a:extLst>
            <a:ext uri="{FF2B5EF4-FFF2-40B4-BE49-F238E27FC236}">
              <a16:creationId xmlns:a16="http://schemas.microsoft.com/office/drawing/2014/main" id="{E6C9503A-18A7-400D-A79F-9C54B980C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7" name="Chart 6">
          <a:extLst>
            <a:ext uri="{FF2B5EF4-FFF2-40B4-BE49-F238E27FC236}">
              <a16:creationId xmlns:a16="http://schemas.microsoft.com/office/drawing/2014/main" id="{E1C21D93-602C-4B8C-B2DB-1DFAF99AB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20</xdr:row>
      <xdr:rowOff>0</xdr:rowOff>
    </xdr:from>
    <xdr:to>
      <xdr:col>10</xdr:col>
      <xdr:colOff>328285</xdr:colOff>
      <xdr:row>39</xdr:row>
      <xdr:rowOff>38100</xdr:rowOff>
    </xdr:to>
    <xdr:graphicFrame macro="">
      <xdr:nvGraphicFramePr>
        <xdr:cNvPr id="2" name="Chart 1">
          <a:extLst>
            <a:ext uri="{FF2B5EF4-FFF2-40B4-BE49-F238E27FC236}">
              <a16:creationId xmlns:a16="http://schemas.microsoft.com/office/drawing/2014/main" id="{1174171B-C0EB-41F5-92EE-F5DC94398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0</xdr:rowOff>
    </xdr:from>
    <xdr:to>
      <xdr:col>12</xdr:col>
      <xdr:colOff>4976949</xdr:colOff>
      <xdr:row>39</xdr:row>
      <xdr:rowOff>38100</xdr:rowOff>
    </xdr:to>
    <xdr:graphicFrame macro="">
      <xdr:nvGraphicFramePr>
        <xdr:cNvPr id="3" name="Chart 2">
          <a:extLst>
            <a:ext uri="{FF2B5EF4-FFF2-40B4-BE49-F238E27FC236}">
              <a16:creationId xmlns:a16="http://schemas.microsoft.com/office/drawing/2014/main" id="{3312CDCF-7760-4EA3-9039-5C5511A90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40</xdr:row>
      <xdr:rowOff>0</xdr:rowOff>
    </xdr:from>
    <xdr:to>
      <xdr:col>10</xdr:col>
      <xdr:colOff>371332</xdr:colOff>
      <xdr:row>59</xdr:row>
      <xdr:rowOff>38100</xdr:rowOff>
    </xdr:to>
    <xdr:graphicFrame macro="">
      <xdr:nvGraphicFramePr>
        <xdr:cNvPr id="4" name="Chart 3">
          <a:extLst>
            <a:ext uri="{FF2B5EF4-FFF2-40B4-BE49-F238E27FC236}">
              <a16:creationId xmlns:a16="http://schemas.microsoft.com/office/drawing/2014/main" id="{3A1E0D6C-C7F7-4293-B9B4-A1A61BB82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3725574</xdr:colOff>
      <xdr:row>40</xdr:row>
      <xdr:rowOff>0</xdr:rowOff>
    </xdr:from>
    <xdr:to>
      <xdr:col>13</xdr:col>
      <xdr:colOff>2141702</xdr:colOff>
      <xdr:row>59</xdr:row>
      <xdr:rowOff>38100</xdr:rowOff>
    </xdr:to>
    <xdr:graphicFrame macro="">
      <xdr:nvGraphicFramePr>
        <xdr:cNvPr id="5" name="Chart 4">
          <a:extLst>
            <a:ext uri="{FF2B5EF4-FFF2-40B4-BE49-F238E27FC236}">
              <a16:creationId xmlns:a16="http://schemas.microsoft.com/office/drawing/2014/main" id="{255FE28E-0361-4584-B793-F02818D52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40</xdr:row>
      <xdr:rowOff>4329</xdr:rowOff>
    </xdr:from>
    <xdr:to>
      <xdr:col>12</xdr:col>
      <xdr:colOff>3349027</xdr:colOff>
      <xdr:row>59</xdr:row>
      <xdr:rowOff>42429</xdr:rowOff>
    </xdr:to>
    <xdr:graphicFrame macro="">
      <xdr:nvGraphicFramePr>
        <xdr:cNvPr id="6" name="Chart 5">
          <a:extLst>
            <a:ext uri="{FF2B5EF4-FFF2-40B4-BE49-F238E27FC236}">
              <a16:creationId xmlns:a16="http://schemas.microsoft.com/office/drawing/2014/main" id="{4F888115-BADC-4120-86EB-2B8F9A62B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60</xdr:row>
      <xdr:rowOff>0</xdr:rowOff>
    </xdr:from>
    <xdr:to>
      <xdr:col>10</xdr:col>
      <xdr:colOff>449482</xdr:colOff>
      <xdr:row>79</xdr:row>
      <xdr:rowOff>38100</xdr:rowOff>
    </xdr:to>
    <xdr:graphicFrame macro="">
      <xdr:nvGraphicFramePr>
        <xdr:cNvPr id="7" name="Chart 6">
          <a:extLst>
            <a:ext uri="{FF2B5EF4-FFF2-40B4-BE49-F238E27FC236}">
              <a16:creationId xmlns:a16="http://schemas.microsoft.com/office/drawing/2014/main" id="{5B205682-CB27-4529-9FEF-8982E7AEB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24</xdr:row>
      <xdr:rowOff>0</xdr:rowOff>
    </xdr:from>
    <xdr:to>
      <xdr:col>10</xdr:col>
      <xdr:colOff>328285</xdr:colOff>
      <xdr:row>43</xdr:row>
      <xdr:rowOff>38100</xdr:rowOff>
    </xdr:to>
    <xdr:graphicFrame macro="">
      <xdr:nvGraphicFramePr>
        <xdr:cNvPr id="3" name="Chart 2">
          <a:extLst>
            <a:ext uri="{FF2B5EF4-FFF2-40B4-BE49-F238E27FC236}">
              <a16:creationId xmlns:a16="http://schemas.microsoft.com/office/drawing/2014/main" id="{CD7556FF-4B29-4996-B7A2-CE2FAE329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24</xdr:row>
      <xdr:rowOff>0</xdr:rowOff>
    </xdr:from>
    <xdr:to>
      <xdr:col>12</xdr:col>
      <xdr:colOff>4976949</xdr:colOff>
      <xdr:row>43</xdr:row>
      <xdr:rowOff>38100</xdr:rowOff>
    </xdr:to>
    <xdr:graphicFrame macro="">
      <xdr:nvGraphicFramePr>
        <xdr:cNvPr id="4" name="Chart 3">
          <a:extLst>
            <a:ext uri="{FF2B5EF4-FFF2-40B4-BE49-F238E27FC236}">
              <a16:creationId xmlns:a16="http://schemas.microsoft.com/office/drawing/2014/main" id="{7F994935-1715-44AB-9E8E-9C63583B5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0</xdr:rowOff>
    </xdr:from>
    <xdr:to>
      <xdr:col>10</xdr:col>
      <xdr:colOff>371332</xdr:colOff>
      <xdr:row>63</xdr:row>
      <xdr:rowOff>38100</xdr:rowOff>
    </xdr:to>
    <xdr:graphicFrame macro="">
      <xdr:nvGraphicFramePr>
        <xdr:cNvPr id="5" name="Chart 4">
          <a:extLst>
            <a:ext uri="{FF2B5EF4-FFF2-40B4-BE49-F238E27FC236}">
              <a16:creationId xmlns:a16="http://schemas.microsoft.com/office/drawing/2014/main" id="{2997070C-44D7-4F53-986B-A2A162C0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44</xdr:row>
      <xdr:rowOff>0</xdr:rowOff>
    </xdr:from>
    <xdr:to>
      <xdr:col>12</xdr:col>
      <xdr:colOff>5155636</xdr:colOff>
      <xdr:row>63</xdr:row>
      <xdr:rowOff>38100</xdr:rowOff>
    </xdr:to>
    <xdr:graphicFrame macro="">
      <xdr:nvGraphicFramePr>
        <xdr:cNvPr id="7" name="Chart 6">
          <a:extLst>
            <a:ext uri="{FF2B5EF4-FFF2-40B4-BE49-F238E27FC236}">
              <a16:creationId xmlns:a16="http://schemas.microsoft.com/office/drawing/2014/main" id="{94B14A91-B068-4A1A-ADB0-B3004B9C2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64</xdr:row>
      <xdr:rowOff>0</xdr:rowOff>
    </xdr:from>
    <xdr:to>
      <xdr:col>10</xdr:col>
      <xdr:colOff>371331</xdr:colOff>
      <xdr:row>83</xdr:row>
      <xdr:rowOff>38100</xdr:rowOff>
    </xdr:to>
    <xdr:graphicFrame macro="">
      <xdr:nvGraphicFramePr>
        <xdr:cNvPr id="11" name="Chart 10">
          <a:extLst>
            <a:ext uri="{FF2B5EF4-FFF2-40B4-BE49-F238E27FC236}">
              <a16:creationId xmlns:a16="http://schemas.microsoft.com/office/drawing/2014/main" id="{8CAFB4F2-2E30-4D39-934C-B5987263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64</xdr:row>
      <xdr:rowOff>0</xdr:rowOff>
    </xdr:from>
    <xdr:to>
      <xdr:col>12</xdr:col>
      <xdr:colOff>5055100</xdr:colOff>
      <xdr:row>83</xdr:row>
      <xdr:rowOff>38100</xdr:rowOff>
    </xdr:to>
    <xdr:graphicFrame macro="">
      <xdr:nvGraphicFramePr>
        <xdr:cNvPr id="12" name="Chart 11">
          <a:extLst>
            <a:ext uri="{FF2B5EF4-FFF2-40B4-BE49-F238E27FC236}">
              <a16:creationId xmlns:a16="http://schemas.microsoft.com/office/drawing/2014/main" id="{93C51E74-641C-4C97-8AF5-883BF9136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84</xdr:row>
      <xdr:rowOff>0</xdr:rowOff>
    </xdr:from>
    <xdr:to>
      <xdr:col>10</xdr:col>
      <xdr:colOff>449482</xdr:colOff>
      <xdr:row>103</xdr:row>
      <xdr:rowOff>38100</xdr:rowOff>
    </xdr:to>
    <xdr:graphicFrame macro="">
      <xdr:nvGraphicFramePr>
        <xdr:cNvPr id="13" name="Chart 12">
          <a:extLst>
            <a:ext uri="{FF2B5EF4-FFF2-40B4-BE49-F238E27FC236}">
              <a16:creationId xmlns:a16="http://schemas.microsoft.com/office/drawing/2014/main" id="{163C4D1F-2B34-4259-B13A-DBB9B94E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763657</xdr:colOff>
      <xdr:row>97</xdr:row>
      <xdr:rowOff>813</xdr:rowOff>
    </xdr:from>
    <xdr:to>
      <xdr:col>9</xdr:col>
      <xdr:colOff>929363</xdr:colOff>
      <xdr:row>116</xdr:row>
      <xdr:rowOff>2434</xdr:rowOff>
    </xdr:to>
    <xdr:graphicFrame macro="">
      <xdr:nvGraphicFramePr>
        <xdr:cNvPr id="11" name="Chart 10">
          <a:extLst>
            <a:ext uri="{FF2B5EF4-FFF2-40B4-BE49-F238E27FC236}">
              <a16:creationId xmlns:a16="http://schemas.microsoft.com/office/drawing/2014/main" id="{D0BDA536-2EB4-441B-BDE8-C00CBE23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1213</xdr:colOff>
      <xdr:row>77</xdr:row>
      <xdr:rowOff>4615</xdr:rowOff>
    </xdr:from>
    <xdr:to>
      <xdr:col>9</xdr:col>
      <xdr:colOff>818797</xdr:colOff>
      <xdr:row>96</xdr:row>
      <xdr:rowOff>6236</xdr:rowOff>
    </xdr:to>
    <xdr:graphicFrame macro="">
      <xdr:nvGraphicFramePr>
        <xdr:cNvPr id="12" name="Chart 11">
          <a:extLst>
            <a:ext uri="{FF2B5EF4-FFF2-40B4-BE49-F238E27FC236}">
              <a16:creationId xmlns:a16="http://schemas.microsoft.com/office/drawing/2014/main" id="{B44D28AE-70F2-4BCB-8514-8D7BA6AD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44824</xdr:colOff>
      <xdr:row>38</xdr:row>
      <xdr:rowOff>179294</xdr:rowOff>
    </xdr:from>
    <xdr:to>
      <xdr:col>16</xdr:col>
      <xdr:colOff>84443</xdr:colOff>
      <xdr:row>52</xdr:row>
      <xdr:rowOff>54725</xdr:rowOff>
    </xdr:to>
    <xdr:graphicFrame macro="">
      <xdr:nvGraphicFramePr>
        <xdr:cNvPr id="17" name="Chart 16">
          <a:extLst>
            <a:ext uri="{FF2B5EF4-FFF2-40B4-BE49-F238E27FC236}">
              <a16:creationId xmlns:a16="http://schemas.microsoft.com/office/drawing/2014/main" id="{A846D0CD-775A-482F-96F1-58E2EAFE5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57</xdr:row>
      <xdr:rowOff>0</xdr:rowOff>
    </xdr:from>
    <xdr:to>
      <xdr:col>8</xdr:col>
      <xdr:colOff>311523</xdr:colOff>
      <xdr:row>76</xdr:row>
      <xdr:rowOff>1621</xdr:rowOff>
    </xdr:to>
    <xdr:graphicFrame macro="">
      <xdr:nvGraphicFramePr>
        <xdr:cNvPr id="19" name="Chart 18">
          <a:extLst>
            <a:ext uri="{FF2B5EF4-FFF2-40B4-BE49-F238E27FC236}">
              <a16:creationId xmlns:a16="http://schemas.microsoft.com/office/drawing/2014/main" id="{18B1D11E-4BFF-45BF-A2E8-53AD0F9F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57</xdr:row>
      <xdr:rowOff>0</xdr:rowOff>
    </xdr:from>
    <xdr:to>
      <xdr:col>11</xdr:col>
      <xdr:colOff>333935</xdr:colOff>
      <xdr:row>76</xdr:row>
      <xdr:rowOff>1621</xdr:rowOff>
    </xdr:to>
    <xdr:graphicFrame macro="">
      <xdr:nvGraphicFramePr>
        <xdr:cNvPr id="20" name="Chart 19">
          <a:extLst>
            <a:ext uri="{FF2B5EF4-FFF2-40B4-BE49-F238E27FC236}">
              <a16:creationId xmlns:a16="http://schemas.microsoft.com/office/drawing/2014/main" id="{22A262B3-83BA-42DB-8057-B6E556D4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77</xdr:row>
      <xdr:rowOff>0</xdr:rowOff>
    </xdr:from>
    <xdr:to>
      <xdr:col>11</xdr:col>
      <xdr:colOff>1646054</xdr:colOff>
      <xdr:row>96</xdr:row>
      <xdr:rowOff>1621</xdr:rowOff>
    </xdr:to>
    <xdr:graphicFrame macro="">
      <xdr:nvGraphicFramePr>
        <xdr:cNvPr id="21" name="Chart 20">
          <a:extLst>
            <a:ext uri="{FF2B5EF4-FFF2-40B4-BE49-F238E27FC236}">
              <a16:creationId xmlns:a16="http://schemas.microsoft.com/office/drawing/2014/main" id="{ADB073B5-D2F5-44AF-AB1F-75754DF1B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38</xdr:row>
      <xdr:rowOff>0</xdr:rowOff>
    </xdr:from>
    <xdr:to>
      <xdr:col>8</xdr:col>
      <xdr:colOff>363390</xdr:colOff>
      <xdr:row>57</xdr:row>
      <xdr:rowOff>1621</xdr:rowOff>
    </xdr:to>
    <xdr:graphicFrame macro="">
      <xdr:nvGraphicFramePr>
        <xdr:cNvPr id="13" name="Chart 12">
          <a:extLst>
            <a:ext uri="{FF2B5EF4-FFF2-40B4-BE49-F238E27FC236}">
              <a16:creationId xmlns:a16="http://schemas.microsoft.com/office/drawing/2014/main" id="{965C97B9-3D18-4C42-8044-37E5BE8C2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38</xdr:row>
      <xdr:rowOff>0</xdr:rowOff>
    </xdr:from>
    <xdr:to>
      <xdr:col>10</xdr:col>
      <xdr:colOff>1686885</xdr:colOff>
      <xdr:row>51</xdr:row>
      <xdr:rowOff>65931</xdr:rowOff>
    </xdr:to>
    <xdr:graphicFrame macro="">
      <xdr:nvGraphicFramePr>
        <xdr:cNvPr id="16" name="Chart 15">
          <a:extLst>
            <a:ext uri="{FF2B5EF4-FFF2-40B4-BE49-F238E27FC236}">
              <a16:creationId xmlns:a16="http://schemas.microsoft.com/office/drawing/2014/main" id="{4E03CDE0-7D37-469F-BB34-DD49145C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1893794</xdr:colOff>
      <xdr:row>38</xdr:row>
      <xdr:rowOff>0</xdr:rowOff>
    </xdr:from>
    <xdr:to>
      <xdr:col>11</xdr:col>
      <xdr:colOff>2282593</xdr:colOff>
      <xdr:row>57</xdr:row>
      <xdr:rowOff>1621</xdr:rowOff>
    </xdr:to>
    <xdr:graphicFrame macro="">
      <xdr:nvGraphicFramePr>
        <xdr:cNvPr id="18" name="Chart 17">
          <a:extLst>
            <a:ext uri="{FF2B5EF4-FFF2-40B4-BE49-F238E27FC236}">
              <a16:creationId xmlns:a16="http://schemas.microsoft.com/office/drawing/2014/main" id="{DC53A906-1EC6-430F-99B5-CAA9CAAD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4947677</xdr:colOff>
      <xdr:row>98</xdr:row>
      <xdr:rowOff>189940</xdr:rowOff>
    </xdr:from>
    <xdr:to>
      <xdr:col>9</xdr:col>
      <xdr:colOff>147351</xdr:colOff>
      <xdr:row>118</xdr:row>
      <xdr:rowOff>1061</xdr:rowOff>
    </xdr:to>
    <xdr:graphicFrame macro="">
      <xdr:nvGraphicFramePr>
        <xdr:cNvPr id="9" name="Chart 8">
          <a:extLst>
            <a:ext uri="{FF2B5EF4-FFF2-40B4-BE49-F238E27FC236}">
              <a16:creationId xmlns:a16="http://schemas.microsoft.com/office/drawing/2014/main" id="{BA08FE63-F051-4026-926F-085517A3F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12007</xdr:colOff>
      <xdr:row>78</xdr:row>
      <xdr:rowOff>186498</xdr:rowOff>
    </xdr:from>
    <xdr:to>
      <xdr:col>10</xdr:col>
      <xdr:colOff>6364095</xdr:colOff>
      <xdr:row>97</xdr:row>
      <xdr:rowOff>188119</xdr:rowOff>
    </xdr:to>
    <xdr:graphicFrame macro="">
      <xdr:nvGraphicFramePr>
        <xdr:cNvPr id="11" name="Chart 10">
          <a:extLst>
            <a:ext uri="{FF2B5EF4-FFF2-40B4-BE49-F238E27FC236}">
              <a16:creationId xmlns:a16="http://schemas.microsoft.com/office/drawing/2014/main" id="{E8C4CA4A-194E-415D-A6DD-F6AA58E9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13607</xdr:colOff>
      <xdr:row>38</xdr:row>
      <xdr:rowOff>176893</xdr:rowOff>
    </xdr:from>
    <xdr:to>
      <xdr:col>7</xdr:col>
      <xdr:colOff>389164</xdr:colOff>
      <xdr:row>57</xdr:row>
      <xdr:rowOff>178514</xdr:rowOff>
    </xdr:to>
    <xdr:graphicFrame macro="">
      <xdr:nvGraphicFramePr>
        <xdr:cNvPr id="10" name="Chart 9">
          <a:extLst>
            <a:ext uri="{FF2B5EF4-FFF2-40B4-BE49-F238E27FC236}">
              <a16:creationId xmlns:a16="http://schemas.microsoft.com/office/drawing/2014/main" id="{B4DA2035-CFA7-4811-BBDC-723487AC7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628650</xdr:colOff>
      <xdr:row>40</xdr:row>
      <xdr:rowOff>104775</xdr:rowOff>
    </xdr:from>
    <xdr:to>
      <xdr:col>10</xdr:col>
      <xdr:colOff>542925</xdr:colOff>
      <xdr:row>54</xdr:row>
      <xdr:rowOff>217</xdr:rowOff>
    </xdr:to>
    <xdr:graphicFrame macro="">
      <xdr:nvGraphicFramePr>
        <xdr:cNvPr id="7" name="Chart 6">
          <a:extLst>
            <a:ext uri="{FF2B5EF4-FFF2-40B4-BE49-F238E27FC236}">
              <a16:creationId xmlns:a16="http://schemas.microsoft.com/office/drawing/2014/main" id="{3B71A3E3-DEA6-4129-8AF6-055F96152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59</xdr:row>
      <xdr:rowOff>0</xdr:rowOff>
    </xdr:from>
    <xdr:to>
      <xdr:col>10</xdr:col>
      <xdr:colOff>5029200</xdr:colOff>
      <xdr:row>78</xdr:row>
      <xdr:rowOff>1621</xdr:rowOff>
    </xdr:to>
    <xdr:graphicFrame macro="">
      <xdr:nvGraphicFramePr>
        <xdr:cNvPr id="13" name="Chart 12">
          <a:extLst>
            <a:ext uri="{FF2B5EF4-FFF2-40B4-BE49-F238E27FC236}">
              <a16:creationId xmlns:a16="http://schemas.microsoft.com/office/drawing/2014/main" id="{F96906E8-CC60-4E5F-9773-BCF6538C3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941294</xdr:colOff>
      <xdr:row>38</xdr:row>
      <xdr:rowOff>179294</xdr:rowOff>
    </xdr:from>
    <xdr:to>
      <xdr:col>11</xdr:col>
      <xdr:colOff>273697</xdr:colOff>
      <xdr:row>57</xdr:row>
      <xdr:rowOff>180915</xdr:rowOff>
    </xdr:to>
    <xdr:graphicFrame macro="">
      <xdr:nvGraphicFramePr>
        <xdr:cNvPr id="14" name="Chart 13">
          <a:extLst>
            <a:ext uri="{FF2B5EF4-FFF2-40B4-BE49-F238E27FC236}">
              <a16:creationId xmlns:a16="http://schemas.microsoft.com/office/drawing/2014/main" id="{F12A5475-777A-48A8-B597-C41407AF6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59</xdr:row>
      <xdr:rowOff>0</xdr:rowOff>
    </xdr:from>
    <xdr:to>
      <xdr:col>9</xdr:col>
      <xdr:colOff>62093</xdr:colOff>
      <xdr:row>78</xdr:row>
      <xdr:rowOff>1621</xdr:rowOff>
    </xdr:to>
    <xdr:graphicFrame macro="">
      <xdr:nvGraphicFramePr>
        <xdr:cNvPr id="15" name="Chart 14">
          <a:extLst>
            <a:ext uri="{FF2B5EF4-FFF2-40B4-BE49-F238E27FC236}">
              <a16:creationId xmlns:a16="http://schemas.microsoft.com/office/drawing/2014/main" id="{0A388BE5-8D4E-42D6-88E3-96EC69C85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5199530</xdr:colOff>
      <xdr:row>59</xdr:row>
      <xdr:rowOff>0</xdr:rowOff>
    </xdr:from>
    <xdr:to>
      <xdr:col>13</xdr:col>
      <xdr:colOff>76201</xdr:colOff>
      <xdr:row>78</xdr:row>
      <xdr:rowOff>1621</xdr:rowOff>
    </xdr:to>
    <xdr:graphicFrame macro="">
      <xdr:nvGraphicFramePr>
        <xdr:cNvPr id="17" name="Chart 16">
          <a:extLst>
            <a:ext uri="{FF2B5EF4-FFF2-40B4-BE49-F238E27FC236}">
              <a16:creationId xmlns:a16="http://schemas.microsoft.com/office/drawing/2014/main" id="{FB658615-217F-4C12-978F-EAEAB35C2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79</xdr:row>
      <xdr:rowOff>0</xdr:rowOff>
    </xdr:from>
    <xdr:to>
      <xdr:col>9</xdr:col>
      <xdr:colOff>139227</xdr:colOff>
      <xdr:row>98</xdr:row>
      <xdr:rowOff>1621</xdr:rowOff>
    </xdr:to>
    <xdr:graphicFrame macro="">
      <xdr:nvGraphicFramePr>
        <xdr:cNvPr id="18" name="Chart 17">
          <a:extLst>
            <a:ext uri="{FF2B5EF4-FFF2-40B4-BE49-F238E27FC236}">
              <a16:creationId xmlns:a16="http://schemas.microsoft.com/office/drawing/2014/main" id="{D982C2D9-BC1E-44B6-9944-EF5E7851B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6745750</xdr:colOff>
      <xdr:row>35</xdr:row>
      <xdr:rowOff>1</xdr:rowOff>
    </xdr:from>
    <xdr:to>
      <xdr:col>9</xdr:col>
      <xdr:colOff>114109</xdr:colOff>
      <xdr:row>54</xdr:row>
      <xdr:rowOff>38101</xdr:rowOff>
    </xdr:to>
    <xdr:graphicFrame macro="">
      <xdr:nvGraphicFramePr>
        <xdr:cNvPr id="7" name="Chart 6">
          <a:extLst>
            <a:ext uri="{FF2B5EF4-FFF2-40B4-BE49-F238E27FC236}">
              <a16:creationId xmlns:a16="http://schemas.microsoft.com/office/drawing/2014/main" id="{4B5AC658-3F9D-4D05-9C1C-FD07A1CA8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799</xdr:colOff>
      <xdr:row>34</xdr:row>
      <xdr:rowOff>187298</xdr:rowOff>
    </xdr:from>
    <xdr:to>
      <xdr:col>11</xdr:col>
      <xdr:colOff>798658</xdr:colOff>
      <xdr:row>54</xdr:row>
      <xdr:rowOff>34898</xdr:rowOff>
    </xdr:to>
    <xdr:graphicFrame macro="">
      <xdr:nvGraphicFramePr>
        <xdr:cNvPr id="15" name="Chart 14">
          <a:extLst>
            <a:ext uri="{FF2B5EF4-FFF2-40B4-BE49-F238E27FC236}">
              <a16:creationId xmlns:a16="http://schemas.microsoft.com/office/drawing/2014/main" id="{EAF3FE89-5E77-4662-AC83-6C215DDFB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6749142</xdr:colOff>
      <xdr:row>75</xdr:row>
      <xdr:rowOff>-1</xdr:rowOff>
    </xdr:from>
    <xdr:to>
      <xdr:col>7</xdr:col>
      <xdr:colOff>375556</xdr:colOff>
      <xdr:row>94</xdr:row>
      <xdr:rowOff>38099</xdr:rowOff>
    </xdr:to>
    <xdr:graphicFrame macro="">
      <xdr:nvGraphicFramePr>
        <xdr:cNvPr id="12" name="Chart 11">
          <a:extLst>
            <a:ext uri="{FF2B5EF4-FFF2-40B4-BE49-F238E27FC236}">
              <a16:creationId xmlns:a16="http://schemas.microsoft.com/office/drawing/2014/main" id="{37BE8F97-FCA5-415E-8615-6704524D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55</xdr:row>
      <xdr:rowOff>0</xdr:rowOff>
    </xdr:from>
    <xdr:to>
      <xdr:col>7</xdr:col>
      <xdr:colOff>403412</xdr:colOff>
      <xdr:row>74</xdr:row>
      <xdr:rowOff>38100</xdr:rowOff>
    </xdr:to>
    <xdr:graphicFrame macro="">
      <xdr:nvGraphicFramePr>
        <xdr:cNvPr id="17" name="Chart 16">
          <a:extLst>
            <a:ext uri="{FF2B5EF4-FFF2-40B4-BE49-F238E27FC236}">
              <a16:creationId xmlns:a16="http://schemas.microsoft.com/office/drawing/2014/main" id="{81947ECF-D1AE-4AAA-998C-9FB8325C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22414</xdr:colOff>
      <xdr:row>56</xdr:row>
      <xdr:rowOff>152400</xdr:rowOff>
    </xdr:from>
    <xdr:to>
      <xdr:col>10</xdr:col>
      <xdr:colOff>154643</xdr:colOff>
      <xdr:row>71</xdr:row>
      <xdr:rowOff>38100</xdr:rowOff>
    </xdr:to>
    <xdr:graphicFrame macro="">
      <xdr:nvGraphicFramePr>
        <xdr:cNvPr id="18" name="Chart 17">
          <a:extLst>
            <a:ext uri="{FF2B5EF4-FFF2-40B4-BE49-F238E27FC236}">
              <a16:creationId xmlns:a16="http://schemas.microsoft.com/office/drawing/2014/main" id="{BBEFB621-5AF9-47EF-ADDF-E949312B2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75</xdr:row>
      <xdr:rowOff>0</xdr:rowOff>
    </xdr:from>
    <xdr:to>
      <xdr:col>10</xdr:col>
      <xdr:colOff>2430236</xdr:colOff>
      <xdr:row>94</xdr:row>
      <xdr:rowOff>38100</xdr:rowOff>
    </xdr:to>
    <xdr:graphicFrame macro="">
      <xdr:nvGraphicFramePr>
        <xdr:cNvPr id="19" name="Chart 18">
          <a:extLst>
            <a:ext uri="{FF2B5EF4-FFF2-40B4-BE49-F238E27FC236}">
              <a16:creationId xmlns:a16="http://schemas.microsoft.com/office/drawing/2014/main" id="{02D1079B-7CB5-4C07-9758-5162141D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95</xdr:row>
      <xdr:rowOff>0</xdr:rowOff>
    </xdr:from>
    <xdr:to>
      <xdr:col>9</xdr:col>
      <xdr:colOff>333103</xdr:colOff>
      <xdr:row>114</xdr:row>
      <xdr:rowOff>38100</xdr:rowOff>
    </xdr:to>
    <xdr:graphicFrame macro="">
      <xdr:nvGraphicFramePr>
        <xdr:cNvPr id="20" name="Chart 19">
          <a:extLst>
            <a:ext uri="{FF2B5EF4-FFF2-40B4-BE49-F238E27FC236}">
              <a16:creationId xmlns:a16="http://schemas.microsoft.com/office/drawing/2014/main" id="{19D817E5-FC3C-492F-9F34-0F8756F1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36</xdr:row>
      <xdr:rowOff>0</xdr:rowOff>
    </xdr:from>
    <xdr:to>
      <xdr:col>9</xdr:col>
      <xdr:colOff>960758</xdr:colOff>
      <xdr:row>55</xdr:row>
      <xdr:rowOff>107576</xdr:rowOff>
    </xdr:to>
    <xdr:graphicFrame macro="">
      <xdr:nvGraphicFramePr>
        <xdr:cNvPr id="2" name="Chart 1">
          <a:extLst>
            <a:ext uri="{FF2B5EF4-FFF2-40B4-BE49-F238E27FC236}">
              <a16:creationId xmlns:a16="http://schemas.microsoft.com/office/drawing/2014/main" id="{9107A5C6-3EDE-418D-8AE0-BC62E087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36</xdr:row>
      <xdr:rowOff>3711</xdr:rowOff>
    </xdr:from>
    <xdr:to>
      <xdr:col>10</xdr:col>
      <xdr:colOff>5003223</xdr:colOff>
      <xdr:row>55</xdr:row>
      <xdr:rowOff>41811</xdr:rowOff>
    </xdr:to>
    <xdr:graphicFrame macro="">
      <xdr:nvGraphicFramePr>
        <xdr:cNvPr id="15" name="Chart 14">
          <a:extLst>
            <a:ext uri="{FF2B5EF4-FFF2-40B4-BE49-F238E27FC236}">
              <a16:creationId xmlns:a16="http://schemas.microsoft.com/office/drawing/2014/main" id="{5CD31F14-1C8E-4911-AB08-1A1162CA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5347244</xdr:colOff>
      <xdr:row>37</xdr:row>
      <xdr:rowOff>184125</xdr:rowOff>
    </xdr:from>
    <xdr:to>
      <xdr:col>11</xdr:col>
      <xdr:colOff>913659</xdr:colOff>
      <xdr:row>52</xdr:row>
      <xdr:rowOff>69825</xdr:rowOff>
    </xdr:to>
    <xdr:graphicFrame macro="">
      <xdr:nvGraphicFramePr>
        <xdr:cNvPr id="3" name="Chart 2">
          <a:extLst>
            <a:ext uri="{FF2B5EF4-FFF2-40B4-BE49-F238E27FC236}">
              <a16:creationId xmlns:a16="http://schemas.microsoft.com/office/drawing/2014/main" id="{F37AE3A3-F857-48EC-8EF1-1999F189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1782535</xdr:colOff>
      <xdr:row>56</xdr:row>
      <xdr:rowOff>13607</xdr:rowOff>
    </xdr:from>
    <xdr:to>
      <xdr:col>10</xdr:col>
      <xdr:colOff>6811735</xdr:colOff>
      <xdr:row>75</xdr:row>
      <xdr:rowOff>51707</xdr:rowOff>
    </xdr:to>
    <xdr:graphicFrame macro="">
      <xdr:nvGraphicFramePr>
        <xdr:cNvPr id="10" name="Chart 9">
          <a:extLst>
            <a:ext uri="{FF2B5EF4-FFF2-40B4-BE49-F238E27FC236}">
              <a16:creationId xmlns:a16="http://schemas.microsoft.com/office/drawing/2014/main" id="{F38B4542-B152-48A1-8C5C-61C05030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58</xdr:row>
      <xdr:rowOff>0</xdr:rowOff>
    </xdr:from>
    <xdr:to>
      <xdr:col>12</xdr:col>
      <xdr:colOff>1022878</xdr:colOff>
      <xdr:row>72</xdr:row>
      <xdr:rowOff>76200</xdr:rowOff>
    </xdr:to>
    <xdr:graphicFrame macro="">
      <xdr:nvGraphicFramePr>
        <xdr:cNvPr id="13" name="Chart 12">
          <a:extLst>
            <a:ext uri="{FF2B5EF4-FFF2-40B4-BE49-F238E27FC236}">
              <a16:creationId xmlns:a16="http://schemas.microsoft.com/office/drawing/2014/main" id="{2ECFABEA-258E-4CB9-AD19-B63A8CCA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762000</xdr:colOff>
      <xdr:row>56</xdr:row>
      <xdr:rowOff>13607</xdr:rowOff>
    </xdr:from>
    <xdr:to>
      <xdr:col>8</xdr:col>
      <xdr:colOff>361950</xdr:colOff>
      <xdr:row>75</xdr:row>
      <xdr:rowOff>51707</xdr:rowOff>
    </xdr:to>
    <xdr:graphicFrame macro="">
      <xdr:nvGraphicFramePr>
        <xdr:cNvPr id="17" name="Chart 16">
          <a:extLst>
            <a:ext uri="{FF2B5EF4-FFF2-40B4-BE49-F238E27FC236}">
              <a16:creationId xmlns:a16="http://schemas.microsoft.com/office/drawing/2014/main" id="{1FAA6DA7-6CAF-4A88-8AA3-62A660822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734785</xdr:colOff>
      <xdr:row>58</xdr:row>
      <xdr:rowOff>27215</xdr:rowOff>
    </xdr:from>
    <xdr:to>
      <xdr:col>10</xdr:col>
      <xdr:colOff>1022878</xdr:colOff>
      <xdr:row>72</xdr:row>
      <xdr:rowOff>103415</xdr:rowOff>
    </xdr:to>
    <xdr:graphicFrame macro="">
      <xdr:nvGraphicFramePr>
        <xdr:cNvPr id="18" name="Chart 17">
          <a:extLst>
            <a:ext uri="{FF2B5EF4-FFF2-40B4-BE49-F238E27FC236}">
              <a16:creationId xmlns:a16="http://schemas.microsoft.com/office/drawing/2014/main" id="{6E4C4982-042B-45EE-8002-3C8441165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77</xdr:row>
      <xdr:rowOff>0</xdr:rowOff>
    </xdr:from>
    <xdr:to>
      <xdr:col>9</xdr:col>
      <xdr:colOff>1082902</xdr:colOff>
      <xdr:row>96</xdr:row>
      <xdr:rowOff>107576</xdr:rowOff>
    </xdr:to>
    <xdr:graphicFrame macro="">
      <xdr:nvGraphicFramePr>
        <xdr:cNvPr id="14" name="Chart 13">
          <a:extLst>
            <a:ext uri="{FF2B5EF4-FFF2-40B4-BE49-F238E27FC236}">
              <a16:creationId xmlns:a16="http://schemas.microsoft.com/office/drawing/2014/main" id="{4B428D56-2285-4192-94D8-E8E4938B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77</xdr:row>
      <xdr:rowOff>0</xdr:rowOff>
    </xdr:from>
    <xdr:to>
      <xdr:col>10</xdr:col>
      <xdr:colOff>6400800</xdr:colOff>
      <xdr:row>96</xdr:row>
      <xdr:rowOff>107576</xdr:rowOff>
    </xdr:to>
    <xdr:graphicFrame macro="">
      <xdr:nvGraphicFramePr>
        <xdr:cNvPr id="19" name="Chart 18">
          <a:extLst>
            <a:ext uri="{FF2B5EF4-FFF2-40B4-BE49-F238E27FC236}">
              <a16:creationId xmlns:a16="http://schemas.microsoft.com/office/drawing/2014/main" id="{09FC4528-6C1F-4F5A-AFFE-CDBA11890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75</xdr:row>
      <xdr:rowOff>0</xdr:rowOff>
    </xdr:from>
    <xdr:to>
      <xdr:col>9</xdr:col>
      <xdr:colOff>928243</xdr:colOff>
      <xdr:row>94</xdr:row>
      <xdr:rowOff>1621</xdr:rowOff>
    </xdr:to>
    <xdr:graphicFrame macro="">
      <xdr:nvGraphicFramePr>
        <xdr:cNvPr id="12" name="Chart 11">
          <a:extLst>
            <a:ext uri="{FF2B5EF4-FFF2-40B4-BE49-F238E27FC236}">
              <a16:creationId xmlns:a16="http://schemas.microsoft.com/office/drawing/2014/main" id="{E7AD10EC-813A-4280-B93C-02B7C30B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55</xdr:row>
      <xdr:rowOff>0</xdr:rowOff>
    </xdr:from>
    <xdr:to>
      <xdr:col>9</xdr:col>
      <xdr:colOff>1040303</xdr:colOff>
      <xdr:row>74</xdr:row>
      <xdr:rowOff>1621</xdr:rowOff>
    </xdr:to>
    <xdr:graphicFrame macro="">
      <xdr:nvGraphicFramePr>
        <xdr:cNvPr id="13" name="Chart 12">
          <a:extLst>
            <a:ext uri="{FF2B5EF4-FFF2-40B4-BE49-F238E27FC236}">
              <a16:creationId xmlns:a16="http://schemas.microsoft.com/office/drawing/2014/main" id="{75B9D113-4844-418B-A055-EB8E326D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55</xdr:row>
      <xdr:rowOff>0</xdr:rowOff>
    </xdr:from>
    <xdr:to>
      <xdr:col>12</xdr:col>
      <xdr:colOff>211066</xdr:colOff>
      <xdr:row>74</xdr:row>
      <xdr:rowOff>1621</xdr:rowOff>
    </xdr:to>
    <xdr:graphicFrame macro="">
      <xdr:nvGraphicFramePr>
        <xdr:cNvPr id="14" name="Chart 13">
          <a:extLst>
            <a:ext uri="{FF2B5EF4-FFF2-40B4-BE49-F238E27FC236}">
              <a16:creationId xmlns:a16="http://schemas.microsoft.com/office/drawing/2014/main" id="{C734DF59-EBD1-48A8-959C-253E5BDC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35</xdr:row>
      <xdr:rowOff>0</xdr:rowOff>
    </xdr:from>
    <xdr:to>
      <xdr:col>12</xdr:col>
      <xdr:colOff>299216</xdr:colOff>
      <xdr:row>54</xdr:row>
      <xdr:rowOff>1621</xdr:rowOff>
    </xdr:to>
    <xdr:graphicFrame macro="">
      <xdr:nvGraphicFramePr>
        <xdr:cNvPr id="15" name="Chart 14">
          <a:extLst>
            <a:ext uri="{FF2B5EF4-FFF2-40B4-BE49-F238E27FC236}">
              <a16:creationId xmlns:a16="http://schemas.microsoft.com/office/drawing/2014/main" id="{8ACADD53-137E-40CF-B377-47429919E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35</xdr:row>
      <xdr:rowOff>0</xdr:rowOff>
    </xdr:from>
    <xdr:to>
      <xdr:col>9</xdr:col>
      <xdr:colOff>928244</xdr:colOff>
      <xdr:row>54</xdr:row>
      <xdr:rowOff>1621</xdr:rowOff>
    </xdr:to>
    <xdr:graphicFrame macro="">
      <xdr:nvGraphicFramePr>
        <xdr:cNvPr id="16" name="Chart 15">
          <a:extLst>
            <a:ext uri="{FF2B5EF4-FFF2-40B4-BE49-F238E27FC236}">
              <a16:creationId xmlns:a16="http://schemas.microsoft.com/office/drawing/2014/main" id="{AFC58DE0-B40D-4BFD-B754-17D9D9AD8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75</xdr:row>
      <xdr:rowOff>0</xdr:rowOff>
    </xdr:from>
    <xdr:to>
      <xdr:col>12</xdr:col>
      <xdr:colOff>211066</xdr:colOff>
      <xdr:row>94</xdr:row>
      <xdr:rowOff>1621</xdr:rowOff>
    </xdr:to>
    <xdr:graphicFrame macro="">
      <xdr:nvGraphicFramePr>
        <xdr:cNvPr id="17" name="Chart 16">
          <a:extLst>
            <a:ext uri="{FF2B5EF4-FFF2-40B4-BE49-F238E27FC236}">
              <a16:creationId xmlns:a16="http://schemas.microsoft.com/office/drawing/2014/main" id="{296E760E-1DC8-4ABB-904D-B3244AA89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95</xdr:row>
      <xdr:rowOff>0</xdr:rowOff>
    </xdr:from>
    <xdr:to>
      <xdr:col>9</xdr:col>
      <xdr:colOff>928243</xdr:colOff>
      <xdr:row>114</xdr:row>
      <xdr:rowOff>1621</xdr:rowOff>
    </xdr:to>
    <xdr:graphicFrame macro="">
      <xdr:nvGraphicFramePr>
        <xdr:cNvPr id="18" name="Chart 17">
          <a:extLst>
            <a:ext uri="{FF2B5EF4-FFF2-40B4-BE49-F238E27FC236}">
              <a16:creationId xmlns:a16="http://schemas.microsoft.com/office/drawing/2014/main" id="{70E2D184-0843-469B-8D4D-83D5743F2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452456</xdr:colOff>
      <xdr:row>60</xdr:row>
      <xdr:rowOff>1</xdr:rowOff>
    </xdr:from>
    <xdr:to>
      <xdr:col>12</xdr:col>
      <xdr:colOff>4448937</xdr:colOff>
      <xdr:row>79</xdr:row>
      <xdr:rowOff>1622</xdr:rowOff>
    </xdr:to>
    <xdr:graphicFrame macro="">
      <xdr:nvGraphicFramePr>
        <xdr:cNvPr id="2" name="Chart 1">
          <a:extLst>
            <a:ext uri="{FF2B5EF4-FFF2-40B4-BE49-F238E27FC236}">
              <a16:creationId xmlns:a16="http://schemas.microsoft.com/office/drawing/2014/main" id="{7EAF165D-2474-4A3D-9DE5-B844B1D3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0</xdr:rowOff>
    </xdr:from>
    <xdr:to>
      <xdr:col>10</xdr:col>
      <xdr:colOff>195758</xdr:colOff>
      <xdr:row>79</xdr:row>
      <xdr:rowOff>1621</xdr:rowOff>
    </xdr:to>
    <xdr:graphicFrame macro="">
      <xdr:nvGraphicFramePr>
        <xdr:cNvPr id="3" name="Chart 2">
          <a:extLst>
            <a:ext uri="{FF2B5EF4-FFF2-40B4-BE49-F238E27FC236}">
              <a16:creationId xmlns:a16="http://schemas.microsoft.com/office/drawing/2014/main" id="{BFBA2F79-1897-4481-BCCA-BD069D82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145676</xdr:colOff>
      <xdr:row>80</xdr:row>
      <xdr:rowOff>179294</xdr:rowOff>
    </xdr:from>
    <xdr:to>
      <xdr:col>6</xdr:col>
      <xdr:colOff>665629</xdr:colOff>
      <xdr:row>100</xdr:row>
      <xdr:rowOff>26894</xdr:rowOff>
    </xdr:to>
    <xdr:graphicFrame macro="">
      <xdr:nvGraphicFramePr>
        <xdr:cNvPr id="13" name="Chart 12">
          <a:extLst>
            <a:ext uri="{FF2B5EF4-FFF2-40B4-BE49-F238E27FC236}">
              <a16:creationId xmlns:a16="http://schemas.microsoft.com/office/drawing/2014/main" id="{00A6A355-FF0E-4654-BED2-42DBAB833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758289</xdr:colOff>
      <xdr:row>46</xdr:row>
      <xdr:rowOff>0</xdr:rowOff>
    </xdr:from>
    <xdr:to>
      <xdr:col>9</xdr:col>
      <xdr:colOff>354528</xdr:colOff>
      <xdr:row>65</xdr:row>
      <xdr:rowOff>27214</xdr:rowOff>
    </xdr:to>
    <xdr:graphicFrame macro="">
      <xdr:nvGraphicFramePr>
        <xdr:cNvPr id="7" name="Chart 6">
          <a:extLst>
            <a:ext uri="{FF2B5EF4-FFF2-40B4-BE49-F238E27FC236}">
              <a16:creationId xmlns:a16="http://schemas.microsoft.com/office/drawing/2014/main" id="{3A8B9981-5339-4F29-8F54-40FE3297C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751484</xdr:colOff>
      <xdr:row>48</xdr:row>
      <xdr:rowOff>2719</xdr:rowOff>
    </xdr:from>
    <xdr:to>
      <xdr:col>11</xdr:col>
      <xdr:colOff>1943470</xdr:colOff>
      <xdr:row>62</xdr:row>
      <xdr:rowOff>78919</xdr:rowOff>
    </xdr:to>
    <xdr:graphicFrame macro="">
      <xdr:nvGraphicFramePr>
        <xdr:cNvPr id="8" name="Chart 7">
          <a:extLst>
            <a:ext uri="{FF2B5EF4-FFF2-40B4-BE49-F238E27FC236}">
              <a16:creationId xmlns:a16="http://schemas.microsoft.com/office/drawing/2014/main" id="{29CFD4DD-B9CA-474B-8677-235D569D3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905639</xdr:colOff>
      <xdr:row>45</xdr:row>
      <xdr:rowOff>134064</xdr:rowOff>
    </xdr:from>
    <xdr:to>
      <xdr:col>12</xdr:col>
      <xdr:colOff>4563239</xdr:colOff>
      <xdr:row>64</xdr:row>
      <xdr:rowOff>172164</xdr:rowOff>
    </xdr:to>
    <xdr:graphicFrame macro="">
      <xdr:nvGraphicFramePr>
        <xdr:cNvPr id="9" name="Chart 8">
          <a:extLst>
            <a:ext uri="{FF2B5EF4-FFF2-40B4-BE49-F238E27FC236}">
              <a16:creationId xmlns:a16="http://schemas.microsoft.com/office/drawing/2014/main" id="{BF41C547-6FEC-4B64-A6FA-CA1862258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9</xdr:row>
      <xdr:rowOff>0</xdr:rowOff>
    </xdr:from>
    <xdr:to>
      <xdr:col>8</xdr:col>
      <xdr:colOff>342900</xdr:colOff>
      <xdr:row>28</xdr:row>
      <xdr:rowOff>1621</xdr:rowOff>
    </xdr:to>
    <xdr:graphicFrame macro="">
      <xdr:nvGraphicFramePr>
        <xdr:cNvPr id="2" name="Chart 1">
          <a:extLst>
            <a:ext uri="{FF2B5EF4-FFF2-40B4-BE49-F238E27FC236}">
              <a16:creationId xmlns:a16="http://schemas.microsoft.com/office/drawing/2014/main" id="{B7A0A627-50BB-47E0-AC17-BCE88341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481012</xdr:colOff>
      <xdr:row>10</xdr:row>
      <xdr:rowOff>166687</xdr:rowOff>
    </xdr:from>
    <xdr:to>
      <xdr:col>12</xdr:col>
      <xdr:colOff>319087</xdr:colOff>
      <xdr:row>25</xdr:row>
      <xdr:rowOff>52387</xdr:rowOff>
    </xdr:to>
    <xdr:graphicFrame macro="">
      <xdr:nvGraphicFramePr>
        <xdr:cNvPr id="3" name="Chart 2">
          <a:extLst>
            <a:ext uri="{FF2B5EF4-FFF2-40B4-BE49-F238E27FC236}">
              <a16:creationId xmlns:a16="http://schemas.microsoft.com/office/drawing/2014/main" id="{5412EB6D-5400-4C26-A952-B06C2739E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5438775</xdr:colOff>
      <xdr:row>34</xdr:row>
      <xdr:rowOff>0</xdr:rowOff>
    </xdr:from>
    <xdr:to>
      <xdr:col>9</xdr:col>
      <xdr:colOff>122978</xdr:colOff>
      <xdr:row>53</xdr:row>
      <xdr:rowOff>1621</xdr:rowOff>
    </xdr:to>
    <xdr:graphicFrame macro="">
      <xdr:nvGraphicFramePr>
        <xdr:cNvPr id="7" name="Chart 6">
          <a:extLst>
            <a:ext uri="{FF2B5EF4-FFF2-40B4-BE49-F238E27FC236}">
              <a16:creationId xmlns:a16="http://schemas.microsoft.com/office/drawing/2014/main" id="{5541FE3C-4C2B-4F9A-99E9-4708E04D4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34</xdr:row>
      <xdr:rowOff>47625</xdr:rowOff>
    </xdr:from>
    <xdr:to>
      <xdr:col>13</xdr:col>
      <xdr:colOff>904028</xdr:colOff>
      <xdr:row>53</xdr:row>
      <xdr:rowOff>49246</xdr:rowOff>
    </xdr:to>
    <xdr:graphicFrame macro="">
      <xdr:nvGraphicFramePr>
        <xdr:cNvPr id="8" name="Chart 7">
          <a:extLst>
            <a:ext uri="{FF2B5EF4-FFF2-40B4-BE49-F238E27FC236}">
              <a16:creationId xmlns:a16="http://schemas.microsoft.com/office/drawing/2014/main" id="{7D19D1E2-C56A-4F9A-827D-BD7F44F5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9</xdr:col>
      <xdr:colOff>121857</xdr:colOff>
      <xdr:row>72</xdr:row>
      <xdr:rowOff>1621</xdr:rowOff>
    </xdr:to>
    <xdr:graphicFrame macro="">
      <xdr:nvGraphicFramePr>
        <xdr:cNvPr id="10" name="Chart 9">
          <a:extLst>
            <a:ext uri="{FF2B5EF4-FFF2-40B4-BE49-F238E27FC236}">
              <a16:creationId xmlns:a16="http://schemas.microsoft.com/office/drawing/2014/main" id="{72BAD257-DA84-4031-92AD-D0A392BA5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agcensus.usda.gov/Publications/2012/Online_Resources/Highlights/Farm_Demographics/" TargetMode="External"/><Relationship Id="rId13" Type="http://schemas.openxmlformats.org/officeDocument/2006/relationships/hyperlink" Target="https://www.ers.usda.gov/data-products/foreign-agricultural-trade-of-the-united-states-fatus/us-agricultural-trade-data-update/" TargetMode="External"/><Relationship Id="rId18" Type="http://schemas.openxmlformats.org/officeDocument/2006/relationships/hyperlink" Target="https://www.ers.usda.gov/data-products/fertilizer-use-and-price.aspx" TargetMode="External"/><Relationship Id="rId3" Type="http://schemas.openxmlformats.org/officeDocument/2006/relationships/hyperlink" Target="https://www.agcensus.usda.gov/Publications/2012/Online_Resources/Highlights/Farms_and_Farmland/Highlights_Farms_and_Farmland.pdf" TargetMode="External"/><Relationship Id="rId21" Type="http://schemas.openxmlformats.org/officeDocument/2006/relationships/printerSettings" Target="../printerSettings/printerSettings1.bin"/><Relationship Id="rId7" Type="http://schemas.openxmlformats.org/officeDocument/2006/relationships/hyperlink" Target="http://usda.mannlib.cornell.edu/MannUsda/viewDocumentInfo.do?documentID=1259" TargetMode="External"/><Relationship Id="rId12" Type="http://schemas.openxmlformats.org/officeDocument/2006/relationships/hyperlink" Target="https://quickstats.nass.usda.gov/results/FE8787AE-F141-38C3-A8D7-17EC943640FB" TargetMode="External"/><Relationship Id="rId17" Type="http://schemas.openxmlformats.org/officeDocument/2006/relationships/hyperlink" Target="https://www.ers.usda.gov/data-products/fertilizer-use-and-price.aspx" TargetMode="External"/><Relationship Id="rId2" Type="http://schemas.openxmlformats.org/officeDocument/2006/relationships/hyperlink" Target="https://www.agcensus.usda.gov/Publications/2012/Online_Resources/Highlights/Farms_and_Farmland/Highlights_Farms_and_Farmland.pdf" TargetMode="External"/><Relationship Id="rId16" Type="http://schemas.openxmlformats.org/officeDocument/2006/relationships/hyperlink" Target="https://www.ers.usda.gov/data-products/fertilizer-use-and-price.aspx" TargetMode="External"/><Relationship Id="rId20" Type="http://schemas.openxmlformats.org/officeDocument/2006/relationships/hyperlink" Target="https://www.ers.usda.gov/data-products/fertilizer-use-and-price.aspx"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usda.mannlib.cornell.edu/MannUsda/viewDocumentInfo.do?documentID=1259" TargetMode="External"/><Relationship Id="rId11" Type="http://schemas.openxmlformats.org/officeDocument/2006/relationships/hyperlink" Target="https://www.ers.usda.gov/data-products/farm-income-and-wealth-statistics/data-files-us-and-state-level-farm-income-and-wealth-statistics/" TargetMode="External"/><Relationship Id="rId24" Type="http://schemas.openxmlformats.org/officeDocument/2006/relationships/comments" Target="../comments1.xml"/><Relationship Id="rId5" Type="http://schemas.openxmlformats.org/officeDocument/2006/relationships/hyperlink" Target="https://www.agcensus.usda.gov/Publications/2012/Online_Resources/Highlights/Farms_and_Farmland/Highlights_Farms_and_Farmland.pdf" TargetMode="External"/><Relationship Id="rId15" Type="http://schemas.openxmlformats.org/officeDocument/2006/relationships/hyperlink" Target="https://www.ers.usda.gov/data-products/fertilizer-use-and-price.aspx" TargetMode="External"/><Relationship Id="rId23" Type="http://schemas.openxmlformats.org/officeDocument/2006/relationships/vmlDrawing" Target="../drawings/vmlDrawing1.vml"/><Relationship Id="rId10" Type="http://schemas.openxmlformats.org/officeDocument/2006/relationships/hyperlink" Target="https://data.worldbank.org/indicator/SL.AGR.EMPL.ZS?locations=US&amp;name_desc=true" TargetMode="External"/><Relationship Id="rId19" Type="http://schemas.openxmlformats.org/officeDocument/2006/relationships/hyperlink" Target="https://www.ers.usda.gov/data-products/fertilizer-use-and-price.aspx" TargetMode="Externa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data.ers.usda.gov/reports.aspx?ID=17831" TargetMode="External"/><Relationship Id="rId14" Type="http://schemas.openxmlformats.org/officeDocument/2006/relationships/hyperlink" Target="https://www.ers.usda.gov/data-products/fertilizer-use-and-price.aspx" TargetMode="Externa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rs.usda.gov/data-products/fertilizer-use-and-price.aspx" TargetMode="External"/><Relationship Id="rId13" Type="http://schemas.openxmlformats.org/officeDocument/2006/relationships/hyperlink" Target="https://apps.fas.usda.gov/psdonline/app/index.html" TargetMode="External"/><Relationship Id="rId18" Type="http://schemas.openxmlformats.org/officeDocument/2006/relationships/printerSettings" Target="../printerSettings/printerSettings2.bin"/><Relationship Id="rId3" Type="http://schemas.openxmlformats.org/officeDocument/2006/relationships/hyperlink" Target="https://quickstats.nass.usda.gov/results/5C42EA33-506B-37F7-871A-178A7B2FDB70" TargetMode="External"/><Relationship Id="rId7" Type="http://schemas.openxmlformats.org/officeDocument/2006/relationships/hyperlink" Target="https://www.ers.usda.gov/data-products/fertilizer-use-and-price.aspx" TargetMode="External"/><Relationship Id="rId12" Type="http://schemas.openxmlformats.org/officeDocument/2006/relationships/hyperlink" Target="https://apps.fas.usda.gov/psdonline/app/index.html" TargetMode="External"/><Relationship Id="rId17" Type="http://schemas.openxmlformats.org/officeDocument/2006/relationships/hyperlink" Target="https://www.eia.gov/biofuels/biodiesel/production/archive/" TargetMode="External"/><Relationship Id="rId2" Type="http://schemas.openxmlformats.org/officeDocument/2006/relationships/hyperlink" Target="https://apps.fas.usda.gov/psdonline/app/index.html" TargetMode="External"/><Relationship Id="rId16" Type="http://schemas.openxmlformats.org/officeDocument/2006/relationships/hyperlink" Target="https://quickstats.nass.usda.gov/results/6470F0BD-2744-3376-97E7-7B7F46D09C66" TargetMode="External"/><Relationship Id="rId1" Type="http://schemas.openxmlformats.org/officeDocument/2006/relationships/hyperlink" Target="https://www-statista-com.proxy.lib.duke.edu/statistics/269931/global-distribution-of-grain-consumption/" TargetMode="External"/><Relationship Id="rId6" Type="http://schemas.openxmlformats.org/officeDocument/2006/relationships/hyperlink" Target="https://www-statista-com.proxy.lib.duke.edu/statistics/269931/global-distribution-of-grain-consumption/" TargetMode="External"/><Relationship Id="rId11" Type="http://schemas.openxmlformats.org/officeDocument/2006/relationships/hyperlink" Target="https://quickstats.nass.usda.gov/results/B064DE81-3626-3F18-B562-BBF6B877613A" TargetMode="External"/><Relationship Id="rId5" Type="http://schemas.openxmlformats.org/officeDocument/2006/relationships/hyperlink" Target="https://apps.fas.usda.gov/psdonline/app/index.html" TargetMode="External"/><Relationship Id="rId15" Type="http://schemas.openxmlformats.org/officeDocument/2006/relationships/hyperlink" Target="https://apps.fas.usda.gov/psdonline/app/index.html" TargetMode="External"/><Relationship Id="rId10" Type="http://schemas.openxmlformats.org/officeDocument/2006/relationships/hyperlink" Target="https://www-statista-com.proxy.lib.duke.edu/statistics/269931/global-distribution-of-grain-consumption/" TargetMode="External"/><Relationship Id="rId19" Type="http://schemas.openxmlformats.org/officeDocument/2006/relationships/drawing" Target="../drawings/drawing2.xm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www.ers.usda.gov/data-products/fertilizer-use-and-price.aspx" TargetMode="External"/><Relationship Id="rId14" Type="http://schemas.openxmlformats.org/officeDocument/2006/relationships/hyperlink" Target="https://apps.fas.usda.gov/psdonline/app/index.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quickstats.nass.usda.gov/results/25621CF1-71CE-3AF9-9CE4-69B2C52D0D72" TargetMode="External"/><Relationship Id="rId3" Type="http://schemas.openxmlformats.org/officeDocument/2006/relationships/hyperlink" Target="https://quickstats.nass.usda.gov/results/7539B9E8-3C98-3BA5-AB49-19F9CC39402E"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3.xml"/><Relationship Id="rId5" Type="http://schemas.openxmlformats.org/officeDocument/2006/relationships/hyperlink" Target="https://apps.fas.usda.gov/psdonline/app/index.html" TargetMode="External"/><Relationship Id="rId10" Type="http://schemas.openxmlformats.org/officeDocument/2006/relationships/printerSettings" Target="../printerSettings/printerSettings3.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FDBAF890-6232-3032-8271-F98ED7B43DE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quickstats.nass.usda.gov/results/775E91AB-2C7E-3E11-8F6F-1E6167569EC2" TargetMode="External"/><Relationship Id="rId3" Type="http://schemas.openxmlformats.org/officeDocument/2006/relationships/hyperlink" Target="https://quickstats.nass.usda.gov/results/616E13D1-D39B-350E-9E93-142A3459195C"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4.xml"/><Relationship Id="rId5" Type="http://schemas.openxmlformats.org/officeDocument/2006/relationships/hyperlink" Target="https://apps.fas.usda.gov/psdonline/app/index.html" TargetMode="External"/><Relationship Id="rId10" Type="http://schemas.openxmlformats.org/officeDocument/2006/relationships/printerSettings" Target="../printerSettings/printerSettings4.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BCCC15CB-5216-3401-B519-C2BB83E644E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ps.fas.usda.gov/psdonline/app/index.html" TargetMode="External"/><Relationship Id="rId3" Type="http://schemas.openxmlformats.org/officeDocument/2006/relationships/hyperlink" Target="https://quickstats.nass.usda.gov/results/08484567-6CF0-3161-9235-4A95DDAEA6D9" TargetMode="External"/><Relationship Id="rId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5.xml"/><Relationship Id="rId5" Type="http://schemas.openxmlformats.org/officeDocument/2006/relationships/hyperlink" Target="https://quickstats.nass.usda.gov/results/E68DC303-733D-3F66-898C-4A7BB3564A21" TargetMode="External"/><Relationship Id="rId10" Type="http://schemas.openxmlformats.org/officeDocument/2006/relationships/printerSettings" Target="../printerSettings/printerSettings5.bin"/><Relationship Id="rId4" Type="http://schemas.openxmlformats.org/officeDocument/2006/relationships/hyperlink" Target="https://apps.fas.usda.gov/psdonline/app/index.html" TargetMode="External"/><Relationship Id="rId9" Type="http://schemas.openxmlformats.org/officeDocument/2006/relationships/hyperlink" Target="https://quickstats.nass.usda.gov/results/3E3F6BD7-760C-3963-ABF0-5229957F939D"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www.ers.usda.gov/data-products/fertilizer-use-and-price.aspx" TargetMode="External"/><Relationship Id="rId7" Type="http://schemas.openxmlformats.org/officeDocument/2006/relationships/hyperlink" Target="https://www.ers.usda.gov/publications/pub-details/?pubid=86740" TargetMode="External"/><Relationship Id="rId2" Type="http://schemas.openxmlformats.org/officeDocument/2006/relationships/hyperlink" Target="https://www.ers.usda.gov/data-products/fertilizer-use-and-price.aspx"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s://www.ers.usda.gov/data-products/us-bioenergy-statistics/us-bioenergy-statistics/" TargetMode="External"/><Relationship Id="rId5" Type="http://schemas.openxmlformats.org/officeDocument/2006/relationships/hyperlink" Target="https://www.ers.usda.gov/data-products/oil-crops-yearbook/oil-crops-yearbook/" TargetMode="External"/><Relationship Id="rId4" Type="http://schemas.openxmlformats.org/officeDocument/2006/relationships/hyperlink" Target="https://www.ers.usda.gov/data-products/fertilizer-use-and-price.aspx" TargetMode="External"/><Relationship Id="rId9"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rs.usda.gov/data-products/oil-crops-yearbook/oil-crops-yearbook/" TargetMode="External"/><Relationship Id="rId1" Type="http://schemas.openxmlformats.org/officeDocument/2006/relationships/hyperlink" Target="https://quickstats.nass.usda.gov/results/B791A232-7671-30D0-8EE5-6B0928C41BFF"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quickstats.nass.usda.gov/results/31BEFE18-3EC9-362D-897A-11FF412FD0CA"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quickstats.nass.usda.gov/results/80C57AAB-11C8-3F8B-904C-3200C4A13C2F"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ia.gov/biofuels/biodiesel/production/archive/" TargetMode="External"/><Relationship Id="rId1" Type="http://schemas.openxmlformats.org/officeDocument/2006/relationships/hyperlink" Target="https://quickstats.nass.usda.gov/results/3E507DA6-3070-3BED-B57D-AF15AA455D65"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naics.com/naics-code-description/?code=321999" TargetMode="External"/><Relationship Id="rId2" Type="http://schemas.openxmlformats.org/officeDocument/2006/relationships/hyperlink" Target="https://www.eia.gov/totalenergy/data/monthly/pdf/mer.pdf" TargetMode="External"/><Relationship Id="rId1" Type="http://schemas.openxmlformats.org/officeDocument/2006/relationships/hyperlink" Target="https://www.epa.gov/agstar/livestock-anaerobic-digester-database" TargetMode="External"/><Relationship Id="rId5" Type="http://schemas.openxmlformats.org/officeDocument/2006/relationships/printerSettings" Target="../printerSettings/printerSettings11.bin"/><Relationship Id="rId4" Type="http://schemas.openxmlformats.org/officeDocument/2006/relationships/hyperlink" Target="http://energyrecoverycouncil.org/wp-content/uploads/2016/01/ERC_2014_Directory.pdf"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eia.gov/totalenergy/data/monthly/pdf/sec10_5.pdf" TargetMode="External"/><Relationship Id="rId13" Type="http://schemas.openxmlformats.org/officeDocument/2006/relationships/hyperlink" Target="https://www.afdc.energy.gov/fuels/prices.html" TargetMode="External"/><Relationship Id="rId18" Type="http://schemas.openxmlformats.org/officeDocument/2006/relationships/vmlDrawing" Target="../drawings/vmlDrawing2.vml"/><Relationship Id="rId3" Type="http://schemas.openxmlformats.org/officeDocument/2006/relationships/hyperlink" Target="http://ethanolproducer.com/plants/listplants/US/Existing/Sugar-Starch/" TargetMode="External"/><Relationship Id="rId7" Type="http://schemas.openxmlformats.org/officeDocument/2006/relationships/hyperlink" Target="http://www.fapri.iastate.edu/outlook/2012/tables/5-Biofuels.pdf" TargetMode="External"/><Relationship Id="rId12" Type="http://schemas.openxmlformats.org/officeDocument/2006/relationships/hyperlink" Target="https://www.ers.usda.gov/data-products/us-bioenergy-statistics/" TargetMode="External"/><Relationship Id="rId17" Type="http://schemas.openxmlformats.org/officeDocument/2006/relationships/drawing" Target="../drawings/drawing11.xml"/><Relationship Id="rId2" Type="http://schemas.openxmlformats.org/officeDocument/2006/relationships/hyperlink" Target="http://www.ethanolrfa.org/resources/publications/" TargetMode="External"/><Relationship Id="rId16" Type="http://schemas.openxmlformats.org/officeDocument/2006/relationships/printerSettings" Target="../printerSettings/printerSettings12.bin"/><Relationship Id="rId1" Type="http://schemas.openxmlformats.org/officeDocument/2006/relationships/hyperlink" Target="http://ethanolproducer.com/plants/listplants/US/Existing/Cellulosic" TargetMode="External"/><Relationship Id="rId6" Type="http://schemas.openxmlformats.org/officeDocument/2006/relationships/hyperlink" Target="https://www.ers.usda.gov/data-products/us-bioenergy-statistics/" TargetMode="External"/><Relationship Id="rId11" Type="http://schemas.openxmlformats.org/officeDocument/2006/relationships/hyperlink" Target="https://www.eia.gov/dnav/pet/hist/LeafHandler.ashx?n=PET&amp;s=MFEIMUS1&amp;f=A" TargetMode="External"/><Relationship Id="rId5" Type="http://schemas.openxmlformats.org/officeDocument/2006/relationships/hyperlink" Target="https://www.epa.gov/fuels-registration-reporting-and-compliance-help/2017-renewable-fuel-standard-data" TargetMode="External"/><Relationship Id="rId15" Type="http://schemas.openxmlformats.org/officeDocument/2006/relationships/hyperlink" Target="https://www.eia.gov/totalenergy/data/monthly/pdf/mer.pdf" TargetMode="External"/><Relationship Id="rId10" Type="http://schemas.openxmlformats.org/officeDocument/2006/relationships/hyperlink" Target="https://www.eia.gov/totalenergy/data/monthly/pdf/sec10_5.pdf" TargetMode="External"/><Relationship Id="rId19" Type="http://schemas.openxmlformats.org/officeDocument/2006/relationships/comments" Target="../comments2.xml"/><Relationship Id="rId4" Type="http://schemas.openxmlformats.org/officeDocument/2006/relationships/hyperlink" Target="http://ethanolproducer.com/plants/listplants/US/Existing/Sugar-Starch/" TargetMode="External"/><Relationship Id="rId9" Type="http://schemas.openxmlformats.org/officeDocument/2006/relationships/hyperlink" Target="https://www.eia.gov/totalenergy/data/monthly/pdf/sec10_7.pdf" TargetMode="External"/><Relationship Id="rId14" Type="http://schemas.openxmlformats.org/officeDocument/2006/relationships/hyperlink" Target="https://www.afdc.energy.gov/fuels/prices.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eia.gov/biofuels/biodiesel/production/archive/" TargetMode="External"/><Relationship Id="rId13" Type="http://schemas.openxmlformats.org/officeDocument/2006/relationships/hyperlink" Target="https://www.afdc.energy.gov/fuels/prices.html" TargetMode="External"/><Relationship Id="rId3" Type="http://schemas.openxmlformats.org/officeDocument/2006/relationships/hyperlink" Target="http://www.biodieselmagazine.com/plants/listplants/USA/construction/" TargetMode="External"/><Relationship Id="rId7" Type="http://schemas.openxmlformats.org/officeDocument/2006/relationships/hyperlink" Target="http://www.biodieselmagazine.com/plants/listplants/USA/existing/" TargetMode="External"/><Relationship Id="rId12" Type="http://schemas.openxmlformats.org/officeDocument/2006/relationships/hyperlink" Target="https://www.afdc.energy.gov/fuels/prices.html" TargetMode="External"/><Relationship Id="rId2" Type="http://schemas.openxmlformats.org/officeDocument/2006/relationships/hyperlink" Target="http://www.biodieselmagazine.com/plants/listplants/USA/proposed/" TargetMode="External"/><Relationship Id="rId16" Type="http://schemas.openxmlformats.org/officeDocument/2006/relationships/drawing" Target="../drawings/drawing12.xml"/><Relationship Id="rId1" Type="http://schemas.openxmlformats.org/officeDocument/2006/relationships/hyperlink" Target="https://www.ers.usda.gov/data-products/us-bioenergy-statistics/" TargetMode="External"/><Relationship Id="rId6" Type="http://schemas.openxmlformats.org/officeDocument/2006/relationships/hyperlink" Target="http://www.biodieselmagazine.com/plants/listplants/USA/existing/" TargetMode="External"/><Relationship Id="rId11" Type="http://schemas.openxmlformats.org/officeDocument/2006/relationships/hyperlink" Target="https://www.eia.gov/totalenergy/data/monthly/pdf/sec10_5.pdf" TargetMode="External"/><Relationship Id="rId5" Type="http://schemas.openxmlformats.org/officeDocument/2006/relationships/hyperlink" Target="https://www.eia.gov/biofuels/biodiesel/production/archive/" TargetMode="External"/><Relationship Id="rId15" Type="http://schemas.openxmlformats.org/officeDocument/2006/relationships/printerSettings" Target="../printerSettings/printerSettings13.bin"/><Relationship Id="rId10" Type="http://schemas.openxmlformats.org/officeDocument/2006/relationships/hyperlink" Target="https://www.eia.gov/totalenergy/data/monthly/pdf/sec10_8.pdf" TargetMode="External"/><Relationship Id="rId4" Type="http://schemas.openxmlformats.org/officeDocument/2006/relationships/hyperlink" Target="https://www.eia.gov/biofuels/biodiesel/production/archive/" TargetMode="External"/><Relationship Id="rId9" Type="http://schemas.openxmlformats.org/officeDocument/2006/relationships/hyperlink" Target="https://www.ers.usda.gov/data-products/us-bioenergy-statistics/" TargetMode="External"/><Relationship Id="rId14" Type="http://schemas.openxmlformats.org/officeDocument/2006/relationships/hyperlink" Target="https://www.afdc.energy.gov/fuels/prices.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eia.gov/totalenergy/data/monthly/pdf/mer.pdf" TargetMode="External"/><Relationship Id="rId13" Type="http://schemas.openxmlformats.org/officeDocument/2006/relationships/hyperlink" Target="https://www.eia.gov/totalenergy/data/monthly/pdf/mer.pdf" TargetMode="External"/><Relationship Id="rId18" Type="http://schemas.openxmlformats.org/officeDocument/2006/relationships/hyperlink" Target="http://www.fao.org/faostat/en/" TargetMode="External"/><Relationship Id="rId3" Type="http://schemas.openxmlformats.org/officeDocument/2006/relationships/hyperlink" Target="http://task32.ieabioenergy.com/wp-content/uploads/2017/03/03-Fiona_Matthews.pdf" TargetMode="External"/><Relationship Id="rId7" Type="http://schemas.openxmlformats.org/officeDocument/2006/relationships/hyperlink" Target="https://comtrade.un.org/data/" TargetMode="External"/><Relationship Id="rId12" Type="http://schemas.openxmlformats.org/officeDocument/2006/relationships/hyperlink" Target="https://www.eia.gov/totalenergy/data/monthly/pdf/mer.pdf" TargetMode="External"/><Relationship Id="rId17" Type="http://schemas.openxmlformats.org/officeDocument/2006/relationships/hyperlink" Target="https://comtrade.un.org/data/" TargetMode="External"/><Relationship Id="rId2" Type="http://schemas.openxmlformats.org/officeDocument/2006/relationships/hyperlink" Target="https://www.eia.gov/totalenergy/data/monthly/pdf/mer.pdf" TargetMode="External"/><Relationship Id="rId16" Type="http://schemas.openxmlformats.org/officeDocument/2006/relationships/hyperlink" Target="https://comtrade.un.org/data/" TargetMode="External"/><Relationship Id="rId20" Type="http://schemas.openxmlformats.org/officeDocument/2006/relationships/drawing" Target="../drawings/drawing13.xml"/><Relationship Id="rId1" Type="http://schemas.openxmlformats.org/officeDocument/2006/relationships/hyperlink" Target="https://www.eia.gov/biofuels/biomass/" TargetMode="External"/><Relationship Id="rId6" Type="http://schemas.openxmlformats.org/officeDocument/2006/relationships/hyperlink" Target="https://www.naics.com/naics-code-description/?code=321999" TargetMode="External"/><Relationship Id="rId11" Type="http://schemas.openxmlformats.org/officeDocument/2006/relationships/hyperlink" Target="https://www.eia.gov/totalenergy/data/monthly/pdf/mer.pdf" TargetMode="External"/><Relationship Id="rId5" Type="http://schemas.openxmlformats.org/officeDocument/2006/relationships/hyperlink" Target="http://www.eia.gov/biofuels/biomass/" TargetMode="External"/><Relationship Id="rId15" Type="http://schemas.openxmlformats.org/officeDocument/2006/relationships/hyperlink" Target="https://comtrade.un.org/data/" TargetMode="External"/><Relationship Id="rId10" Type="http://schemas.openxmlformats.org/officeDocument/2006/relationships/hyperlink" Target="https://www.eia.gov/totalenergy/data/monthly/pdf/mer.pdf" TargetMode="External"/><Relationship Id="rId19" Type="http://schemas.openxmlformats.org/officeDocument/2006/relationships/printerSettings" Target="../printerSettings/printerSettings14.bin"/><Relationship Id="rId4" Type="http://schemas.openxmlformats.org/officeDocument/2006/relationships/hyperlink" Target="http://www.eia.gov/biofuels/biomass/" TargetMode="External"/><Relationship Id="rId9" Type="http://schemas.openxmlformats.org/officeDocument/2006/relationships/hyperlink" Target="https://www.eia.gov/totalenergy/data/monthly/pdf/mer.pdf" TargetMode="External"/><Relationship Id="rId14" Type="http://schemas.openxmlformats.org/officeDocument/2006/relationships/hyperlink" Target="https://www.eia.gov/totalenergy/data/monthly/pdf/mer.pdf"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eia.gov/electricity/annual/html/epa_05_07_a.html" TargetMode="External"/><Relationship Id="rId13" Type="http://schemas.openxmlformats.org/officeDocument/2006/relationships/hyperlink" Target="http://www.eia.gov/electricity/annual/html/epa_05_07_a.html" TargetMode="External"/><Relationship Id="rId18" Type="http://schemas.openxmlformats.org/officeDocument/2006/relationships/hyperlink" Target="http://www.eia.gov/electricity/annual/html/epa_05_07_a.html" TargetMode="External"/><Relationship Id="rId3" Type="http://schemas.openxmlformats.org/officeDocument/2006/relationships/hyperlink" Target="http://energyrecoverycouncil.org/wp-content/uploads/2016/01/ERC_2014_Directory.pdf" TargetMode="External"/><Relationship Id="rId21" Type="http://schemas.openxmlformats.org/officeDocument/2006/relationships/drawing" Target="../drawings/drawing14.xml"/><Relationship Id="rId7" Type="http://schemas.openxmlformats.org/officeDocument/2006/relationships/hyperlink" Target="http://energyrecoverycouncil.org/wp-content/uploads/2016/06/ERC-2016-directory.pdf" TargetMode="External"/><Relationship Id="rId12" Type="http://schemas.openxmlformats.org/officeDocument/2006/relationships/hyperlink" Target="http://www.eia.gov/electricity/annual/html/epa_05_07_a.html" TargetMode="External"/><Relationship Id="rId17" Type="http://schemas.openxmlformats.org/officeDocument/2006/relationships/hyperlink" Target="http://www.eia.gov/electricity/annual/html/epa_05_07_a.html" TargetMode="External"/><Relationship Id="rId2" Type="http://schemas.openxmlformats.org/officeDocument/2006/relationships/hyperlink" Target="https://www.eia.gov/electricity/data/eia860m/" TargetMode="External"/><Relationship Id="rId16" Type="http://schemas.openxmlformats.org/officeDocument/2006/relationships/hyperlink" Target="http://www.eia.gov/electricity/annual/html/epa_05_07_a.html" TargetMode="External"/><Relationship Id="rId20" Type="http://schemas.openxmlformats.org/officeDocument/2006/relationships/printerSettings" Target="../printerSettings/printerSettings15.bin"/><Relationship Id="rId1" Type="http://schemas.openxmlformats.org/officeDocument/2006/relationships/hyperlink" Target="https://www.eia.gov/electricity/data/eia860m/" TargetMode="External"/><Relationship Id="rId6" Type="http://schemas.openxmlformats.org/officeDocument/2006/relationships/hyperlink" Target="https://www.eia.gov/electricity/data/eia860m/" TargetMode="External"/><Relationship Id="rId11" Type="http://schemas.openxmlformats.org/officeDocument/2006/relationships/hyperlink" Target="http://www.eia.gov/electricity/annual/html/epa_05_07_a.html" TargetMode="External"/><Relationship Id="rId5" Type="http://schemas.openxmlformats.org/officeDocument/2006/relationships/hyperlink" Target="https://www.eia.gov/electricity/data/eia860m/" TargetMode="External"/><Relationship Id="rId15" Type="http://schemas.openxmlformats.org/officeDocument/2006/relationships/hyperlink" Target="http://www.eia.gov/electricity/annual/html/epa_05_07_a.html" TargetMode="External"/><Relationship Id="rId10" Type="http://schemas.openxmlformats.org/officeDocument/2006/relationships/hyperlink" Target="http://www.eia.gov/electricity/annual/html/epa_05_07_a.html" TargetMode="External"/><Relationship Id="rId19" Type="http://schemas.openxmlformats.org/officeDocument/2006/relationships/hyperlink" Target="http://www.eia.gov/electricity/annual/html/epa_05_07_a.html" TargetMode="External"/><Relationship Id="rId4" Type="http://schemas.openxmlformats.org/officeDocument/2006/relationships/hyperlink" Target="https://www.eia.gov/electricity/data/eia860m/" TargetMode="External"/><Relationship Id="rId9" Type="http://schemas.openxmlformats.org/officeDocument/2006/relationships/hyperlink" Target="http://www.eia.gov/electricity/annual/html/epa_05_07_a.html" TargetMode="External"/><Relationship Id="rId14" Type="http://schemas.openxmlformats.org/officeDocument/2006/relationships/hyperlink" Target="http://www.eia.gov/electricity/annual/html/epa_05_07_a.html"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epa.gov/agstar/livestock-anaerobic-digester-database" TargetMode="External"/><Relationship Id="rId13" Type="http://schemas.openxmlformats.org/officeDocument/2006/relationships/hyperlink" Target="https://www.epa.gov/agstar/livestock-anaerobic-digester-database" TargetMode="External"/><Relationship Id="rId18" Type="http://schemas.openxmlformats.org/officeDocument/2006/relationships/hyperlink" Target="https://www.epa.gov/lmop/landfill-technical-data" TargetMode="External"/><Relationship Id="rId3" Type="http://schemas.openxmlformats.org/officeDocument/2006/relationships/hyperlink" Target="https://www.epa.gov/agstar/livestock-anaerobic-digester-database" TargetMode="External"/><Relationship Id="rId21" Type="http://schemas.openxmlformats.org/officeDocument/2006/relationships/hyperlink" Target="https://www.eia.gov/electricity/annual/html/epa_05_06_c.html" TargetMode="External"/><Relationship Id="rId7" Type="http://schemas.openxmlformats.org/officeDocument/2006/relationships/hyperlink" Target="https://19january2017snapshot.epa.gov/sites/production/files/2015-12/documents/biogas-roadmap.pdf" TargetMode="External"/><Relationship Id="rId12" Type="http://schemas.openxmlformats.org/officeDocument/2006/relationships/hyperlink" Target="http://www.nrel.gov/docs/fy14osti/60283.pdf" TargetMode="External"/><Relationship Id="rId17" Type="http://schemas.openxmlformats.org/officeDocument/2006/relationships/hyperlink" Target="https://www.epa.gov/agstar/livestock-anaerobic-digester-database" TargetMode="External"/><Relationship Id="rId2" Type="http://schemas.openxmlformats.org/officeDocument/2006/relationships/hyperlink" Target="https://www.epa.gov/agstar/livestock-anaerobic-digester-database" TargetMode="External"/><Relationship Id="rId16" Type="http://schemas.openxmlformats.org/officeDocument/2006/relationships/hyperlink" Target="https://www.epa.gov/agstar/livestock-anaerobic-digester-database" TargetMode="External"/><Relationship Id="rId20" Type="http://schemas.openxmlformats.org/officeDocument/2006/relationships/hyperlink" Target="https://www.epa.gov/lmop/landfill-technical-data" TargetMode="External"/><Relationship Id="rId1" Type="http://schemas.openxmlformats.org/officeDocument/2006/relationships/hyperlink" Target="https://www.epa.gov/agstar/livestock-anaerobic-digester-database" TargetMode="External"/><Relationship Id="rId6" Type="http://schemas.openxmlformats.org/officeDocument/2006/relationships/hyperlink" Target="https://19january2017snapshot.epa.gov/sites/production/files/2015-12/documents/biogas-roadmap.pdf" TargetMode="External"/><Relationship Id="rId11" Type="http://schemas.openxmlformats.org/officeDocument/2006/relationships/hyperlink" Target="http://www.nrel.gov/docs/fy14osti/60283.pdf" TargetMode="External"/><Relationship Id="rId5" Type="http://schemas.openxmlformats.org/officeDocument/2006/relationships/hyperlink" Target="https://19january2017snapshot.epa.gov/sites/production/files/2015-12/documents/biogas-roadmap.pdf" TargetMode="External"/><Relationship Id="rId15" Type="http://schemas.openxmlformats.org/officeDocument/2006/relationships/hyperlink" Target="https://www.epa.gov/agstar/livestock-anaerobic-digester-database" TargetMode="External"/><Relationship Id="rId23" Type="http://schemas.openxmlformats.org/officeDocument/2006/relationships/drawing" Target="../drawings/drawing15.xml"/><Relationship Id="rId10" Type="http://schemas.openxmlformats.org/officeDocument/2006/relationships/hyperlink" Target="https://www.epa.gov/agstar/livestock-anaerobic-digester-database" TargetMode="External"/><Relationship Id="rId19" Type="http://schemas.openxmlformats.org/officeDocument/2006/relationships/hyperlink" Target="https://www.epa.gov/lmop/landfill-technical-data" TargetMode="External"/><Relationship Id="rId4" Type="http://schemas.openxmlformats.org/officeDocument/2006/relationships/hyperlink" Target="https://www.epa.gov/agstar/livestock-anaerobic-digester-database" TargetMode="External"/><Relationship Id="rId9" Type="http://schemas.openxmlformats.org/officeDocument/2006/relationships/hyperlink" Target="https://www.epa.gov/agstar/livestock-anaerobic-digester-database" TargetMode="External"/><Relationship Id="rId14" Type="http://schemas.openxmlformats.org/officeDocument/2006/relationships/hyperlink" Target="https://www.epa.gov/agstar/livestock-anaerobic-digester-database" TargetMode="External"/><Relationship Id="rId22"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https://www.statista.com/statistics/197930/number-of-united-states-biotech-companies-by-type/" TargetMode="External"/><Relationship Id="rId13" Type="http://schemas.openxmlformats.org/officeDocument/2006/relationships/hyperlink" Target="https://www.biopreferred.gov/BioPreferred/faces/pages/AboutBioPreferred.xhtml" TargetMode="External"/><Relationship Id="rId18" Type="http://schemas.openxmlformats.org/officeDocument/2006/relationships/hyperlink" Target="https://www.biopreferred.gov/BioPreferred/faces/pages/AboutBioPreferred.xhtml" TargetMode="External"/><Relationship Id="rId26" Type="http://schemas.openxmlformats.org/officeDocument/2006/relationships/hyperlink" Target="https://www.biopreferred.gov/BioPreferred/faces/pages/AboutBioPreferred.xhtml" TargetMode="External"/><Relationship Id="rId3" Type="http://schemas.openxmlformats.org/officeDocument/2006/relationships/hyperlink" Target="https://www.biopreferred.gov/BPResources/files/BiobasedProductsEconomicAnalysis2016.pdf" TargetMode="External"/><Relationship Id="rId21" Type="http://schemas.openxmlformats.org/officeDocument/2006/relationships/hyperlink" Target="https://www.biopreferred.gov/BioPreferred/faces/pages/AboutBioPreferred.xhtml" TargetMode="External"/><Relationship Id="rId7" Type="http://schemas.openxmlformats.org/officeDocument/2006/relationships/hyperlink" Target="https://www.statista.com/statistics/197930/number-of-united-states-biotech-companies-by-type/" TargetMode="External"/><Relationship Id="rId12" Type="http://schemas.openxmlformats.org/officeDocument/2006/relationships/hyperlink" Target="https://www.biopreferred.gov/BioPreferred/faces/pages/AboutBioPreferred.xhtml" TargetMode="External"/><Relationship Id="rId17" Type="http://schemas.openxmlformats.org/officeDocument/2006/relationships/hyperlink" Target="https://www.biopreferred.gov/BioPreferred/faces/pages/AboutBioPreferred.xhtml" TargetMode="External"/><Relationship Id="rId25" Type="http://schemas.openxmlformats.org/officeDocument/2006/relationships/hyperlink" Target="https://www.biopreferred.gov/BioPreferred/faces/pages/AboutBioPreferred.xhtml" TargetMode="External"/><Relationship Id="rId2" Type="http://schemas.openxmlformats.org/officeDocument/2006/relationships/hyperlink" Target="https://www.biopreferred.gov/BPResources/files/EconomicReport_6_12_2015.pdf" TargetMode="External"/><Relationship Id="rId16" Type="http://schemas.openxmlformats.org/officeDocument/2006/relationships/hyperlink" Target="https://www.biopreferred.gov/BioPreferred/faces/pages/AboutBioPreferred.xhtml" TargetMode="External"/><Relationship Id="rId20" Type="http://schemas.openxmlformats.org/officeDocument/2006/relationships/hyperlink" Target="https://www.biopreferred.gov/BioPreferred/faces/pages/AboutBioPreferred.xhtml" TargetMode="External"/><Relationship Id="rId1" Type="http://schemas.openxmlformats.org/officeDocument/2006/relationships/hyperlink" Target="https://www.biopreferred.gov/BPResources/files/BiobasedProductsEconomicAnalysis2016.pdf" TargetMode="External"/><Relationship Id="rId6" Type="http://schemas.openxmlformats.org/officeDocument/2006/relationships/hyperlink" Target="https://www.statista.com/statistics/197930/number-of-united-states-biotech-companies-by-type/" TargetMode="External"/><Relationship Id="rId11" Type="http://schemas.openxmlformats.org/officeDocument/2006/relationships/hyperlink" Target="https://www.biopreferred.gov/BioPreferred/faces/pages/AboutBioPreferred.xhtml" TargetMode="External"/><Relationship Id="rId24" Type="http://schemas.openxmlformats.org/officeDocument/2006/relationships/hyperlink" Target="https://www.biopreferred.gov/BioPreferred/faces/pages/AboutBioPreferred.xhtml" TargetMode="External"/><Relationship Id="rId5" Type="http://schemas.openxmlformats.org/officeDocument/2006/relationships/hyperlink" Target="https://www.biopreferred.gov/BPResources/files/BiobasedProductsEconomicAnalysis2016.pdf" TargetMode="External"/><Relationship Id="rId15" Type="http://schemas.openxmlformats.org/officeDocument/2006/relationships/hyperlink" Target="https://www.biopreferred.gov/BioPreferred/faces/pages/AboutBioPreferred.xhtml" TargetMode="External"/><Relationship Id="rId23" Type="http://schemas.openxmlformats.org/officeDocument/2006/relationships/hyperlink" Target="https://www.biopreferred.gov/BioPreferred/faces/pages/AboutBioPreferred.xhtml" TargetMode="External"/><Relationship Id="rId28" Type="http://schemas.openxmlformats.org/officeDocument/2006/relationships/drawing" Target="../drawings/drawing16.xml"/><Relationship Id="rId10" Type="http://schemas.openxmlformats.org/officeDocument/2006/relationships/hyperlink" Target="https://www.nature.com/articles/nbt.3491.pdf" TargetMode="External"/><Relationship Id="rId19" Type="http://schemas.openxmlformats.org/officeDocument/2006/relationships/hyperlink" Target="https://www.biopreferred.gov/BioPreferred/faces/pages/AboutBioPreferred.xhtml" TargetMode="External"/><Relationship Id="rId4" Type="http://schemas.openxmlformats.org/officeDocument/2006/relationships/hyperlink" Target="https://www.biopreferred.gov/BPResources/files/BiobasedProductsEconomicAnalysis2016.pdf" TargetMode="External"/><Relationship Id="rId9" Type="http://schemas.openxmlformats.org/officeDocument/2006/relationships/hyperlink" Target="https://www.nature.com/articles/nbt.3491.pdf" TargetMode="External"/><Relationship Id="rId14" Type="http://schemas.openxmlformats.org/officeDocument/2006/relationships/hyperlink" Target="https://www.biopreferred.gov/BioPreferred/faces/pages/AboutBioPreferred.xhtml" TargetMode="External"/><Relationship Id="rId22" Type="http://schemas.openxmlformats.org/officeDocument/2006/relationships/hyperlink" Target="https://www.biopreferred.gov/BioPreferred/faces/pages/AboutBioPreferred.xhtml" TargetMode="External"/><Relationship Id="rId27"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ifbb.wp.hs-hannover.de/downloads/index.php?site=Statistics&amp;nav=5-3-0-0-0" TargetMode="External"/><Relationship Id="rId2" Type="http://schemas.openxmlformats.org/officeDocument/2006/relationships/hyperlink" Target="https://www.plasticseurope.org/en/resources/market-data" TargetMode="External"/><Relationship Id="rId1" Type="http://schemas.openxmlformats.org/officeDocument/2006/relationships/hyperlink" Target="http://www.bea.gov/industry/xls/GDPbyInd_VA_NAICS_1997-2012.xlsx" TargetMode="External"/><Relationship Id="rId5" Type="http://schemas.openxmlformats.org/officeDocument/2006/relationships/drawing" Target="../drawings/drawing17.xml"/><Relationship Id="rId4"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hyperlink" Target="https://www.americanchemistry.com/2017-Elements-of-the-Business-of-Chemistry.pdf" TargetMode="External"/><Relationship Id="rId2" Type="http://schemas.openxmlformats.org/officeDocument/2006/relationships/hyperlink" Target="https://www.americanchemistry.com/2017-Elements-of-the-Business-of-Chemistry.pdf" TargetMode="External"/><Relationship Id="rId1" Type="http://schemas.openxmlformats.org/officeDocument/2006/relationships/hyperlink" Target="http://www.bea.gov/industry/xls/GDPbyInd_VA_NAICS_1997-2012.xlsx%5b2013-2016%5d" TargetMode="External"/><Relationship Id="rId4" Type="http://schemas.openxmlformats.org/officeDocument/2006/relationships/hyperlink" Target="https://www.americanchemistry.com/2017-Elements-of-the-Business-of-Chemistry.pdf"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8" Type="http://schemas.openxmlformats.org/officeDocument/2006/relationships/hyperlink" Target="http://www.fao.org/faostat/en/" TargetMode="External"/><Relationship Id="rId13" Type="http://schemas.openxmlformats.org/officeDocument/2006/relationships/hyperlink" Target="http://www.fao.org/faostat/en/" TargetMode="External"/><Relationship Id="rId18" Type="http://schemas.openxmlformats.org/officeDocument/2006/relationships/printerSettings" Target="../printerSettings/printerSettings19.bin"/><Relationship Id="rId3" Type="http://schemas.openxmlformats.org/officeDocument/2006/relationships/hyperlink" Target="https://www.bea.gov/iTable/iTable.cfm?ReqID=51&amp;step=1" TargetMode="External"/><Relationship Id="rId7" Type="http://schemas.openxmlformats.org/officeDocument/2006/relationships/hyperlink" Target="http://www.fao.org/faostat/en/" TargetMode="External"/><Relationship Id="rId12" Type="http://schemas.openxmlformats.org/officeDocument/2006/relationships/hyperlink" Target="http://www.fao.org/faostat/en/" TargetMode="External"/><Relationship Id="rId17" Type="http://schemas.openxmlformats.org/officeDocument/2006/relationships/hyperlink" Target="http://www.fao.org/faostat/en/" TargetMode="External"/><Relationship Id="rId2" Type="http://schemas.openxmlformats.org/officeDocument/2006/relationships/hyperlink" Target="http://www.bea.gov/industry/xls/GDPbyInd_VA_NAICS_1997-2012.xlsx" TargetMode="External"/><Relationship Id="rId16" Type="http://schemas.openxmlformats.org/officeDocument/2006/relationships/hyperlink" Target="http://www.fao.org/faostat/en/" TargetMode="External"/><Relationship Id="rId1" Type="http://schemas.openxmlformats.org/officeDocument/2006/relationships/hyperlink" Target="http://www.bea.gov/industry/xls/GDPbyInd_VA_NAICS_1997-2012.xlsx" TargetMode="External"/><Relationship Id="rId6" Type="http://schemas.openxmlformats.org/officeDocument/2006/relationships/hyperlink" Target="http://www.fao.org/faostat/en/" TargetMode="External"/><Relationship Id="rId11" Type="http://schemas.openxmlformats.org/officeDocument/2006/relationships/hyperlink" Target="http://www.fao.org/faostat/en/" TargetMode="External"/><Relationship Id="rId5" Type="http://schemas.openxmlformats.org/officeDocument/2006/relationships/hyperlink" Target="https://www.bea.gov/iTable/iTable.cfm?ReqID=51&amp;step=1" TargetMode="External"/><Relationship Id="rId15" Type="http://schemas.openxmlformats.org/officeDocument/2006/relationships/hyperlink" Target="http://www.fao.org/faostat/en/" TargetMode="External"/><Relationship Id="rId10" Type="http://schemas.openxmlformats.org/officeDocument/2006/relationships/hyperlink" Target="http://www.fao.org/faostat/en/" TargetMode="External"/><Relationship Id="rId19" Type="http://schemas.openxmlformats.org/officeDocument/2006/relationships/drawing" Target="../drawings/drawing19.xml"/><Relationship Id="rId4" Type="http://schemas.openxmlformats.org/officeDocument/2006/relationships/hyperlink" Target="https://www.bea.gov/iTable/iTable.cfm?ReqID=51&amp;step=1" TargetMode="External"/><Relationship Id="rId9" Type="http://schemas.openxmlformats.org/officeDocument/2006/relationships/hyperlink" Target="http://www.fao.org/faostat/en/" TargetMode="External"/><Relationship Id="rId14" Type="http://schemas.openxmlformats.org/officeDocument/2006/relationships/hyperlink" Target="http://www.fao.org/faostat/en/"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bea.gov/iTable/iTable.cfm?ReqID=51&amp;step=1"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www.bea.gov/industry/xls/GDPbyInd_VA_NAICS_1997-2012.xlsx" TargetMode="External"/><Relationship Id="rId4"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6" Type="http://schemas.openxmlformats.org/officeDocument/2006/relationships/hyperlink" Target="https://www.congress.gov/bill/113th-congress/senate-bill/1563" TargetMode="External"/><Relationship Id="rId21" Type="http://schemas.openxmlformats.org/officeDocument/2006/relationships/hyperlink" Target="https://www.fs.fed.us/research/pdf/RD_Bioenergy_Strategy_March_2010.pdf" TargetMode="External"/><Relationship Id="rId42" Type="http://schemas.openxmlformats.org/officeDocument/2006/relationships/hyperlink" Target="https://www.afdc.energy.gov/laws/8502" TargetMode="External"/><Relationship Id="rId47" Type="http://schemas.openxmlformats.org/officeDocument/2006/relationships/hyperlink" Target="https://nifa.usda.gov/funding-opportunity/biomass-research-and-development-initiative-brdi" TargetMode="External"/><Relationship Id="rId63" Type="http://schemas.openxmlformats.org/officeDocument/2006/relationships/hyperlink" Target="https://www.afdc.energy.gov/laws/358" TargetMode="External"/><Relationship Id="rId68" Type="http://schemas.openxmlformats.org/officeDocument/2006/relationships/hyperlink" Target="https://www.afdc.energy.gov/laws/288" TargetMode="External"/><Relationship Id="rId84" Type="http://schemas.openxmlformats.org/officeDocument/2006/relationships/hyperlink" Target="https://www.globalcitizen.org/en/content/us-companies-propose-carbon-tax-to-reduce-co2-emis/" TargetMode="External"/><Relationship Id="rId16" Type="http://schemas.openxmlformats.org/officeDocument/2006/relationships/hyperlink" Target="https://www.govtrack.us/congress/bills/110/hr6049" TargetMode="External"/><Relationship Id="rId11" Type="http://schemas.openxmlformats.org/officeDocument/2006/relationships/hyperlink" Target="https://www.congress.gov/bill/108th-congress/house-bill/4520/text" TargetMode="External"/><Relationship Id="rId32" Type="http://schemas.openxmlformats.org/officeDocument/2006/relationships/hyperlink" Target="https://www.epa.gov/greenerproducts/executive-order-13101-greening-government-through-waste-prevention-recycling-and" TargetMode="External"/><Relationship Id="rId37" Type="http://schemas.openxmlformats.org/officeDocument/2006/relationships/hyperlink" Target="https://www.afdc.energy.gov/laws/10612" TargetMode="External"/><Relationship Id="rId53" Type="http://schemas.openxmlformats.org/officeDocument/2006/relationships/hyperlink" Target="https://www.afdc.energy.gov/laws/5733" TargetMode="External"/><Relationship Id="rId58" Type="http://schemas.openxmlformats.org/officeDocument/2006/relationships/hyperlink" Target="https://www.afdc.energy.gov/laws/391" TargetMode="External"/><Relationship Id="rId74" Type="http://schemas.openxmlformats.org/officeDocument/2006/relationships/hyperlink" Target="https://www.epa.gov/ust/revising-underground-storage-tank-regulations-revisions-existing-requirements-and-new" TargetMode="External"/><Relationship Id="rId79" Type="http://schemas.openxmlformats.org/officeDocument/2006/relationships/hyperlink" Target="https://www.epa.gov/ust/guidance-compatibility-ust-systems-ethanol-blends-greater-10-percent-and-biodiesel-blends" TargetMode="External"/><Relationship Id="rId5" Type="http://schemas.openxmlformats.org/officeDocument/2006/relationships/hyperlink" Target="https://www.congress.gov/bill/95th-congress/house-bill/5263" TargetMode="External"/><Relationship Id="rId19" Type="http://schemas.openxmlformats.org/officeDocument/2006/relationships/hyperlink" Target="https://www.epa.gov/sites/production/files/2015-01/documents/05042010_hagy.pdf" TargetMode="External"/><Relationship Id="rId14" Type="http://schemas.openxmlformats.org/officeDocument/2006/relationships/hyperlink" Target="https://www.afdc.energy.gov/laws/RFS" TargetMode="External"/><Relationship Id="rId22" Type="http://schemas.openxmlformats.org/officeDocument/2006/relationships/hyperlink" Target="https://www.govtrack.us/congress/bills/112/hr404" TargetMode="External"/><Relationship Id="rId27" Type="http://schemas.openxmlformats.org/officeDocument/2006/relationships/hyperlink" Target="https://www.ers.usda.gov/agricultural-act-of-2014-highlights-and-implications/" TargetMode="External"/><Relationship Id="rId30" Type="http://schemas.openxmlformats.org/officeDocument/2006/relationships/hyperlink" Target="http://www.npr.org/2011/09/26/140702387/air-force-and-navy-turn-to-bio-fuels" TargetMode="External"/><Relationship Id="rId35" Type="http://schemas.openxmlformats.org/officeDocument/2006/relationships/hyperlink" Target="https://www.rd.usda.gov/programs-services/biorefinery-renewable-chemical-and-biobased-product-manufacturing-assistance" TargetMode="External"/><Relationship Id="rId43" Type="http://schemas.openxmlformats.org/officeDocument/2006/relationships/hyperlink" Target="https://www.irs.gov/businesses/plug-in-electric-vehicle-credit-irc-30-and-irc-30d" TargetMode="External"/><Relationship Id="rId48" Type="http://schemas.openxmlformats.org/officeDocument/2006/relationships/hyperlink" Target="https://www.afdc.energy.gov/laws/8082" TargetMode="External"/><Relationship Id="rId56" Type="http://schemas.openxmlformats.org/officeDocument/2006/relationships/hyperlink" Target="https://www.afdc.energy.gov/laws/388" TargetMode="External"/><Relationship Id="rId64" Type="http://schemas.openxmlformats.org/officeDocument/2006/relationships/hyperlink" Target="https://www.epa.gov/smartway" TargetMode="External"/><Relationship Id="rId69" Type="http://schemas.openxmlformats.org/officeDocument/2006/relationships/hyperlink" Target="https://www.epa.gov/sites/production/files/documents/DERA.pdf" TargetMode="External"/><Relationship Id="rId77" Type="http://schemas.openxmlformats.org/officeDocument/2006/relationships/hyperlink" Target="https://www.epa.gov/renewable-fuel-standard-program/2014-renewable-fuel-standards-under-renewable-fuel-standard-program" TargetMode="External"/><Relationship Id="rId8" Type="http://schemas.openxmlformats.org/officeDocument/2006/relationships/hyperlink" Target="http://www.taxpayer.net/library/article/biomass-research-and-development-initiative" TargetMode="External"/><Relationship Id="rId51" Type="http://schemas.openxmlformats.org/officeDocument/2006/relationships/hyperlink" Target="http://www.ethanolrfa.org/issues/tax/" TargetMode="External"/><Relationship Id="rId72" Type="http://schemas.openxmlformats.org/officeDocument/2006/relationships/hyperlink" Target="https://www.nal.usda.gov/ric/66001" TargetMode="External"/><Relationship Id="rId80" Type="http://schemas.openxmlformats.org/officeDocument/2006/relationships/hyperlink" Target="https://www.epa.gov/renewable-fuel-standard-program/2013-biomass-based-diesel-volume-renewable-fuel-standard-program" TargetMode="External"/><Relationship Id="rId85" Type="http://schemas.openxmlformats.org/officeDocument/2006/relationships/hyperlink" Target="https://www.fhwa.dot.gov/construction/contracts/cmaq131115.cfm" TargetMode="External"/><Relationship Id="rId3" Type="http://schemas.openxmlformats.org/officeDocument/2006/relationships/hyperlink" Target="https://www.congress.gov/bill/112th-congress/house-bill/230?r=89" TargetMode="External"/><Relationship Id="rId12" Type="http://schemas.openxmlformats.org/officeDocument/2006/relationships/hyperlink" Target="https://www.epa.gov/laws-regulations/summary-energy-policy-act" TargetMode="External"/><Relationship Id="rId17" Type="http://schemas.openxmlformats.org/officeDocument/2006/relationships/hyperlink" Target="https://www.epa.gov/sites/production/files/2015-01/documents/05042010_hagy.pdf" TargetMode="External"/><Relationship Id="rId25" Type="http://schemas.openxmlformats.org/officeDocument/2006/relationships/hyperlink" Target="http://www.afdc.energy.gov/laws/key_legislation" TargetMode="External"/><Relationship Id="rId33" Type="http://schemas.openxmlformats.org/officeDocument/2006/relationships/hyperlink" Target="https://www.fedcenter.gov/Bookmarks/index.cfm?id=48&amp;pge_id=1606" TargetMode="External"/><Relationship Id="rId38" Type="http://schemas.openxmlformats.org/officeDocument/2006/relationships/hyperlink" Target="https://www.afdc.energy.gov/laws/11552" TargetMode="External"/><Relationship Id="rId46" Type="http://schemas.openxmlformats.org/officeDocument/2006/relationships/hyperlink" Target="https://www.rd.usda.gov/programs-services/advanced-biofuel-payment-program" TargetMode="External"/><Relationship Id="rId59" Type="http://schemas.openxmlformats.org/officeDocument/2006/relationships/hyperlink" Target="https://www.epa.gov/ust/ust-system-compatibility-biofuels" TargetMode="External"/><Relationship Id="rId67" Type="http://schemas.openxmlformats.org/officeDocument/2006/relationships/hyperlink" Target="https://www.faa.gov/airports/environmental/vale/" TargetMode="External"/><Relationship Id="rId20" Type="http://schemas.openxmlformats.org/officeDocument/2006/relationships/hyperlink" Target="http://www.afdc.energy.gov/laws/key_legislation" TargetMode="External"/><Relationship Id="rId41" Type="http://schemas.openxmlformats.org/officeDocument/2006/relationships/hyperlink" Target="https://www.afdc.energy.gov/laws/laws_expired?jurisdiction=US" TargetMode="External"/><Relationship Id="rId54" Type="http://schemas.openxmlformats.org/officeDocument/2006/relationships/hyperlink" Target="https://www.epa.gov/renewable-fuel-standard-program" TargetMode="External"/><Relationship Id="rId62" Type="http://schemas.openxmlformats.org/officeDocument/2006/relationships/hyperlink" Target="https://www.energy.gov/eere/wipo/state-energy-program" TargetMode="External"/><Relationship Id="rId70" Type="http://schemas.openxmlformats.org/officeDocument/2006/relationships/hyperlink" Target="https://www.epa.gov/sites/production/files/documents/CleanConstruction.pdf" TargetMode="External"/><Relationship Id="rId75" Type="http://schemas.openxmlformats.org/officeDocument/2006/relationships/hyperlink" Target="https://www.epa.gov/renewable-fuel-standard-program/epa-finalizes-voluntary-quality-assurance-plan-renewable-fuel" TargetMode="External"/><Relationship Id="rId83" Type="http://schemas.openxmlformats.org/officeDocument/2006/relationships/hyperlink" Target="https://www.agweb.com/blog/cash-grain-insights-156/new-policies-on-biofuels/" TargetMode="External"/><Relationship Id="rId88" Type="http://schemas.openxmlformats.org/officeDocument/2006/relationships/printerSettings" Target="../printerSettings/printerSettings21.bin"/><Relationship Id="rId1" Type="http://schemas.openxmlformats.org/officeDocument/2006/relationships/hyperlink" Target="https://obamawhitehouse.archives.gov/the-press-office/2015/03/19/executive-order-planning-federal-sustainability-next-decade" TargetMode="External"/><Relationship Id="rId6" Type="http://schemas.openxmlformats.org/officeDocument/2006/relationships/hyperlink" Target="http://www.afdc.energy.gov/laws/key_legislation" TargetMode="External"/><Relationship Id="rId15" Type="http://schemas.openxmlformats.org/officeDocument/2006/relationships/hyperlink" Target="https://www.govtrack.us/congress/bills/110/hr2419/summary" TargetMode="External"/><Relationship Id="rId23" Type="http://schemas.openxmlformats.org/officeDocument/2006/relationships/hyperlink" Target="https://www.congress.gov/bill/112th-congress/house-bill/1149" TargetMode="External"/><Relationship Id="rId28" Type="http://schemas.openxmlformats.org/officeDocument/2006/relationships/hyperlink" Target="https://www.afdc.energy.gov/laws/key_legislation" TargetMode="External"/><Relationship Id="rId36" Type="http://schemas.openxmlformats.org/officeDocument/2006/relationships/hyperlink" Target="https://www.usda.gov/oce/energy/files/BIOINDICATORS.pdf" TargetMode="External"/><Relationship Id="rId49" Type="http://schemas.openxmlformats.org/officeDocument/2006/relationships/hyperlink" Target="https://www.afdc.energy.gov/laws/laws_expired?jurisdiction=US" TargetMode="External"/><Relationship Id="rId57" Type="http://schemas.openxmlformats.org/officeDocument/2006/relationships/hyperlink" Target="https://www.afdc.energy.gov/laws/6234" TargetMode="External"/><Relationship Id="rId10" Type="http://schemas.openxmlformats.org/officeDocument/2006/relationships/hyperlink" Target="https://www.epa.gov/sites/production/files/2015-01/documents/05042010_hagy.pdf" TargetMode="External"/><Relationship Id="rId31" Type="http://schemas.openxmlformats.org/officeDocument/2006/relationships/hyperlink" Target="http://navysustainability.dodlive.mil/energy/great-green-fleet/" TargetMode="External"/><Relationship Id="rId44" Type="http://schemas.openxmlformats.org/officeDocument/2006/relationships/hyperlink" Target="https://www.afdc.energy.gov/laws/9172" TargetMode="External"/><Relationship Id="rId52" Type="http://schemas.openxmlformats.org/officeDocument/2006/relationships/hyperlink" Target="https://www.afdc.energy.gov/laws/392" TargetMode="External"/><Relationship Id="rId60" Type="http://schemas.openxmlformats.org/officeDocument/2006/relationships/hyperlink" Target="https://www.afdc.energy.gov/laws/347" TargetMode="External"/><Relationship Id="rId65" Type="http://schemas.openxmlformats.org/officeDocument/2006/relationships/hyperlink" Target="https://www.epa.gov/cleandiesel/clean-school-bus" TargetMode="External"/><Relationship Id="rId73" Type="http://schemas.openxmlformats.org/officeDocument/2006/relationships/hyperlink" Target="https://www.fhwa.dot.gov/environment/air_quality/cmaq/" TargetMode="External"/><Relationship Id="rId78" Type="http://schemas.openxmlformats.org/officeDocument/2006/relationships/hyperlink" Target="https://www.epa.gov/renewable-fuel-standard-program/2013-renewable-fuel-standards-renewable-fuel-standard-program-rfs2" TargetMode="External"/><Relationship Id="rId81" Type="http://schemas.openxmlformats.org/officeDocument/2006/relationships/hyperlink" Target="https://www.epa.gov/sites/production/files/2015-09/documents/420f12013.pdf" TargetMode="External"/><Relationship Id="rId86" Type="http://schemas.openxmlformats.org/officeDocument/2006/relationships/hyperlink" Target="https://www.epa.gov/renewable-fuel-standard-program/final-rule-additional-qualifying-renewable-fuel-pathways-under" TargetMode="External"/><Relationship Id="rId4" Type="http://schemas.openxmlformats.org/officeDocument/2006/relationships/hyperlink" Target="http://www.afdc.energy.gov/laws/key_legislation" TargetMode="External"/><Relationship Id="rId9" Type="http://schemas.openxmlformats.org/officeDocument/2006/relationships/hyperlink" Target="http://www.taxpayer.net/agriculture/biomass-research-and-development-initiative/" TargetMode="External"/><Relationship Id="rId13" Type="http://schemas.openxmlformats.org/officeDocument/2006/relationships/hyperlink" Target="https://www.epa.gov/laws-regulations/summary-energy-independence-and-security-act" TargetMode="External"/><Relationship Id="rId18" Type="http://schemas.openxmlformats.org/officeDocument/2006/relationships/hyperlink" Target="https://www.epa.gov/sites/production/files/2015-01/documents/05042010_hagy.pdf" TargetMode="External"/><Relationship Id="rId39" Type="http://schemas.openxmlformats.org/officeDocument/2006/relationships/hyperlink" Target="https://www.afdc.energy.gov/laws/laws_expired?jurisdiction=US" TargetMode="External"/><Relationship Id="rId34" Type="http://schemas.openxmlformats.org/officeDocument/2006/relationships/hyperlink" Target="https://www.biopreferred.gov/BioPreferred/" TargetMode="External"/><Relationship Id="rId50" Type="http://schemas.openxmlformats.org/officeDocument/2006/relationships/hyperlink" Target="https://www.afdc.energy.gov/laws/10292" TargetMode="External"/><Relationship Id="rId55" Type="http://schemas.openxmlformats.org/officeDocument/2006/relationships/hyperlink" Target="https://www.afdc.energy.gov/laws/344" TargetMode="External"/><Relationship Id="rId76" Type="http://schemas.openxmlformats.org/officeDocument/2006/relationships/hyperlink" Target="https://www.epa.gov/renewable-fuel-standard-program/2012-standards-renewable-fuel-standard-program-final-rulemaking" TargetMode="External"/><Relationship Id="rId7" Type="http://schemas.openxmlformats.org/officeDocument/2006/relationships/hyperlink" Target="http://www.afdc.energy.gov/laws/key_legislation" TargetMode="External"/><Relationship Id="rId71" Type="http://schemas.openxmlformats.org/officeDocument/2006/relationships/hyperlink" Target="https://www.epa.gov/sites/production/files/documents/CleanAg.pdf" TargetMode="External"/><Relationship Id="rId2" Type="http://schemas.openxmlformats.org/officeDocument/2006/relationships/hyperlink" Target="https://www.usda.gov/wps/portal/usda/usdahome?contentid=2012/03/0102.xml" TargetMode="External"/><Relationship Id="rId29" Type="http://schemas.openxmlformats.org/officeDocument/2006/relationships/hyperlink" Target="https://www.afdc.energy.gov/laws/key_legislation" TargetMode="External"/><Relationship Id="rId24" Type="http://schemas.openxmlformats.org/officeDocument/2006/relationships/hyperlink" Target="https://www.congress.gov/bill/112th-congress/senate-bill/152" TargetMode="External"/><Relationship Id="rId40" Type="http://schemas.openxmlformats.org/officeDocument/2006/relationships/hyperlink" Target="https://www.rd.usda.gov/programs-services/value-added-producer-grants" TargetMode="External"/><Relationship Id="rId45" Type="http://schemas.openxmlformats.org/officeDocument/2006/relationships/hyperlink" Target="https://www.afdc.energy.gov/laws/8504" TargetMode="External"/><Relationship Id="rId66" Type="http://schemas.openxmlformats.org/officeDocument/2006/relationships/hyperlink" Target="https://www.afdc.energy.gov/laws/325" TargetMode="External"/><Relationship Id="rId87" Type="http://schemas.openxmlformats.org/officeDocument/2006/relationships/hyperlink" Target="https://www.epa.gov/sites/production/files/2015-09/documents/2013afvrpt_508.pdf" TargetMode="External"/><Relationship Id="rId61" Type="http://schemas.openxmlformats.org/officeDocument/2006/relationships/hyperlink" Target="https://www.afdc.energy.gov/laws/357" TargetMode="External"/><Relationship Id="rId82" Type="http://schemas.openxmlformats.org/officeDocument/2006/relationships/hyperlink" Target="https://www.afdc.energy.gov/fuels/laws/BIOD/US" TargetMode="External"/></Relationships>
</file>

<file path=xl/worksheets/_rels/sheet25.xml.rels><?xml version="1.0" encoding="UTF-8" standalone="yes"?>
<Relationships xmlns="http://schemas.openxmlformats.org/package/2006/relationships"><Relationship Id="rId117" Type="http://schemas.openxmlformats.org/officeDocument/2006/relationships/hyperlink" Target="https://www.afdc.energy.gov/fuels/laws/BIOD/NV" TargetMode="External"/><Relationship Id="rId299" Type="http://schemas.openxmlformats.org/officeDocument/2006/relationships/hyperlink" Target="https://www.afdc.energy.gov/laws/6623" TargetMode="External"/><Relationship Id="rId21" Type="http://schemas.openxmlformats.org/officeDocument/2006/relationships/hyperlink" Target="https://www.afdc.energy.gov/laws/all?state=WA" TargetMode="External"/><Relationship Id="rId63" Type="http://schemas.openxmlformats.org/officeDocument/2006/relationships/hyperlink" Target="https://www.afdc.energy.gov/laws/6164" TargetMode="External"/><Relationship Id="rId159" Type="http://schemas.openxmlformats.org/officeDocument/2006/relationships/hyperlink" Target="https://www.afdc.energy.gov/laws/11241" TargetMode="External"/><Relationship Id="rId324" Type="http://schemas.openxmlformats.org/officeDocument/2006/relationships/hyperlink" Target="https://www.afdc.energy.gov/laws/9453" TargetMode="External"/><Relationship Id="rId366" Type="http://schemas.openxmlformats.org/officeDocument/2006/relationships/hyperlink" Target="https://www.afdc.energy.gov/laws/5283" TargetMode="External"/><Relationship Id="rId170" Type="http://schemas.openxmlformats.org/officeDocument/2006/relationships/hyperlink" Target="https://www.afdc.energy.gov/laws/9154" TargetMode="External"/><Relationship Id="rId226" Type="http://schemas.openxmlformats.org/officeDocument/2006/relationships/hyperlink" Target="https://www.afdc.energy.gov/laws/9835" TargetMode="External"/><Relationship Id="rId433" Type="http://schemas.openxmlformats.org/officeDocument/2006/relationships/hyperlink" Target="http://www.calrecycle.ca.gov/75Percent/" TargetMode="External"/><Relationship Id="rId268" Type="http://schemas.openxmlformats.org/officeDocument/2006/relationships/hyperlink" Target="https://www.afdc.energy.gov/laws/11649" TargetMode="External"/><Relationship Id="rId32" Type="http://schemas.openxmlformats.org/officeDocument/2006/relationships/hyperlink" Target="https://www.afdc.energy.gov/laws/11722" TargetMode="External"/><Relationship Id="rId74" Type="http://schemas.openxmlformats.org/officeDocument/2006/relationships/hyperlink" Target="https://www.afdc.energy.gov/laws/6053" TargetMode="External"/><Relationship Id="rId128" Type="http://schemas.openxmlformats.org/officeDocument/2006/relationships/hyperlink" Target="https://www.afdc.energy.gov/fuels/laws/BIOD/CT" TargetMode="External"/><Relationship Id="rId335" Type="http://schemas.openxmlformats.org/officeDocument/2006/relationships/hyperlink" Target="https://www.afdc.energy.gov/laws/all?state=KS" TargetMode="External"/><Relationship Id="rId377" Type="http://schemas.openxmlformats.org/officeDocument/2006/relationships/hyperlink" Target="https://www.afdc.energy.gov/laws/all?state=MO" TargetMode="External"/><Relationship Id="rId5" Type="http://schemas.openxmlformats.org/officeDocument/2006/relationships/hyperlink" Target="https://www.afdc.energy.gov/laws/6307" TargetMode="External"/><Relationship Id="rId181" Type="http://schemas.openxmlformats.org/officeDocument/2006/relationships/hyperlink" Target="https://www.afdc.energy.gov/laws/4764" TargetMode="External"/><Relationship Id="rId237" Type="http://schemas.openxmlformats.org/officeDocument/2006/relationships/hyperlink" Target="https://www.afdc.energy.gov/laws/6196" TargetMode="External"/><Relationship Id="rId402" Type="http://schemas.openxmlformats.org/officeDocument/2006/relationships/hyperlink" Target="https://www.afdc.energy.gov/laws/11633" TargetMode="External"/><Relationship Id="rId279" Type="http://schemas.openxmlformats.org/officeDocument/2006/relationships/hyperlink" Target="https://www.afdc.energy.gov/laws/6035" TargetMode="External"/><Relationship Id="rId43" Type="http://schemas.openxmlformats.org/officeDocument/2006/relationships/hyperlink" Target="http://www.valleyair.org/Home.htm" TargetMode="External"/><Relationship Id="rId139" Type="http://schemas.openxmlformats.org/officeDocument/2006/relationships/hyperlink" Target="https://www.afdc.energy.gov/fuels/laws/BIOD/MA" TargetMode="External"/><Relationship Id="rId290" Type="http://schemas.openxmlformats.org/officeDocument/2006/relationships/hyperlink" Target="https://www.afdc.energy.gov/laws/10795" TargetMode="External"/><Relationship Id="rId304" Type="http://schemas.openxmlformats.org/officeDocument/2006/relationships/hyperlink" Target="https://www.afdc.energy.gov/fuels/laws/ELEC/IL" TargetMode="External"/><Relationship Id="rId346" Type="http://schemas.openxmlformats.org/officeDocument/2006/relationships/hyperlink" Target="https://www.afdc.energy.gov/laws/11724" TargetMode="External"/><Relationship Id="rId388" Type="http://schemas.openxmlformats.org/officeDocument/2006/relationships/hyperlink" Target="https://www.afdc.energy.gov/laws/6425" TargetMode="External"/><Relationship Id="rId85" Type="http://schemas.openxmlformats.org/officeDocument/2006/relationships/hyperlink" Target="https://www.afdc.energy.gov/fuels/laws/BIOD/NC" TargetMode="External"/><Relationship Id="rId150" Type="http://schemas.openxmlformats.org/officeDocument/2006/relationships/hyperlink" Target="https://www.afdc.energy.gov/laws/all?state=NH" TargetMode="External"/><Relationship Id="rId192" Type="http://schemas.openxmlformats.org/officeDocument/2006/relationships/hyperlink" Target="https://www.afdc.energy.gov/laws/10652" TargetMode="External"/><Relationship Id="rId206" Type="http://schemas.openxmlformats.org/officeDocument/2006/relationships/hyperlink" Target="https://www.afdc.energy.gov/laws/5887" TargetMode="External"/><Relationship Id="rId413" Type="http://schemas.openxmlformats.org/officeDocument/2006/relationships/hyperlink" Target="https://www.afdc.energy.gov/laws/4841" TargetMode="External"/><Relationship Id="rId248" Type="http://schemas.openxmlformats.org/officeDocument/2006/relationships/hyperlink" Target="https://www.afdc.energy.gov/laws/5576" TargetMode="External"/><Relationship Id="rId12" Type="http://schemas.openxmlformats.org/officeDocument/2006/relationships/hyperlink" Target="https://www.afdc.energy.gov/laws/6493" TargetMode="External"/><Relationship Id="rId108" Type="http://schemas.openxmlformats.org/officeDocument/2006/relationships/hyperlink" Target="https://www.afdc.energy.gov/laws/laws_expired?jurisdiction=OR" TargetMode="External"/><Relationship Id="rId315" Type="http://schemas.openxmlformats.org/officeDocument/2006/relationships/hyperlink" Target="https://www.afdc.energy.gov/laws/all?state=SD" TargetMode="External"/><Relationship Id="rId357" Type="http://schemas.openxmlformats.org/officeDocument/2006/relationships/hyperlink" Target="https://www.afdc.energy.gov/laws/all?state=TX" TargetMode="External"/><Relationship Id="rId54" Type="http://schemas.openxmlformats.org/officeDocument/2006/relationships/hyperlink" Target="https://www.afdc.energy.gov/fuels/laws/BIOD/FL" TargetMode="External"/><Relationship Id="rId96" Type="http://schemas.openxmlformats.org/officeDocument/2006/relationships/hyperlink" Target="https://www.afdc.energy.gov/fuels/laws/BIOD/FL" TargetMode="External"/><Relationship Id="rId161" Type="http://schemas.openxmlformats.org/officeDocument/2006/relationships/hyperlink" Target="https://www.afdc.energy.gov/laws/all?state=NJ" TargetMode="External"/><Relationship Id="rId217" Type="http://schemas.openxmlformats.org/officeDocument/2006/relationships/hyperlink" Target="https://www.afdc.energy.gov/laws/6065" TargetMode="External"/><Relationship Id="rId399" Type="http://schemas.openxmlformats.org/officeDocument/2006/relationships/hyperlink" Target="https://www.afdc.energy.gov/laws/6093" TargetMode="External"/><Relationship Id="rId259" Type="http://schemas.openxmlformats.org/officeDocument/2006/relationships/hyperlink" Target="https://www.afdc.energy.gov/laws/6435" TargetMode="External"/><Relationship Id="rId424" Type="http://schemas.openxmlformats.org/officeDocument/2006/relationships/hyperlink" Target="https://www.dmv.org/wv-west-virginia/green-driver-state-incentives.php" TargetMode="External"/><Relationship Id="rId23" Type="http://schemas.openxmlformats.org/officeDocument/2006/relationships/hyperlink" Target="https://www.afdc.energy.gov/laws/all?state=WA" TargetMode="External"/><Relationship Id="rId119" Type="http://schemas.openxmlformats.org/officeDocument/2006/relationships/hyperlink" Target="https://www.afdc.energy.gov/fuels/laws/LPG/AK" TargetMode="External"/><Relationship Id="rId270" Type="http://schemas.openxmlformats.org/officeDocument/2006/relationships/hyperlink" Target="https://www.afdc.energy.gov/states/al" TargetMode="External"/><Relationship Id="rId326" Type="http://schemas.openxmlformats.org/officeDocument/2006/relationships/hyperlink" Target="http://www.neo.ne.gov/cleanfuels/rebates.htm" TargetMode="External"/><Relationship Id="rId65" Type="http://schemas.openxmlformats.org/officeDocument/2006/relationships/hyperlink" Target="https://www.afdc.energy.gov/fuels/laws/BIOD/OH" TargetMode="External"/><Relationship Id="rId130" Type="http://schemas.openxmlformats.org/officeDocument/2006/relationships/hyperlink" Target="https://www.afdc.energy.gov/laws/11244" TargetMode="External"/><Relationship Id="rId368" Type="http://schemas.openxmlformats.org/officeDocument/2006/relationships/hyperlink" Target="https://www.afdc.energy.gov/fuels/laws/NG/AR" TargetMode="External"/><Relationship Id="rId172" Type="http://schemas.openxmlformats.org/officeDocument/2006/relationships/hyperlink" Target="https://www.afdc.energy.gov/laws/search?loc%5B%5D=NV&amp;tech%5B%5D=BIOD" TargetMode="External"/><Relationship Id="rId228" Type="http://schemas.openxmlformats.org/officeDocument/2006/relationships/hyperlink" Target="https://www.afdc.energy.gov/laws/11595" TargetMode="External"/><Relationship Id="rId435" Type="http://schemas.openxmlformats.org/officeDocument/2006/relationships/hyperlink" Target="http://www.biorenew.iastate.edu/2016/04/08/biotaxcredit/" TargetMode="External"/><Relationship Id="rId281" Type="http://schemas.openxmlformats.org/officeDocument/2006/relationships/hyperlink" Target="https://www.afdc.energy.gov/laws/6036" TargetMode="External"/><Relationship Id="rId337" Type="http://schemas.openxmlformats.org/officeDocument/2006/relationships/hyperlink" Target="https://www.afdc.energy.gov/laws/search?ir%5Bregulation%5D%5B%5D=REGIS&amp;loc%5B%5D=IN" TargetMode="External"/><Relationship Id="rId34" Type="http://schemas.openxmlformats.org/officeDocument/2006/relationships/hyperlink" Target="https://www.afdc.energy.gov/fuels/laws/BIOD/KS" TargetMode="External"/><Relationship Id="rId76" Type="http://schemas.openxmlformats.org/officeDocument/2006/relationships/hyperlink" Target="https://www.cga.ct.gov/2005/rpt/2005-R-0904.htm" TargetMode="External"/><Relationship Id="rId141" Type="http://schemas.openxmlformats.org/officeDocument/2006/relationships/hyperlink" Target="https://www.afdc.energy.gov/fuels/laws/BIOD/MA" TargetMode="External"/><Relationship Id="rId379" Type="http://schemas.openxmlformats.org/officeDocument/2006/relationships/hyperlink" Target="https://www.afdc.energy.gov/laws/all?state=MO" TargetMode="External"/><Relationship Id="rId7" Type="http://schemas.openxmlformats.org/officeDocument/2006/relationships/hyperlink" Target="https://www.gladstein.org/gna_webinars_vidoes/funding-replacement-of-hd-goods-movement-trucks-and-trU.S./" TargetMode="External"/><Relationship Id="rId183" Type="http://schemas.openxmlformats.org/officeDocument/2006/relationships/hyperlink" Target="https://www.afdc.energy.gov/laws/5451" TargetMode="External"/><Relationship Id="rId239" Type="http://schemas.openxmlformats.org/officeDocument/2006/relationships/hyperlink" Target="https://www.afdc.energy.gov/laws/6166" TargetMode="External"/><Relationship Id="rId390" Type="http://schemas.openxmlformats.org/officeDocument/2006/relationships/hyperlink" Target="https://www.afdc.energy.gov/laws/5574" TargetMode="External"/><Relationship Id="rId404" Type="http://schemas.openxmlformats.org/officeDocument/2006/relationships/hyperlink" Target="https://www.afdc.energy.gov/laws/8541" TargetMode="External"/><Relationship Id="rId250" Type="http://schemas.openxmlformats.org/officeDocument/2006/relationships/hyperlink" Target="https://www.afdc.energy.gov/fuels/laws/NG/KY" TargetMode="External"/><Relationship Id="rId292" Type="http://schemas.openxmlformats.org/officeDocument/2006/relationships/hyperlink" Target="https://www.afdc.energy.gov/laws/5993" TargetMode="External"/><Relationship Id="rId306" Type="http://schemas.openxmlformats.org/officeDocument/2006/relationships/hyperlink" Target="https://www.afdc.energy.gov/laws/laws_expired?jurisdiction=IL" TargetMode="External"/><Relationship Id="rId45" Type="http://schemas.openxmlformats.org/officeDocument/2006/relationships/hyperlink" Target="https://www.afdc.energy.gov/laws/4246" TargetMode="External"/><Relationship Id="rId87" Type="http://schemas.openxmlformats.org/officeDocument/2006/relationships/hyperlink" Target="https://www.afdc.energy.gov/laws/5484" TargetMode="External"/><Relationship Id="rId110" Type="http://schemas.openxmlformats.org/officeDocument/2006/relationships/hyperlink" Target="https://www.oregon.gov/deq/aq/programs/Pages/Clean-Fuels.aspx" TargetMode="External"/><Relationship Id="rId348" Type="http://schemas.openxmlformats.org/officeDocument/2006/relationships/hyperlink" Target="https://www.afdc.energy.gov/laws/5612" TargetMode="External"/><Relationship Id="rId152" Type="http://schemas.openxmlformats.org/officeDocument/2006/relationships/hyperlink" Target="https://www.afdc.energy.gov/fuels/laws/BIOD/DE" TargetMode="External"/><Relationship Id="rId194" Type="http://schemas.openxmlformats.org/officeDocument/2006/relationships/hyperlink" Target="https://www.afdc.energy.gov/laws/11300" TargetMode="External"/><Relationship Id="rId208" Type="http://schemas.openxmlformats.org/officeDocument/2006/relationships/hyperlink" Target="https://www.afdc.energy.gov/fuels/laws/BIOD/CO" TargetMode="External"/><Relationship Id="rId415" Type="http://schemas.openxmlformats.org/officeDocument/2006/relationships/hyperlink" Target="https://www.afdc.energy.gov/laws/5334" TargetMode="External"/><Relationship Id="rId261" Type="http://schemas.openxmlformats.org/officeDocument/2006/relationships/hyperlink" Target="https://www.afdc.energy.gov/laws/8501" TargetMode="External"/><Relationship Id="rId14" Type="http://schemas.openxmlformats.org/officeDocument/2006/relationships/hyperlink" Target="http://www.dot.ca.gov/hq/tpp/californiatransportationplan2040/Final%20CTP/FINALCTP2040-Report-PRINT-NoBleed_secured.pdf" TargetMode="External"/><Relationship Id="rId56" Type="http://schemas.openxmlformats.org/officeDocument/2006/relationships/hyperlink" Target="https://www.afdc.energy.gov/laws/laws_expired?jurisdiction=IN" TargetMode="External"/><Relationship Id="rId317" Type="http://schemas.openxmlformats.org/officeDocument/2006/relationships/hyperlink" Target="https://www.afdc.energy.gov/laws/all?state=SD" TargetMode="External"/><Relationship Id="rId359" Type="http://schemas.openxmlformats.org/officeDocument/2006/relationships/hyperlink" Target="https://www.afdc.energy.gov/fuels/laws/ETH/TX" TargetMode="External"/><Relationship Id="rId98" Type="http://schemas.openxmlformats.org/officeDocument/2006/relationships/hyperlink" Target="https://www.afdc.energy.gov/laws/6421" TargetMode="External"/><Relationship Id="rId121" Type="http://schemas.openxmlformats.org/officeDocument/2006/relationships/hyperlink" Target="https://www.afdc.energy.gov/fuels/laws/BIOD/ME" TargetMode="External"/><Relationship Id="rId163" Type="http://schemas.openxmlformats.org/officeDocument/2006/relationships/hyperlink" Target="https://www.afdc.energy.gov/laws/laws_expired?jurisdiction=NJ" TargetMode="External"/><Relationship Id="rId219" Type="http://schemas.openxmlformats.org/officeDocument/2006/relationships/hyperlink" Target="https://www.afdc.energy.gov/laws/5514" TargetMode="External"/><Relationship Id="rId370" Type="http://schemas.openxmlformats.org/officeDocument/2006/relationships/hyperlink" Target="https://www.afdc.energy.gov/fuels/laws/NG/AR" TargetMode="External"/><Relationship Id="rId426" Type="http://schemas.openxmlformats.org/officeDocument/2006/relationships/hyperlink" Target="https://www.arb.ca.gov/msprog/mserc/hdcrguid.pdf" TargetMode="External"/><Relationship Id="rId230" Type="http://schemas.openxmlformats.org/officeDocument/2006/relationships/hyperlink" Target="https://www.afdc.energy.gov/laws/11592" TargetMode="External"/><Relationship Id="rId25" Type="http://schemas.openxmlformats.org/officeDocument/2006/relationships/hyperlink" Target="https://www.afdc.energy.gov/laws/all?state=WA" TargetMode="External"/><Relationship Id="rId67" Type="http://schemas.openxmlformats.org/officeDocument/2006/relationships/hyperlink" Target="https://www.afdc.energy.gov/fuels/laws/BIOD/OR" TargetMode="External"/><Relationship Id="rId272" Type="http://schemas.openxmlformats.org/officeDocument/2006/relationships/hyperlink" Target="https://www.afdc.energy.gov/laws/4345" TargetMode="External"/><Relationship Id="rId328" Type="http://schemas.openxmlformats.org/officeDocument/2006/relationships/hyperlink" Target="https://www.afdc.energy.gov/laws/5171" TargetMode="External"/><Relationship Id="rId132" Type="http://schemas.openxmlformats.org/officeDocument/2006/relationships/hyperlink" Target="https://www.afdc.energy.gov/fuels/laws/BIOD/RI" TargetMode="External"/><Relationship Id="rId174" Type="http://schemas.openxmlformats.org/officeDocument/2006/relationships/hyperlink" Target="https://www.afdc.energy.gov/laws/8400" TargetMode="External"/><Relationship Id="rId381" Type="http://schemas.openxmlformats.org/officeDocument/2006/relationships/hyperlink" Target="https://www.afdc.energy.gov/laws/5253" TargetMode="External"/><Relationship Id="rId241" Type="http://schemas.openxmlformats.org/officeDocument/2006/relationships/hyperlink" Target="https://www.afdc.energy.gov/laws/laws_expired?jurisdiction=MT" TargetMode="External"/><Relationship Id="rId437" Type="http://schemas.openxmlformats.org/officeDocument/2006/relationships/hyperlink" Target="http://rbi1.gatech.edu/research/sustainable-manufacturing" TargetMode="External"/><Relationship Id="rId36" Type="http://schemas.openxmlformats.org/officeDocument/2006/relationships/hyperlink" Target="https://ecology.wa.gov/Air-Climate/Climate-change/Tracking-reducing-carbon-pollution" TargetMode="External"/><Relationship Id="rId283" Type="http://schemas.openxmlformats.org/officeDocument/2006/relationships/hyperlink" Target="https://www.afdc.energy.gov/laws/10938" TargetMode="External"/><Relationship Id="rId339" Type="http://schemas.openxmlformats.org/officeDocument/2006/relationships/hyperlink" Target="https://www.afdc.energy.gov/laws/6242" TargetMode="External"/><Relationship Id="rId78" Type="http://schemas.openxmlformats.org/officeDocument/2006/relationships/hyperlink" Target="https://www.afdc.energy.gov/laws/6486" TargetMode="External"/><Relationship Id="rId101" Type="http://schemas.openxmlformats.org/officeDocument/2006/relationships/hyperlink" Target="https://www.afdc.energy.gov/fuels/laws/BIOD/SC" TargetMode="External"/><Relationship Id="rId143" Type="http://schemas.openxmlformats.org/officeDocument/2006/relationships/hyperlink" Target="https://www.afdc.energy.gov/laws/5754" TargetMode="External"/><Relationship Id="rId185" Type="http://schemas.openxmlformats.org/officeDocument/2006/relationships/hyperlink" Target="https://www.afdc.energy.gov/laws/6416" TargetMode="External"/><Relationship Id="rId350" Type="http://schemas.openxmlformats.org/officeDocument/2006/relationships/hyperlink" Target="https://www.afdc.energy.gov/laws/5216" TargetMode="External"/><Relationship Id="rId406" Type="http://schemas.openxmlformats.org/officeDocument/2006/relationships/hyperlink" Target="https://www.afdc.energy.gov/laws/10983" TargetMode="External"/><Relationship Id="rId9" Type="http://schemas.openxmlformats.org/officeDocument/2006/relationships/hyperlink" Target="https://www.afdc.energy.gov/laws/10393" TargetMode="External"/><Relationship Id="rId210" Type="http://schemas.openxmlformats.org/officeDocument/2006/relationships/hyperlink" Target="https://www.afdc.energy.gov/fuels/laws/BIOD/CO" TargetMode="External"/><Relationship Id="rId392" Type="http://schemas.openxmlformats.org/officeDocument/2006/relationships/hyperlink" Target="https://www.afdc.energy.gov/laws/11480" TargetMode="External"/><Relationship Id="rId252" Type="http://schemas.openxmlformats.org/officeDocument/2006/relationships/hyperlink" Target="https://www.afdc.energy.gov/laws/11975" TargetMode="External"/><Relationship Id="rId294" Type="http://schemas.openxmlformats.org/officeDocument/2006/relationships/hyperlink" Target="https://www.afdc.energy.gov/laws/8906" TargetMode="External"/><Relationship Id="rId308" Type="http://schemas.openxmlformats.org/officeDocument/2006/relationships/hyperlink" Target="https://www.afdc.energy.gov/laws/5218" TargetMode="External"/><Relationship Id="rId47" Type="http://schemas.openxmlformats.org/officeDocument/2006/relationships/hyperlink" Target="https://www.afdc.energy.gov/laws/5502" TargetMode="External"/><Relationship Id="rId89" Type="http://schemas.openxmlformats.org/officeDocument/2006/relationships/hyperlink" Target="https://www.afdc.energy.gov/laws/10675" TargetMode="External"/><Relationship Id="rId112" Type="http://schemas.openxmlformats.org/officeDocument/2006/relationships/hyperlink" Target="https://www.afdc.energy.gov/laws/all?state=ID" TargetMode="External"/><Relationship Id="rId154" Type="http://schemas.openxmlformats.org/officeDocument/2006/relationships/hyperlink" Target="https://www.afdc.energy.gov/laws/all?state=PA" TargetMode="External"/><Relationship Id="rId361" Type="http://schemas.openxmlformats.org/officeDocument/2006/relationships/hyperlink" Target="https://www.afdc.energy.gov/fuels/laws/ETH/TX" TargetMode="External"/><Relationship Id="rId196" Type="http://schemas.openxmlformats.org/officeDocument/2006/relationships/hyperlink" Target="https://www.afdc.energy.gov/laws/4605" TargetMode="External"/><Relationship Id="rId417" Type="http://schemas.openxmlformats.org/officeDocument/2006/relationships/hyperlink" Target="https://www.afdc.energy.gov/laws/6158" TargetMode="External"/><Relationship Id="rId16" Type="http://schemas.openxmlformats.org/officeDocument/2006/relationships/hyperlink" Target="https://www.afdc.energy.gov/laws/laws_expired?jurisdiction=OR" TargetMode="External"/><Relationship Id="rId221" Type="http://schemas.openxmlformats.org/officeDocument/2006/relationships/hyperlink" Target="https://www.afdc.energy.gov/laws/search?ir%5Bincentive%5D%5B%5D=EXEM&amp;loc%5B%5D=VA" TargetMode="External"/><Relationship Id="rId263" Type="http://schemas.openxmlformats.org/officeDocument/2006/relationships/hyperlink" Target="https://www.afdc.energy.gov/laws/6049" TargetMode="External"/><Relationship Id="rId319" Type="http://schemas.openxmlformats.org/officeDocument/2006/relationships/hyperlink" Target="https://www.afdc.energy.gov/laws/all?state=SD" TargetMode="External"/><Relationship Id="rId58" Type="http://schemas.openxmlformats.org/officeDocument/2006/relationships/hyperlink" Target="https://www.afdc.energy.gov/laws/6124" TargetMode="External"/><Relationship Id="rId123" Type="http://schemas.openxmlformats.org/officeDocument/2006/relationships/hyperlink" Target="https://www.afdc.energy.gov/fuels/laws/BIOD/ME" TargetMode="External"/><Relationship Id="rId330" Type="http://schemas.openxmlformats.org/officeDocument/2006/relationships/hyperlink" Target="https://www.afdc.energy.gov/laws/8306" TargetMode="External"/><Relationship Id="rId165" Type="http://schemas.openxmlformats.org/officeDocument/2006/relationships/hyperlink" Target="https://www.afdc.energy.gov/fuels/laws/BIOD/NJ" TargetMode="External"/><Relationship Id="rId372" Type="http://schemas.openxmlformats.org/officeDocument/2006/relationships/hyperlink" Target="https://www.afdc.energy.gov/laws/6193" TargetMode="External"/><Relationship Id="rId428" Type="http://schemas.openxmlformats.org/officeDocument/2006/relationships/hyperlink" Target="https://www.afdc.energy.gov/laws/all?state=KY" TargetMode="External"/><Relationship Id="rId232" Type="http://schemas.openxmlformats.org/officeDocument/2006/relationships/hyperlink" Target="https://www.afdc.energy.gov/laws/4547" TargetMode="External"/><Relationship Id="rId274" Type="http://schemas.openxmlformats.org/officeDocument/2006/relationships/hyperlink" Target="https://www.afdc.energy.gov/laws/5183" TargetMode="External"/><Relationship Id="rId27" Type="http://schemas.openxmlformats.org/officeDocument/2006/relationships/hyperlink" Target="https://www.afdc.energy.gov/laws/laws_expired?jurisdiction=WA" TargetMode="External"/><Relationship Id="rId69" Type="http://schemas.openxmlformats.org/officeDocument/2006/relationships/hyperlink" Target="https://www.afdc.energy.gov/fuels/laws/BIOD/OR" TargetMode="External"/><Relationship Id="rId134" Type="http://schemas.openxmlformats.org/officeDocument/2006/relationships/hyperlink" Target="https://www.afdc.energy.gov/states/ri" TargetMode="External"/><Relationship Id="rId80" Type="http://schemas.openxmlformats.org/officeDocument/2006/relationships/hyperlink" Target="https://www.afdc.energy.gov/fuels/laws/BIOD/NC" TargetMode="External"/><Relationship Id="rId176" Type="http://schemas.openxmlformats.org/officeDocument/2006/relationships/hyperlink" Target="https://www.afdc.energy.gov/laws/laws_expired?jurisdiction=AZ" TargetMode="External"/><Relationship Id="rId341" Type="http://schemas.openxmlformats.org/officeDocument/2006/relationships/hyperlink" Target="https://www.afdc.energy.gov/laws/6092" TargetMode="External"/><Relationship Id="rId383" Type="http://schemas.openxmlformats.org/officeDocument/2006/relationships/hyperlink" Target="https://www.afdc.energy.gov/laws/6081" TargetMode="External"/><Relationship Id="rId201" Type="http://schemas.openxmlformats.org/officeDocument/2006/relationships/hyperlink" Target="https://www.afdc.energy.gov/laws/11489" TargetMode="External"/><Relationship Id="rId243" Type="http://schemas.openxmlformats.org/officeDocument/2006/relationships/hyperlink" Target="https://www.afdc.energy.gov/laws/5866" TargetMode="External"/><Relationship Id="rId285" Type="http://schemas.openxmlformats.org/officeDocument/2006/relationships/hyperlink" Target="https://www.afdc.energy.gov/laws/4402" TargetMode="External"/><Relationship Id="rId38" Type="http://schemas.openxmlformats.org/officeDocument/2006/relationships/hyperlink" Target="https://www.afdc.energy.gov/laws/all?state=WA" TargetMode="External"/><Relationship Id="rId103" Type="http://schemas.openxmlformats.org/officeDocument/2006/relationships/hyperlink" Target="https://www.afdc.energy.gov/laws/5986" TargetMode="External"/><Relationship Id="rId310" Type="http://schemas.openxmlformats.org/officeDocument/2006/relationships/hyperlink" Target="https://www.afdc.energy.gov/laws/6234" TargetMode="External"/><Relationship Id="rId91" Type="http://schemas.openxmlformats.org/officeDocument/2006/relationships/hyperlink" Target="https://www.afdc.energy.gov/fuels/laws/ETH/VA" TargetMode="External"/><Relationship Id="rId145" Type="http://schemas.openxmlformats.org/officeDocument/2006/relationships/hyperlink" Target="https://www.afdc.energy.gov/fuels/laws/NG/VT" TargetMode="External"/><Relationship Id="rId187" Type="http://schemas.openxmlformats.org/officeDocument/2006/relationships/hyperlink" Target="https://www.afdc.energy.gov/laws/6078" TargetMode="External"/><Relationship Id="rId352" Type="http://schemas.openxmlformats.org/officeDocument/2006/relationships/hyperlink" Target="https://www.afdc.energy.gov/laws/laws_expired?jurisdiction=OK" TargetMode="External"/><Relationship Id="rId394" Type="http://schemas.openxmlformats.org/officeDocument/2006/relationships/hyperlink" Target="https://www.afdc.energy.gov/laws/4413" TargetMode="External"/><Relationship Id="rId408" Type="http://schemas.openxmlformats.org/officeDocument/2006/relationships/hyperlink" Target="https://www.afdc.energy.gov/fuels/laws/ETH/MN" TargetMode="External"/><Relationship Id="rId212" Type="http://schemas.openxmlformats.org/officeDocument/2006/relationships/hyperlink" Target="https://www.afdc.energy.gov/fuels/laws/BIOD/CO" TargetMode="External"/><Relationship Id="rId254" Type="http://schemas.openxmlformats.org/officeDocument/2006/relationships/hyperlink" Target="https://www.afdc.energy.gov/laws/5831" TargetMode="External"/><Relationship Id="rId49" Type="http://schemas.openxmlformats.org/officeDocument/2006/relationships/hyperlink" Target="https://www.afdc.energy.gov/fuels/laws/NG/FL" TargetMode="External"/><Relationship Id="rId114" Type="http://schemas.openxmlformats.org/officeDocument/2006/relationships/hyperlink" Target="https://www.afdc.energy.gov/fuels/laws/BIOD/ID" TargetMode="External"/><Relationship Id="rId296" Type="http://schemas.openxmlformats.org/officeDocument/2006/relationships/hyperlink" Target="https://www.afdc.energy.gov/laws/8907" TargetMode="External"/><Relationship Id="rId60" Type="http://schemas.openxmlformats.org/officeDocument/2006/relationships/hyperlink" Target="https://www.afdc.energy.gov/fuels/laws/NG/OH" TargetMode="External"/><Relationship Id="rId81" Type="http://schemas.openxmlformats.org/officeDocument/2006/relationships/hyperlink" Target="https://www.afdc.energy.gov/laws/all?state=NC" TargetMode="External"/><Relationship Id="rId135" Type="http://schemas.openxmlformats.org/officeDocument/2006/relationships/hyperlink" Target="https://www.afdc.energy.gov/fuels/laws/NG/MA" TargetMode="External"/><Relationship Id="rId156" Type="http://schemas.openxmlformats.org/officeDocument/2006/relationships/hyperlink" Target="https://www.afdc.energy.gov/laws/11611" TargetMode="External"/><Relationship Id="rId177" Type="http://schemas.openxmlformats.org/officeDocument/2006/relationships/hyperlink" Target="https://www.afdc.energy.gov/fuels/laws/ETH/AZ" TargetMode="External"/><Relationship Id="rId198" Type="http://schemas.openxmlformats.org/officeDocument/2006/relationships/hyperlink" Target="https://www.afdc.energy.gov/laws/laws_expired?jurisdiction=NM" TargetMode="External"/><Relationship Id="rId321" Type="http://schemas.openxmlformats.org/officeDocument/2006/relationships/hyperlink" Target="https://www.afdc.energy.gov/laws/all?state=SD" TargetMode="External"/><Relationship Id="rId342" Type="http://schemas.openxmlformats.org/officeDocument/2006/relationships/hyperlink" Target="https://www.afdc.energy.gov/laws/10415" TargetMode="External"/><Relationship Id="rId363" Type="http://schemas.openxmlformats.org/officeDocument/2006/relationships/hyperlink" Target="https://www.afdc.energy.gov/laws/6603" TargetMode="External"/><Relationship Id="rId384" Type="http://schemas.openxmlformats.org/officeDocument/2006/relationships/hyperlink" Target="https://www.afdc.energy.gov/laws/6226" TargetMode="External"/><Relationship Id="rId419" Type="http://schemas.openxmlformats.org/officeDocument/2006/relationships/hyperlink" Target="https://wicleancities.org/" TargetMode="External"/><Relationship Id="rId202" Type="http://schemas.openxmlformats.org/officeDocument/2006/relationships/hyperlink" Target="https://www.afdc.energy.gov/laws/202" TargetMode="External"/><Relationship Id="rId223" Type="http://schemas.openxmlformats.org/officeDocument/2006/relationships/hyperlink" Target="https://www.afdc.energy.gov/fuels/laws/ELEC/VA" TargetMode="External"/><Relationship Id="rId244" Type="http://schemas.openxmlformats.org/officeDocument/2006/relationships/hyperlink" Target="https://www.afdc.energy.gov/laws/8484" TargetMode="External"/><Relationship Id="rId430" Type="http://schemas.openxmlformats.org/officeDocument/2006/relationships/hyperlink" Target="http://www.nutrientstrategy.iastate.edu/sites/default/files/documents/NRSfull-130529.pdf" TargetMode="External"/><Relationship Id="rId18" Type="http://schemas.openxmlformats.org/officeDocument/2006/relationships/hyperlink" Target="https://www.afdc.energy.gov/laws/8846" TargetMode="External"/><Relationship Id="rId39" Type="http://schemas.openxmlformats.org/officeDocument/2006/relationships/hyperlink" Target="https://www.afdc.energy.gov/laws/laws_expired?jurisdiction=WA" TargetMode="External"/><Relationship Id="rId265" Type="http://schemas.openxmlformats.org/officeDocument/2006/relationships/hyperlink" Target="https://www.afdc.energy.gov/laws/8311" TargetMode="External"/><Relationship Id="rId286" Type="http://schemas.openxmlformats.org/officeDocument/2006/relationships/hyperlink" Target="https://www.afdc.energy.gov/laws/6222" TargetMode="External"/><Relationship Id="rId50" Type="http://schemas.openxmlformats.org/officeDocument/2006/relationships/hyperlink" Target="https://www.afdc.energy.gov/laws/6072" TargetMode="External"/><Relationship Id="rId104" Type="http://schemas.openxmlformats.org/officeDocument/2006/relationships/hyperlink" Target="https://www.afdc.energy.gov/fuels/laws/BIOD/SC" TargetMode="External"/><Relationship Id="rId125" Type="http://schemas.openxmlformats.org/officeDocument/2006/relationships/hyperlink" Target="https://www.afdc.energy.gov/fuels/laws/BIOD/ME" TargetMode="External"/><Relationship Id="rId146" Type="http://schemas.openxmlformats.org/officeDocument/2006/relationships/hyperlink" Target="https://www.afdc.energy.gov/laws/all?state=NH" TargetMode="External"/><Relationship Id="rId167" Type="http://schemas.openxmlformats.org/officeDocument/2006/relationships/hyperlink" Target="https://www.afdc.energy.gov/laws/all?state=DC" TargetMode="External"/><Relationship Id="rId188" Type="http://schemas.openxmlformats.org/officeDocument/2006/relationships/hyperlink" Target="https://www.afdc.energy.gov/laws/11706" TargetMode="External"/><Relationship Id="rId311" Type="http://schemas.openxmlformats.org/officeDocument/2006/relationships/hyperlink" Target="https://www.afdc.energy.gov/laws/9300" TargetMode="External"/><Relationship Id="rId332" Type="http://schemas.openxmlformats.org/officeDocument/2006/relationships/hyperlink" Target="https://www.afdc.energy.gov/fuels/laws/BIOD/KS" TargetMode="External"/><Relationship Id="rId353" Type="http://schemas.openxmlformats.org/officeDocument/2006/relationships/hyperlink" Target="https://www.afdc.energy.gov/fuels/laws/NG/TX" TargetMode="External"/><Relationship Id="rId374" Type="http://schemas.openxmlformats.org/officeDocument/2006/relationships/hyperlink" Target="https://www.afdc.energy.gov/laws/all?state=MO" TargetMode="External"/><Relationship Id="rId395" Type="http://schemas.openxmlformats.org/officeDocument/2006/relationships/hyperlink" Target="https://www.afdc.energy.gov/laws/6117" TargetMode="External"/><Relationship Id="rId409" Type="http://schemas.openxmlformats.org/officeDocument/2006/relationships/hyperlink" Target="https://www.afdc.energy.gov/laws/laws_expired?jurisdiction=MN" TargetMode="External"/><Relationship Id="rId71" Type="http://schemas.openxmlformats.org/officeDocument/2006/relationships/hyperlink" Target="https://www.afdc.energy.gov/laws/laws_expired?jurisdiction=KY" TargetMode="External"/><Relationship Id="rId92" Type="http://schemas.openxmlformats.org/officeDocument/2006/relationships/hyperlink" Target="https://www.afdc.energy.gov/laws/all?state=VA" TargetMode="External"/><Relationship Id="rId213" Type="http://schemas.openxmlformats.org/officeDocument/2006/relationships/hyperlink" Target="https://www.afdc.energy.gov/fuels/laws/NG/WV" TargetMode="External"/><Relationship Id="rId234" Type="http://schemas.openxmlformats.org/officeDocument/2006/relationships/hyperlink" Target="https://www.afdc.energy.gov/laws/6502" TargetMode="External"/><Relationship Id="rId420" Type="http://schemas.openxmlformats.org/officeDocument/2006/relationships/hyperlink" Target="https://www.afdc.energy.gov/fuels/laws/BIOD/WI" TargetMode="External"/><Relationship Id="rId2" Type="http://schemas.openxmlformats.org/officeDocument/2006/relationships/hyperlink" Target="http://nbb.org/about-U.S./history-of-biodiesel-nbb" TargetMode="External"/><Relationship Id="rId29" Type="http://schemas.openxmlformats.org/officeDocument/2006/relationships/hyperlink" Target="https://www.afdc.energy.gov/fuels/laws/BIOD/WA" TargetMode="External"/><Relationship Id="rId255" Type="http://schemas.openxmlformats.org/officeDocument/2006/relationships/hyperlink" Target="https://www.afdc.energy.gov/laws/6409" TargetMode="External"/><Relationship Id="rId276" Type="http://schemas.openxmlformats.org/officeDocument/2006/relationships/hyperlink" Target="https://www.afdc.energy.gov/laws/6267" TargetMode="External"/><Relationship Id="rId297" Type="http://schemas.openxmlformats.org/officeDocument/2006/relationships/hyperlink" Target="https://www.afdc.energy.gov/laws/6328" TargetMode="External"/><Relationship Id="rId40" Type="http://schemas.openxmlformats.org/officeDocument/2006/relationships/hyperlink" Target="http://valleyair.org/grants/" TargetMode="External"/><Relationship Id="rId115" Type="http://schemas.openxmlformats.org/officeDocument/2006/relationships/hyperlink" Target="https://www.afdc.energy.gov/laws/6183" TargetMode="External"/><Relationship Id="rId136" Type="http://schemas.openxmlformats.org/officeDocument/2006/relationships/hyperlink" Target="https://www.afdc.energy.gov/fuels/laws/NG/MA" TargetMode="External"/><Relationship Id="rId157" Type="http://schemas.openxmlformats.org/officeDocument/2006/relationships/hyperlink" Target="https://www.afdc.energy.gov/laws/6302" TargetMode="External"/><Relationship Id="rId178" Type="http://schemas.openxmlformats.org/officeDocument/2006/relationships/hyperlink" Target="https://www.afdc.energy.gov/laws/laws_expired?jurisdiction=AZ" TargetMode="External"/><Relationship Id="rId301" Type="http://schemas.openxmlformats.org/officeDocument/2006/relationships/hyperlink" Target="https://www.afdc.energy.gov/laws/6331" TargetMode="External"/><Relationship Id="rId322" Type="http://schemas.openxmlformats.org/officeDocument/2006/relationships/hyperlink" Target="https://www.afdc.energy.gov/laws/all?state=SD" TargetMode="External"/><Relationship Id="rId343" Type="http://schemas.openxmlformats.org/officeDocument/2006/relationships/hyperlink" Target="https://www.afdc.energy.gov/laws/5950" TargetMode="External"/><Relationship Id="rId364" Type="http://schemas.openxmlformats.org/officeDocument/2006/relationships/hyperlink" Target="https://www.afdc.energy.gov/laws/6103" TargetMode="External"/><Relationship Id="rId61" Type="http://schemas.openxmlformats.org/officeDocument/2006/relationships/hyperlink" Target="https://www.afdc.energy.gov/laws/11741" TargetMode="External"/><Relationship Id="rId82" Type="http://schemas.openxmlformats.org/officeDocument/2006/relationships/hyperlink" Target="https://www.afdc.energy.gov/fuels/laws/BIOD/NC" TargetMode="External"/><Relationship Id="rId199" Type="http://schemas.openxmlformats.org/officeDocument/2006/relationships/hyperlink" Target="https://www.afdc.energy.gov/fuels/laws/BIOD/NM" TargetMode="External"/><Relationship Id="rId203" Type="http://schemas.openxmlformats.org/officeDocument/2006/relationships/hyperlink" Target="https://www.afdc.energy.gov/laws/4272" TargetMode="External"/><Relationship Id="rId385" Type="http://schemas.openxmlformats.org/officeDocument/2006/relationships/hyperlink" Target="https://www.afdc.energy.gov/laws/9293" TargetMode="External"/><Relationship Id="rId19" Type="http://schemas.openxmlformats.org/officeDocument/2006/relationships/hyperlink" Target="https://www.afdc.energy.gov/laws/11160" TargetMode="External"/><Relationship Id="rId224" Type="http://schemas.openxmlformats.org/officeDocument/2006/relationships/hyperlink" Target="https://www.afdc.energy.gov/laws/8502" TargetMode="External"/><Relationship Id="rId245" Type="http://schemas.openxmlformats.org/officeDocument/2006/relationships/hyperlink" Target="https://www.afdc.energy.gov/laws/5865" TargetMode="External"/><Relationship Id="rId266" Type="http://schemas.openxmlformats.org/officeDocument/2006/relationships/hyperlink" Target="https://www.afdc.energy.gov/laws/8310" TargetMode="External"/><Relationship Id="rId287" Type="http://schemas.openxmlformats.org/officeDocument/2006/relationships/hyperlink" Target="https://www.afdc.energy.gov/laws/6221" TargetMode="External"/><Relationship Id="rId410" Type="http://schemas.openxmlformats.org/officeDocument/2006/relationships/hyperlink" Target="https://www.afdc.energy.gov/laws/6022" TargetMode="External"/><Relationship Id="rId431" Type="http://schemas.openxmlformats.org/officeDocument/2006/relationships/hyperlink" Target="http://www.mass.gov/anf/budget-taxes-and-procurement/procurement-info-and-res/procurement-prog-and-serv/epp-procurement-prog/" TargetMode="External"/><Relationship Id="rId30" Type="http://schemas.openxmlformats.org/officeDocument/2006/relationships/hyperlink" Target="https://www.afdc.energy.gov/fuels/laws/BIOD/WA" TargetMode="External"/><Relationship Id="rId105" Type="http://schemas.openxmlformats.org/officeDocument/2006/relationships/hyperlink" Target="https://www.afdc.energy.gov/laws/laws_expired?jurisdiction=SC" TargetMode="External"/><Relationship Id="rId126" Type="http://schemas.openxmlformats.org/officeDocument/2006/relationships/hyperlink" Target="https://www.afdc.energy.gov/laws/6070" TargetMode="External"/><Relationship Id="rId147" Type="http://schemas.openxmlformats.org/officeDocument/2006/relationships/hyperlink" Target="https://www.afdc.energy.gov/laws/all?state=NH" TargetMode="External"/><Relationship Id="rId168" Type="http://schemas.openxmlformats.org/officeDocument/2006/relationships/hyperlink" Target="https://www.afdc.energy.gov/laws/all?state=DC" TargetMode="External"/><Relationship Id="rId312" Type="http://schemas.openxmlformats.org/officeDocument/2006/relationships/hyperlink" Target="https://www.afdc.energy.gov/laws/6231" TargetMode="External"/><Relationship Id="rId333" Type="http://schemas.openxmlformats.org/officeDocument/2006/relationships/hyperlink" Target="https://www.afdc.energy.gov/fuels/laws/BIOD/KS" TargetMode="External"/><Relationship Id="rId354" Type="http://schemas.openxmlformats.org/officeDocument/2006/relationships/hyperlink" Target="https://www.afdc.energy.gov/fuels/laws/NG/TX" TargetMode="External"/><Relationship Id="rId51" Type="http://schemas.openxmlformats.org/officeDocument/2006/relationships/hyperlink" Target="https://www.afdc.energy.gov/laws/all?state=FL" TargetMode="External"/><Relationship Id="rId72" Type="http://schemas.openxmlformats.org/officeDocument/2006/relationships/hyperlink" Target="https://www.afdc.energy.gov/fuels/laws/BIOD/TN" TargetMode="External"/><Relationship Id="rId93" Type="http://schemas.openxmlformats.org/officeDocument/2006/relationships/hyperlink" Target="https://www.afdc.energy.gov/fuels/laws/BIOD/VA" TargetMode="External"/><Relationship Id="rId189" Type="http://schemas.openxmlformats.org/officeDocument/2006/relationships/hyperlink" Target="https://www.afdc.energy.gov/laws/6230" TargetMode="External"/><Relationship Id="rId375" Type="http://schemas.openxmlformats.org/officeDocument/2006/relationships/hyperlink" Target="https://www.afdc.energy.gov/laws/all?state=MO" TargetMode="External"/><Relationship Id="rId396" Type="http://schemas.openxmlformats.org/officeDocument/2006/relationships/hyperlink" Target="https://www.afdc.energy.gov/laws/laws_expired?jurisdiction=IA" TargetMode="External"/><Relationship Id="rId3" Type="http://schemas.openxmlformats.org/officeDocument/2006/relationships/hyperlink" Target="https://www.afdc.energy.gov/fuels/laws/BIOD/CT" TargetMode="External"/><Relationship Id="rId214" Type="http://schemas.openxmlformats.org/officeDocument/2006/relationships/hyperlink" Target="https://www.afdc.energy.gov/fuels/laws/NG/WV" TargetMode="External"/><Relationship Id="rId235" Type="http://schemas.openxmlformats.org/officeDocument/2006/relationships/hyperlink" Target="https://www.afdc.energy.gov/laws/6555" TargetMode="External"/><Relationship Id="rId256" Type="http://schemas.openxmlformats.org/officeDocument/2006/relationships/hyperlink" Target="https://www.afdc.energy.gov/laws/10738" TargetMode="External"/><Relationship Id="rId277" Type="http://schemas.openxmlformats.org/officeDocument/2006/relationships/hyperlink" Target="https://www.afdc.energy.gov/laws/6264" TargetMode="External"/><Relationship Id="rId298" Type="http://schemas.openxmlformats.org/officeDocument/2006/relationships/hyperlink" Target="https://www.afdc.energy.gov/laws/5697" TargetMode="External"/><Relationship Id="rId400" Type="http://schemas.openxmlformats.org/officeDocument/2006/relationships/hyperlink" Target="https://www.afdc.energy.gov/laws/9398" TargetMode="External"/><Relationship Id="rId421" Type="http://schemas.openxmlformats.org/officeDocument/2006/relationships/hyperlink" Target="https://www.afdc.energy.gov/fuels/laws/NG/IN" TargetMode="External"/><Relationship Id="rId116" Type="http://schemas.openxmlformats.org/officeDocument/2006/relationships/hyperlink" Target="https://www.afdc.energy.gov/fuels/laws/BIOD/NV" TargetMode="External"/><Relationship Id="rId137" Type="http://schemas.openxmlformats.org/officeDocument/2006/relationships/hyperlink" Target="https://www.afdc.energy.gov/laws/6466" TargetMode="External"/><Relationship Id="rId158" Type="http://schemas.openxmlformats.org/officeDocument/2006/relationships/hyperlink" Target="https://www.afdc.energy.gov/laws/search?loc%5B%5D=NY&amp;user%5B%5D=STATION" TargetMode="External"/><Relationship Id="rId302" Type="http://schemas.openxmlformats.org/officeDocument/2006/relationships/hyperlink" Target="https://www.afdc.energy.gov/laws/laws_expired?jurisdiction=IL" TargetMode="External"/><Relationship Id="rId323" Type="http://schemas.openxmlformats.org/officeDocument/2006/relationships/hyperlink" Target="https://www.afdc.energy.gov/laws/6252" TargetMode="External"/><Relationship Id="rId344" Type="http://schemas.openxmlformats.org/officeDocument/2006/relationships/hyperlink" Target="https://www.afdc.energy.gov/laws/10333" TargetMode="External"/><Relationship Id="rId20" Type="http://schemas.openxmlformats.org/officeDocument/2006/relationships/hyperlink" Target="https://www.afdc.energy.gov/laws/5567" TargetMode="External"/><Relationship Id="rId41" Type="http://schemas.openxmlformats.org/officeDocument/2006/relationships/hyperlink" Target="https://www.afdc.energy.gov/laws/laws_expired?jurisdiction=CA" TargetMode="External"/><Relationship Id="rId62" Type="http://schemas.openxmlformats.org/officeDocument/2006/relationships/hyperlink" Target="https://www.afdc.energy.gov/laws/11742" TargetMode="External"/><Relationship Id="rId83" Type="http://schemas.openxmlformats.org/officeDocument/2006/relationships/hyperlink" Target="https://www.afdc.energy.gov/fuels/laws/ETH/NC" TargetMode="External"/><Relationship Id="rId179" Type="http://schemas.openxmlformats.org/officeDocument/2006/relationships/hyperlink" Target="https://www.afdc.energy.gov/laws/11401" TargetMode="External"/><Relationship Id="rId365" Type="http://schemas.openxmlformats.org/officeDocument/2006/relationships/hyperlink" Target="https://www.afdc.energy.gov/laws/6456" TargetMode="External"/><Relationship Id="rId386" Type="http://schemas.openxmlformats.org/officeDocument/2006/relationships/hyperlink" Target="https://www.afdc.energy.gov/laws/5235" TargetMode="External"/><Relationship Id="rId190" Type="http://schemas.openxmlformats.org/officeDocument/2006/relationships/hyperlink" Target="https://www.afdc.energy.gov/fuels/laws/NG/HI" TargetMode="External"/><Relationship Id="rId204" Type="http://schemas.openxmlformats.org/officeDocument/2006/relationships/hyperlink" Target="https://www.afdc.energy.gov/laws/11565" TargetMode="External"/><Relationship Id="rId225" Type="http://schemas.openxmlformats.org/officeDocument/2006/relationships/hyperlink" Target="https://www.afdc.energy.gov/laws/10674" TargetMode="External"/><Relationship Id="rId246" Type="http://schemas.openxmlformats.org/officeDocument/2006/relationships/hyperlink" Target="https://www.afdc.energy.gov/laws/11736" TargetMode="External"/><Relationship Id="rId267" Type="http://schemas.openxmlformats.org/officeDocument/2006/relationships/hyperlink" Target="https://www.afdc.energy.gov/laws/11556" TargetMode="External"/><Relationship Id="rId288" Type="http://schemas.openxmlformats.org/officeDocument/2006/relationships/hyperlink" Target="https://www.afdc.energy.gov/laws/6219" TargetMode="External"/><Relationship Id="rId411" Type="http://schemas.openxmlformats.org/officeDocument/2006/relationships/hyperlink" Target="https://www.afdc.energy.gov/laws/8976" TargetMode="External"/><Relationship Id="rId432" Type="http://schemas.openxmlformats.org/officeDocument/2006/relationships/hyperlink" Target="http://www.betalabservices.com/ohio-biobased-products/" TargetMode="External"/><Relationship Id="rId106" Type="http://schemas.openxmlformats.org/officeDocument/2006/relationships/hyperlink" Target="https://www.afdc.energy.gov/laws/6458" TargetMode="External"/><Relationship Id="rId127" Type="http://schemas.openxmlformats.org/officeDocument/2006/relationships/hyperlink" Target="https://www.afdc.energy.gov/laws/all?state=CT" TargetMode="External"/><Relationship Id="rId313" Type="http://schemas.openxmlformats.org/officeDocument/2006/relationships/hyperlink" Target="https://www.afdc.energy.gov/laws/all?state=SD" TargetMode="External"/><Relationship Id="rId10" Type="http://schemas.openxmlformats.org/officeDocument/2006/relationships/hyperlink" Target="http://dot.ca.gov/hq/tpp/offices/ogm/cs_freight_action_plan/main.html" TargetMode="External"/><Relationship Id="rId31" Type="http://schemas.openxmlformats.org/officeDocument/2006/relationships/hyperlink" Target="https://www.afdc.energy.gov/laws/6203" TargetMode="External"/><Relationship Id="rId52" Type="http://schemas.openxmlformats.org/officeDocument/2006/relationships/hyperlink" Target="https://www.afdc.energy.gov/laws/laws_expired?jurisdiction=" TargetMode="External"/><Relationship Id="rId73" Type="http://schemas.openxmlformats.org/officeDocument/2006/relationships/hyperlink" Target="https://www.afdc.energy.gov/laws/11243" TargetMode="External"/><Relationship Id="rId94" Type="http://schemas.openxmlformats.org/officeDocument/2006/relationships/hyperlink" Target="https://www.afdc.energy.gov/laws/9853" TargetMode="External"/><Relationship Id="rId148" Type="http://schemas.openxmlformats.org/officeDocument/2006/relationships/hyperlink" Target="https://www.afdc.energy.gov/laws/all?state=NH" TargetMode="External"/><Relationship Id="rId169" Type="http://schemas.openxmlformats.org/officeDocument/2006/relationships/hyperlink" Target="https://www.afdc.energy.gov/laws/6176" TargetMode="External"/><Relationship Id="rId334" Type="http://schemas.openxmlformats.org/officeDocument/2006/relationships/hyperlink" Target="https://www.afdc.energy.gov/laws/all?state=KS" TargetMode="External"/><Relationship Id="rId355" Type="http://schemas.openxmlformats.org/officeDocument/2006/relationships/hyperlink" Target="https://www.afdc.energy.gov/fuels/laws/NG/TX" TargetMode="External"/><Relationship Id="rId376" Type="http://schemas.openxmlformats.org/officeDocument/2006/relationships/hyperlink" Target="https://www.afdc.energy.gov/laws/all?state=MO" TargetMode="External"/><Relationship Id="rId397" Type="http://schemas.openxmlformats.org/officeDocument/2006/relationships/hyperlink" Target="https://www.afdc.energy.gov/laws/5194" TargetMode="External"/><Relationship Id="rId4" Type="http://schemas.openxmlformats.org/officeDocument/2006/relationships/hyperlink" Target="https://www.afdc.energy.gov/laws/all?state=CT" TargetMode="External"/><Relationship Id="rId180" Type="http://schemas.openxmlformats.org/officeDocument/2006/relationships/hyperlink" Target="https://www.afdc.energy.gov/laws/8204" TargetMode="External"/><Relationship Id="rId215" Type="http://schemas.openxmlformats.org/officeDocument/2006/relationships/hyperlink" Target="https://www.afdc.energy.gov/fuels/laws/NG/WV" TargetMode="External"/><Relationship Id="rId236" Type="http://schemas.openxmlformats.org/officeDocument/2006/relationships/hyperlink" Target="https://www.afdc.energy.gov/laws/10855" TargetMode="External"/><Relationship Id="rId257" Type="http://schemas.openxmlformats.org/officeDocument/2006/relationships/hyperlink" Target="https://www.afdc.energy.gov/laws/10741" TargetMode="External"/><Relationship Id="rId278" Type="http://schemas.openxmlformats.org/officeDocument/2006/relationships/hyperlink" Target="https://www.afdc.energy.gov/laws/5664" TargetMode="External"/><Relationship Id="rId401" Type="http://schemas.openxmlformats.org/officeDocument/2006/relationships/hyperlink" Target="https://www.afdc.energy.gov/laws/9399" TargetMode="External"/><Relationship Id="rId422" Type="http://schemas.openxmlformats.org/officeDocument/2006/relationships/hyperlink" Target="https://www.afdc.energy.gov/laws/laws_expired?jurisdiction=TN" TargetMode="External"/><Relationship Id="rId303" Type="http://schemas.openxmlformats.org/officeDocument/2006/relationships/hyperlink" Target="https://www.afdc.energy.gov/laws/laws_expired?jurisdiction=IL" TargetMode="External"/><Relationship Id="rId42" Type="http://schemas.openxmlformats.org/officeDocument/2006/relationships/hyperlink" Target="https://www.afdc.energy.gov/fuels/laws/BIOD/CA" TargetMode="External"/><Relationship Id="rId84" Type="http://schemas.openxmlformats.org/officeDocument/2006/relationships/hyperlink" Target="https://www.afdc.energy.gov/fuels/laws/ETH/NC" TargetMode="External"/><Relationship Id="rId138" Type="http://schemas.openxmlformats.org/officeDocument/2006/relationships/hyperlink" Target="https://www.afdc.energy.gov/fuels/laws/BIOD/MA" TargetMode="External"/><Relationship Id="rId345" Type="http://schemas.openxmlformats.org/officeDocument/2006/relationships/hyperlink" Target="https://www.afdc.energy.gov/laws/11725" TargetMode="External"/><Relationship Id="rId387" Type="http://schemas.openxmlformats.org/officeDocument/2006/relationships/hyperlink" Target="https://www.afdc.energy.gov/laws/6082" TargetMode="External"/><Relationship Id="rId191" Type="http://schemas.openxmlformats.org/officeDocument/2006/relationships/hyperlink" Target="https://www.afdc.energy.gov/laws/5826" TargetMode="External"/><Relationship Id="rId205" Type="http://schemas.openxmlformats.org/officeDocument/2006/relationships/hyperlink" Target="https://www.afdc.energy.gov/laws/11629" TargetMode="External"/><Relationship Id="rId247" Type="http://schemas.openxmlformats.org/officeDocument/2006/relationships/hyperlink" Target="https://www.afdc.energy.gov/laws/9299" TargetMode="External"/><Relationship Id="rId412" Type="http://schemas.openxmlformats.org/officeDocument/2006/relationships/hyperlink" Target="https://www.afdc.energy.gov/laws/8978" TargetMode="External"/><Relationship Id="rId107" Type="http://schemas.openxmlformats.org/officeDocument/2006/relationships/hyperlink" Target="https://www.afdc.energy.gov/laws/search?loc%5B%5D=SC&amp;user%5B%5D=AFS" TargetMode="External"/><Relationship Id="rId289" Type="http://schemas.openxmlformats.org/officeDocument/2006/relationships/hyperlink" Target="https://www.afdc.energy.gov/laws/10796" TargetMode="External"/><Relationship Id="rId11" Type="http://schemas.openxmlformats.org/officeDocument/2006/relationships/hyperlink" Target="http://www.energy.ca.gov/2018_energypolicy/" TargetMode="External"/><Relationship Id="rId53" Type="http://schemas.openxmlformats.org/officeDocument/2006/relationships/hyperlink" Target="https://www.afdc.energy.gov/fuels/laws/BIOD/FL" TargetMode="External"/><Relationship Id="rId149" Type="http://schemas.openxmlformats.org/officeDocument/2006/relationships/hyperlink" Target="https://www.afdc.energy.gov/laws/all?state=NH" TargetMode="External"/><Relationship Id="rId314" Type="http://schemas.openxmlformats.org/officeDocument/2006/relationships/hyperlink" Target="https://www.afdc.energy.gov/laws/all?state=SD" TargetMode="External"/><Relationship Id="rId356" Type="http://schemas.openxmlformats.org/officeDocument/2006/relationships/hyperlink" Target="https://www.afdc.energy.gov/fuels/laws/NG/TX" TargetMode="External"/><Relationship Id="rId398" Type="http://schemas.openxmlformats.org/officeDocument/2006/relationships/hyperlink" Target="https://www.afdc.energy.gov/laws/6237" TargetMode="External"/><Relationship Id="rId95" Type="http://schemas.openxmlformats.org/officeDocument/2006/relationships/hyperlink" Target="https://www.afdc.energy.gov/laws/6360" TargetMode="External"/><Relationship Id="rId160" Type="http://schemas.openxmlformats.org/officeDocument/2006/relationships/hyperlink" Target="https://www.afdc.energy.gov/laws/5325" TargetMode="External"/><Relationship Id="rId216" Type="http://schemas.openxmlformats.org/officeDocument/2006/relationships/hyperlink" Target="https://www.afdc.energy.gov/laws/laws_expired?jurisdiction=WV" TargetMode="External"/><Relationship Id="rId423" Type="http://schemas.openxmlformats.org/officeDocument/2006/relationships/hyperlink" Target="https://www.afdc.energy.gov/fuels/laws/BIOD/FL" TargetMode="External"/><Relationship Id="rId258" Type="http://schemas.openxmlformats.org/officeDocument/2006/relationships/hyperlink" Target="http://www.lrc.ky.gov/statutes/statute.aspx?id=42410" TargetMode="External"/><Relationship Id="rId22" Type="http://schemas.openxmlformats.org/officeDocument/2006/relationships/hyperlink" Target="https://www.afdc.energy.gov/laws/all?state=WA" TargetMode="External"/><Relationship Id="rId64" Type="http://schemas.openxmlformats.org/officeDocument/2006/relationships/hyperlink" Target="https://www.afdc.energy.gov/fuels/laws/BIOD/OH" TargetMode="External"/><Relationship Id="rId118" Type="http://schemas.openxmlformats.org/officeDocument/2006/relationships/hyperlink" Target="https://www.afdc.energy.gov/laws/6403" TargetMode="External"/><Relationship Id="rId325" Type="http://schemas.openxmlformats.org/officeDocument/2006/relationships/hyperlink" Target="https://www.afdc.energy.gov/laws/5735" TargetMode="External"/><Relationship Id="rId367" Type="http://schemas.openxmlformats.org/officeDocument/2006/relationships/hyperlink" Target="https://www.afdc.energy.gov/laws/6104" TargetMode="External"/><Relationship Id="rId171" Type="http://schemas.openxmlformats.org/officeDocument/2006/relationships/hyperlink" Target="https://www.afdc.energy.gov/laws/search?loc%5B%5D=NV&amp;tech%5B%5D=BIOD" TargetMode="External"/><Relationship Id="rId227" Type="http://schemas.openxmlformats.org/officeDocument/2006/relationships/hyperlink" Target="https://www.afdc.energy.gov/laws/11630" TargetMode="External"/><Relationship Id="rId269" Type="http://schemas.openxmlformats.org/officeDocument/2006/relationships/hyperlink" Target="https://www.afdc.energy.gov/laws/11694" TargetMode="External"/><Relationship Id="rId434" Type="http://schemas.openxmlformats.org/officeDocument/2006/relationships/hyperlink" Target="http://www.nutrientstrategy.iastate.edu/sites/default/files/documents/NRSfull-130529.pdf" TargetMode="External"/><Relationship Id="rId33" Type="http://schemas.openxmlformats.org/officeDocument/2006/relationships/hyperlink" Target="https://www.afdc.energy.gov/fuels/laws/NG/KS" TargetMode="External"/><Relationship Id="rId129" Type="http://schemas.openxmlformats.org/officeDocument/2006/relationships/hyperlink" Target="https://www.afdc.energy.gov/laws/all?state=CT" TargetMode="External"/><Relationship Id="rId280" Type="http://schemas.openxmlformats.org/officeDocument/2006/relationships/hyperlink" Target="https://www.afdc.energy.gov/laws/6033" TargetMode="External"/><Relationship Id="rId336" Type="http://schemas.openxmlformats.org/officeDocument/2006/relationships/hyperlink" Target="http://www.kansascommerce.com/1150/Incentives-for-Ethanol-Production" TargetMode="External"/><Relationship Id="rId75" Type="http://schemas.openxmlformats.org/officeDocument/2006/relationships/hyperlink" Target="https://www.afdc.energy.gov/laws/11645" TargetMode="External"/><Relationship Id="rId140" Type="http://schemas.openxmlformats.org/officeDocument/2006/relationships/hyperlink" Target="https://www.afdc.energy.gov/fuels/laws/BIOD/MA" TargetMode="External"/><Relationship Id="rId182" Type="http://schemas.openxmlformats.org/officeDocument/2006/relationships/hyperlink" Target="https://www.afdc.energy.gov/laws/laws_expired?jurisdiction=UT" TargetMode="External"/><Relationship Id="rId378" Type="http://schemas.openxmlformats.org/officeDocument/2006/relationships/hyperlink" Target="https://www.afdc.energy.gov/laws/all?state=MO" TargetMode="External"/><Relationship Id="rId403" Type="http://schemas.openxmlformats.org/officeDocument/2006/relationships/hyperlink" Target="https://www.afdc.energy.gov/laws/4524" TargetMode="External"/><Relationship Id="rId6" Type="http://schemas.openxmlformats.org/officeDocument/2006/relationships/hyperlink" Target="https://www.arb.ca.gov/msprog/moyer/moyer.htm" TargetMode="External"/><Relationship Id="rId238" Type="http://schemas.openxmlformats.org/officeDocument/2006/relationships/hyperlink" Target="https://www.afdc.energy.gov/laws/5862" TargetMode="External"/><Relationship Id="rId291" Type="http://schemas.openxmlformats.org/officeDocument/2006/relationships/hyperlink" Target="https://www.afdc.energy.gov/fuels/laws/ELEC/IL" TargetMode="External"/><Relationship Id="rId305" Type="http://schemas.openxmlformats.org/officeDocument/2006/relationships/hyperlink" Target="https://www.afdc.energy.gov/fuels/laws/ETH/IL" TargetMode="External"/><Relationship Id="rId347" Type="http://schemas.openxmlformats.org/officeDocument/2006/relationships/hyperlink" Target="https://www.afdc.energy.gov/laws/6449" TargetMode="External"/><Relationship Id="rId44" Type="http://schemas.openxmlformats.org/officeDocument/2006/relationships/hyperlink" Target="https://www.afdc.energy.gov/laws/6490" TargetMode="External"/><Relationship Id="rId86" Type="http://schemas.openxmlformats.org/officeDocument/2006/relationships/hyperlink" Target="https://www.afdc.energy.gov/fuels/laws/BIOD/NC" TargetMode="External"/><Relationship Id="rId151" Type="http://schemas.openxmlformats.org/officeDocument/2006/relationships/hyperlink" Target="https://www.afdc.energy.gov/fuels/laws/BIOD/DE" TargetMode="External"/><Relationship Id="rId389" Type="http://schemas.openxmlformats.org/officeDocument/2006/relationships/hyperlink" Target="https://www.afdc.energy.gov/laws/8308" TargetMode="External"/><Relationship Id="rId193" Type="http://schemas.openxmlformats.org/officeDocument/2006/relationships/hyperlink" Target="https://www.afdc.energy.gov/laws/9053" TargetMode="External"/><Relationship Id="rId207" Type="http://schemas.openxmlformats.org/officeDocument/2006/relationships/hyperlink" Target="https://www.afdc.energy.gov/laws/4274" TargetMode="External"/><Relationship Id="rId249" Type="http://schemas.openxmlformats.org/officeDocument/2006/relationships/hyperlink" Target="https://www.afdc.energy.gov/fuels/laws/NG/KY" TargetMode="External"/><Relationship Id="rId414" Type="http://schemas.openxmlformats.org/officeDocument/2006/relationships/hyperlink" Target="https://www.afdc.energy.gov/laws/8975" TargetMode="External"/><Relationship Id="rId13" Type="http://schemas.openxmlformats.org/officeDocument/2006/relationships/hyperlink" Target="https://www.afdc.energy.gov/laws/all?state=CA" TargetMode="External"/><Relationship Id="rId109" Type="http://schemas.openxmlformats.org/officeDocument/2006/relationships/hyperlink" Target="https://www.afdc.energy.gov/laws/11653" TargetMode="External"/><Relationship Id="rId260" Type="http://schemas.openxmlformats.org/officeDocument/2006/relationships/hyperlink" Target="https://www.afdc.energy.gov/laws/6574" TargetMode="External"/><Relationship Id="rId316" Type="http://schemas.openxmlformats.org/officeDocument/2006/relationships/hyperlink" Target="https://www.afdc.energy.gov/laws/all?state=SD" TargetMode="External"/><Relationship Id="rId55" Type="http://schemas.openxmlformats.org/officeDocument/2006/relationships/hyperlink" Target="https://www.afdc.energy.gov/fuels/laws/BIOD/IN" TargetMode="External"/><Relationship Id="rId97" Type="http://schemas.openxmlformats.org/officeDocument/2006/relationships/hyperlink" Target="https://www.afdc.energy.gov/fuels/laws/BIOD/FL" TargetMode="External"/><Relationship Id="rId120" Type="http://schemas.openxmlformats.org/officeDocument/2006/relationships/hyperlink" Target="https://www.afdc.energy.gov/fuels/laws/BIOD/ME" TargetMode="External"/><Relationship Id="rId358" Type="http://schemas.openxmlformats.org/officeDocument/2006/relationships/hyperlink" Target="https://www.afdc.energy.gov/fuels/laws/BIOD/TX" TargetMode="External"/><Relationship Id="rId162" Type="http://schemas.openxmlformats.org/officeDocument/2006/relationships/hyperlink" Target="https://www.afdc.energy.gov/laws/all?state=NJ" TargetMode="External"/><Relationship Id="rId218" Type="http://schemas.openxmlformats.org/officeDocument/2006/relationships/hyperlink" Target="https://www.afdc.energy.gov/laws/4796" TargetMode="External"/><Relationship Id="rId425" Type="http://schemas.openxmlformats.org/officeDocument/2006/relationships/hyperlink" Target="http://www.ethanolretailer.com/images/uploads/ethanol_state_incentives_2014.pdf" TargetMode="External"/><Relationship Id="rId271" Type="http://schemas.openxmlformats.org/officeDocument/2006/relationships/hyperlink" Target="https://www.afdc.energy.gov/laws/6516" TargetMode="External"/><Relationship Id="rId24" Type="http://schemas.openxmlformats.org/officeDocument/2006/relationships/hyperlink" Target="https://www.afdc.energy.gov/laws/all?state=WA" TargetMode="External"/><Relationship Id="rId66" Type="http://schemas.openxmlformats.org/officeDocument/2006/relationships/hyperlink" Target="https://www.afdc.energy.gov/fuels/laws/NG/OR" TargetMode="External"/><Relationship Id="rId131" Type="http://schemas.openxmlformats.org/officeDocument/2006/relationships/hyperlink" Target="https://www.afdc.energy.gov/fuels/laws/BIOD/RI" TargetMode="External"/><Relationship Id="rId327" Type="http://schemas.openxmlformats.org/officeDocument/2006/relationships/hyperlink" Target="https://www.afdc.energy.gov/laws/5169" TargetMode="External"/><Relationship Id="rId369" Type="http://schemas.openxmlformats.org/officeDocument/2006/relationships/hyperlink" Target="https://www.afdc.energy.gov/fuels/laws/NG/AR" TargetMode="External"/><Relationship Id="rId173" Type="http://schemas.openxmlformats.org/officeDocument/2006/relationships/hyperlink" Target="https://www.afdc.energy.gov/laws/8402" TargetMode="External"/><Relationship Id="rId229" Type="http://schemas.openxmlformats.org/officeDocument/2006/relationships/hyperlink" Target="https://www.afdc.energy.gov/laws/11596" TargetMode="External"/><Relationship Id="rId380" Type="http://schemas.openxmlformats.org/officeDocument/2006/relationships/hyperlink" Target="https://energy.mo.gov/assistance-programs/missouri-alternative-fuel-infrastructure-tax-credit" TargetMode="External"/><Relationship Id="rId436" Type="http://schemas.openxmlformats.org/officeDocument/2006/relationships/hyperlink" Target="https://foodtank.com/news/2015/07/growing-north-dakota-sustainably-one-small-farm-at-a-time/" TargetMode="External"/><Relationship Id="rId240" Type="http://schemas.openxmlformats.org/officeDocument/2006/relationships/hyperlink" Target="https://www.afdc.energy.gov/laws/6200" TargetMode="External"/><Relationship Id="rId35" Type="http://schemas.openxmlformats.org/officeDocument/2006/relationships/hyperlink" Target="https://www.afdc.energy.gov/laws/all?state=KS" TargetMode="External"/><Relationship Id="rId77" Type="http://schemas.openxmlformats.org/officeDocument/2006/relationships/hyperlink" Target="https://www.afdc.energy.gov/laws/5812" TargetMode="External"/><Relationship Id="rId100" Type="http://schemas.openxmlformats.org/officeDocument/2006/relationships/hyperlink" Target="https://www.afdc.energy.gov/fuels/laws/NG/SC" TargetMode="External"/><Relationship Id="rId282" Type="http://schemas.openxmlformats.org/officeDocument/2006/relationships/hyperlink" Target="https://www.afdc.energy.gov/laws/11804" TargetMode="External"/><Relationship Id="rId338" Type="http://schemas.openxmlformats.org/officeDocument/2006/relationships/hyperlink" Target="https://www.afdc.energy.gov/laws/11045" TargetMode="External"/><Relationship Id="rId8" Type="http://schemas.openxmlformats.org/officeDocument/2006/relationships/hyperlink" Target="https://www.afdc.energy.gov/laws/5357" TargetMode="External"/><Relationship Id="rId142" Type="http://schemas.openxmlformats.org/officeDocument/2006/relationships/hyperlink" Target="https://www.goelectricdrive.org/alternative-fuel-and-advanced-vehicle-research-and-development-tax-credit" TargetMode="External"/><Relationship Id="rId184" Type="http://schemas.openxmlformats.org/officeDocument/2006/relationships/hyperlink" Target="https://www.afdc.energy.gov/laws/6077" TargetMode="External"/><Relationship Id="rId391" Type="http://schemas.openxmlformats.org/officeDocument/2006/relationships/hyperlink" Target="https://www.afdc.energy.gov/laws/9294" TargetMode="External"/><Relationship Id="rId405" Type="http://schemas.openxmlformats.org/officeDocument/2006/relationships/hyperlink" Target="https://www.afdc.energy.gov/laws/5452" TargetMode="External"/><Relationship Id="rId251" Type="http://schemas.openxmlformats.org/officeDocument/2006/relationships/hyperlink" Target="https://www.afdc.energy.gov/laws/11974" TargetMode="External"/><Relationship Id="rId46" Type="http://schemas.openxmlformats.org/officeDocument/2006/relationships/hyperlink" Target="https://www.afdc.energy.gov/laws/6308" TargetMode="External"/><Relationship Id="rId293" Type="http://schemas.openxmlformats.org/officeDocument/2006/relationships/hyperlink" Target="https://www.afdc.energy.gov/laws/6329" TargetMode="External"/><Relationship Id="rId307" Type="http://schemas.openxmlformats.org/officeDocument/2006/relationships/hyperlink" Target="https://www.afdc.energy.gov/laws/6170" TargetMode="External"/><Relationship Id="rId349" Type="http://schemas.openxmlformats.org/officeDocument/2006/relationships/hyperlink" Target="https://www.afdc.energy.gov/laws/8523" TargetMode="External"/><Relationship Id="rId88" Type="http://schemas.openxmlformats.org/officeDocument/2006/relationships/hyperlink" Target="https://www.energy.gov/savings/green-jobs-tax-credit" TargetMode="External"/><Relationship Id="rId111" Type="http://schemas.openxmlformats.org/officeDocument/2006/relationships/hyperlink" Target="https://www.afdc.energy.gov/fuels/laws/NG/OR" TargetMode="External"/><Relationship Id="rId153" Type="http://schemas.openxmlformats.org/officeDocument/2006/relationships/hyperlink" Target="https://www.afdc.energy.gov/laws/all?state=DE" TargetMode="External"/><Relationship Id="rId195" Type="http://schemas.openxmlformats.org/officeDocument/2006/relationships/hyperlink" Target="https://www.afdc.energy.gov/laws/5391" TargetMode="External"/><Relationship Id="rId209" Type="http://schemas.openxmlformats.org/officeDocument/2006/relationships/hyperlink" Target="https://www.afdc.energy.gov/fuels/laws/BIOD/CO" TargetMode="External"/><Relationship Id="rId360" Type="http://schemas.openxmlformats.org/officeDocument/2006/relationships/hyperlink" Target="https://www.afdc.energy.gov/fuels/laws/ETH/TX" TargetMode="External"/><Relationship Id="rId416" Type="http://schemas.openxmlformats.org/officeDocument/2006/relationships/hyperlink" Target="https://www.afdc.energy.gov/laws/8972" TargetMode="External"/><Relationship Id="rId220" Type="http://schemas.openxmlformats.org/officeDocument/2006/relationships/hyperlink" Target="https://www.afdc.energy.gov/laws/6360" TargetMode="External"/><Relationship Id="rId15" Type="http://schemas.openxmlformats.org/officeDocument/2006/relationships/hyperlink" Target="https://www.afdc.energy.gov/laws/laws_expired?jurisdiction=" TargetMode="External"/><Relationship Id="rId57" Type="http://schemas.openxmlformats.org/officeDocument/2006/relationships/hyperlink" Target="https://www.afdc.energy.gov/laws/5769" TargetMode="External"/><Relationship Id="rId262" Type="http://schemas.openxmlformats.org/officeDocument/2006/relationships/hyperlink" Target="https://www.afdc.energy.gov/laws/10792" TargetMode="External"/><Relationship Id="rId318" Type="http://schemas.openxmlformats.org/officeDocument/2006/relationships/hyperlink" Target="https://www.afdc.energy.gov/laws/all?state=SD" TargetMode="External"/><Relationship Id="rId99" Type="http://schemas.openxmlformats.org/officeDocument/2006/relationships/hyperlink" Target="https://www.afdc.energy.gov/fuels/laws/NG/SC" TargetMode="External"/><Relationship Id="rId122" Type="http://schemas.openxmlformats.org/officeDocument/2006/relationships/hyperlink" Target="https://www.afdc.energy.gov/fuels/laws/BIOD/ME" TargetMode="External"/><Relationship Id="rId164" Type="http://schemas.openxmlformats.org/officeDocument/2006/relationships/hyperlink" Target="https://www.afdc.energy.gov/fuels/laws/BIOD/NJ" TargetMode="External"/><Relationship Id="rId371" Type="http://schemas.openxmlformats.org/officeDocument/2006/relationships/hyperlink" Target="https://www.afdc.energy.gov/laws/5817" TargetMode="External"/><Relationship Id="rId427" Type="http://schemas.openxmlformats.org/officeDocument/2006/relationships/hyperlink" Target="http://algae.ucsd.edu/research/cilmsf/index.html" TargetMode="External"/><Relationship Id="rId26" Type="http://schemas.openxmlformats.org/officeDocument/2006/relationships/hyperlink" Target="https://www.afdc.energy.gov/laws/all?state=WA" TargetMode="External"/><Relationship Id="rId231" Type="http://schemas.openxmlformats.org/officeDocument/2006/relationships/hyperlink" Target="https://www.afdc.energy.gov/laws/11594" TargetMode="External"/><Relationship Id="rId273" Type="http://schemas.openxmlformats.org/officeDocument/2006/relationships/hyperlink" Target="https://www.afdc.energy.gov/laws/11693" TargetMode="External"/><Relationship Id="rId329" Type="http://schemas.openxmlformats.org/officeDocument/2006/relationships/hyperlink" Target="https://www.afdc.energy.gov/laws/6404" TargetMode="External"/><Relationship Id="rId68" Type="http://schemas.openxmlformats.org/officeDocument/2006/relationships/hyperlink" Target="https://www.afdc.energy.gov/laws/6276" TargetMode="External"/><Relationship Id="rId133" Type="http://schemas.openxmlformats.org/officeDocument/2006/relationships/hyperlink" Target="https://www.afdc.energy.gov/fuels/laws/BIOD/RI" TargetMode="External"/><Relationship Id="rId175" Type="http://schemas.openxmlformats.org/officeDocument/2006/relationships/hyperlink" Target="https://www.afdc.energy.gov/laws/5188" TargetMode="External"/><Relationship Id="rId340" Type="http://schemas.openxmlformats.org/officeDocument/2006/relationships/hyperlink" Target="https://www.afdc.energy.gov/laws/11044" TargetMode="External"/><Relationship Id="rId200" Type="http://schemas.openxmlformats.org/officeDocument/2006/relationships/hyperlink" Target="https://www.afdc.energy.gov/fuels/laws/BIOD/NM" TargetMode="External"/><Relationship Id="rId382" Type="http://schemas.openxmlformats.org/officeDocument/2006/relationships/hyperlink" Target="https://www.afdc.energy.gov/laws/5237" TargetMode="External"/><Relationship Id="rId438" Type="http://schemas.openxmlformats.org/officeDocument/2006/relationships/hyperlink" Target="https://nifa.usda.gov/sustainable-bioproduct-initiative-project-subi" TargetMode="External"/><Relationship Id="rId242" Type="http://schemas.openxmlformats.org/officeDocument/2006/relationships/hyperlink" Target="https://www.afdc.energy.gov/laws/6550" TargetMode="External"/><Relationship Id="rId284" Type="http://schemas.openxmlformats.org/officeDocument/2006/relationships/hyperlink" Target="https://www.afdc.energy.gov/laws/5200" TargetMode="External"/><Relationship Id="rId37" Type="http://schemas.openxmlformats.org/officeDocument/2006/relationships/hyperlink" Target="https://www.afdc.energy.gov/laws/9395" TargetMode="External"/><Relationship Id="rId79" Type="http://schemas.openxmlformats.org/officeDocument/2006/relationships/hyperlink" Target="https://www.afdc.energy.gov/laws/6286" TargetMode="External"/><Relationship Id="rId102" Type="http://schemas.openxmlformats.org/officeDocument/2006/relationships/hyperlink" Target="https://www.afdc.energy.gov/laws/6195" TargetMode="External"/><Relationship Id="rId144" Type="http://schemas.openxmlformats.org/officeDocument/2006/relationships/hyperlink" Target="https://www.afdc.energy.gov/fuels/laws/BIOD/VT" TargetMode="External"/><Relationship Id="rId90" Type="http://schemas.openxmlformats.org/officeDocument/2006/relationships/hyperlink" Target="https://www.afdc.energy.gov/fuels/laws/NG/VA" TargetMode="External"/><Relationship Id="rId186" Type="http://schemas.openxmlformats.org/officeDocument/2006/relationships/hyperlink" Target="https://www.afdc.energy.gov/laws/6417" TargetMode="External"/><Relationship Id="rId351" Type="http://schemas.openxmlformats.org/officeDocument/2006/relationships/hyperlink" Target="https://www.afdc.energy.gov/laws/6561" TargetMode="External"/><Relationship Id="rId393" Type="http://schemas.openxmlformats.org/officeDocument/2006/relationships/hyperlink" Target="https://www.afdc.energy.gov/laws/5432" TargetMode="External"/><Relationship Id="rId407" Type="http://schemas.openxmlformats.org/officeDocument/2006/relationships/hyperlink" Target="https://www.afdc.energy.gov/laws/laws_expired?jurisdiction=MN" TargetMode="External"/><Relationship Id="rId211" Type="http://schemas.openxmlformats.org/officeDocument/2006/relationships/hyperlink" Target="https://www.afdc.energy.gov/laws/5619" TargetMode="External"/><Relationship Id="rId253" Type="http://schemas.openxmlformats.org/officeDocument/2006/relationships/hyperlink" Target="https://www.afdc.energy.gov/laws/6294" TargetMode="External"/><Relationship Id="rId295" Type="http://schemas.openxmlformats.org/officeDocument/2006/relationships/hyperlink" Target="https://www.afdc.energy.gov/laws/5699" TargetMode="External"/><Relationship Id="rId309" Type="http://schemas.openxmlformats.org/officeDocument/2006/relationships/hyperlink" Target="https://www.afdc.energy.gov/laws/5869" TargetMode="External"/><Relationship Id="rId48" Type="http://schemas.openxmlformats.org/officeDocument/2006/relationships/hyperlink" Target="https://www.afdc.energy.gov/laws/11658" TargetMode="External"/><Relationship Id="rId113" Type="http://schemas.openxmlformats.org/officeDocument/2006/relationships/hyperlink" Target="https://www.afdc.energy.gov/fuels/laws/NG/ID" TargetMode="External"/><Relationship Id="rId320" Type="http://schemas.openxmlformats.org/officeDocument/2006/relationships/hyperlink" Target="https://www.afdc.energy.gov/laws/all?state=SD" TargetMode="External"/><Relationship Id="rId155" Type="http://schemas.openxmlformats.org/officeDocument/2006/relationships/hyperlink" Target="https://www.afdc.energy.gov/laws/all?state=PA" TargetMode="External"/><Relationship Id="rId197" Type="http://schemas.openxmlformats.org/officeDocument/2006/relationships/hyperlink" Target="https://www.afdc.energy.gov/laws/laws_expired?jurisdiction=NM" TargetMode="External"/><Relationship Id="rId362" Type="http://schemas.openxmlformats.org/officeDocument/2006/relationships/hyperlink" Target="https://www.afdc.energy.gov/laws/6604" TargetMode="External"/><Relationship Id="rId418" Type="http://schemas.openxmlformats.org/officeDocument/2006/relationships/hyperlink" Target="https://www.afdc.energy.gov/laws/5336" TargetMode="External"/><Relationship Id="rId222" Type="http://schemas.openxmlformats.org/officeDocument/2006/relationships/hyperlink" Target="https://www.afdc.energy.gov/laws/laws_expired?jurisdiction=VA" TargetMode="External"/><Relationship Id="rId264" Type="http://schemas.openxmlformats.org/officeDocument/2006/relationships/hyperlink" Target="https://www.afdc.energy.gov/laws/5839" TargetMode="External"/><Relationship Id="rId17" Type="http://schemas.openxmlformats.org/officeDocument/2006/relationships/hyperlink" Target="https://www.afdc.energy.gov/laws/6273" TargetMode="External"/><Relationship Id="rId59" Type="http://schemas.openxmlformats.org/officeDocument/2006/relationships/hyperlink" Target="https://www.afdc.energy.gov/laws/6163" TargetMode="External"/><Relationship Id="rId124" Type="http://schemas.openxmlformats.org/officeDocument/2006/relationships/hyperlink" Target="https://www.afdc.energy.gov/laws/all?state=ME" TargetMode="External"/><Relationship Id="rId70" Type="http://schemas.openxmlformats.org/officeDocument/2006/relationships/hyperlink" Target="https://www.afdc.energy.gov/fuels/laws/BIOD/OR" TargetMode="External"/><Relationship Id="rId166" Type="http://schemas.openxmlformats.org/officeDocument/2006/relationships/hyperlink" Target="https://www.afdc.energy.gov/laws/11493" TargetMode="External"/><Relationship Id="rId331" Type="http://schemas.openxmlformats.org/officeDocument/2006/relationships/hyperlink" Target="https://www.afdc.energy.gov/laws/8304" TargetMode="External"/><Relationship Id="rId373" Type="http://schemas.openxmlformats.org/officeDocument/2006/relationships/hyperlink" Target="https://www.afdc.energy.gov/laws/all?state=MO" TargetMode="External"/><Relationship Id="rId429" Type="http://schemas.openxmlformats.org/officeDocument/2006/relationships/hyperlink" Target="https://www.afdc.energy.gov/laws/all?state=AL" TargetMode="External"/><Relationship Id="rId1" Type="http://schemas.openxmlformats.org/officeDocument/2006/relationships/hyperlink" Target="https://www.arb.ca.gov/msprog/aqip/aqip.htm" TargetMode="External"/><Relationship Id="rId233" Type="http://schemas.openxmlformats.org/officeDocument/2006/relationships/hyperlink" Target="https://www.afdc.energy.gov/laws/5861" TargetMode="External"/><Relationship Id="rId28" Type="http://schemas.openxmlformats.org/officeDocument/2006/relationships/hyperlink" Target="https://www.afdc.energy.gov/laws/6213" TargetMode="External"/><Relationship Id="rId275" Type="http://schemas.openxmlformats.org/officeDocument/2006/relationships/hyperlink" Target="https://www.afdc.energy.gov/laws/10253" TargetMode="External"/><Relationship Id="rId300" Type="http://schemas.openxmlformats.org/officeDocument/2006/relationships/hyperlink" Target="https://www.afdc.energy.gov/laws/6485"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pib.nic.in/newsite/PrintRelease.aspx?relid=179313" TargetMode="External"/><Relationship Id="rId3" Type="http://schemas.openxmlformats.org/officeDocument/2006/relationships/hyperlink" Target="http://trade.ec.europa.eu/tradehelp/everything-arms" TargetMode="External"/><Relationship Id="rId7" Type="http://schemas.openxmlformats.org/officeDocument/2006/relationships/hyperlink" Target="http://allafrica.com/stories/201702080445.html" TargetMode="External"/><Relationship Id="rId12" Type="http://schemas.openxmlformats.org/officeDocument/2006/relationships/hyperlink" Target="https://choicefinland.com/" TargetMode="External"/><Relationship Id="rId2" Type="http://schemas.openxmlformats.org/officeDocument/2006/relationships/hyperlink" Target="https://www.wto.org/english/thewto_e/whatis_e/tif_e/agrm1_e.htm" TargetMode="External"/><Relationship Id="rId1" Type="http://schemas.openxmlformats.org/officeDocument/2006/relationships/hyperlink" Target="https://www.wto.org/english/docs_e/legal_e/06-gatt_e.htm" TargetMode="External"/><Relationship Id="rId6" Type="http://schemas.openxmlformats.org/officeDocument/2006/relationships/hyperlink" Target="https://www.basf.com/cn/en/company/news-and-media/news-releases/cn/2015/08/ecovio.html" TargetMode="External"/><Relationship Id="rId11" Type="http://schemas.openxmlformats.org/officeDocument/2006/relationships/hyperlink" Target="http://www.biosafe.fi/en/" TargetMode="External"/><Relationship Id="rId5" Type="http://schemas.openxmlformats.org/officeDocument/2006/relationships/hyperlink" Target="https://ustr.gov/issue-areas/trade-development/preference-programs/caribbean-basin-initiative-cbi" TargetMode="External"/><Relationship Id="rId10" Type="http://schemas.openxmlformats.org/officeDocument/2006/relationships/hyperlink" Target="http://betulium.com/" TargetMode="External"/><Relationship Id="rId4" Type="http://schemas.openxmlformats.org/officeDocument/2006/relationships/hyperlink" Target="https://ec.europa.eu/europeaid/regions/african-caribbean-and-pacific-acp-region/cotonou-agreement_en" TargetMode="External"/><Relationship Id="rId9" Type="http://schemas.openxmlformats.org/officeDocument/2006/relationships/hyperlink" Target="http://nbb.org/about-us/history-of-biodiesel-nbb"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www.environmentalleader.com/2017/02/reduce-aviation-emissions-ground-sky/" TargetMode="External"/><Relationship Id="rId13" Type="http://schemas.openxmlformats.org/officeDocument/2006/relationships/hyperlink" Target="https://www.mainstreethost.com/blog/eco-friendly-brands/" TargetMode="External"/><Relationship Id="rId18" Type="http://schemas.openxmlformats.org/officeDocument/2006/relationships/hyperlink" Target="http://greenfuels.co.uk/why-green-fuels/benefits/" TargetMode="External"/><Relationship Id="rId3" Type="http://schemas.openxmlformats.org/officeDocument/2006/relationships/hyperlink" Target="http://fairtradeusa.org/" TargetMode="External"/><Relationship Id="rId7" Type="http://schemas.openxmlformats.org/officeDocument/2006/relationships/hyperlink" Target="https://outdoorindustry.org/" TargetMode="External"/><Relationship Id="rId12" Type="http://schemas.openxmlformats.org/officeDocument/2006/relationships/hyperlink" Target="https://www.mainstreethost.com/blog/eco-friendly-brands/" TargetMode="External"/><Relationship Id="rId17" Type="http://schemas.openxmlformats.org/officeDocument/2006/relationships/hyperlink" Target="https://americangreenfuels.com/" TargetMode="External"/><Relationship Id="rId2" Type="http://schemas.openxmlformats.org/officeDocument/2006/relationships/hyperlink" Target="https://www.bcorporation.net/what-are-b-corps/about-b-lab" TargetMode="External"/><Relationship Id="rId16" Type="http://schemas.openxmlformats.org/officeDocument/2006/relationships/hyperlink" Target="https://www.theguardian.com/sustainable-business/2015/apr/30/cow-manure-powers-somersets-charismatic-cheese-makers" TargetMode="External"/><Relationship Id="rId20" Type="http://schemas.openxmlformats.org/officeDocument/2006/relationships/hyperlink" Target="http://www.geneco.uk.com/" TargetMode="External"/><Relationship Id="rId1" Type="http://schemas.openxmlformats.org/officeDocument/2006/relationships/hyperlink" Target="http://apparelcoalition.org/the-higg-index/" TargetMode="External"/><Relationship Id="rId6" Type="http://schemas.openxmlformats.org/officeDocument/2006/relationships/hyperlink" Target="http://apparelcoalition.org/the-coalition/" TargetMode="External"/><Relationship Id="rId11" Type="http://schemas.openxmlformats.org/officeDocument/2006/relationships/hyperlink" Target="https://www.mainstreethost.com/blog/eco-friendly-brands/" TargetMode="External"/><Relationship Id="rId5" Type="http://schemas.openxmlformats.org/officeDocument/2006/relationships/hyperlink" Target="https://www.americanchemistry.com/Policy/Environment/Environmental-Regulations/Multi-Association-Comments-re-EPAs-Proposed-NSPS-for-GHG-Emissions-for-New-Stationary-Sources.pdf" TargetMode="External"/><Relationship Id="rId15" Type="http://schemas.openxmlformats.org/officeDocument/2006/relationships/hyperlink" Target="https://www.theguardian.com/sustainable-business/2015/apr/30/carbon-tracker-measures-oil-and-coal-risk-for-investors" TargetMode="External"/><Relationship Id="rId10" Type="http://schemas.openxmlformats.org/officeDocument/2006/relationships/hyperlink" Target="http://tmd-technologies.com/go-green-bioproducts.html" TargetMode="External"/><Relationship Id="rId19" Type="http://schemas.openxmlformats.org/officeDocument/2006/relationships/hyperlink" Target="https://www.olleco.co.uk/green-fuels" TargetMode="External"/><Relationship Id="rId4" Type="http://schemas.openxmlformats.org/officeDocument/2006/relationships/hyperlink" Target="https://www.bio.org/bio-initiatives" TargetMode="External"/><Relationship Id="rId9" Type="http://schemas.openxmlformats.org/officeDocument/2006/relationships/hyperlink" Target="https://www.americanchemistry.com/Policy/Environment/Environmental-Regulations/Multi-Association-Comments-re-EPAs-Proposed-NSPS-for-GHG-Emissions-for-New-Stationary-Sources.pdf" TargetMode="External"/><Relationship Id="rId14" Type="http://schemas.openxmlformats.org/officeDocument/2006/relationships/hyperlink" Target="https://www.mainstreethost.com/blog/eco-friendly-br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5"/>
  <sheetViews>
    <sheetView zoomScale="85" zoomScaleNormal="85" workbookViewId="0">
      <selection activeCell="E40" sqref="E40"/>
    </sheetView>
  </sheetViews>
  <sheetFormatPr defaultColWidth="8.85546875" defaultRowHeight="15.75" x14ac:dyDescent="0.25"/>
  <cols>
    <col min="1" max="1" width="40.28515625" style="91" bestFit="1" customWidth="1"/>
    <col min="2" max="5" width="9.7109375" customWidth="1"/>
    <col min="10" max="10" width="11" customWidth="1"/>
  </cols>
  <sheetData>
    <row r="2" spans="1:10" ht="20.25" x14ac:dyDescent="0.3">
      <c r="A2" s="92" t="s">
        <v>815</v>
      </c>
    </row>
    <row r="3" spans="1:10" s="88" customFormat="1" ht="6.75" customHeight="1" x14ac:dyDescent="0.25">
      <c r="A3" s="90"/>
      <c r="D3" s="89"/>
      <c r="E3" s="89"/>
      <c r="F3" s="89"/>
      <c r="G3" s="89"/>
      <c r="H3" s="89"/>
      <c r="I3" s="89"/>
    </row>
    <row r="4" spans="1:10" x14ac:dyDescent="0.25">
      <c r="E4" s="23"/>
      <c r="F4" s="23"/>
      <c r="G4" s="23"/>
      <c r="H4" s="23"/>
      <c r="I4" s="23"/>
      <c r="J4" s="8"/>
    </row>
    <row r="5" spans="1:10" s="99" customFormat="1" ht="18.75" x14ac:dyDescent="0.3">
      <c r="A5" s="98" t="s">
        <v>4</v>
      </c>
      <c r="E5" s="100"/>
      <c r="F5" s="100"/>
      <c r="G5" s="100"/>
      <c r="H5" s="100"/>
      <c r="I5" s="100"/>
      <c r="J5" s="101"/>
    </row>
    <row r="6" spans="1:10" x14ac:dyDescent="0.25">
      <c r="E6" s="1"/>
      <c r="F6" s="1"/>
      <c r="G6" s="1"/>
      <c r="H6" s="1"/>
      <c r="I6" s="1"/>
    </row>
    <row r="7" spans="1:10" x14ac:dyDescent="0.25">
      <c r="A7" s="110" t="s">
        <v>811</v>
      </c>
      <c r="E7" s="23"/>
      <c r="F7" s="23"/>
      <c r="G7" s="23"/>
      <c r="H7" s="23"/>
      <c r="I7" s="23"/>
    </row>
    <row r="8" spans="1:10" x14ac:dyDescent="0.25">
      <c r="A8" s="110" t="s">
        <v>63</v>
      </c>
    </row>
    <row r="9" spans="1:10" x14ac:dyDescent="0.25">
      <c r="A9" s="110" t="s">
        <v>2831</v>
      </c>
    </row>
    <row r="10" spans="1:10" x14ac:dyDescent="0.25">
      <c r="A10" s="110" t="s">
        <v>2832</v>
      </c>
    </row>
    <row r="11" spans="1:10" x14ac:dyDescent="0.25">
      <c r="A11" s="110" t="s">
        <v>2833</v>
      </c>
    </row>
    <row r="12" spans="1:10" x14ac:dyDescent="0.25">
      <c r="A12" s="110" t="s">
        <v>66</v>
      </c>
    </row>
    <row r="13" spans="1:10" x14ac:dyDescent="0.25">
      <c r="A13" s="110" t="s">
        <v>2834</v>
      </c>
    </row>
    <row r="14" spans="1:10" x14ac:dyDescent="0.25">
      <c r="A14" s="110" t="s">
        <v>2835</v>
      </c>
    </row>
    <row r="15" spans="1:10" x14ac:dyDescent="0.25">
      <c r="A15" s="110" t="s">
        <v>2836</v>
      </c>
    </row>
    <row r="16" spans="1:10" x14ac:dyDescent="0.25">
      <c r="A16" s="110" t="s">
        <v>2837</v>
      </c>
    </row>
    <row r="17" spans="1:10" x14ac:dyDescent="0.25">
      <c r="A17" s="93"/>
    </row>
    <row r="18" spans="1:10" s="95" customFormat="1" ht="18.75" x14ac:dyDescent="0.3">
      <c r="A18" s="94" t="s">
        <v>1225</v>
      </c>
      <c r="E18" s="96"/>
      <c r="F18" s="96"/>
      <c r="G18" s="96"/>
      <c r="H18" s="96"/>
      <c r="I18" s="96"/>
      <c r="J18" s="97"/>
    </row>
    <row r="19" spans="1:10" x14ac:dyDescent="0.25">
      <c r="A19" s="93"/>
      <c r="E19" s="23"/>
      <c r="F19" s="23"/>
      <c r="G19" s="23"/>
      <c r="H19" s="23"/>
      <c r="I19" s="23"/>
      <c r="J19" s="8"/>
    </row>
    <row r="20" spans="1:10" x14ac:dyDescent="0.25">
      <c r="A20" s="110" t="s">
        <v>809</v>
      </c>
      <c r="E20" s="23"/>
      <c r="F20" s="23"/>
      <c r="G20" s="23"/>
      <c r="H20" s="23"/>
      <c r="I20" s="23"/>
      <c r="J20" s="8"/>
    </row>
    <row r="21" spans="1:10" x14ac:dyDescent="0.25">
      <c r="A21" s="110" t="s">
        <v>0</v>
      </c>
      <c r="E21" s="23"/>
      <c r="F21" s="23"/>
      <c r="G21" s="23"/>
      <c r="H21" s="23"/>
      <c r="I21" s="23"/>
      <c r="J21" s="8"/>
    </row>
    <row r="22" spans="1:10" x14ac:dyDescent="0.25">
      <c r="A22" s="110" t="s">
        <v>1</v>
      </c>
      <c r="E22" s="23"/>
      <c r="F22" s="23"/>
      <c r="G22" s="23"/>
      <c r="H22" s="23"/>
      <c r="I22" s="23"/>
      <c r="J22" s="8"/>
    </row>
    <row r="23" spans="1:10" x14ac:dyDescent="0.25">
      <c r="A23" s="110" t="s">
        <v>2</v>
      </c>
      <c r="E23" s="23"/>
      <c r="F23" s="23"/>
      <c r="G23" s="23"/>
      <c r="H23" s="23"/>
      <c r="I23" s="23"/>
      <c r="J23" s="8"/>
    </row>
    <row r="24" spans="1:10" x14ac:dyDescent="0.25">
      <c r="A24" s="110" t="s">
        <v>3</v>
      </c>
    </row>
    <row r="25" spans="1:10" x14ac:dyDescent="0.25">
      <c r="A25" s="110" t="s">
        <v>810</v>
      </c>
    </row>
    <row r="26" spans="1:10" x14ac:dyDescent="0.25">
      <c r="E26" s="1"/>
      <c r="F26" s="1"/>
      <c r="G26" s="1"/>
      <c r="H26" s="1"/>
      <c r="I26" s="1"/>
    </row>
    <row r="27" spans="1:10" s="103" customFormat="1" ht="18.75" x14ac:dyDescent="0.3">
      <c r="A27" s="102" t="s">
        <v>816</v>
      </c>
      <c r="E27" s="104"/>
      <c r="F27" s="104"/>
      <c r="G27" s="104"/>
      <c r="H27" s="104"/>
      <c r="I27" s="104"/>
      <c r="J27" s="105"/>
    </row>
    <row r="29" spans="1:10" x14ac:dyDescent="0.25">
      <c r="A29" s="110" t="s">
        <v>5</v>
      </c>
      <c r="F29" s="36"/>
    </row>
    <row r="30" spans="1:10" x14ac:dyDescent="0.25">
      <c r="A30" s="110" t="s">
        <v>818</v>
      </c>
    </row>
    <row r="31" spans="1:10" x14ac:dyDescent="0.25">
      <c r="A31" s="110" t="s">
        <v>6</v>
      </c>
    </row>
    <row r="32" spans="1:10" x14ac:dyDescent="0.25">
      <c r="A32" s="110" t="s">
        <v>7</v>
      </c>
    </row>
    <row r="33" spans="1:10" x14ac:dyDescent="0.25">
      <c r="A33" s="110" t="s">
        <v>8</v>
      </c>
    </row>
    <row r="34" spans="1:10" x14ac:dyDescent="0.25">
      <c r="A34" s="110" t="s">
        <v>9</v>
      </c>
    </row>
    <row r="35" spans="1:10" x14ac:dyDescent="0.25">
      <c r="A35" s="93"/>
      <c r="I35" s="31"/>
    </row>
    <row r="36" spans="1:10" s="107" customFormat="1" ht="18.75" x14ac:dyDescent="0.3">
      <c r="A36" s="106" t="s">
        <v>10</v>
      </c>
      <c r="E36" s="108"/>
      <c r="F36" s="108"/>
      <c r="G36" s="108"/>
      <c r="H36" s="108"/>
      <c r="I36" s="108"/>
      <c r="J36" s="109"/>
    </row>
    <row r="37" spans="1:10" x14ac:dyDescent="0.25">
      <c r="I37" s="31"/>
    </row>
    <row r="38" spans="1:10" x14ac:dyDescent="0.25">
      <c r="A38" s="110" t="s">
        <v>813</v>
      </c>
    </row>
    <row r="39" spans="1:10" x14ac:dyDescent="0.25">
      <c r="A39" s="110" t="s">
        <v>2840</v>
      </c>
    </row>
    <row r="40" spans="1:10" x14ac:dyDescent="0.25">
      <c r="A40" s="110" t="s">
        <v>814</v>
      </c>
    </row>
    <row r="41" spans="1:10" x14ac:dyDescent="0.25">
      <c r="A41" s="110" t="s">
        <v>817</v>
      </c>
    </row>
    <row r="43" spans="1:10" x14ac:dyDescent="0.25">
      <c r="A43" s="93"/>
    </row>
    <row r="45" spans="1:10" ht="15" customHeight="1" x14ac:dyDescent="0.25"/>
  </sheetData>
  <hyperlinks>
    <hyperlink ref="A20" location="'ENERGY SUMMARY'!A1" display="Energy Summary" xr:uid="{00000000-0004-0000-0000-000000000000}"/>
    <hyperlink ref="A21" location="ETHANOL!A1" display="Ethanol" xr:uid="{00000000-0004-0000-0000-000001000000}"/>
    <hyperlink ref="A22" location="BIODIESEL!A1" display="Biodiesel" xr:uid="{00000000-0004-0000-0000-000002000000}"/>
    <hyperlink ref="A23" location="'WOOD PELLETS'!A1" display="Wood Pellets" xr:uid="{00000000-0004-0000-0000-000003000000}"/>
    <hyperlink ref="A24" location="'WASTE TO ENERGY'!A1" display="Waste to Energy " xr:uid="{00000000-0004-0000-0000-000004000000}"/>
    <hyperlink ref="A25" location="BIOGAS!A1" display="Biogas" xr:uid="{00000000-0004-0000-0000-000005000000}"/>
    <hyperlink ref="A7" location="'AGRICULTURE SUMMARY'!A1" display="Agriculture Summary" xr:uid="{00000000-0004-0000-0000-000006000000}"/>
    <hyperlink ref="A8" location="CORN!A1" display="Corn" xr:uid="{00000000-0004-0000-0000-00000C000000}"/>
    <hyperlink ref="A12" location="SOY!A1" display="Soy" xr:uid="{00000000-0004-0000-0000-00000D000000}"/>
    <hyperlink ref="A29" location="BIOPRODUCTS!A1" display="BioProducts" xr:uid="{00000000-0004-0000-0000-00000E000000}"/>
    <hyperlink ref="A30" location="BIOPLASTICS!A1" display="Bioplastics" xr:uid="{00000000-0004-0000-0000-00000F000000}"/>
    <hyperlink ref="A31" location="BIOCHEMICALS!A1" display="Biochemicals" xr:uid="{00000000-0004-0000-0000-000010000000}"/>
    <hyperlink ref="A32" location="ENZYMES!A1" display="Enzymes" xr:uid="{00000000-0004-0000-0000-000011000000}"/>
    <hyperlink ref="A33" location="'FOREST PRODUCTS'!A1" display="Forest Products" xr:uid="{00000000-0004-0000-0000-000012000000}"/>
    <hyperlink ref="A34" location="'APPAREL AND TEXTILES'!A1" display="Apparel &amp; Textiles" xr:uid="{00000000-0004-0000-0000-000013000000}"/>
    <hyperlink ref="A38" location="'FEDERAL POLICY'!A1" display="Federal Policy" xr:uid="{00000000-0004-0000-0000-000014000000}"/>
    <hyperlink ref="A41" location="'B2B POLICY'!A1" display="Business-to-Business (B-2-B) Policy" xr:uid="{00000000-0004-0000-0000-000017000000}"/>
    <hyperlink ref="A40" location="'INTERNATIONAL POLICY'!A1" display="International Policy" xr:uid="{00000000-0004-0000-0000-000018000000}"/>
    <hyperlink ref="A9" location="WHEAT!A1" display="Wheat" xr:uid="{D9740485-8F8B-417C-A8AA-44BAE7A36FA5}"/>
    <hyperlink ref="A10" location="BARLEY!A1" display="Barley" xr:uid="{50B21609-B27F-4E24-B9D8-506B59F7D275}"/>
    <hyperlink ref="A11" location="SORGHUM!A1" display="Sorghum" xr:uid="{B0FCD8C4-C68D-4906-B050-C7B7ED942FAD}"/>
    <hyperlink ref="A13" location="COTTON!A1" display="Cotton" xr:uid="{858B9610-301A-4173-B7A6-18BA8FDF27B4}"/>
    <hyperlink ref="A14" location="PEANUTS!A1" display="Peanuts" xr:uid="{E666592F-ABD2-4133-8B25-12F49C60F8FE}"/>
    <hyperlink ref="A15" location="SUNFLOWERS!A1" display="Sunflowers" xr:uid="{6F1F5287-7D12-42F1-8EC4-96B0717D759B}"/>
    <hyperlink ref="A16" location="CANOLA!A1" display="Canola" xr:uid="{3BB45FBF-CB38-4A11-B6C3-736B37A75192}"/>
    <hyperlink ref="A39" location="'STATE POLICY'!A1" display="State Policy" xr:uid="{49962D35-139E-4D56-9323-FA66CC7F667C}"/>
  </hyperlink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441B"/>
  </sheetPr>
  <dimension ref="A1:N66"/>
  <sheetViews>
    <sheetView zoomScale="70" zoomScaleNormal="70" workbookViewId="0">
      <pane xSplit="1" ySplit="3" topLeftCell="B46" activePane="bottomRight" state="frozen"/>
      <selection pane="topRight" activeCell="B1" sqref="B1"/>
      <selection pane="bottomLeft" activeCell="A4" sqref="A4"/>
      <selection pane="bottomRight" activeCell="A50" sqref="A50:J66"/>
    </sheetView>
  </sheetViews>
  <sheetFormatPr defaultColWidth="8.85546875" defaultRowHeight="15" x14ac:dyDescent="0.25"/>
  <cols>
    <col min="1" max="1" width="75.140625" style="40" customWidth="1"/>
    <col min="2" max="11" width="11.7109375" style="5" customWidth="1"/>
    <col min="12" max="12" width="17.7109375" style="40" bestFit="1" customWidth="1"/>
    <col min="13" max="13" width="106.7109375" style="40" bestFit="1" customWidth="1"/>
    <col min="14" max="14" width="39.140625" style="40" bestFit="1" customWidth="1"/>
    <col min="15" max="16384" width="8.85546875" style="40"/>
  </cols>
  <sheetData>
    <row r="1" spans="1:14" x14ac:dyDescent="0.25">
      <c r="A1" s="385" t="s">
        <v>57</v>
      </c>
      <c r="B1" s="40"/>
      <c r="C1" s="40"/>
      <c r="D1" s="40"/>
      <c r="E1" s="40"/>
      <c r="F1" s="40"/>
      <c r="G1" s="40"/>
      <c r="H1" s="40"/>
      <c r="I1" s="40"/>
      <c r="J1" s="40"/>
      <c r="K1" s="40"/>
    </row>
    <row r="2" spans="1:14" x14ac:dyDescent="0.25">
      <c r="A2" s="385"/>
      <c r="B2" s="278"/>
      <c r="C2" s="277"/>
      <c r="D2" s="40"/>
      <c r="E2" s="279"/>
      <c r="F2" s="40"/>
      <c r="G2" s="40"/>
      <c r="H2" s="40"/>
      <c r="I2" s="40"/>
      <c r="J2" s="40"/>
      <c r="K2" s="40"/>
    </row>
    <row r="3" spans="1:14" s="5" customFormat="1" x14ac:dyDescent="0.25">
      <c r="A3" s="69" t="s">
        <v>70</v>
      </c>
      <c r="B3" s="4">
        <v>2008</v>
      </c>
      <c r="C3" s="4">
        <v>2009</v>
      </c>
      <c r="D3" s="4">
        <v>2010</v>
      </c>
      <c r="E3" s="4">
        <v>2011</v>
      </c>
      <c r="F3" s="4">
        <v>2012</v>
      </c>
      <c r="G3" s="4">
        <v>2013</v>
      </c>
      <c r="H3" s="4">
        <v>2014</v>
      </c>
      <c r="I3" s="4">
        <v>2015</v>
      </c>
      <c r="J3" s="4">
        <v>2016</v>
      </c>
      <c r="K3" s="4">
        <v>2017</v>
      </c>
      <c r="L3" s="4" t="s">
        <v>765</v>
      </c>
      <c r="M3" s="28" t="s">
        <v>766</v>
      </c>
      <c r="N3" s="28" t="s">
        <v>58</v>
      </c>
    </row>
    <row r="4" spans="1:14" x14ac:dyDescent="0.25">
      <c r="A4" s="61" t="s">
        <v>928</v>
      </c>
      <c r="B4" s="144">
        <v>2.1844999999999999</v>
      </c>
      <c r="C4" s="144">
        <v>2.1696599999999999</v>
      </c>
      <c r="D4" s="144">
        <v>2.1495199999999999</v>
      </c>
      <c r="E4" s="144">
        <v>2.13124</v>
      </c>
      <c r="F4" s="144">
        <v>2.10981</v>
      </c>
      <c r="G4" s="144">
        <v>2.1020099999999999</v>
      </c>
      <c r="H4" s="144">
        <v>2.085</v>
      </c>
      <c r="I4" s="144">
        <v>2.0680000000000001</v>
      </c>
      <c r="J4" s="144">
        <v>2.06</v>
      </c>
      <c r="K4" s="144">
        <v>2.048</v>
      </c>
      <c r="L4" s="2" t="s">
        <v>28</v>
      </c>
      <c r="M4" s="3" t="s">
        <v>737</v>
      </c>
      <c r="N4" s="24" t="s">
        <v>738</v>
      </c>
    </row>
    <row r="5" spans="1:14" x14ac:dyDescent="0.25">
      <c r="A5" s="61" t="s">
        <v>851</v>
      </c>
      <c r="B5" s="134">
        <v>918.6</v>
      </c>
      <c r="C5" s="134">
        <v>917.59</v>
      </c>
      <c r="D5" s="134">
        <v>915.66</v>
      </c>
      <c r="E5" s="134">
        <v>914.42</v>
      </c>
      <c r="F5" s="134">
        <v>914.6</v>
      </c>
      <c r="G5" s="134">
        <v>914.03</v>
      </c>
      <c r="H5" s="134">
        <v>913</v>
      </c>
      <c r="I5" s="134">
        <v>912</v>
      </c>
      <c r="J5" s="134">
        <v>911</v>
      </c>
      <c r="K5" s="134">
        <v>910</v>
      </c>
      <c r="L5" s="2" t="s">
        <v>28</v>
      </c>
      <c r="M5" s="3" t="s">
        <v>737</v>
      </c>
      <c r="N5" s="24" t="s">
        <v>738</v>
      </c>
    </row>
    <row r="6" spans="1:14" ht="30" x14ac:dyDescent="0.25">
      <c r="A6" s="61" t="s">
        <v>728</v>
      </c>
      <c r="B6" s="150"/>
      <c r="C6" s="150"/>
      <c r="D6" s="150"/>
      <c r="E6" s="274" t="s">
        <v>1054</v>
      </c>
      <c r="F6" s="134">
        <v>415.3</v>
      </c>
      <c r="G6" s="273"/>
      <c r="H6" s="129"/>
      <c r="I6" s="129"/>
      <c r="J6" s="129"/>
      <c r="K6" s="129"/>
      <c r="L6" s="2" t="s">
        <v>28</v>
      </c>
      <c r="M6" s="44" t="s">
        <v>62</v>
      </c>
      <c r="N6" s="24" t="s">
        <v>738</v>
      </c>
    </row>
    <row r="7" spans="1:14" ht="30" x14ac:dyDescent="0.25">
      <c r="A7" s="61" t="s">
        <v>729</v>
      </c>
      <c r="B7" s="150"/>
      <c r="C7" s="150"/>
      <c r="D7" s="150"/>
      <c r="E7" s="254" t="s">
        <v>1055</v>
      </c>
      <c r="F7" s="134">
        <v>389.7</v>
      </c>
      <c r="G7" s="129"/>
      <c r="H7" s="129"/>
      <c r="I7" s="129"/>
      <c r="J7" s="129"/>
      <c r="K7" s="129"/>
      <c r="L7" s="2" t="s">
        <v>28</v>
      </c>
      <c r="M7" s="44" t="s">
        <v>62</v>
      </c>
      <c r="N7" s="24" t="s">
        <v>738</v>
      </c>
    </row>
    <row r="8" spans="1:14" ht="30" x14ac:dyDescent="0.25">
      <c r="A8" s="61" t="s">
        <v>730</v>
      </c>
      <c r="B8" s="150"/>
      <c r="C8" s="150"/>
      <c r="D8" s="150"/>
      <c r="E8" s="254"/>
      <c r="F8" s="134">
        <v>315</v>
      </c>
      <c r="G8" s="129"/>
      <c r="H8" s="129"/>
      <c r="I8" s="129"/>
      <c r="J8" s="129"/>
      <c r="K8" s="129"/>
      <c r="L8" s="2" t="s">
        <v>28</v>
      </c>
      <c r="M8" s="44" t="s">
        <v>62</v>
      </c>
      <c r="N8" s="24" t="s">
        <v>738</v>
      </c>
    </row>
    <row r="9" spans="1:14" ht="30" x14ac:dyDescent="0.25">
      <c r="A9" s="61" t="s">
        <v>731</v>
      </c>
      <c r="B9" s="150"/>
      <c r="C9" s="150"/>
      <c r="D9" s="150"/>
      <c r="E9" s="254" t="s">
        <v>1056</v>
      </c>
      <c r="F9" s="134">
        <v>77</v>
      </c>
      <c r="G9" s="129"/>
      <c r="H9" s="129"/>
      <c r="I9" s="129"/>
      <c r="J9" s="129"/>
      <c r="K9" s="129"/>
      <c r="L9" s="2" t="s">
        <v>28</v>
      </c>
      <c r="M9" s="44" t="s">
        <v>62</v>
      </c>
      <c r="N9" s="24" t="s">
        <v>738</v>
      </c>
    </row>
    <row r="10" spans="1:14" ht="30" x14ac:dyDescent="0.25">
      <c r="A10" s="61" t="s">
        <v>732</v>
      </c>
      <c r="B10" s="150"/>
      <c r="C10" s="150"/>
      <c r="D10" s="150"/>
      <c r="E10" s="254" t="s">
        <v>1057</v>
      </c>
      <c r="F10" s="134">
        <v>32.5</v>
      </c>
      <c r="G10" s="129"/>
      <c r="H10" s="129"/>
      <c r="I10" s="129"/>
      <c r="J10" s="129"/>
      <c r="K10" s="129"/>
      <c r="L10" s="2" t="s">
        <v>28</v>
      </c>
      <c r="M10" s="44" t="s">
        <v>62</v>
      </c>
      <c r="N10" s="24" t="s">
        <v>738</v>
      </c>
    </row>
    <row r="11" spans="1:14" x14ac:dyDescent="0.25">
      <c r="A11" s="61" t="s">
        <v>60</v>
      </c>
      <c r="B11" s="9">
        <v>421</v>
      </c>
      <c r="C11" s="9">
        <v>423</v>
      </c>
      <c r="D11" s="9">
        <v>426</v>
      </c>
      <c r="E11" s="9">
        <v>429</v>
      </c>
      <c r="F11" s="128">
        <v>433</v>
      </c>
      <c r="G11" s="9">
        <v>435</v>
      </c>
      <c r="H11" s="9">
        <v>438</v>
      </c>
      <c r="I11" s="9">
        <v>441</v>
      </c>
      <c r="J11" s="9">
        <v>442</v>
      </c>
      <c r="K11" s="9">
        <v>444</v>
      </c>
      <c r="L11" s="2" t="s">
        <v>28</v>
      </c>
      <c r="M11" s="3" t="s">
        <v>737</v>
      </c>
      <c r="N11" s="24" t="s">
        <v>738</v>
      </c>
    </row>
    <row r="12" spans="1:14" x14ac:dyDescent="0.25">
      <c r="A12" s="260" t="s">
        <v>1088</v>
      </c>
      <c r="B12" s="253">
        <v>1.5229999999999999</v>
      </c>
      <c r="C12" s="253">
        <v>1.5369999999999999</v>
      </c>
      <c r="D12" s="253">
        <v>1.621</v>
      </c>
      <c r="E12" s="253">
        <v>1.6459999999999999</v>
      </c>
      <c r="F12" s="204">
        <v>1.5680000000000001</v>
      </c>
      <c r="G12" s="253">
        <v>1.514</v>
      </c>
      <c r="H12" s="204">
        <v>1.5620000000000001</v>
      </c>
      <c r="I12" s="204">
        <v>1.663</v>
      </c>
      <c r="J12" s="253">
        <v>1.66</v>
      </c>
      <c r="K12" s="253">
        <v>1.663</v>
      </c>
      <c r="L12" s="249" t="s">
        <v>28</v>
      </c>
      <c r="M12" s="250" t="s">
        <v>1041</v>
      </c>
      <c r="N12" s="272" t="s">
        <v>738</v>
      </c>
    </row>
    <row r="13" spans="1:14" x14ac:dyDescent="0.25">
      <c r="A13" s="62" t="s">
        <v>929</v>
      </c>
      <c r="B13" s="152"/>
      <c r="C13" s="152"/>
      <c r="D13" s="152"/>
      <c r="E13" s="152"/>
      <c r="F13" s="127">
        <v>3.1800739999999998</v>
      </c>
      <c r="G13" s="227"/>
      <c r="H13" s="227"/>
      <c r="I13" s="227"/>
      <c r="J13" s="152"/>
      <c r="K13" s="152"/>
      <c r="L13" s="24" t="s">
        <v>28</v>
      </c>
      <c r="M13" s="44" t="s">
        <v>61</v>
      </c>
      <c r="N13" s="24" t="s">
        <v>738</v>
      </c>
    </row>
    <row r="14" spans="1:14" x14ac:dyDescent="0.25">
      <c r="A14" s="70"/>
      <c r="B14" s="124"/>
      <c r="C14" s="124"/>
      <c r="D14" s="124"/>
      <c r="E14" s="124"/>
      <c r="F14" s="124"/>
      <c r="G14" s="124"/>
      <c r="H14" s="124"/>
      <c r="I14" s="124"/>
      <c r="J14" s="124"/>
      <c r="K14" s="124"/>
      <c r="L14" s="51"/>
      <c r="M14" s="52"/>
      <c r="N14" s="53"/>
    </row>
    <row r="15" spans="1:14" s="5" customFormat="1" x14ac:dyDescent="0.25">
      <c r="A15" s="71" t="s">
        <v>42</v>
      </c>
      <c r="B15" s="4">
        <v>2008</v>
      </c>
      <c r="C15" s="4">
        <v>2009</v>
      </c>
      <c r="D15" s="35">
        <v>2010</v>
      </c>
      <c r="E15" s="35">
        <v>2011</v>
      </c>
      <c r="F15" s="35">
        <v>2012</v>
      </c>
      <c r="G15" s="35">
        <v>2013</v>
      </c>
      <c r="H15" s="35">
        <v>2014</v>
      </c>
      <c r="I15" s="35">
        <v>2015</v>
      </c>
      <c r="J15" s="35">
        <v>2016</v>
      </c>
      <c r="K15" s="35">
        <v>2017</v>
      </c>
      <c r="L15" s="4" t="s">
        <v>765</v>
      </c>
      <c r="M15" s="28" t="s">
        <v>766</v>
      </c>
      <c r="N15" s="29" t="s">
        <v>58</v>
      </c>
    </row>
    <row r="16" spans="1:14" s="5" customFormat="1" x14ac:dyDescent="0.25">
      <c r="A16" s="71" t="s">
        <v>4</v>
      </c>
      <c r="B16" s="242"/>
      <c r="C16" s="242"/>
      <c r="D16" s="35"/>
      <c r="E16" s="35"/>
      <c r="F16" s="35"/>
      <c r="G16" s="35"/>
      <c r="H16" s="35"/>
      <c r="I16" s="35"/>
      <c r="J16" s="35"/>
      <c r="K16" s="35"/>
      <c r="L16" s="242"/>
      <c r="M16" s="275"/>
      <c r="N16" s="29"/>
    </row>
    <row r="17" spans="1:14" s="5" customFormat="1" x14ac:dyDescent="0.25">
      <c r="A17" s="276" t="s">
        <v>1126</v>
      </c>
      <c r="B17" s="134">
        <v>168.37556799999999</v>
      </c>
      <c r="C17" s="134">
        <v>158.64103399999999</v>
      </c>
      <c r="D17" s="134">
        <v>191.09882500000001</v>
      </c>
      <c r="E17" s="134">
        <v>211.35933</v>
      </c>
      <c r="F17" s="134">
        <v>223.86720600000001</v>
      </c>
      <c r="G17" s="134">
        <v>210.17748900000001</v>
      </c>
      <c r="H17" s="134">
        <v>194.803494</v>
      </c>
      <c r="I17" s="134">
        <v>179.165302</v>
      </c>
      <c r="J17" s="134">
        <v>185.66010700000001</v>
      </c>
      <c r="K17" s="129"/>
      <c r="L17" s="2" t="s">
        <v>28</v>
      </c>
      <c r="M17" s="63" t="s">
        <v>1127</v>
      </c>
      <c r="N17" s="24" t="s">
        <v>1128</v>
      </c>
    </row>
    <row r="18" spans="1:14" s="5" customFormat="1" x14ac:dyDescent="0.25">
      <c r="A18" s="276" t="s">
        <v>1129</v>
      </c>
      <c r="B18" s="205">
        <v>80.487688888999998</v>
      </c>
      <c r="C18" s="205">
        <v>71.680992732999997</v>
      </c>
      <c r="D18" s="205">
        <v>81.863353344000004</v>
      </c>
      <c r="E18" s="205">
        <v>98.958657025999997</v>
      </c>
      <c r="F18" s="205">
        <v>102.91933874999999</v>
      </c>
      <c r="G18" s="205">
        <v>104.234683729</v>
      </c>
      <c r="H18" s="205">
        <v>111.83484834399999</v>
      </c>
      <c r="I18" s="205">
        <v>113.63277760299999</v>
      </c>
      <c r="J18" s="205">
        <v>114.476789874</v>
      </c>
      <c r="K18" s="205">
        <v>121.014036112</v>
      </c>
      <c r="L18" s="2" t="s">
        <v>28</v>
      </c>
      <c r="M18" s="63" t="s">
        <v>1131</v>
      </c>
      <c r="N18" s="24" t="s">
        <v>1128</v>
      </c>
    </row>
    <row r="19" spans="1:14" s="5" customFormat="1" x14ac:dyDescent="0.25">
      <c r="A19" s="276" t="s">
        <v>1130</v>
      </c>
      <c r="B19" s="205">
        <v>114.7614074</v>
      </c>
      <c r="C19" s="199">
        <v>98.453932723999998</v>
      </c>
      <c r="D19" s="205">
        <v>115.820101548</v>
      </c>
      <c r="E19" s="205">
        <v>136.444449459</v>
      </c>
      <c r="F19" s="205">
        <v>141.55021063500001</v>
      </c>
      <c r="G19" s="205">
        <v>144.35606352900001</v>
      </c>
      <c r="H19" s="205">
        <v>149.99002397300001</v>
      </c>
      <c r="I19" s="205">
        <v>133.07045099800001</v>
      </c>
      <c r="J19" s="205">
        <v>134.72866160000001</v>
      </c>
      <c r="K19" s="205">
        <v>138.39729919000001</v>
      </c>
      <c r="L19" s="2" t="s">
        <v>28</v>
      </c>
      <c r="M19" s="63" t="s">
        <v>1131</v>
      </c>
      <c r="N19" s="24" t="s">
        <v>1128</v>
      </c>
    </row>
    <row r="20" spans="1:14" x14ac:dyDescent="0.25">
      <c r="A20" s="70"/>
      <c r="B20" s="124"/>
      <c r="C20" s="124"/>
      <c r="D20" s="124"/>
      <c r="E20" s="124"/>
      <c r="F20" s="124"/>
      <c r="G20" s="124"/>
      <c r="H20" s="124"/>
      <c r="I20" s="124"/>
      <c r="J20" s="124"/>
      <c r="K20" s="124"/>
      <c r="L20" s="51"/>
      <c r="M20" s="52"/>
      <c r="N20" s="53"/>
    </row>
    <row r="21" spans="1:14" s="5" customFormat="1" x14ac:dyDescent="0.25">
      <c r="A21" s="71" t="s">
        <v>19</v>
      </c>
      <c r="B21" s="35">
        <v>2008</v>
      </c>
      <c r="C21" s="35">
        <v>2009</v>
      </c>
      <c r="D21" s="35">
        <v>2010</v>
      </c>
      <c r="E21" s="35">
        <v>2011</v>
      </c>
      <c r="F21" s="35">
        <v>2012</v>
      </c>
      <c r="G21" s="35">
        <v>2013</v>
      </c>
      <c r="H21" s="35">
        <v>2014</v>
      </c>
      <c r="I21" s="35">
        <v>2015</v>
      </c>
      <c r="J21" s="35">
        <v>2016</v>
      </c>
      <c r="K21" s="35">
        <v>2017</v>
      </c>
      <c r="L21" s="4" t="s">
        <v>765</v>
      </c>
      <c r="M21" s="28" t="s">
        <v>766</v>
      </c>
      <c r="N21" s="29" t="s">
        <v>58</v>
      </c>
    </row>
    <row r="22" spans="1:14" x14ac:dyDescent="0.25">
      <c r="A22" s="61" t="s">
        <v>931</v>
      </c>
      <c r="B22" s="155">
        <v>84.890212000000005</v>
      </c>
      <c r="C22" s="128">
        <v>74.405507999999998</v>
      </c>
      <c r="D22" s="128">
        <v>96.335984999999994</v>
      </c>
      <c r="E22" s="156">
        <v>123.215256</v>
      </c>
      <c r="F22" s="128">
        <v>135.27696399999999</v>
      </c>
      <c r="G22" s="128">
        <v>135.55843400000001</v>
      </c>
      <c r="H22" s="128">
        <v>131.55399299999999</v>
      </c>
      <c r="I22" s="128">
        <v>106.197675</v>
      </c>
      <c r="J22" s="128">
        <v>93.979203999999996</v>
      </c>
      <c r="K22" s="128">
        <v>96.905692999999999</v>
      </c>
      <c r="L22" s="34" t="s">
        <v>28</v>
      </c>
      <c r="M22" s="243" t="s">
        <v>741</v>
      </c>
      <c r="N22" s="24" t="s">
        <v>738</v>
      </c>
    </row>
    <row r="23" spans="1:14" ht="30" x14ac:dyDescent="0.25">
      <c r="A23" s="61" t="s">
        <v>932</v>
      </c>
      <c r="B23" s="129"/>
      <c r="C23" s="129"/>
      <c r="D23" s="129"/>
      <c r="E23" s="156">
        <v>113.593051</v>
      </c>
      <c r="F23" s="156">
        <v>96.455950999999999</v>
      </c>
      <c r="G23" s="156">
        <v>123.752836</v>
      </c>
      <c r="H23" s="156">
        <v>92.429956000000004</v>
      </c>
      <c r="I23" s="156">
        <v>81.364080999999999</v>
      </c>
      <c r="J23" s="156">
        <v>61.490594999999999</v>
      </c>
      <c r="K23" s="156">
        <v>63.763302000000003</v>
      </c>
      <c r="L23" s="37" t="s">
        <v>28</v>
      </c>
      <c r="M23" s="57" t="s">
        <v>742</v>
      </c>
      <c r="N23" s="24" t="s">
        <v>738</v>
      </c>
    </row>
    <row r="24" spans="1:14" ht="30" x14ac:dyDescent="0.25">
      <c r="A24" s="61" t="s">
        <v>933</v>
      </c>
      <c r="B24" s="129"/>
      <c r="C24" s="129"/>
      <c r="D24" s="129"/>
      <c r="E24" s="156">
        <v>2318.720178</v>
      </c>
      <c r="F24" s="156">
        <v>2638.2371990000001</v>
      </c>
      <c r="G24" s="156">
        <v>2776.1095879999998</v>
      </c>
      <c r="H24" s="156">
        <v>2949.2384670000001</v>
      </c>
      <c r="I24" s="156">
        <v>2909.6531730000002</v>
      </c>
      <c r="J24" s="156">
        <v>2956.5330570000001</v>
      </c>
      <c r="K24" s="156">
        <v>3039.5827049999998</v>
      </c>
      <c r="L24" s="37" t="s">
        <v>28</v>
      </c>
      <c r="M24" s="57" t="s">
        <v>742</v>
      </c>
      <c r="N24" s="24" t="s">
        <v>738</v>
      </c>
    </row>
    <row r="25" spans="1:14" ht="30" x14ac:dyDescent="0.25">
      <c r="A25" s="61" t="s">
        <v>934</v>
      </c>
      <c r="B25" s="129"/>
      <c r="C25" s="129"/>
      <c r="D25" s="129"/>
      <c r="E25" s="156">
        <v>294.47213299999999</v>
      </c>
      <c r="F25" s="156">
        <v>297.52112299999999</v>
      </c>
      <c r="G25" s="156">
        <v>315.33248800000001</v>
      </c>
      <c r="H25" s="156">
        <v>345.20135399999998</v>
      </c>
      <c r="I25" s="156">
        <v>356.73804100000001</v>
      </c>
      <c r="J25" s="156">
        <v>374.16421200000002</v>
      </c>
      <c r="K25" s="156">
        <v>385.12500399999999</v>
      </c>
      <c r="L25" s="37" t="s">
        <v>28</v>
      </c>
      <c r="M25" s="57" t="s">
        <v>742</v>
      </c>
      <c r="N25" s="24" t="s">
        <v>738</v>
      </c>
    </row>
    <row r="26" spans="1:14" ht="30" x14ac:dyDescent="0.25">
      <c r="A26" s="61" t="s">
        <v>935</v>
      </c>
      <c r="B26" s="129"/>
      <c r="C26" s="129"/>
      <c r="D26" s="129"/>
      <c r="E26" s="156">
        <v>2024.248045</v>
      </c>
      <c r="F26" s="156">
        <v>2340.7160749999998</v>
      </c>
      <c r="G26" s="156">
        <v>2460.7770999999998</v>
      </c>
      <c r="H26" s="156">
        <v>2604.0371140000002</v>
      </c>
      <c r="I26" s="156">
        <v>2552.9151310000002</v>
      </c>
      <c r="J26" s="156">
        <v>2582.368845</v>
      </c>
      <c r="K26" s="156">
        <v>2654.4577009999998</v>
      </c>
      <c r="L26" s="37" t="s">
        <v>28</v>
      </c>
      <c r="M26" s="57" t="s">
        <v>742</v>
      </c>
      <c r="N26" s="24" t="s">
        <v>738</v>
      </c>
    </row>
    <row r="27" spans="1:14" x14ac:dyDescent="0.25">
      <c r="A27" s="69"/>
      <c r="B27" s="4"/>
      <c r="C27" s="4"/>
      <c r="D27" s="4"/>
      <c r="E27" s="4"/>
      <c r="F27" s="4"/>
      <c r="G27" s="4"/>
      <c r="H27" s="4"/>
      <c r="I27" s="4"/>
      <c r="J27" s="4"/>
      <c r="K27" s="4"/>
      <c r="L27" s="41"/>
      <c r="M27" s="42"/>
      <c r="N27" s="24"/>
    </row>
    <row r="28" spans="1:14" x14ac:dyDescent="0.25">
      <c r="A28" s="61" t="s">
        <v>68</v>
      </c>
      <c r="B28" s="131"/>
      <c r="C28" s="131"/>
      <c r="D28" s="131"/>
      <c r="E28" s="131"/>
      <c r="F28" s="131"/>
      <c r="G28" s="131"/>
      <c r="H28" s="131"/>
      <c r="I28" s="131"/>
      <c r="J28" s="131"/>
      <c r="K28" s="131"/>
      <c r="L28" s="37"/>
      <c r="M28" s="24"/>
      <c r="N28" s="24"/>
    </row>
    <row r="29" spans="1:14" x14ac:dyDescent="0.25">
      <c r="A29" s="260" t="s">
        <v>1087</v>
      </c>
      <c r="B29" s="131"/>
      <c r="C29" s="131"/>
      <c r="D29" s="131"/>
      <c r="E29" s="131"/>
      <c r="F29" s="131"/>
      <c r="G29" s="131"/>
      <c r="H29" s="131"/>
      <c r="I29" s="131"/>
      <c r="J29" s="131"/>
      <c r="K29" s="131"/>
      <c r="L29" s="37"/>
      <c r="M29" s="24"/>
      <c r="N29" s="24"/>
    </row>
    <row r="30" spans="1:14" x14ac:dyDescent="0.25">
      <c r="A30" s="70"/>
      <c r="B30" s="124"/>
      <c r="C30" s="124"/>
      <c r="D30" s="124"/>
      <c r="E30" s="124"/>
      <c r="F30" s="124"/>
      <c r="G30" s="124"/>
      <c r="H30" s="124"/>
      <c r="I30" s="124"/>
      <c r="J30" s="124"/>
      <c r="K30" s="124"/>
      <c r="L30" s="51"/>
      <c r="M30" s="52"/>
      <c r="N30" s="53"/>
    </row>
    <row r="31" spans="1:14" s="5" customFormat="1" x14ac:dyDescent="0.25">
      <c r="A31" s="71" t="s">
        <v>119</v>
      </c>
      <c r="B31" s="35">
        <v>2008</v>
      </c>
      <c r="C31" s="35">
        <v>2009</v>
      </c>
      <c r="D31" s="35">
        <v>2010</v>
      </c>
      <c r="E31" s="35">
        <v>2011</v>
      </c>
      <c r="F31" s="35">
        <v>2012</v>
      </c>
      <c r="G31" s="35">
        <v>2013</v>
      </c>
      <c r="H31" s="35">
        <v>2014</v>
      </c>
      <c r="I31" s="35">
        <v>2015</v>
      </c>
      <c r="J31" s="35">
        <v>2016</v>
      </c>
      <c r="K31" s="35">
        <v>2017</v>
      </c>
      <c r="L31" s="4" t="s">
        <v>765</v>
      </c>
      <c r="M31" s="28" t="s">
        <v>766</v>
      </c>
      <c r="N31" s="29" t="s">
        <v>58</v>
      </c>
    </row>
    <row r="32" spans="1:14" ht="30" x14ac:dyDescent="0.25">
      <c r="A32" s="61" t="s">
        <v>945</v>
      </c>
      <c r="B32" s="128">
        <v>19.475447580000001</v>
      </c>
      <c r="C32" s="128">
        <v>16.047195465000001</v>
      </c>
      <c r="D32" s="128">
        <v>18.908456955000002</v>
      </c>
      <c r="E32" s="128">
        <v>19.733995305000001</v>
      </c>
      <c r="F32" s="128">
        <v>20.362674510000002</v>
      </c>
      <c r="G32" s="128">
        <v>20.910614249999998</v>
      </c>
      <c r="H32" s="128">
        <v>21.086608139999999</v>
      </c>
      <c r="I32" s="131"/>
      <c r="J32" s="131"/>
      <c r="K32" s="121"/>
      <c r="L32" s="37" t="s">
        <v>28</v>
      </c>
      <c r="M32" s="44" t="s">
        <v>80</v>
      </c>
      <c r="N32" s="24" t="s">
        <v>822</v>
      </c>
    </row>
    <row r="33" spans="1:14" x14ac:dyDescent="0.25">
      <c r="A33" s="10"/>
      <c r="B33" s="35"/>
      <c r="C33" s="35"/>
      <c r="D33" s="35"/>
      <c r="E33" s="35"/>
      <c r="F33" s="35"/>
      <c r="G33" s="35"/>
      <c r="H33" s="35"/>
      <c r="I33" s="35"/>
      <c r="J33" s="35"/>
      <c r="K33" s="35"/>
      <c r="L33" s="4"/>
      <c r="M33" s="28"/>
      <c r="N33" s="28"/>
    </row>
    <row r="34" spans="1:14" ht="30" x14ac:dyDescent="0.25">
      <c r="A34" s="61" t="s">
        <v>946</v>
      </c>
      <c r="B34" s="168">
        <v>11.395150785</v>
      </c>
      <c r="C34" s="168">
        <v>10.397247284999999</v>
      </c>
      <c r="D34" s="168">
        <v>11.097594105000001</v>
      </c>
      <c r="E34" s="128">
        <v>11.624668590000001</v>
      </c>
      <c r="F34" s="128">
        <v>12.231575355</v>
      </c>
      <c r="G34" s="128">
        <v>12.248811869999999</v>
      </c>
      <c r="H34" s="128">
        <v>12.061024574999999</v>
      </c>
      <c r="I34" s="165"/>
      <c r="J34" s="165"/>
      <c r="K34" s="166"/>
      <c r="L34" s="37" t="s">
        <v>28</v>
      </c>
      <c r="M34" s="44" t="s">
        <v>80</v>
      </c>
      <c r="N34" s="24" t="s">
        <v>822</v>
      </c>
    </row>
    <row r="35" spans="1:14" x14ac:dyDescent="0.25">
      <c r="A35" s="61" t="s">
        <v>942</v>
      </c>
      <c r="B35" s="168">
        <v>363.78118499999999</v>
      </c>
      <c r="C35" s="168">
        <v>290.29919999999998</v>
      </c>
      <c r="D35" s="168">
        <v>256.73335500000002</v>
      </c>
      <c r="E35" s="168">
        <v>318.42193500000002</v>
      </c>
      <c r="F35" s="168">
        <v>365.59555499999999</v>
      </c>
      <c r="G35" s="168">
        <v>371.94585000000001</v>
      </c>
      <c r="H35" s="168">
        <v>325.67941500000001</v>
      </c>
      <c r="I35" s="150"/>
      <c r="J35" s="150"/>
      <c r="K35" s="162"/>
      <c r="L35" s="37" t="s">
        <v>28</v>
      </c>
      <c r="M35" s="44" t="s">
        <v>80</v>
      </c>
      <c r="N35" s="24" t="s">
        <v>738</v>
      </c>
    </row>
    <row r="36" spans="1:14" x14ac:dyDescent="0.25">
      <c r="A36" s="61"/>
      <c r="B36" s="9"/>
      <c r="C36" s="9"/>
      <c r="D36" s="9"/>
      <c r="E36" s="9"/>
      <c r="F36" s="9"/>
      <c r="G36" s="9"/>
      <c r="H36" s="9"/>
      <c r="I36" s="9"/>
      <c r="J36" s="9"/>
      <c r="K36" s="83"/>
      <c r="L36" s="37"/>
      <c r="M36" s="24"/>
      <c r="N36" s="24"/>
    </row>
    <row r="37" spans="1:14" ht="30" x14ac:dyDescent="0.25">
      <c r="A37" s="61" t="s">
        <v>947</v>
      </c>
      <c r="B37" s="168">
        <v>3.8528146950000002</v>
      </c>
      <c r="C37" s="168">
        <v>2.8467465299999999</v>
      </c>
      <c r="D37" s="168">
        <v>3.7747967849999999</v>
      </c>
      <c r="E37" s="168">
        <v>3.896359575</v>
      </c>
      <c r="F37" s="168">
        <v>3.9453475650000001</v>
      </c>
      <c r="G37" s="168">
        <v>4.2619551300000005</v>
      </c>
      <c r="H37" s="168">
        <v>4.2592335750000005</v>
      </c>
      <c r="I37" s="129"/>
      <c r="J37" s="129"/>
      <c r="K37" s="122"/>
      <c r="L37" s="37" t="s">
        <v>28</v>
      </c>
      <c r="M37" s="44" t="s">
        <v>80</v>
      </c>
      <c r="N37" s="24" t="s">
        <v>822</v>
      </c>
    </row>
    <row r="38" spans="1:14" x14ac:dyDescent="0.25">
      <c r="A38" s="61" t="s">
        <v>943</v>
      </c>
      <c r="B38" s="168">
        <v>725.74800000000005</v>
      </c>
      <c r="C38" s="168">
        <v>579.69121500000006</v>
      </c>
      <c r="D38" s="168">
        <v>459.94279499999999</v>
      </c>
      <c r="E38" s="168">
        <v>574.24810500000001</v>
      </c>
      <c r="F38" s="168">
        <v>661.33786499999997</v>
      </c>
      <c r="G38" s="168">
        <v>635.93668500000001</v>
      </c>
      <c r="H38" s="168">
        <v>563.36188500000003</v>
      </c>
      <c r="I38" s="129"/>
      <c r="J38" s="129"/>
      <c r="K38" s="122"/>
      <c r="L38" s="37" t="s">
        <v>28</v>
      </c>
      <c r="M38" s="44" t="s">
        <v>80</v>
      </c>
      <c r="N38" s="24" t="s">
        <v>738</v>
      </c>
    </row>
    <row r="39" spans="1:14" x14ac:dyDescent="0.25">
      <c r="A39" s="61"/>
      <c r="B39" s="128"/>
      <c r="C39" s="9"/>
      <c r="D39" s="128"/>
      <c r="E39" s="9"/>
      <c r="F39" s="9"/>
      <c r="G39" s="9"/>
      <c r="H39" s="9"/>
      <c r="I39" s="9"/>
      <c r="J39" s="9"/>
      <c r="K39" s="83"/>
      <c r="L39" s="37"/>
      <c r="M39" s="44"/>
      <c r="N39" s="24"/>
    </row>
    <row r="40" spans="1:14" ht="30" x14ac:dyDescent="0.25">
      <c r="A40" s="61" t="s">
        <v>948</v>
      </c>
      <c r="B40" s="168">
        <v>4.2274821000000005</v>
      </c>
      <c r="C40" s="168">
        <v>2.7950369850000003</v>
      </c>
      <c r="D40" s="168">
        <v>4.0460451000000006</v>
      </c>
      <c r="E40" s="168">
        <v>4.1458354500000008</v>
      </c>
      <c r="F40" s="168">
        <v>4.1857515899999997</v>
      </c>
      <c r="G40" s="168">
        <v>4.3989400649999997</v>
      </c>
      <c r="H40" s="168">
        <v>4.7663499900000001</v>
      </c>
      <c r="I40" s="129"/>
      <c r="J40" s="129"/>
      <c r="K40" s="122"/>
      <c r="L40" s="37" t="s">
        <v>28</v>
      </c>
      <c r="M40" s="44" t="s">
        <v>80</v>
      </c>
      <c r="N40" s="24" t="s">
        <v>822</v>
      </c>
    </row>
    <row r="41" spans="1:14" ht="15.75" customHeight="1" x14ac:dyDescent="0.25">
      <c r="A41" s="61" t="s">
        <v>944</v>
      </c>
      <c r="B41" s="168">
        <v>508.93078500000001</v>
      </c>
      <c r="C41" s="168">
        <v>773.82880499999999</v>
      </c>
      <c r="D41" s="168">
        <v>463.57153499999998</v>
      </c>
      <c r="E41" s="168">
        <v>545.21818500000006</v>
      </c>
      <c r="F41" s="168">
        <v>586.94869500000004</v>
      </c>
      <c r="G41" s="168">
        <v>539.77507500000002</v>
      </c>
      <c r="H41" s="168">
        <v>545.21818500000006</v>
      </c>
      <c r="I41" s="119"/>
      <c r="J41" s="119"/>
      <c r="K41" s="119"/>
      <c r="L41" s="37" t="s">
        <v>28</v>
      </c>
      <c r="M41" s="44" t="s">
        <v>80</v>
      </c>
      <c r="N41" s="24" t="s">
        <v>738</v>
      </c>
    </row>
    <row r="42" spans="1:14" s="5" customFormat="1" x14ac:dyDescent="0.25">
      <c r="A42" s="41" t="s">
        <v>81</v>
      </c>
      <c r="B42" s="242">
        <v>2008</v>
      </c>
      <c r="C42" s="242">
        <v>2009</v>
      </c>
      <c r="D42" s="242">
        <v>2010</v>
      </c>
      <c r="E42" s="242">
        <v>2011</v>
      </c>
      <c r="F42" s="242">
        <v>2012</v>
      </c>
      <c r="G42" s="242">
        <v>2013</v>
      </c>
      <c r="H42" s="242">
        <v>2014</v>
      </c>
      <c r="I42" s="242">
        <v>2015</v>
      </c>
      <c r="J42" s="242">
        <v>2016</v>
      </c>
      <c r="K42" s="242">
        <v>2017</v>
      </c>
      <c r="L42" s="4" t="s">
        <v>765</v>
      </c>
      <c r="M42" s="28" t="s">
        <v>766</v>
      </c>
      <c r="N42" s="29" t="s">
        <v>58</v>
      </c>
    </row>
    <row r="43" spans="1:14" ht="30" x14ac:dyDescent="0.25">
      <c r="A43" s="260" t="s">
        <v>1146</v>
      </c>
      <c r="B43" s="129"/>
      <c r="C43" s="129"/>
      <c r="D43" s="168">
        <v>62.383490000000002</v>
      </c>
      <c r="E43" s="129"/>
      <c r="F43" s="129"/>
      <c r="G43" s="129"/>
      <c r="H43" s="129"/>
      <c r="I43" s="134">
        <v>63.5</v>
      </c>
      <c r="J43" s="129"/>
      <c r="K43" s="122"/>
      <c r="L43" s="37" t="s">
        <v>1132</v>
      </c>
      <c r="M43" s="44" t="s">
        <v>2786</v>
      </c>
      <c r="N43" s="24" t="s">
        <v>2787</v>
      </c>
    </row>
    <row r="44" spans="1:14" ht="30" x14ac:dyDescent="0.25">
      <c r="A44" s="260" t="s">
        <v>1147</v>
      </c>
      <c r="B44" s="167"/>
      <c r="C44" s="131"/>
      <c r="D44" s="168">
        <v>31.541119999999999</v>
      </c>
      <c r="E44" s="131"/>
      <c r="F44" s="131"/>
      <c r="G44" s="131"/>
      <c r="H44" s="131"/>
      <c r="I44" s="134">
        <v>34.700000000000003</v>
      </c>
      <c r="J44" s="131"/>
      <c r="K44" s="121"/>
      <c r="L44" s="37" t="s">
        <v>1132</v>
      </c>
      <c r="M44" s="44" t="s">
        <v>2786</v>
      </c>
      <c r="N44" s="24" t="s">
        <v>2787</v>
      </c>
    </row>
    <row r="45" spans="1:14" ht="30" x14ac:dyDescent="0.25">
      <c r="A45" s="260" t="s">
        <v>1148</v>
      </c>
      <c r="B45" s="131"/>
      <c r="C45" s="131"/>
      <c r="D45" s="168">
        <v>4.5771499999999996</v>
      </c>
      <c r="E45" s="131"/>
      <c r="F45" s="131"/>
      <c r="G45" s="131"/>
      <c r="H45" s="131"/>
      <c r="I45" s="134">
        <v>5.49</v>
      </c>
      <c r="J45" s="131"/>
      <c r="K45" s="121"/>
      <c r="L45" s="37" t="s">
        <v>1132</v>
      </c>
      <c r="M45" s="44" t="s">
        <v>2786</v>
      </c>
      <c r="N45" s="24" t="s">
        <v>2787</v>
      </c>
    </row>
    <row r="46" spans="1:14" ht="30" x14ac:dyDescent="0.25">
      <c r="A46" s="260" t="s">
        <v>1149</v>
      </c>
      <c r="B46" s="131"/>
      <c r="C46" s="131"/>
      <c r="D46" s="168">
        <v>26.211729999999999</v>
      </c>
      <c r="E46" s="131"/>
      <c r="F46" s="131"/>
      <c r="G46" s="131"/>
      <c r="H46" s="131"/>
      <c r="I46" s="134">
        <v>23.3</v>
      </c>
      <c r="J46" s="131"/>
      <c r="K46" s="121"/>
      <c r="L46" s="37" t="s">
        <v>1132</v>
      </c>
      <c r="M46" s="44" t="s">
        <v>2786</v>
      </c>
      <c r="N46" s="24" t="s">
        <v>2787</v>
      </c>
    </row>
    <row r="47" spans="1:14" ht="30" x14ac:dyDescent="0.25">
      <c r="A47" s="268" t="s">
        <v>1145</v>
      </c>
      <c r="B47" s="245"/>
      <c r="C47" s="245"/>
      <c r="D47" s="168">
        <v>129.16531000000001</v>
      </c>
      <c r="E47" s="245"/>
      <c r="F47" s="245"/>
      <c r="G47" s="245"/>
      <c r="H47" s="245"/>
      <c r="I47" s="210">
        <v>132</v>
      </c>
      <c r="J47" s="245"/>
      <c r="K47" s="245"/>
      <c r="L47" s="37" t="s">
        <v>1132</v>
      </c>
      <c r="M47" s="44" t="s">
        <v>2786</v>
      </c>
      <c r="N47" s="24" t="s">
        <v>2787</v>
      </c>
    </row>
    <row r="48" spans="1:14" ht="30" x14ac:dyDescent="0.25">
      <c r="A48" s="268" t="s">
        <v>1143</v>
      </c>
      <c r="B48" s="245"/>
      <c r="C48" s="245"/>
      <c r="D48" s="168">
        <v>55.405110000000001</v>
      </c>
      <c r="E48" s="245"/>
      <c r="F48" s="245"/>
      <c r="G48" s="245"/>
      <c r="H48" s="245"/>
      <c r="I48" s="210">
        <v>64.099999999999994</v>
      </c>
      <c r="J48" s="245"/>
      <c r="K48" s="245"/>
      <c r="L48" s="37" t="s">
        <v>1132</v>
      </c>
      <c r="M48" s="44" t="s">
        <v>2786</v>
      </c>
      <c r="N48" s="24" t="s">
        <v>2787</v>
      </c>
    </row>
    <row r="49" spans="1:14" ht="30" x14ac:dyDescent="0.25">
      <c r="A49" s="268" t="s">
        <v>1144</v>
      </c>
      <c r="B49" s="245"/>
      <c r="C49" s="245"/>
      <c r="D49" s="168">
        <v>73.862840000000006</v>
      </c>
      <c r="E49" s="245"/>
      <c r="F49" s="245"/>
      <c r="G49" s="245"/>
      <c r="H49" s="245"/>
      <c r="I49" s="210">
        <v>68.3</v>
      </c>
      <c r="J49" s="245"/>
      <c r="K49" s="245"/>
      <c r="L49" s="37" t="s">
        <v>1132</v>
      </c>
      <c r="M49" s="44" t="s">
        <v>2786</v>
      </c>
      <c r="N49" s="24" t="s">
        <v>2787</v>
      </c>
    </row>
    <row r="50" spans="1:14" x14ac:dyDescent="0.25">
      <c r="A50" s="268" t="s">
        <v>2790</v>
      </c>
      <c r="B50" s="242">
        <v>2008</v>
      </c>
      <c r="C50" s="242">
        <v>2009</v>
      </c>
      <c r="D50" s="242">
        <v>2010</v>
      </c>
      <c r="E50" s="242">
        <v>2011</v>
      </c>
      <c r="F50" s="242">
        <v>2012</v>
      </c>
      <c r="G50" s="242">
        <v>2013</v>
      </c>
      <c r="H50" s="242">
        <v>2014</v>
      </c>
      <c r="I50" s="242">
        <v>2015</v>
      </c>
      <c r="J50" s="242">
        <v>2016</v>
      </c>
      <c r="K50" s="242">
        <v>2017</v>
      </c>
      <c r="L50" s="4" t="s">
        <v>765</v>
      </c>
      <c r="M50" s="28" t="s">
        <v>766</v>
      </c>
      <c r="N50" s="29" t="s">
        <v>58</v>
      </c>
    </row>
    <row r="51" spans="1:14" ht="30" x14ac:dyDescent="0.25">
      <c r="A51" s="260" t="s">
        <v>2791</v>
      </c>
      <c r="B51" s="131"/>
      <c r="C51" s="131"/>
      <c r="D51" s="131"/>
      <c r="E51" s="131"/>
      <c r="F51" s="131"/>
      <c r="G51" s="131"/>
      <c r="H51" s="131"/>
      <c r="I51" s="131"/>
      <c r="J51" s="9">
        <v>97</v>
      </c>
      <c r="K51" s="121"/>
      <c r="L51" s="203" t="s">
        <v>74</v>
      </c>
      <c r="M51" s="44" t="s">
        <v>2808</v>
      </c>
      <c r="N51" s="24" t="s">
        <v>2792</v>
      </c>
    </row>
    <row r="52" spans="1:14" ht="30" x14ac:dyDescent="0.25">
      <c r="A52" s="260" t="s">
        <v>2793</v>
      </c>
      <c r="B52" s="131"/>
      <c r="C52" s="131"/>
      <c r="D52" s="131"/>
      <c r="E52" s="131"/>
      <c r="F52" s="131"/>
      <c r="G52" s="131"/>
      <c r="H52" s="131"/>
      <c r="I52" s="131"/>
      <c r="J52" s="9">
        <v>91</v>
      </c>
      <c r="K52" s="121"/>
      <c r="L52" s="203" t="s">
        <v>74</v>
      </c>
      <c r="M52" s="44" t="s">
        <v>2809</v>
      </c>
      <c r="N52" s="24" t="s">
        <v>2792</v>
      </c>
    </row>
    <row r="53" spans="1:14" ht="30" x14ac:dyDescent="0.25">
      <c r="A53" s="260" t="s">
        <v>2794</v>
      </c>
      <c r="B53" s="131"/>
      <c r="C53" s="131"/>
      <c r="D53" s="131"/>
      <c r="E53" s="131"/>
      <c r="F53" s="131"/>
      <c r="G53" s="131"/>
      <c r="H53" s="131"/>
      <c r="I53" s="131"/>
      <c r="J53" s="9">
        <v>95</v>
      </c>
      <c r="K53" s="121"/>
      <c r="L53" s="203" t="s">
        <v>74</v>
      </c>
      <c r="M53" s="44" t="s">
        <v>2810</v>
      </c>
      <c r="N53" s="24" t="s">
        <v>2792</v>
      </c>
    </row>
    <row r="54" spans="1:14" ht="30" x14ac:dyDescent="0.25">
      <c r="A54" s="260" t="s">
        <v>2795</v>
      </c>
      <c r="B54" s="131"/>
      <c r="C54" s="131"/>
      <c r="D54" s="131"/>
      <c r="E54" s="131"/>
      <c r="F54" s="131"/>
      <c r="G54" s="131"/>
      <c r="H54" s="131"/>
      <c r="I54" s="131"/>
      <c r="J54" s="134">
        <v>83.333333333333329</v>
      </c>
      <c r="K54" s="121"/>
      <c r="L54" s="203" t="s">
        <v>74</v>
      </c>
      <c r="M54" s="44" t="s">
        <v>2811</v>
      </c>
      <c r="N54" s="24" t="s">
        <v>2792</v>
      </c>
    </row>
    <row r="55" spans="1:14" ht="30" x14ac:dyDescent="0.25">
      <c r="A55" s="260" t="s">
        <v>2796</v>
      </c>
      <c r="B55" s="131"/>
      <c r="C55" s="131"/>
      <c r="D55" s="131"/>
      <c r="E55" s="131"/>
      <c r="F55" s="131"/>
      <c r="G55" s="131"/>
      <c r="H55" s="131"/>
      <c r="I55" s="131"/>
      <c r="J55" s="134">
        <v>12</v>
      </c>
      <c r="K55" s="121"/>
      <c r="L55" s="203" t="s">
        <v>74</v>
      </c>
      <c r="M55" s="44" t="s">
        <v>2808</v>
      </c>
      <c r="N55" s="24" t="s">
        <v>2792</v>
      </c>
    </row>
    <row r="56" spans="1:14" ht="30" x14ac:dyDescent="0.25">
      <c r="A56" s="260" t="s">
        <v>2797</v>
      </c>
      <c r="B56" s="131"/>
      <c r="C56" s="131"/>
      <c r="D56" s="131"/>
      <c r="E56" s="131"/>
      <c r="F56" s="131"/>
      <c r="G56" s="131"/>
      <c r="H56" s="131"/>
      <c r="I56" s="131"/>
      <c r="J56" s="134">
        <v>43</v>
      </c>
      <c r="K56" s="121"/>
      <c r="L56" s="203" t="s">
        <v>74</v>
      </c>
      <c r="M56" s="44" t="s">
        <v>2809</v>
      </c>
      <c r="N56" s="24" t="s">
        <v>2792</v>
      </c>
    </row>
    <row r="57" spans="1:14" ht="30" x14ac:dyDescent="0.25">
      <c r="A57" s="260" t="s">
        <v>2798</v>
      </c>
      <c r="B57" s="131"/>
      <c r="C57" s="131"/>
      <c r="D57" s="131"/>
      <c r="E57" s="131"/>
      <c r="F57" s="131"/>
      <c r="G57" s="131"/>
      <c r="H57" s="131"/>
      <c r="I57" s="131"/>
      <c r="J57" s="134">
        <v>19</v>
      </c>
      <c r="K57" s="121"/>
      <c r="L57" s="203" t="s">
        <v>74</v>
      </c>
      <c r="M57" s="44" t="s">
        <v>2810</v>
      </c>
      <c r="N57" s="24" t="s">
        <v>2792</v>
      </c>
    </row>
    <row r="58" spans="1:14" ht="30" x14ac:dyDescent="0.25">
      <c r="A58" s="260" t="s">
        <v>2799</v>
      </c>
      <c r="B58" s="131"/>
      <c r="C58" s="131"/>
      <c r="D58" s="131"/>
      <c r="E58" s="131"/>
      <c r="F58" s="131"/>
      <c r="G58" s="131"/>
      <c r="H58" s="131"/>
      <c r="I58" s="131"/>
      <c r="J58" s="134">
        <v>6.333333333333333</v>
      </c>
      <c r="K58" s="121"/>
      <c r="L58" s="203" t="s">
        <v>74</v>
      </c>
      <c r="M58" s="44" t="s">
        <v>2811</v>
      </c>
      <c r="N58" s="24" t="s">
        <v>2792</v>
      </c>
    </row>
    <row r="59" spans="1:14" ht="30" x14ac:dyDescent="0.25">
      <c r="A59" s="260" t="s">
        <v>2800</v>
      </c>
      <c r="B59" s="131"/>
      <c r="C59" s="131"/>
      <c r="D59" s="131"/>
      <c r="E59" s="131"/>
      <c r="F59" s="131"/>
      <c r="G59" s="131"/>
      <c r="H59" s="131"/>
      <c r="I59" s="131"/>
      <c r="J59" s="134">
        <v>12</v>
      </c>
      <c r="K59" s="121"/>
      <c r="L59" s="203" t="s">
        <v>74</v>
      </c>
      <c r="M59" s="44" t="s">
        <v>2808</v>
      </c>
      <c r="N59" s="24" t="s">
        <v>2792</v>
      </c>
    </row>
    <row r="60" spans="1:14" ht="30" x14ac:dyDescent="0.25">
      <c r="A60" s="260" t="s">
        <v>2801</v>
      </c>
      <c r="B60" s="131"/>
      <c r="C60" s="131"/>
      <c r="D60" s="131"/>
      <c r="E60" s="131"/>
      <c r="F60" s="131"/>
      <c r="G60" s="131"/>
      <c r="H60" s="131"/>
      <c r="I60" s="131"/>
      <c r="J60" s="134">
        <v>2</v>
      </c>
      <c r="K60" s="121"/>
      <c r="L60" s="203" t="s">
        <v>74</v>
      </c>
      <c r="M60" s="44" t="s">
        <v>2809</v>
      </c>
      <c r="N60" s="24" t="s">
        <v>2792</v>
      </c>
    </row>
    <row r="61" spans="1:14" ht="30" x14ac:dyDescent="0.25">
      <c r="A61" s="260" t="s">
        <v>2802</v>
      </c>
      <c r="B61" s="131"/>
      <c r="C61" s="131"/>
      <c r="D61" s="131"/>
      <c r="E61" s="131"/>
      <c r="F61" s="131"/>
      <c r="G61" s="131"/>
      <c r="H61" s="131"/>
      <c r="I61" s="131"/>
      <c r="J61" s="134">
        <v>14</v>
      </c>
      <c r="K61" s="121"/>
      <c r="L61" s="203" t="s">
        <v>74</v>
      </c>
      <c r="M61" s="44" t="s">
        <v>2810</v>
      </c>
      <c r="N61" s="24" t="s">
        <v>2792</v>
      </c>
    </row>
    <row r="62" spans="1:14" ht="30" x14ac:dyDescent="0.25">
      <c r="A62" s="260" t="s">
        <v>2803</v>
      </c>
      <c r="B62" s="131"/>
      <c r="C62" s="131"/>
      <c r="D62" s="131"/>
      <c r="E62" s="131"/>
      <c r="F62" s="131"/>
      <c r="G62" s="131"/>
      <c r="H62" s="131"/>
      <c r="I62" s="131"/>
      <c r="J62" s="134">
        <v>35.333333333333336</v>
      </c>
      <c r="K62" s="121"/>
      <c r="L62" s="203" t="s">
        <v>74</v>
      </c>
      <c r="M62" s="44" t="s">
        <v>2811</v>
      </c>
      <c r="N62" s="24" t="s">
        <v>2792</v>
      </c>
    </row>
    <row r="63" spans="1:14" ht="30" x14ac:dyDescent="0.25">
      <c r="A63" s="260" t="s">
        <v>2804</v>
      </c>
      <c r="B63" s="131"/>
      <c r="C63" s="131"/>
      <c r="D63" s="131"/>
      <c r="E63" s="131"/>
      <c r="F63" s="131"/>
      <c r="G63" s="131"/>
      <c r="H63" s="131"/>
      <c r="I63" s="131"/>
      <c r="J63" s="134">
        <v>1</v>
      </c>
      <c r="K63" s="121"/>
      <c r="L63" s="203" t="s">
        <v>74</v>
      </c>
      <c r="M63" s="44" t="s">
        <v>2808</v>
      </c>
      <c r="N63" s="24" t="s">
        <v>2792</v>
      </c>
    </row>
    <row r="64" spans="1:14" ht="30" x14ac:dyDescent="0.25">
      <c r="A64" s="260" t="s">
        <v>2805</v>
      </c>
      <c r="B64" s="131"/>
      <c r="C64" s="131"/>
      <c r="D64" s="131"/>
      <c r="E64" s="131"/>
      <c r="F64" s="131"/>
      <c r="G64" s="131"/>
      <c r="H64" s="131"/>
      <c r="I64" s="131"/>
      <c r="J64" s="134">
        <v>69</v>
      </c>
      <c r="K64" s="121"/>
      <c r="L64" s="203" t="s">
        <v>74</v>
      </c>
      <c r="M64" s="44" t="s">
        <v>2809</v>
      </c>
      <c r="N64" s="24" t="s">
        <v>2792</v>
      </c>
    </row>
    <row r="65" spans="1:14" ht="30" x14ac:dyDescent="0.25">
      <c r="A65" s="260" t="s">
        <v>2806</v>
      </c>
      <c r="B65" s="131"/>
      <c r="C65" s="131"/>
      <c r="D65" s="131"/>
      <c r="E65" s="131"/>
      <c r="F65" s="131"/>
      <c r="G65" s="131"/>
      <c r="H65" s="131"/>
      <c r="I65" s="131"/>
      <c r="J65" s="134">
        <v>3</v>
      </c>
      <c r="K65" s="121"/>
      <c r="L65" s="203" t="s">
        <v>74</v>
      </c>
      <c r="M65" s="44" t="s">
        <v>2810</v>
      </c>
      <c r="N65" s="24" t="s">
        <v>2792</v>
      </c>
    </row>
    <row r="66" spans="1:14" ht="30" x14ac:dyDescent="0.25">
      <c r="A66" s="260" t="s">
        <v>2807</v>
      </c>
      <c r="B66" s="131"/>
      <c r="C66" s="131"/>
      <c r="D66" s="131"/>
      <c r="E66" s="131"/>
      <c r="F66" s="131"/>
      <c r="G66" s="131"/>
      <c r="H66" s="131"/>
      <c r="I66" s="131"/>
      <c r="J66" s="134">
        <v>0</v>
      </c>
      <c r="K66" s="121"/>
      <c r="L66" s="203" t="s">
        <v>74</v>
      </c>
      <c r="M66" s="44" t="s">
        <v>2811</v>
      </c>
      <c r="N66" s="24" t="s">
        <v>2792</v>
      </c>
    </row>
  </sheetData>
  <mergeCells count="1">
    <mergeCell ref="A1:A2"/>
  </mergeCells>
  <hyperlinks>
    <hyperlink ref="M6" r:id="rId1" xr:uid="{00000000-0004-0000-0100-000000000000}"/>
    <hyperlink ref="M7" r:id="rId2" xr:uid="{00000000-0004-0000-0100-000001000000}"/>
    <hyperlink ref="M9" r:id="rId3" xr:uid="{00000000-0004-0000-0100-000002000000}"/>
    <hyperlink ref="M8" r:id="rId4" xr:uid="{00000000-0004-0000-0100-000003000000}"/>
    <hyperlink ref="M10" r:id="rId5" xr:uid="{00000000-0004-0000-0100-000004000000}"/>
    <hyperlink ref="M11" r:id="rId6" xr:uid="{00000000-0004-0000-0100-000008000000}"/>
    <hyperlink ref="M4" r:id="rId7" xr:uid="{00000000-0004-0000-0100-000009000000}"/>
    <hyperlink ref="M13" r:id="rId8" xr:uid="{00000000-0004-0000-0100-00000A000000}"/>
    <hyperlink ref="M22" r:id="rId9" location="P5ad1f2ee59b64ca79e89cf9cf47f78f1_2_105iT0R0x0" xr:uid="{00000000-0004-0000-0100-00000C000000}"/>
    <hyperlink ref="M12" r:id="rId10" xr:uid="{00000000-0004-0000-0100-00000D000000}"/>
    <hyperlink ref="M23" r:id="rId11" xr:uid="{00000000-0004-0000-0100-00000E000000}"/>
    <hyperlink ref="M17" r:id="rId12" xr:uid="{00000000-0004-0000-0100-00000F000000}"/>
    <hyperlink ref="M18" r:id="rId13" xr:uid="{95FE624B-CE31-41F4-8FE6-E6924FE450D8}"/>
    <hyperlink ref="M32" r:id="rId14" xr:uid="{C4A8F31A-AFF1-4033-BCE7-FE692FAE6F31}"/>
    <hyperlink ref="M34" r:id="rId15" xr:uid="{B626B013-5AD9-463F-A0CC-086EEC2097A2}"/>
    <hyperlink ref="M37" r:id="rId16" xr:uid="{8C307827-0934-4ED7-95BC-20ACEABFD161}"/>
    <hyperlink ref="M35" r:id="rId17" xr:uid="{345A7A95-EB40-44CB-865D-A38BD86E1816}"/>
    <hyperlink ref="M38" r:id="rId18" xr:uid="{74FBC09A-6C60-48AF-A938-A440AED790F4}"/>
    <hyperlink ref="M41" r:id="rId19" xr:uid="{CBF01B5C-0799-46F2-86F7-B4FEE62692EA}"/>
    <hyperlink ref="M40" r:id="rId20" xr:uid="{6B308B60-B088-4263-8BD7-24954F34269F}"/>
  </hyperlinks>
  <pageMargins left="0.7" right="0.7" top="0.75" bottom="0.75" header="0.3" footer="0.3"/>
  <pageSetup orientation="portrait" r:id="rId21"/>
  <drawing r:id="rId22"/>
  <legacy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41B"/>
  </sheetPr>
  <dimension ref="A1:N126"/>
  <sheetViews>
    <sheetView zoomScaleNormal="100" workbookViewId="0">
      <pane xSplit="1" ySplit="3" topLeftCell="B27"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82</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ht="30" x14ac:dyDescent="0.25">
      <c r="A4" s="61" t="s">
        <v>949</v>
      </c>
      <c r="B4" s="135"/>
      <c r="C4" s="135"/>
      <c r="D4" s="135"/>
      <c r="E4" s="135"/>
      <c r="F4" s="159">
        <v>167</v>
      </c>
      <c r="G4" s="135"/>
      <c r="H4" s="135"/>
      <c r="I4" s="129"/>
      <c r="J4" s="129"/>
      <c r="K4" s="122"/>
      <c r="L4" s="37" t="s">
        <v>59</v>
      </c>
      <c r="M4" s="44" t="s">
        <v>62</v>
      </c>
      <c r="N4" s="24" t="s">
        <v>738</v>
      </c>
    </row>
    <row r="5" spans="1:14" x14ac:dyDescent="0.25">
      <c r="A5" s="61" t="s">
        <v>847</v>
      </c>
      <c r="B5" s="118">
        <v>85.981999999999999</v>
      </c>
      <c r="C5" s="118">
        <v>86.382000000000005</v>
      </c>
      <c r="D5" s="118">
        <v>88.191999999999993</v>
      </c>
      <c r="E5" s="118">
        <v>91.936000000000007</v>
      </c>
      <c r="F5" s="118">
        <v>97.290999999999997</v>
      </c>
      <c r="G5" s="118">
        <v>95.364999999999995</v>
      </c>
      <c r="H5" s="118">
        <v>90.596999999999994</v>
      </c>
      <c r="I5" s="118">
        <v>88.019000000000005</v>
      </c>
      <c r="J5" s="118">
        <v>94.004000000000005</v>
      </c>
      <c r="K5" s="118">
        <v>90.167000000000002</v>
      </c>
      <c r="L5" s="64" t="s">
        <v>74</v>
      </c>
      <c r="M5" s="67" t="s">
        <v>743</v>
      </c>
      <c r="N5" s="24" t="s">
        <v>738</v>
      </c>
    </row>
    <row r="6" spans="1:14" ht="30" x14ac:dyDescent="0.25">
      <c r="A6" s="61" t="s">
        <v>763</v>
      </c>
      <c r="B6" s="134">
        <v>4.0468599999999997</v>
      </c>
      <c r="C6" s="134">
        <v>4.0468599999999997</v>
      </c>
      <c r="D6" s="134">
        <v>4.0468599999999997</v>
      </c>
      <c r="E6" s="134">
        <v>3.6421739999999998</v>
      </c>
      <c r="F6" s="134">
        <v>3.2374879999999999</v>
      </c>
      <c r="G6" s="134">
        <v>4.0468599999999997</v>
      </c>
      <c r="H6" s="134">
        <v>4.4515459999999996</v>
      </c>
      <c r="I6" s="134">
        <v>4.4515459999999996</v>
      </c>
      <c r="J6" s="134">
        <v>4.4515459999999996</v>
      </c>
      <c r="K6" s="118">
        <v>4.4515459999999996</v>
      </c>
      <c r="L6" s="37" t="s">
        <v>71</v>
      </c>
      <c r="M6" s="44" t="s">
        <v>65</v>
      </c>
      <c r="N6" s="24" t="s">
        <v>764</v>
      </c>
    </row>
    <row r="7" spans="1:14" x14ac:dyDescent="0.25">
      <c r="A7" s="268" t="s">
        <v>1098</v>
      </c>
      <c r="B7" s="134">
        <v>25.45234155339806</v>
      </c>
      <c r="C7" s="134">
        <v>31.544155992478025</v>
      </c>
      <c r="D7" s="134">
        <v>36.601832580003617</v>
      </c>
      <c r="E7" s="134">
        <v>41.191464381360475</v>
      </c>
      <c r="F7" s="134">
        <v>44.453531938225353</v>
      </c>
      <c r="G7" s="134">
        <v>42.749827586206891</v>
      </c>
      <c r="H7" s="134">
        <v>40.251368074221794</v>
      </c>
      <c r="I7" s="134">
        <v>38.523592290211255</v>
      </c>
      <c r="J7" s="134">
        <v>41.579768086372539</v>
      </c>
      <c r="K7" s="134">
        <v>39.690701926189703</v>
      </c>
      <c r="L7" s="203" t="s">
        <v>79</v>
      </c>
      <c r="M7" s="209"/>
      <c r="N7" s="206"/>
    </row>
    <row r="8" spans="1:14" x14ac:dyDescent="0.25">
      <c r="A8" s="50"/>
      <c r="B8" s="267"/>
      <c r="C8" s="267"/>
      <c r="D8" s="267"/>
      <c r="E8" s="267"/>
      <c r="F8" s="267"/>
      <c r="G8" s="267"/>
      <c r="H8" s="267"/>
      <c r="I8" s="267"/>
      <c r="J8" s="267"/>
      <c r="K8" s="267"/>
      <c r="L8" s="52"/>
      <c r="M8" s="52"/>
      <c r="N8" s="53"/>
    </row>
    <row r="9" spans="1:14" s="5" customFormat="1" x14ac:dyDescent="0.25">
      <c r="A9" s="35" t="s">
        <v>27</v>
      </c>
      <c r="B9" s="35">
        <v>2008</v>
      </c>
      <c r="C9" s="35">
        <v>2009</v>
      </c>
      <c r="D9" s="35">
        <v>2010</v>
      </c>
      <c r="E9" s="35">
        <v>2011</v>
      </c>
      <c r="F9" s="35">
        <v>2012</v>
      </c>
      <c r="G9" s="35">
        <v>2013</v>
      </c>
      <c r="H9" s="35">
        <v>2014</v>
      </c>
      <c r="I9" s="35">
        <v>2015</v>
      </c>
      <c r="J9" s="35">
        <v>2016</v>
      </c>
      <c r="K9" s="74">
        <v>2017</v>
      </c>
      <c r="L9" s="4" t="s">
        <v>765</v>
      </c>
      <c r="M9" s="28" t="s">
        <v>766</v>
      </c>
      <c r="N9" s="29" t="s">
        <v>58</v>
      </c>
    </row>
    <row r="10" spans="1:14" ht="15.75" customHeight="1" x14ac:dyDescent="0.25">
      <c r="A10" s="61" t="s">
        <v>64</v>
      </c>
      <c r="B10" s="118">
        <v>305.911</v>
      </c>
      <c r="C10" s="118">
        <v>331.92099999999999</v>
      </c>
      <c r="D10" s="118">
        <v>315.61799999999999</v>
      </c>
      <c r="E10" s="118">
        <v>312.78899999999999</v>
      </c>
      <c r="F10" s="118">
        <v>273.19200000000001</v>
      </c>
      <c r="G10" s="118">
        <v>351.27199999999999</v>
      </c>
      <c r="H10" s="118">
        <v>361.09100000000001</v>
      </c>
      <c r="I10" s="118">
        <v>345.50599999999997</v>
      </c>
      <c r="J10" s="118">
        <v>384.77800000000002</v>
      </c>
      <c r="K10" s="118">
        <v>370.96</v>
      </c>
      <c r="L10" s="64" t="s">
        <v>28</v>
      </c>
      <c r="M10" s="68" t="s">
        <v>65</v>
      </c>
      <c r="N10" s="24" t="s">
        <v>738</v>
      </c>
    </row>
    <row r="11" spans="1:14" ht="30" x14ac:dyDescent="0.25">
      <c r="A11" s="64" t="s">
        <v>833</v>
      </c>
      <c r="B11" s="134">
        <v>257.5</v>
      </c>
      <c r="C11" s="134">
        <v>253.92250000000001</v>
      </c>
      <c r="D11" s="134">
        <v>276.55</v>
      </c>
      <c r="E11" s="134">
        <v>280.05</v>
      </c>
      <c r="F11" s="134">
        <v>273.57499999999999</v>
      </c>
      <c r="G11" s="134">
        <v>258.82499999999999</v>
      </c>
      <c r="H11" s="134">
        <v>288.32499999999999</v>
      </c>
      <c r="I11" s="134">
        <v>297.02500000000003</v>
      </c>
      <c r="J11" s="134">
        <v>294.07499999999999</v>
      </c>
      <c r="K11" s="134">
        <v>308.90000000000003</v>
      </c>
      <c r="L11" s="37" t="s">
        <v>28</v>
      </c>
      <c r="M11" s="44" t="s">
        <v>829</v>
      </c>
      <c r="N11" s="24" t="s">
        <v>739</v>
      </c>
    </row>
    <row r="12" spans="1:14" x14ac:dyDescent="0.25">
      <c r="A12" s="201" t="s">
        <v>834</v>
      </c>
      <c r="B12" s="202">
        <v>0.34399999999999997</v>
      </c>
      <c r="C12" s="202">
        <v>0.21199999999999999</v>
      </c>
      <c r="D12" s="202">
        <v>0.70299999999999996</v>
      </c>
      <c r="E12" s="202">
        <v>0.746</v>
      </c>
      <c r="F12" s="202">
        <v>4.0629999999999997</v>
      </c>
      <c r="G12" s="202">
        <v>0.90900000000000003</v>
      </c>
      <c r="H12" s="202">
        <v>0.80400000000000005</v>
      </c>
      <c r="I12" s="202">
        <v>1.716</v>
      </c>
      <c r="J12" s="202">
        <v>1.448</v>
      </c>
      <c r="K12" s="202">
        <v>1.27</v>
      </c>
      <c r="L12" s="64" t="s">
        <v>28</v>
      </c>
      <c r="M12" s="68" t="s">
        <v>65</v>
      </c>
      <c r="N12" s="24" t="s">
        <v>738</v>
      </c>
    </row>
    <row r="13" spans="1:14" x14ac:dyDescent="0.25">
      <c r="A13" s="61" t="s">
        <v>835</v>
      </c>
      <c r="B13" s="164">
        <v>46.965000000000003</v>
      </c>
      <c r="C13" s="164">
        <v>50.27</v>
      </c>
      <c r="D13" s="164">
        <v>46.508000000000003</v>
      </c>
      <c r="E13" s="164">
        <v>39.095999999999997</v>
      </c>
      <c r="F13" s="164">
        <v>18.545000000000002</v>
      </c>
      <c r="G13" s="164">
        <v>48.79</v>
      </c>
      <c r="H13" s="164">
        <v>47.420999999999999</v>
      </c>
      <c r="I13" s="164">
        <v>48.287999999999997</v>
      </c>
      <c r="J13" s="164">
        <v>58.241999999999997</v>
      </c>
      <c r="K13" s="164">
        <v>56.518000000000001</v>
      </c>
      <c r="L13" s="64" t="s">
        <v>28</v>
      </c>
      <c r="M13" s="68" t="s">
        <v>65</v>
      </c>
      <c r="N13" s="24" t="s">
        <v>738</v>
      </c>
    </row>
    <row r="14" spans="1:14" x14ac:dyDescent="0.25">
      <c r="A14" s="61" t="s">
        <v>836</v>
      </c>
      <c r="B14" s="164">
        <v>41.255000000000003</v>
      </c>
      <c r="C14" s="164">
        <v>42.503999999999998</v>
      </c>
      <c r="D14" s="164">
        <v>43.38</v>
      </c>
      <c r="E14" s="164">
        <v>28.643999999999998</v>
      </c>
      <c r="F14" s="164">
        <v>25.122</v>
      </c>
      <c r="G14" s="164">
        <v>20.859000000000002</v>
      </c>
      <c r="H14" s="164">
        <v>31.292000000000002</v>
      </c>
      <c r="I14" s="164">
        <v>43.973999999999997</v>
      </c>
      <c r="J14" s="164">
        <v>44.122999999999998</v>
      </c>
      <c r="K14" s="164">
        <v>58.253</v>
      </c>
      <c r="L14" s="64" t="s">
        <v>28</v>
      </c>
      <c r="M14" s="68" t="s">
        <v>65</v>
      </c>
      <c r="N14" s="24" t="s">
        <v>738</v>
      </c>
    </row>
    <row r="15" spans="1:14" x14ac:dyDescent="0.25">
      <c r="A15" s="61" t="s">
        <v>837</v>
      </c>
      <c r="B15" s="164">
        <v>42.503999999999998</v>
      </c>
      <c r="C15" s="164">
        <v>43.38</v>
      </c>
      <c r="D15" s="164">
        <v>28.643999999999998</v>
      </c>
      <c r="E15" s="164">
        <v>25.122</v>
      </c>
      <c r="F15" s="164">
        <v>20.859000000000002</v>
      </c>
      <c r="G15" s="164">
        <v>31.292000000000002</v>
      </c>
      <c r="H15" s="164">
        <v>43.973999999999997</v>
      </c>
      <c r="I15" s="164">
        <v>44.122999999999998</v>
      </c>
      <c r="J15" s="164">
        <v>58.253</v>
      </c>
      <c r="K15" s="164">
        <v>55.435000000000002</v>
      </c>
      <c r="L15" s="64" t="s">
        <v>28</v>
      </c>
      <c r="M15" s="68" t="s">
        <v>65</v>
      </c>
      <c r="N15" s="24" t="s">
        <v>738</v>
      </c>
    </row>
    <row r="16" spans="1:14" x14ac:dyDescent="0.25">
      <c r="A16" s="41" t="s">
        <v>83</v>
      </c>
      <c r="B16" s="134"/>
      <c r="C16" s="9"/>
      <c r="D16" s="9"/>
      <c r="E16" s="9"/>
      <c r="F16" s="9"/>
      <c r="G16" s="9"/>
      <c r="H16" s="9"/>
      <c r="I16" s="9"/>
      <c r="J16" s="9"/>
      <c r="K16" s="83"/>
      <c r="L16" s="24"/>
      <c r="M16" s="44"/>
      <c r="N16" s="24"/>
    </row>
    <row r="17" spans="1:14" ht="30" x14ac:dyDescent="0.25">
      <c r="A17" s="61" t="s">
        <v>832</v>
      </c>
      <c r="B17" s="134">
        <v>146.32499999999999</v>
      </c>
      <c r="C17" s="134">
        <v>128.19999999999999</v>
      </c>
      <c r="D17" s="134">
        <v>127.4</v>
      </c>
      <c r="E17" s="134">
        <v>119.25</v>
      </c>
      <c r="F17" s="134">
        <v>112.8</v>
      </c>
      <c r="G17" s="134">
        <v>107.72500000000001</v>
      </c>
      <c r="H17" s="134">
        <v>125.05000000000001</v>
      </c>
      <c r="I17" s="134">
        <v>132.10000000000002</v>
      </c>
      <c r="J17" s="134">
        <v>127.85</v>
      </c>
      <c r="K17" s="118">
        <v>136.80000000000001</v>
      </c>
      <c r="L17" s="37" t="s">
        <v>28</v>
      </c>
      <c r="M17" s="44" t="s">
        <v>829</v>
      </c>
      <c r="N17" s="24" t="s">
        <v>739</v>
      </c>
    </row>
    <row r="18" spans="1:14" ht="30" x14ac:dyDescent="0.25">
      <c r="A18" s="260" t="s">
        <v>1077</v>
      </c>
      <c r="B18" s="263">
        <v>110.5</v>
      </c>
      <c r="C18" s="263">
        <v>125.075</v>
      </c>
      <c r="D18" s="263">
        <v>148.47499999999999</v>
      </c>
      <c r="E18" s="263">
        <v>160.07499999999999</v>
      </c>
      <c r="F18" s="263">
        <v>160</v>
      </c>
      <c r="G18" s="263">
        <v>150.32500000000002</v>
      </c>
      <c r="H18" s="263">
        <v>162.52500000000001</v>
      </c>
      <c r="I18" s="263">
        <v>164.20000000000002</v>
      </c>
      <c r="J18" s="263">
        <v>165.45000000000002</v>
      </c>
      <c r="K18" s="263">
        <v>171.35000000000002</v>
      </c>
      <c r="L18" s="37" t="s">
        <v>28</v>
      </c>
      <c r="M18" s="44" t="s">
        <v>829</v>
      </c>
      <c r="N18" s="24" t="s">
        <v>739</v>
      </c>
    </row>
    <row r="19" spans="1:14" ht="30" x14ac:dyDescent="0.25">
      <c r="A19" s="260" t="s">
        <v>1099</v>
      </c>
      <c r="B19" s="134">
        <v>76.230351852499993</v>
      </c>
      <c r="C19" s="134">
        <v>92.722226000000006</v>
      </c>
      <c r="D19" s="134">
        <v>114.77892500000002</v>
      </c>
      <c r="E19" s="134">
        <v>125.468525</v>
      </c>
      <c r="F19" s="134">
        <v>125.00080000000001</v>
      </c>
      <c r="G19" s="134">
        <v>116.02817500000002</v>
      </c>
      <c r="H19" s="134">
        <v>128.09225000000001</v>
      </c>
      <c r="I19" s="134">
        <v>130.00225</v>
      </c>
      <c r="J19" s="134">
        <v>130.59035</v>
      </c>
      <c r="K19" s="134">
        <v>135.79882500000002</v>
      </c>
      <c r="L19" s="37" t="s">
        <v>28</v>
      </c>
      <c r="M19" s="44" t="s">
        <v>829</v>
      </c>
      <c r="N19" s="24" t="s">
        <v>739</v>
      </c>
    </row>
    <row r="20" spans="1:14" ht="30" x14ac:dyDescent="0.25">
      <c r="A20" s="260" t="s">
        <v>1071</v>
      </c>
      <c r="B20" s="134">
        <v>13.069219841500001</v>
      </c>
      <c r="C20" s="134">
        <v>12.226600000000001</v>
      </c>
      <c r="D20" s="134">
        <v>12.803125000000001</v>
      </c>
      <c r="E20" s="134">
        <v>13.026225</v>
      </c>
      <c r="F20" s="134">
        <v>12.790100000000001</v>
      </c>
      <c r="G20" s="134">
        <v>12.287175000000001</v>
      </c>
      <c r="H20" s="134">
        <v>11.94345</v>
      </c>
      <c r="I20" s="134">
        <v>11.976700000000001</v>
      </c>
      <c r="J20" s="134">
        <v>11.802750000000001</v>
      </c>
      <c r="K20" s="134">
        <v>11.647</v>
      </c>
      <c r="L20" s="37" t="s">
        <v>28</v>
      </c>
      <c r="M20" s="44" t="s">
        <v>829</v>
      </c>
      <c r="N20" s="24" t="s">
        <v>739</v>
      </c>
    </row>
    <row r="21" spans="1:14" ht="30" x14ac:dyDescent="0.25">
      <c r="A21" s="260" t="s">
        <v>1072</v>
      </c>
      <c r="B21" s="144">
        <v>6.3990657352500007</v>
      </c>
      <c r="C21" s="144">
        <v>6.1280749999999999</v>
      </c>
      <c r="D21" s="144">
        <v>6.4321000000000002</v>
      </c>
      <c r="E21" s="144">
        <v>6.8089250000000012</v>
      </c>
      <c r="F21" s="144">
        <v>7.358975</v>
      </c>
      <c r="G21" s="144">
        <v>7.2980000000000009</v>
      </c>
      <c r="H21" s="144">
        <v>7.6786500000000011</v>
      </c>
      <c r="I21" s="144">
        <v>7.4638999999999998</v>
      </c>
      <c r="J21" s="144">
        <v>8.4359999999999999</v>
      </c>
      <c r="K21" s="144">
        <v>9.2641000000000009</v>
      </c>
      <c r="L21" s="37" t="s">
        <v>28</v>
      </c>
      <c r="M21" s="44" t="s">
        <v>829</v>
      </c>
      <c r="N21" s="24" t="s">
        <v>739</v>
      </c>
    </row>
    <row r="22" spans="1:14" ht="30" x14ac:dyDescent="0.25">
      <c r="A22" s="260" t="s">
        <v>1073</v>
      </c>
      <c r="B22" s="144">
        <v>6.6166087640000004</v>
      </c>
      <c r="C22" s="144">
        <v>5.8523500000000004</v>
      </c>
      <c r="D22" s="144">
        <v>6.2609250000000003</v>
      </c>
      <c r="E22" s="144">
        <v>6.4593750000000005</v>
      </c>
      <c r="F22" s="144">
        <v>6.35025</v>
      </c>
      <c r="G22" s="144">
        <v>6.234725000000001</v>
      </c>
      <c r="H22" s="144">
        <v>6.2636750000000001</v>
      </c>
      <c r="I22" s="144">
        <v>6.1611750000000001</v>
      </c>
      <c r="J22" s="144">
        <v>5.963025</v>
      </c>
      <c r="K22" s="144">
        <v>5.8864000000000001</v>
      </c>
      <c r="L22" s="37" t="s">
        <v>28</v>
      </c>
      <c r="M22" s="44" t="s">
        <v>829</v>
      </c>
      <c r="N22" s="24" t="s">
        <v>739</v>
      </c>
    </row>
    <row r="23" spans="1:14" ht="30" x14ac:dyDescent="0.25">
      <c r="A23" s="260" t="s">
        <v>1074</v>
      </c>
      <c r="B23" s="144">
        <v>4.8100000000000005</v>
      </c>
      <c r="C23" s="144">
        <v>4.8025000000000002</v>
      </c>
      <c r="D23" s="144">
        <v>4.8415750000000006</v>
      </c>
      <c r="E23" s="144">
        <v>4.9250000000000007</v>
      </c>
      <c r="F23" s="144">
        <v>5.080725000000001</v>
      </c>
      <c r="G23" s="144">
        <v>4.9855</v>
      </c>
      <c r="H23" s="144">
        <v>5.0119500000000006</v>
      </c>
      <c r="I23" s="144">
        <v>5.0302250000000006</v>
      </c>
      <c r="J23" s="144">
        <v>5.0775000000000006</v>
      </c>
      <c r="K23" s="144">
        <v>5.1075000000000008</v>
      </c>
      <c r="L23" s="37" t="s">
        <v>28</v>
      </c>
      <c r="M23" s="44" t="s">
        <v>829</v>
      </c>
      <c r="N23" s="24" t="s">
        <v>739</v>
      </c>
    </row>
    <row r="24" spans="1:14" ht="30" x14ac:dyDescent="0.25">
      <c r="A24" s="260" t="s">
        <v>1075</v>
      </c>
      <c r="B24" s="144">
        <v>3.38499668</v>
      </c>
      <c r="C24" s="144">
        <v>3.35</v>
      </c>
      <c r="D24" s="144">
        <v>3.35</v>
      </c>
      <c r="E24" s="144">
        <v>3.375</v>
      </c>
      <c r="F24" s="144">
        <v>3.4125000000000001</v>
      </c>
      <c r="G24" s="144">
        <v>3.5</v>
      </c>
      <c r="H24" s="144">
        <v>3.5374499999999998</v>
      </c>
      <c r="I24" s="144">
        <v>3.5546750000000005</v>
      </c>
      <c r="J24" s="144">
        <v>3.5750000000000002</v>
      </c>
      <c r="K24" s="144">
        <v>3.6500000000000004</v>
      </c>
      <c r="L24" s="37" t="s">
        <v>28</v>
      </c>
      <c r="M24" s="44" t="s">
        <v>829</v>
      </c>
      <c r="N24" s="24" t="s">
        <v>739</v>
      </c>
    </row>
    <row r="25" spans="1:14" ht="30" x14ac:dyDescent="0.25">
      <c r="A25" s="260" t="s">
        <v>1076</v>
      </c>
      <c r="B25" s="126">
        <v>0.66380000000000006</v>
      </c>
      <c r="C25" s="126">
        <v>0.68070000000000008</v>
      </c>
      <c r="D25" s="126">
        <v>0.69387500000000002</v>
      </c>
      <c r="E25" s="126">
        <v>0.73940000000000006</v>
      </c>
      <c r="F25" s="126">
        <v>0.77467500000000011</v>
      </c>
      <c r="G25" s="126">
        <v>0.77407500000000007</v>
      </c>
      <c r="H25" s="126">
        <v>0.74304999999999999</v>
      </c>
      <c r="I25" s="126">
        <v>0.73137500000000011</v>
      </c>
      <c r="J25" s="126">
        <v>0.76387500000000008</v>
      </c>
      <c r="K25" s="126">
        <v>0.73260000000000003</v>
      </c>
      <c r="L25" s="37" t="s">
        <v>28</v>
      </c>
      <c r="M25" s="44" t="s">
        <v>829</v>
      </c>
      <c r="N25" s="24" t="s">
        <v>739</v>
      </c>
    </row>
    <row r="26" spans="1:14" x14ac:dyDescent="0.25">
      <c r="A26" s="372" t="s">
        <v>2812</v>
      </c>
      <c r="B26" s="290"/>
      <c r="C26" s="290"/>
      <c r="D26" s="290"/>
      <c r="E26" s="290"/>
      <c r="F26" s="290"/>
      <c r="G26" s="290"/>
      <c r="H26" s="290"/>
      <c r="I26" s="290"/>
      <c r="J26" s="290"/>
      <c r="K26" s="290"/>
      <c r="L26" s="370"/>
      <c r="M26" s="371"/>
      <c r="N26" s="160"/>
    </row>
    <row r="27" spans="1:14" x14ac:dyDescent="0.25">
      <c r="A27" s="268" t="s">
        <v>75</v>
      </c>
      <c r="B27" s="233">
        <v>29.60194174757282</v>
      </c>
      <c r="C27" s="233">
        <v>36.517047524343063</v>
      </c>
      <c r="D27" s="233">
        <v>41.502440788284218</v>
      </c>
      <c r="E27" s="233">
        <v>44.804499196572038</v>
      </c>
      <c r="F27" s="233">
        <v>45.691309512930644</v>
      </c>
      <c r="G27" s="233">
        <v>44.827586206896555</v>
      </c>
      <c r="H27" s="233">
        <v>44.42902974074395</v>
      </c>
      <c r="I27" s="233">
        <v>43.767359649861113</v>
      </c>
      <c r="J27" s="233">
        <v>44.231913627475997</v>
      </c>
      <c r="K27" s="233">
        <v>44.019100032372933</v>
      </c>
      <c r="L27" s="203" t="s">
        <v>79</v>
      </c>
      <c r="M27" s="209"/>
      <c r="N27" s="203"/>
    </row>
    <row r="28" spans="1:14" x14ac:dyDescent="0.25">
      <c r="A28" s="268" t="s">
        <v>1097</v>
      </c>
      <c r="B28" s="245"/>
      <c r="C28" s="217">
        <v>3.8101078532673041E-2</v>
      </c>
      <c r="D28" s="217">
        <v>5.0801438043564053E-2</v>
      </c>
      <c r="E28" s="217">
        <v>0.13788961754681672</v>
      </c>
      <c r="F28" s="217">
        <v>0.25899661716852745</v>
      </c>
      <c r="G28" s="217">
        <v>0.48442799848684293</v>
      </c>
      <c r="H28" s="217">
        <v>0.4399767401987244</v>
      </c>
      <c r="I28" s="217">
        <v>0.47354197604893633</v>
      </c>
      <c r="J28" s="217">
        <v>0.59238105432941657</v>
      </c>
      <c r="K28" s="217">
        <v>0.71620955956060395</v>
      </c>
      <c r="L28" s="203" t="s">
        <v>14</v>
      </c>
      <c r="M28" s="295" t="s">
        <v>802</v>
      </c>
      <c r="N28" s="206"/>
    </row>
    <row r="29" spans="1:14" x14ac:dyDescent="0.25">
      <c r="A29" s="373" t="s">
        <v>78</v>
      </c>
      <c r="B29" s="132"/>
      <c r="C29" s="374">
        <v>3.1492498582966606</v>
      </c>
      <c r="D29" s="374">
        <v>3.9886109301167454</v>
      </c>
      <c r="E29" s="374">
        <v>7.9241183231783596</v>
      </c>
      <c r="F29" s="374">
        <v>14.600766022375872</v>
      </c>
      <c r="G29" s="374">
        <v>27.314258372426526</v>
      </c>
      <c r="H29" s="374">
        <v>23.675417240074562</v>
      </c>
      <c r="I29" s="374">
        <v>21.11731828365825</v>
      </c>
      <c r="J29" s="374">
        <v>23.540703385482001</v>
      </c>
      <c r="K29" s="374">
        <v>27.247627264883523</v>
      </c>
      <c r="L29" s="203" t="s">
        <v>875</v>
      </c>
      <c r="M29" s="84"/>
      <c r="N29" s="84"/>
    </row>
    <row r="30" spans="1:14" x14ac:dyDescent="0.25">
      <c r="A30" s="50"/>
      <c r="B30" s="124"/>
      <c r="C30" s="124"/>
      <c r="D30" s="124"/>
      <c r="E30" s="124"/>
      <c r="F30" s="124"/>
      <c r="G30" s="124"/>
      <c r="H30" s="124"/>
      <c r="I30" s="124"/>
      <c r="J30" s="124"/>
      <c r="K30" s="120"/>
      <c r="L30" s="52"/>
      <c r="M30" s="52"/>
      <c r="N30" s="53"/>
    </row>
    <row r="31" spans="1:14" s="5" customFormat="1" x14ac:dyDescent="0.25">
      <c r="A31" s="56" t="s">
        <v>19</v>
      </c>
      <c r="B31" s="56">
        <v>2008</v>
      </c>
      <c r="C31" s="56">
        <v>2009</v>
      </c>
      <c r="D31" s="56">
        <v>2010</v>
      </c>
      <c r="E31" s="56">
        <v>2011</v>
      </c>
      <c r="F31" s="56">
        <v>2012</v>
      </c>
      <c r="G31" s="56">
        <v>2013</v>
      </c>
      <c r="H31" s="56">
        <v>2014</v>
      </c>
      <c r="I31" s="56">
        <v>2015</v>
      </c>
      <c r="J31" s="56">
        <v>2016</v>
      </c>
      <c r="K31" s="74">
        <v>2017</v>
      </c>
      <c r="L31" s="4" t="s">
        <v>765</v>
      </c>
      <c r="M31" s="28" t="s">
        <v>766</v>
      </c>
      <c r="N31" s="29" t="s">
        <v>58</v>
      </c>
    </row>
    <row r="32" spans="1:14" ht="30" x14ac:dyDescent="0.25">
      <c r="A32" s="61" t="s">
        <v>756</v>
      </c>
      <c r="B32" s="118">
        <v>162.39999999999998</v>
      </c>
      <c r="C32" s="118">
        <v>141.99999999999997</v>
      </c>
      <c r="D32" s="118">
        <v>207.2</v>
      </c>
      <c r="E32" s="118">
        <v>248.79999999999998</v>
      </c>
      <c r="F32" s="118">
        <v>275.59999999999997</v>
      </c>
      <c r="G32" s="118">
        <v>178.39999999999998</v>
      </c>
      <c r="H32" s="118">
        <v>148</v>
      </c>
      <c r="I32" s="118">
        <v>144.39999999999998</v>
      </c>
      <c r="J32" s="118">
        <v>134.39999999999998</v>
      </c>
      <c r="K32" s="118">
        <v>134.39999999999998</v>
      </c>
      <c r="L32" s="64" t="s">
        <v>74</v>
      </c>
      <c r="M32" s="44" t="s">
        <v>752</v>
      </c>
      <c r="N32" s="24" t="s">
        <v>739</v>
      </c>
    </row>
    <row r="33" spans="1:14" ht="30" x14ac:dyDescent="0.25">
      <c r="A33" s="203" t="s">
        <v>776</v>
      </c>
      <c r="B33" s="205">
        <v>1530.0076680000002</v>
      </c>
      <c r="C33" s="205">
        <v>722.01370499999985</v>
      </c>
      <c r="D33" s="205">
        <v>866.19598379999991</v>
      </c>
      <c r="E33" s="205">
        <v>1339.5283271999997</v>
      </c>
      <c r="F33" s="205">
        <v>1236.5724798000001</v>
      </c>
      <c r="G33" s="205">
        <v>1028.6766251999998</v>
      </c>
      <c r="H33" s="205">
        <v>869.28245459999994</v>
      </c>
      <c r="I33" s="205">
        <v>826.29232559999991</v>
      </c>
      <c r="J33" s="205">
        <v>865.31413499999996</v>
      </c>
      <c r="K33" s="205">
        <v>825.19001460000004</v>
      </c>
      <c r="L33" s="203" t="s">
        <v>778</v>
      </c>
      <c r="M33" s="209" t="s">
        <v>777</v>
      </c>
      <c r="N33" s="206" t="s">
        <v>779</v>
      </c>
    </row>
    <row r="34" spans="1:14" x14ac:dyDescent="0.25">
      <c r="A34" s="260" t="s">
        <v>954</v>
      </c>
      <c r="B34" s="205">
        <v>49.104148000000002</v>
      </c>
      <c r="C34" s="205">
        <v>46.640936000000004</v>
      </c>
      <c r="D34" s="205">
        <v>64.529628000000002</v>
      </c>
      <c r="E34" s="205">
        <v>76.651241999999996</v>
      </c>
      <c r="F34" s="205">
        <v>74.155298999999999</v>
      </c>
      <c r="G34" s="205">
        <v>61.927548000000002</v>
      </c>
      <c r="H34" s="205">
        <v>52.95176</v>
      </c>
      <c r="I34" s="205">
        <v>49.339261</v>
      </c>
      <c r="J34" s="205">
        <v>51.304296999999998</v>
      </c>
      <c r="K34" s="205">
        <v>48.465485000000001</v>
      </c>
      <c r="L34" s="203" t="s">
        <v>74</v>
      </c>
      <c r="M34" s="258" t="s">
        <v>748</v>
      </c>
      <c r="N34" s="206" t="s">
        <v>738</v>
      </c>
    </row>
    <row r="35" spans="1:14" x14ac:dyDescent="0.25">
      <c r="A35" s="268" t="s">
        <v>937</v>
      </c>
      <c r="B35" s="205">
        <v>12.37894</v>
      </c>
      <c r="C35" s="205">
        <v>13.166949999999998</v>
      </c>
      <c r="D35" s="205">
        <v>23.781380000000002</v>
      </c>
      <c r="E35" s="205">
        <v>31.21818</v>
      </c>
      <c r="F35" s="205">
        <v>34.449999999999996</v>
      </c>
      <c r="G35" s="205">
        <v>20.698859999999996</v>
      </c>
      <c r="H35" s="205">
        <v>18.9588</v>
      </c>
      <c r="I35" s="205">
        <v>18.771999999999995</v>
      </c>
      <c r="J35" s="205">
        <v>17.48208</v>
      </c>
      <c r="K35" s="205">
        <v>18.275039999999997</v>
      </c>
      <c r="L35" s="203" t="s">
        <v>79</v>
      </c>
      <c r="M35" s="206"/>
      <c r="N35" s="206"/>
    </row>
    <row r="36" spans="1:14" x14ac:dyDescent="0.25">
      <c r="A36" s="203" t="s">
        <v>1091</v>
      </c>
      <c r="B36" s="245"/>
      <c r="C36" s="220">
        <v>2.7509500875871222E-2</v>
      </c>
      <c r="D36" s="220">
        <v>4.4004001604599705E-2</v>
      </c>
      <c r="E36" s="220">
        <v>0.18470704873073512</v>
      </c>
      <c r="F36" s="220">
        <v>0.32026808915189731</v>
      </c>
      <c r="G36" s="220">
        <v>0.49831975863583622</v>
      </c>
      <c r="H36" s="220">
        <v>0.38246406068685362</v>
      </c>
      <c r="I36" s="220">
        <v>0.39128410065869507</v>
      </c>
      <c r="J36" s="220">
        <v>0.512595699617447</v>
      </c>
      <c r="K36" s="220">
        <v>0.59100897691047438</v>
      </c>
      <c r="L36" s="203" t="s">
        <v>79</v>
      </c>
      <c r="M36" s="206"/>
      <c r="N36" s="206"/>
    </row>
    <row r="37" spans="1:14" x14ac:dyDescent="0.25">
      <c r="A37" s="61" t="s">
        <v>85</v>
      </c>
      <c r="B37" s="150"/>
      <c r="C37" s="150"/>
      <c r="D37" s="150"/>
      <c r="E37" s="150"/>
      <c r="F37" s="150"/>
      <c r="G37" s="150"/>
      <c r="H37" s="150"/>
      <c r="I37" s="9" t="s">
        <v>86</v>
      </c>
      <c r="J37" s="129"/>
      <c r="K37" s="83" t="s">
        <v>839</v>
      </c>
      <c r="L37" s="24" t="s">
        <v>87</v>
      </c>
      <c r="M37" s="44" t="s">
        <v>838</v>
      </c>
      <c r="N37" s="24" t="s">
        <v>738</v>
      </c>
    </row>
    <row r="38" spans="1:14" x14ac:dyDescent="0.25">
      <c r="A38" s="61" t="s">
        <v>88</v>
      </c>
      <c r="B38" s="150"/>
      <c r="C38" s="150"/>
      <c r="D38" s="150"/>
      <c r="E38" s="150"/>
      <c r="F38" s="150"/>
      <c r="G38" s="150"/>
      <c r="H38" s="150"/>
      <c r="I38" s="9" t="s">
        <v>1100</v>
      </c>
      <c r="J38" s="129"/>
      <c r="K38" s="386" t="s">
        <v>840</v>
      </c>
      <c r="L38" s="24" t="s">
        <v>87</v>
      </c>
      <c r="M38" s="44" t="s">
        <v>838</v>
      </c>
      <c r="N38" s="24" t="s">
        <v>738</v>
      </c>
    </row>
    <row r="39" spans="1:14" x14ac:dyDescent="0.25">
      <c r="A39" s="61" t="s">
        <v>89</v>
      </c>
      <c r="B39" s="150"/>
      <c r="C39" s="150"/>
      <c r="D39" s="150"/>
      <c r="E39" s="150"/>
      <c r="F39" s="150"/>
      <c r="G39" s="150"/>
      <c r="H39" s="150"/>
      <c r="I39" s="9" t="s">
        <v>90</v>
      </c>
      <c r="J39" s="129"/>
      <c r="K39" s="387"/>
      <c r="L39" s="24" t="s">
        <v>87</v>
      </c>
      <c r="M39" s="44" t="s">
        <v>838</v>
      </c>
      <c r="N39" s="24" t="s">
        <v>738</v>
      </c>
    </row>
    <row r="40" spans="1:14" x14ac:dyDescent="0.25">
      <c r="A40" s="208" t="s">
        <v>91</v>
      </c>
      <c r="B40" s="177"/>
      <c r="C40" s="150"/>
      <c r="D40" s="150"/>
      <c r="E40" s="150"/>
      <c r="F40" s="150"/>
      <c r="G40" s="150"/>
      <c r="H40" s="150"/>
      <c r="I40" s="9" t="s">
        <v>92</v>
      </c>
      <c r="J40" s="129"/>
      <c r="K40" s="83" t="s">
        <v>841</v>
      </c>
      <c r="L40" s="24" t="s">
        <v>87</v>
      </c>
      <c r="M40" s="44" t="s">
        <v>838</v>
      </c>
      <c r="N40" s="24" t="s">
        <v>738</v>
      </c>
    </row>
    <row r="41" spans="1:14" x14ac:dyDescent="0.25">
      <c r="A41" s="50"/>
      <c r="B41" s="124"/>
      <c r="C41" s="124"/>
      <c r="D41" s="124"/>
      <c r="E41" s="124"/>
      <c r="F41" s="124"/>
      <c r="G41" s="124"/>
      <c r="H41" s="124"/>
      <c r="I41" s="124"/>
      <c r="J41" s="124"/>
      <c r="K41" s="120"/>
      <c r="L41" s="52"/>
      <c r="M41" s="52"/>
      <c r="N41" s="53"/>
    </row>
    <row r="42" spans="1:14" s="5" customFormat="1" x14ac:dyDescent="0.25">
      <c r="A42" s="56" t="s">
        <v>119</v>
      </c>
      <c r="B42" s="56">
        <v>2008</v>
      </c>
      <c r="C42" s="56">
        <v>2009</v>
      </c>
      <c r="D42" s="56">
        <v>2010</v>
      </c>
      <c r="E42" s="56">
        <v>2011</v>
      </c>
      <c r="F42" s="56">
        <v>2012</v>
      </c>
      <c r="G42" s="56">
        <v>2013</v>
      </c>
      <c r="H42" s="56">
        <v>2014</v>
      </c>
      <c r="I42" s="56">
        <v>2015</v>
      </c>
      <c r="J42" s="56">
        <v>2016</v>
      </c>
      <c r="K42" s="74">
        <v>2017</v>
      </c>
      <c r="L42" s="4" t="s">
        <v>765</v>
      </c>
      <c r="M42" s="28" t="s">
        <v>766</v>
      </c>
      <c r="N42" s="29" t="s">
        <v>58</v>
      </c>
    </row>
    <row r="43" spans="1:14" x14ac:dyDescent="0.25">
      <c r="A43" s="41" t="s">
        <v>84</v>
      </c>
      <c r="B43" s="9"/>
      <c r="C43" s="9"/>
      <c r="D43" s="9"/>
      <c r="E43" s="9"/>
      <c r="F43" s="9"/>
      <c r="G43" s="9"/>
      <c r="H43" s="9"/>
      <c r="I43" s="9"/>
      <c r="J43" s="9"/>
      <c r="K43" s="83"/>
      <c r="L43" s="24"/>
      <c r="M43" s="24"/>
      <c r="N43" s="24"/>
    </row>
    <row r="44" spans="1:14" ht="30" x14ac:dyDescent="0.25">
      <c r="A44" s="61" t="s">
        <v>951</v>
      </c>
      <c r="B44" s="134">
        <v>4.7391344399999999</v>
      </c>
      <c r="C44" s="134">
        <v>4.4226503944066069</v>
      </c>
      <c r="D44" s="134">
        <v>5.0895233064375009</v>
      </c>
      <c r="E44" s="134" t="s">
        <v>830</v>
      </c>
      <c r="F44" s="134" t="s">
        <v>830</v>
      </c>
      <c r="G44" s="134" t="s">
        <v>830</v>
      </c>
      <c r="H44" s="134">
        <v>5.7309118929775327</v>
      </c>
      <c r="I44" s="134" t="s">
        <v>830</v>
      </c>
      <c r="J44" s="134">
        <v>5.5545123180000004</v>
      </c>
      <c r="K44" s="122"/>
      <c r="L44" s="37" t="s">
        <v>28</v>
      </c>
      <c r="M44" s="44" t="s">
        <v>80</v>
      </c>
      <c r="N44" s="24" t="s">
        <v>822</v>
      </c>
    </row>
    <row r="45" spans="1:14" ht="30" x14ac:dyDescent="0.25">
      <c r="A45" s="61" t="s">
        <v>952</v>
      </c>
      <c r="B45" s="134">
        <v>1.7127652800000002</v>
      </c>
      <c r="C45" s="134">
        <v>1.2926030439337874</v>
      </c>
      <c r="D45" s="134">
        <v>1.7539741586249999</v>
      </c>
      <c r="E45" s="134" t="s">
        <v>831</v>
      </c>
      <c r="F45" s="134" t="s">
        <v>831</v>
      </c>
      <c r="G45" s="134" t="s">
        <v>831</v>
      </c>
      <c r="H45" s="134">
        <v>2.0753131011235957</v>
      </c>
      <c r="I45" s="134" t="s">
        <v>830</v>
      </c>
      <c r="J45" s="134">
        <v>1.8878973442500002</v>
      </c>
      <c r="K45" s="122"/>
      <c r="L45" s="37" t="s">
        <v>28</v>
      </c>
      <c r="M45" s="44" t="s">
        <v>80</v>
      </c>
      <c r="N45" s="24" t="s">
        <v>822</v>
      </c>
    </row>
    <row r="46" spans="1:14" ht="30" x14ac:dyDescent="0.25">
      <c r="A46" s="61" t="s">
        <v>953</v>
      </c>
      <c r="B46" s="134">
        <v>1.5304210949999999</v>
      </c>
      <c r="C46" s="134">
        <v>1.3219878896324102</v>
      </c>
      <c r="D46" s="134">
        <v>1.806068690259375</v>
      </c>
      <c r="E46" s="134" t="s">
        <v>830</v>
      </c>
      <c r="F46" s="134" t="s">
        <v>830</v>
      </c>
      <c r="G46" s="134" t="s">
        <v>830</v>
      </c>
      <c r="H46" s="134">
        <v>2.1842772320224721</v>
      </c>
      <c r="I46" s="134" t="s">
        <v>830</v>
      </c>
      <c r="J46" s="134">
        <v>2.04039514275</v>
      </c>
      <c r="K46" s="122"/>
      <c r="L46" s="37" t="s">
        <v>28</v>
      </c>
      <c r="M46" s="44" t="s">
        <v>80</v>
      </c>
      <c r="N46" s="24" t="s">
        <v>822</v>
      </c>
    </row>
    <row r="47" spans="1:14" x14ac:dyDescent="0.25">
      <c r="A47" s="261"/>
      <c r="B47" s="264"/>
    </row>
    <row r="48" spans="1:14" x14ac:dyDescent="0.25">
      <c r="A48" s="261"/>
      <c r="B48" s="264"/>
    </row>
    <row r="49" spans="1:2" x14ac:dyDescent="0.25">
      <c r="A49" s="261"/>
      <c r="B49" s="264"/>
    </row>
    <row r="50" spans="1:2" x14ac:dyDescent="0.25">
      <c r="A50" s="261"/>
      <c r="B50" s="264"/>
    </row>
    <row r="51" spans="1:2" x14ac:dyDescent="0.25">
      <c r="A51" s="261"/>
      <c r="B51" s="264"/>
    </row>
    <row r="52" spans="1:2" x14ac:dyDescent="0.25">
      <c r="A52" s="261"/>
      <c r="B52" s="264"/>
    </row>
    <row r="53" spans="1:2" x14ac:dyDescent="0.25">
      <c r="A53" s="261"/>
      <c r="B53" s="264"/>
    </row>
    <row r="54" spans="1:2" x14ac:dyDescent="0.25">
      <c r="A54" s="261"/>
      <c r="B54" s="264"/>
    </row>
    <row r="55" spans="1:2" x14ac:dyDescent="0.25">
      <c r="A55" s="261"/>
      <c r="B55" s="264"/>
    </row>
    <row r="56" spans="1:2" x14ac:dyDescent="0.25">
      <c r="A56" s="261"/>
      <c r="B56" s="264"/>
    </row>
    <row r="57" spans="1:2" x14ac:dyDescent="0.25">
      <c r="A57" s="261"/>
      <c r="B57" s="264"/>
    </row>
    <row r="58" spans="1:2" x14ac:dyDescent="0.25">
      <c r="A58" s="261"/>
      <c r="B58" s="264"/>
    </row>
    <row r="59" spans="1:2" x14ac:dyDescent="0.25">
      <c r="A59" s="261"/>
      <c r="B59" s="264"/>
    </row>
    <row r="60" spans="1:2" x14ac:dyDescent="0.25">
      <c r="A60" s="261"/>
      <c r="B60" s="264"/>
    </row>
    <row r="61" spans="1:2" x14ac:dyDescent="0.25">
      <c r="A61" s="261"/>
      <c r="B61" s="264"/>
    </row>
    <row r="62" spans="1:2" x14ac:dyDescent="0.25">
      <c r="A62" s="261"/>
      <c r="B62" s="264"/>
    </row>
    <row r="63" spans="1:2" x14ac:dyDescent="0.25">
      <c r="A63" s="261"/>
      <c r="B63" s="264"/>
    </row>
    <row r="64" spans="1:2" x14ac:dyDescent="0.25">
      <c r="A64" s="261"/>
      <c r="B64" s="264"/>
    </row>
    <row r="65" spans="1:12" x14ac:dyDescent="0.25">
      <c r="A65" s="261"/>
      <c r="B65" s="264"/>
    </row>
    <row r="66" spans="1:12" x14ac:dyDescent="0.25">
      <c r="A66" s="261"/>
      <c r="B66" s="264"/>
    </row>
    <row r="67" spans="1:12" x14ac:dyDescent="0.25">
      <c r="A67" s="261"/>
      <c r="B67" s="264"/>
    </row>
    <row r="68" spans="1:12" x14ac:dyDescent="0.25">
      <c r="A68" s="261"/>
      <c r="B68" s="264"/>
    </row>
    <row r="69" spans="1:12" x14ac:dyDescent="0.25">
      <c r="A69" s="261" t="s">
        <v>1078</v>
      </c>
      <c r="B69" s="264"/>
    </row>
    <row r="70" spans="1:12" x14ac:dyDescent="0.25">
      <c r="A70" s="261" t="s">
        <v>1084</v>
      </c>
      <c r="B70" s="264">
        <v>135.79882500000002</v>
      </c>
      <c r="C70"/>
      <c r="D70"/>
      <c r="E70"/>
      <c r="F70"/>
      <c r="G70"/>
      <c r="H70"/>
      <c r="I70"/>
      <c r="J70"/>
      <c r="K70"/>
      <c r="L70"/>
    </row>
    <row r="71" spans="1:12" customFormat="1" x14ac:dyDescent="0.25">
      <c r="A71" s="261" t="s">
        <v>1079</v>
      </c>
      <c r="B71" s="264">
        <v>11.647</v>
      </c>
    </row>
    <row r="72" spans="1:12" x14ac:dyDescent="0.25">
      <c r="A72" s="261" t="s">
        <v>1080</v>
      </c>
      <c r="B72" s="265">
        <v>9.2641000000000009</v>
      </c>
      <c r="C72"/>
      <c r="D72"/>
      <c r="E72"/>
      <c r="F72"/>
      <c r="G72"/>
      <c r="H72"/>
      <c r="I72"/>
      <c r="J72"/>
      <c r="K72"/>
      <c r="L72"/>
    </row>
    <row r="73" spans="1:12" x14ac:dyDescent="0.25">
      <c r="A73" s="261" t="s">
        <v>812</v>
      </c>
      <c r="B73" s="265">
        <v>5.8864000000000001</v>
      </c>
      <c r="C73"/>
      <c r="D73"/>
      <c r="E73"/>
      <c r="F73"/>
      <c r="G73"/>
      <c r="H73"/>
      <c r="I73"/>
      <c r="J73"/>
      <c r="K73"/>
      <c r="L73"/>
    </row>
    <row r="74" spans="1:12" x14ac:dyDescent="0.25">
      <c r="A74" s="261" t="s">
        <v>1081</v>
      </c>
      <c r="B74" s="265">
        <v>5.1075000000000008</v>
      </c>
      <c r="C74"/>
      <c r="D74"/>
      <c r="E74"/>
      <c r="F74"/>
      <c r="G74"/>
      <c r="H74"/>
      <c r="I74"/>
      <c r="J74"/>
      <c r="K74"/>
      <c r="L74"/>
    </row>
    <row r="75" spans="1:12" x14ac:dyDescent="0.25">
      <c r="A75" s="261" t="s">
        <v>1082</v>
      </c>
      <c r="B75" s="265">
        <v>3.6500000000000004</v>
      </c>
      <c r="C75"/>
      <c r="D75"/>
      <c r="E75" s="200"/>
      <c r="F75"/>
      <c r="G75"/>
      <c r="H75"/>
      <c r="I75"/>
      <c r="J75"/>
      <c r="K75"/>
      <c r="L75"/>
    </row>
    <row r="76" spans="1:12" x14ac:dyDescent="0.25">
      <c r="A76" s="261" t="s">
        <v>1083</v>
      </c>
      <c r="B76" s="266">
        <v>0.73260000000000003</v>
      </c>
      <c r="C76"/>
      <c r="D76"/>
      <c r="E76" s="200"/>
      <c r="F76"/>
      <c r="G76"/>
      <c r="H76"/>
      <c r="I76"/>
      <c r="J76"/>
      <c r="K76"/>
      <c r="L76"/>
    </row>
    <row r="77" spans="1:12" x14ac:dyDescent="0.25">
      <c r="A77" s="280"/>
      <c r="B77" s="280"/>
      <c r="C77"/>
      <c r="D77"/>
      <c r="E77" s="200"/>
      <c r="F77"/>
      <c r="G77"/>
      <c r="H77"/>
      <c r="I77"/>
      <c r="J77"/>
      <c r="K77"/>
      <c r="L77"/>
    </row>
    <row r="78" spans="1:12" x14ac:dyDescent="0.25">
      <c r="A78" s="280"/>
      <c r="B78" s="281"/>
      <c r="C78"/>
      <c r="D78"/>
      <c r="E78" s="200"/>
      <c r="F78"/>
      <c r="G78"/>
      <c r="H78"/>
      <c r="I78"/>
      <c r="J78"/>
      <c r="K78"/>
      <c r="L78"/>
    </row>
    <row r="79" spans="1:12" x14ac:dyDescent="0.25">
      <c r="A79" s="280"/>
      <c r="B79" s="281"/>
      <c r="C79"/>
      <c r="D79"/>
      <c r="E79" s="200"/>
      <c r="F79"/>
      <c r="G79"/>
      <c r="H79"/>
      <c r="I79"/>
      <c r="J79"/>
      <c r="K79"/>
      <c r="L79"/>
    </row>
    <row r="80" spans="1:12" x14ac:dyDescent="0.25">
      <c r="A80" s="280"/>
      <c r="B80" s="281"/>
      <c r="C80"/>
      <c r="D80"/>
      <c r="E80" s="200"/>
      <c r="F80"/>
      <c r="G80"/>
      <c r="H80"/>
      <c r="I80"/>
      <c r="J80"/>
      <c r="K80"/>
      <c r="L80"/>
    </row>
    <row r="81" spans="1:12" x14ac:dyDescent="0.25">
      <c r="A81"/>
      <c r="B81" s="281"/>
      <c r="C81"/>
      <c r="D81"/>
      <c r="E81" s="200"/>
      <c r="F81"/>
      <c r="G81"/>
      <c r="H81"/>
      <c r="I81"/>
      <c r="J81"/>
      <c r="K81"/>
      <c r="L81"/>
    </row>
    <row r="82" spans="1:12" x14ac:dyDescent="0.25">
      <c r="A82"/>
      <c r="B82" s="281"/>
      <c r="C82"/>
      <c r="D82"/>
      <c r="E82" s="200"/>
      <c r="F82"/>
      <c r="G82"/>
      <c r="H82"/>
      <c r="I82"/>
      <c r="J82"/>
      <c r="K82"/>
      <c r="L82"/>
    </row>
    <row r="83" spans="1:12" x14ac:dyDescent="0.25">
      <c r="A83"/>
      <c r="B83" s="281"/>
      <c r="C83"/>
      <c r="D83"/>
      <c r="E83" s="200"/>
      <c r="F83"/>
      <c r="G83"/>
      <c r="H83"/>
      <c r="I83"/>
      <c r="J83"/>
      <c r="K83"/>
      <c r="L83"/>
    </row>
    <row r="84" spans="1:12" x14ac:dyDescent="0.25">
      <c r="A84"/>
      <c r="B84" s="281"/>
      <c r="C84"/>
      <c r="D84"/>
      <c r="E84" s="200"/>
      <c r="F84"/>
      <c r="G84"/>
      <c r="H84"/>
      <c r="I84"/>
      <c r="J84"/>
      <c r="K84"/>
      <c r="L84"/>
    </row>
    <row r="85" spans="1:12" x14ac:dyDescent="0.25">
      <c r="B85" s="281"/>
      <c r="C85" s="199"/>
      <c r="D85" s="199"/>
      <c r="E85" s="199"/>
      <c r="F85" s="199"/>
      <c r="G85" s="199"/>
      <c r="H85" s="199"/>
      <c r="I85" s="199"/>
      <c r="J85" s="199"/>
      <c r="K85" s="199"/>
    </row>
    <row r="86" spans="1:12" x14ac:dyDescent="0.25">
      <c r="B86" s="280"/>
      <c r="C86" s="199"/>
      <c r="D86" s="199"/>
      <c r="E86" s="199"/>
      <c r="F86" s="199"/>
      <c r="G86" s="199"/>
      <c r="H86" s="199"/>
      <c r="I86" s="199"/>
      <c r="J86" s="199"/>
      <c r="K86" s="199"/>
    </row>
    <row r="87" spans="1:12" x14ac:dyDescent="0.25">
      <c r="B87" s="199"/>
      <c r="C87" s="199"/>
      <c r="D87" s="199"/>
      <c r="E87" s="199"/>
      <c r="F87" s="199"/>
      <c r="G87" s="199"/>
      <c r="H87" s="199"/>
      <c r="I87" s="199"/>
      <c r="J87" s="199"/>
      <c r="K87" s="199"/>
    </row>
    <row r="116" spans="5:13" x14ac:dyDescent="0.25">
      <c r="E116"/>
      <c r="F116"/>
      <c r="G116"/>
      <c r="H116"/>
      <c r="I116"/>
      <c r="J116"/>
      <c r="K116"/>
      <c r="L116"/>
      <c r="M116"/>
    </row>
    <row r="117" spans="5:13" x14ac:dyDescent="0.25">
      <c r="E117"/>
      <c r="F117"/>
      <c r="G117"/>
      <c r="H117"/>
      <c r="I117"/>
      <c r="J117"/>
      <c r="K117"/>
      <c r="L117"/>
      <c r="M117"/>
    </row>
    <row r="118" spans="5:13" x14ac:dyDescent="0.25">
      <c r="E118"/>
      <c r="F118"/>
      <c r="G118"/>
      <c r="H118"/>
      <c r="I118"/>
      <c r="J118"/>
      <c r="K118"/>
      <c r="L118"/>
      <c r="M118"/>
    </row>
    <row r="119" spans="5:13" x14ac:dyDescent="0.25">
      <c r="E119"/>
      <c r="F119"/>
      <c r="G119"/>
      <c r="H119"/>
      <c r="I119"/>
      <c r="J119"/>
      <c r="K119"/>
      <c r="L119"/>
      <c r="M119"/>
    </row>
    <row r="120" spans="5:13" x14ac:dyDescent="0.25">
      <c r="E120"/>
      <c r="F120"/>
      <c r="G120"/>
      <c r="H120"/>
      <c r="I120"/>
      <c r="J120"/>
      <c r="K120"/>
      <c r="L120"/>
      <c r="M120"/>
    </row>
    <row r="121" spans="5:13" x14ac:dyDescent="0.25">
      <c r="E121"/>
      <c r="F121"/>
      <c r="G121"/>
      <c r="H121"/>
      <c r="I121"/>
      <c r="J121"/>
      <c r="K121"/>
      <c r="L121"/>
      <c r="M121"/>
    </row>
    <row r="122" spans="5:13" x14ac:dyDescent="0.25">
      <c r="E122"/>
      <c r="F122"/>
      <c r="G122"/>
      <c r="H122"/>
      <c r="I122"/>
      <c r="J122"/>
      <c r="K122"/>
      <c r="L122"/>
      <c r="M122"/>
    </row>
    <row r="123" spans="5:13" x14ac:dyDescent="0.25">
      <c r="E123"/>
      <c r="F123"/>
      <c r="G123"/>
      <c r="H123"/>
      <c r="I123"/>
      <c r="J123"/>
      <c r="K123"/>
      <c r="L123"/>
      <c r="M123"/>
    </row>
    <row r="124" spans="5:13" x14ac:dyDescent="0.25">
      <c r="E124"/>
      <c r="F124"/>
      <c r="G124"/>
      <c r="H124"/>
      <c r="I124"/>
      <c r="J124"/>
      <c r="K124"/>
      <c r="L124"/>
      <c r="M124"/>
    </row>
    <row r="125" spans="5:13" x14ac:dyDescent="0.25">
      <c r="E125"/>
      <c r="F125"/>
      <c r="G125"/>
      <c r="H125"/>
      <c r="I125"/>
      <c r="J125"/>
      <c r="K125"/>
      <c r="L125"/>
      <c r="M125"/>
    </row>
    <row r="126" spans="5:13" x14ac:dyDescent="0.25">
      <c r="E126"/>
      <c r="F126"/>
      <c r="G126"/>
      <c r="H126"/>
      <c r="I126"/>
      <c r="J126"/>
      <c r="K126"/>
      <c r="L126"/>
      <c r="M126"/>
    </row>
  </sheetData>
  <mergeCells count="2">
    <mergeCell ref="A1:A2"/>
    <mergeCell ref="K38:K39"/>
  </mergeCells>
  <hyperlinks>
    <hyperlink ref="M17" r:id="rId1" display="https://www-statista-com.proxy.lib.duke.edu/statistics/269931/global-distribution-of-grain-consumption/" xr:uid="{00000000-0004-0000-0700-000000000000}"/>
    <hyperlink ref="M10" r:id="rId2" location="/app/downloads" xr:uid="{00000000-0004-0000-0700-000003000000}"/>
    <hyperlink ref="M5" r:id="rId3" xr:uid="{00000000-0004-0000-0700-000004000000}"/>
    <hyperlink ref="M4" r:id="rId4" xr:uid="{00000000-0004-0000-0700-000005000000}"/>
    <hyperlink ref="M6" r:id="rId5" location="/app/downloads" xr:uid="{00000000-0004-0000-0700-000006000000}"/>
    <hyperlink ref="M18" r:id="rId6" display="https://www-statista-com.proxy.lib.duke.edu/statistics/269931/global-distribution-of-grain-consumption/" xr:uid="{00000000-0004-0000-0700-000007000000}"/>
    <hyperlink ref="M44" r:id="rId7" xr:uid="{00000000-0004-0000-0700-000009000000}"/>
    <hyperlink ref="M45" r:id="rId8" xr:uid="{00000000-0004-0000-0700-00000A000000}"/>
    <hyperlink ref="M46" r:id="rId9" xr:uid="{00000000-0004-0000-0700-00000B000000}"/>
    <hyperlink ref="M11" r:id="rId10" display="https://www-statista-com.proxy.lib.duke.edu/statistics/269931/global-distribution-of-grain-consumption/" xr:uid="{00000000-0004-0000-0700-00000C000000}"/>
    <hyperlink ref="M32" r:id="rId11" xr:uid="{00000000-0004-0000-0700-00000D000000}"/>
    <hyperlink ref="M12" r:id="rId12" location="/app/downloads" xr:uid="{00000000-0004-0000-0700-00000E000000}"/>
    <hyperlink ref="M13" r:id="rId13" location="/app/downloads" xr:uid="{00000000-0004-0000-0700-00000F000000}"/>
    <hyperlink ref="M14" r:id="rId14" location="/app/downloads" xr:uid="{00000000-0004-0000-0700-000010000000}"/>
    <hyperlink ref="M15" r:id="rId15" location="/app/downloads" xr:uid="{00000000-0004-0000-0700-000011000000}"/>
    <hyperlink ref="M34" r:id="rId16" xr:uid="{BC0634BB-F841-48C8-BDE7-1631DA167723}"/>
    <hyperlink ref="M28" r:id="rId17" xr:uid="{F69F6815-4C69-4584-B2E9-4A6AEB755EDD}"/>
  </hyperlinks>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9002E-1020-4A96-B8BC-D531C6D65CB5}">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activeCell="M16" sqref="M16"/>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7.42578125" style="40" customWidth="1"/>
    <col min="15" max="16384" width="8.85546875" style="40"/>
  </cols>
  <sheetData>
    <row r="1" spans="1:14" x14ac:dyDescent="0.25">
      <c r="A1" s="385" t="s">
        <v>2813</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268" t="s">
        <v>850</v>
      </c>
      <c r="B4" s="205">
        <v>63.616999999999997</v>
      </c>
      <c r="C4" s="205">
        <v>59.017000000000003</v>
      </c>
      <c r="D4" s="205">
        <v>52.62</v>
      </c>
      <c r="E4" s="205">
        <v>54.277000000000001</v>
      </c>
      <c r="F4" s="205">
        <v>55.293999999999997</v>
      </c>
      <c r="G4" s="205">
        <v>56.235999999999997</v>
      </c>
      <c r="H4" s="205">
        <v>56.841000000000001</v>
      </c>
      <c r="I4" s="205">
        <v>54.999000000000002</v>
      </c>
      <c r="J4" s="205">
        <v>50.119</v>
      </c>
      <c r="K4" s="205">
        <v>46.012</v>
      </c>
      <c r="L4" s="203" t="s">
        <v>74</v>
      </c>
      <c r="M4" s="375" t="s">
        <v>746</v>
      </c>
      <c r="N4" s="206"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x14ac:dyDescent="0.25">
      <c r="A7" s="268" t="s">
        <v>747</v>
      </c>
      <c r="B7" s="205">
        <v>68.363</v>
      </c>
      <c r="C7" s="205">
        <v>60.116999999999997</v>
      </c>
      <c r="D7" s="205">
        <v>58.868000000000002</v>
      </c>
      <c r="E7" s="205">
        <v>54.244</v>
      </c>
      <c r="F7" s="205">
        <v>61.298000000000002</v>
      </c>
      <c r="G7" s="205">
        <v>58.104999999999997</v>
      </c>
      <c r="H7" s="205">
        <v>55.146999999999998</v>
      </c>
      <c r="I7" s="205">
        <v>56.116999999999997</v>
      </c>
      <c r="J7" s="205">
        <v>62.832999999999998</v>
      </c>
      <c r="K7" s="205">
        <v>47.371000000000002</v>
      </c>
      <c r="L7" s="203" t="s">
        <v>28</v>
      </c>
      <c r="M7" s="258" t="s">
        <v>65</v>
      </c>
      <c r="N7" s="206" t="s">
        <v>738</v>
      </c>
    </row>
    <row r="8" spans="1:14" x14ac:dyDescent="0.25">
      <c r="A8" s="268" t="s">
        <v>1136</v>
      </c>
      <c r="B8" s="205">
        <v>34.64</v>
      </c>
      <c r="C8" s="205">
        <v>30.728000000000002</v>
      </c>
      <c r="D8" s="205">
        <v>29.423999999999999</v>
      </c>
      <c r="E8" s="205">
        <v>31.992999999999999</v>
      </c>
      <c r="F8" s="205">
        <v>37.81</v>
      </c>
      <c r="G8" s="205">
        <v>34.26</v>
      </c>
      <c r="H8" s="205">
        <v>31.327999999999999</v>
      </c>
      <c r="I8" s="205">
        <v>31.942</v>
      </c>
      <c r="J8" s="205">
        <v>31.753</v>
      </c>
      <c r="K8" s="205">
        <v>29.827999999999999</v>
      </c>
      <c r="L8" s="203" t="s">
        <v>28</v>
      </c>
      <c r="M8" s="258" t="s">
        <v>65</v>
      </c>
      <c r="N8" s="206" t="s">
        <v>1133</v>
      </c>
    </row>
    <row r="9" spans="1:14" x14ac:dyDescent="0.25">
      <c r="A9" s="268" t="s">
        <v>1139</v>
      </c>
      <c r="B9" s="219">
        <v>3.456</v>
      </c>
      <c r="C9" s="219">
        <v>3.2269999999999999</v>
      </c>
      <c r="D9" s="219">
        <v>2.6379999999999999</v>
      </c>
      <c r="E9" s="219">
        <v>3.0790000000000002</v>
      </c>
      <c r="F9" s="219">
        <v>3.383</v>
      </c>
      <c r="G9" s="219">
        <v>4.694</v>
      </c>
      <c r="H9" s="219">
        <v>4.1159999999999997</v>
      </c>
      <c r="I9" s="219">
        <v>3.0680000000000001</v>
      </c>
      <c r="J9" s="219">
        <v>3.2149999999999999</v>
      </c>
      <c r="K9" s="219">
        <v>4.218</v>
      </c>
      <c r="L9" s="203" t="s">
        <v>28</v>
      </c>
      <c r="M9" s="258" t="s">
        <v>65</v>
      </c>
      <c r="N9" s="206" t="s">
        <v>1133</v>
      </c>
    </row>
    <row r="10" spans="1:14" x14ac:dyDescent="0.25">
      <c r="A10" s="268" t="s">
        <v>1142</v>
      </c>
      <c r="B10" s="222">
        <v>27.635000000000002</v>
      </c>
      <c r="C10" s="222">
        <v>23.931000000000001</v>
      </c>
      <c r="D10" s="222">
        <v>35.146999999999998</v>
      </c>
      <c r="E10" s="222">
        <v>28.606000000000002</v>
      </c>
      <c r="F10" s="222">
        <v>27.544</v>
      </c>
      <c r="G10" s="222">
        <v>32.012</v>
      </c>
      <c r="H10" s="222">
        <v>23.523</v>
      </c>
      <c r="I10" s="222">
        <v>21.167999999999999</v>
      </c>
      <c r="J10" s="222">
        <v>28.716000000000001</v>
      </c>
      <c r="K10" s="222">
        <v>24.494</v>
      </c>
      <c r="L10" s="203" t="s">
        <v>28</v>
      </c>
      <c r="M10" s="258" t="s">
        <v>65</v>
      </c>
      <c r="N10" s="206" t="s">
        <v>1133</v>
      </c>
    </row>
    <row r="11" spans="1:14" x14ac:dyDescent="0.25">
      <c r="A11" s="61" t="s">
        <v>836</v>
      </c>
      <c r="B11" s="222">
        <v>8.3230000000000004</v>
      </c>
      <c r="C11" s="222">
        <v>17.867000000000001</v>
      </c>
      <c r="D11" s="222">
        <v>26.552</v>
      </c>
      <c r="E11" s="222">
        <v>23.486999999999998</v>
      </c>
      <c r="F11" s="222">
        <v>20.210999999999999</v>
      </c>
      <c r="G11" s="222">
        <v>19.538</v>
      </c>
      <c r="H11" s="222">
        <v>16.065000000000001</v>
      </c>
      <c r="I11" s="222">
        <v>20.477</v>
      </c>
      <c r="J11" s="222">
        <v>26.552</v>
      </c>
      <c r="K11" s="222">
        <v>32.131</v>
      </c>
      <c r="L11" s="64" t="s">
        <v>28</v>
      </c>
      <c r="M11" s="67" t="s">
        <v>65</v>
      </c>
      <c r="N11" s="24" t="s">
        <v>738</v>
      </c>
    </row>
    <row r="12" spans="1:14" x14ac:dyDescent="0.25">
      <c r="A12" s="61" t="s">
        <v>837</v>
      </c>
      <c r="B12" s="222">
        <v>17.867000000000001</v>
      </c>
      <c r="C12" s="222">
        <v>26.552</v>
      </c>
      <c r="D12" s="222">
        <v>23.486999999999998</v>
      </c>
      <c r="E12" s="222">
        <v>20.210999999999999</v>
      </c>
      <c r="F12" s="222">
        <v>19.538</v>
      </c>
      <c r="G12" s="222">
        <v>16.065000000000001</v>
      </c>
      <c r="H12" s="222">
        <v>20.477</v>
      </c>
      <c r="I12" s="222">
        <v>26.552</v>
      </c>
      <c r="J12" s="222">
        <v>32.131</v>
      </c>
      <c r="K12" s="222">
        <v>29.907</v>
      </c>
      <c r="L12" s="64" t="s">
        <v>28</v>
      </c>
      <c r="M12" s="67" t="s">
        <v>65</v>
      </c>
      <c r="N12" s="24" t="s">
        <v>738</v>
      </c>
    </row>
    <row r="13" spans="1:14" x14ac:dyDescent="0.25">
      <c r="A13" s="50"/>
      <c r="B13" s="124"/>
      <c r="C13" s="124"/>
      <c r="D13" s="124"/>
      <c r="E13" s="124"/>
      <c r="F13" s="124"/>
      <c r="G13" s="124"/>
      <c r="H13" s="124"/>
      <c r="I13" s="124"/>
      <c r="J13" s="124"/>
      <c r="K13" s="120"/>
      <c r="L13" s="52"/>
      <c r="M13" s="52"/>
      <c r="N13" s="53"/>
    </row>
    <row r="14" spans="1:14" s="5" customFormat="1" x14ac:dyDescent="0.25">
      <c r="A14" s="56" t="s">
        <v>19</v>
      </c>
      <c r="B14" s="56">
        <v>2008</v>
      </c>
      <c r="C14" s="56">
        <v>2009</v>
      </c>
      <c r="D14" s="56">
        <v>2010</v>
      </c>
      <c r="E14" s="56">
        <v>2011</v>
      </c>
      <c r="F14" s="56">
        <v>2012</v>
      </c>
      <c r="G14" s="56">
        <v>2013</v>
      </c>
      <c r="H14" s="56">
        <v>2014</v>
      </c>
      <c r="I14" s="56">
        <v>2015</v>
      </c>
      <c r="J14" s="56">
        <v>2016</v>
      </c>
      <c r="K14" s="74">
        <v>2017</v>
      </c>
      <c r="L14" s="4" t="s">
        <v>765</v>
      </c>
      <c r="M14" s="28" t="s">
        <v>766</v>
      </c>
      <c r="N14" s="29" t="s">
        <v>58</v>
      </c>
    </row>
    <row r="15" spans="1:14" ht="30" x14ac:dyDescent="0.25">
      <c r="A15" s="268" t="s">
        <v>758</v>
      </c>
      <c r="B15" s="205">
        <v>251.11111111111111</v>
      </c>
      <c r="C15" s="205">
        <v>180.37037037037038</v>
      </c>
      <c r="D15" s="205">
        <v>211.11111111111111</v>
      </c>
      <c r="E15" s="205">
        <v>268.14814814814815</v>
      </c>
      <c r="F15" s="205">
        <v>287.77777777777777</v>
      </c>
      <c r="G15" s="205">
        <v>254.44444444444446</v>
      </c>
      <c r="H15" s="205">
        <v>221.85185185185188</v>
      </c>
      <c r="I15" s="205">
        <v>181.11111111111111</v>
      </c>
      <c r="J15" s="205">
        <v>144.07407407407408</v>
      </c>
      <c r="K15" s="205">
        <v>170.37037037037035</v>
      </c>
      <c r="L15" s="203" t="s">
        <v>74</v>
      </c>
      <c r="M15" s="376" t="s">
        <v>755</v>
      </c>
      <c r="N15" s="206" t="s">
        <v>762</v>
      </c>
    </row>
    <row r="16" spans="1:14" x14ac:dyDescent="0.25">
      <c r="A16" s="260" t="s">
        <v>2814</v>
      </c>
      <c r="B16" s="205">
        <v>16.701284999999999</v>
      </c>
      <c r="C16" s="205">
        <v>10.607218</v>
      </c>
      <c r="D16" s="205">
        <v>12.579124999999999</v>
      </c>
      <c r="E16" s="205">
        <v>14.269225</v>
      </c>
      <c r="F16" s="205">
        <v>17.383149</v>
      </c>
      <c r="G16" s="205">
        <v>14.604442000000001</v>
      </c>
      <c r="H16" s="205">
        <v>11.914954</v>
      </c>
      <c r="I16" s="205">
        <v>10.018323000000001</v>
      </c>
      <c r="J16" s="205">
        <v>9.1794239999999991</v>
      </c>
      <c r="K16" s="205">
        <v>8.1420650000000006</v>
      </c>
      <c r="L16" s="203" t="s">
        <v>74</v>
      </c>
      <c r="M16" s="258" t="s">
        <v>749</v>
      </c>
      <c r="N16" s="206" t="s">
        <v>738</v>
      </c>
    </row>
    <row r="17" spans="1:2" x14ac:dyDescent="0.25">
      <c r="A17" s="261"/>
      <c r="B17" s="264"/>
    </row>
    <row r="18" spans="1:2" x14ac:dyDescent="0.25">
      <c r="A18" s="261"/>
      <c r="B18" s="264"/>
    </row>
    <row r="19" spans="1:2" x14ac:dyDescent="0.25">
      <c r="A19" s="261"/>
      <c r="B19" s="264"/>
    </row>
    <row r="20" spans="1:2" x14ac:dyDescent="0.25">
      <c r="A20" s="261"/>
      <c r="B20" s="264"/>
    </row>
    <row r="21" spans="1:2" x14ac:dyDescent="0.25">
      <c r="A21" s="261"/>
      <c r="B21" s="264"/>
    </row>
    <row r="22" spans="1:2" x14ac:dyDescent="0.25">
      <c r="A22" s="261"/>
      <c r="B22" s="264"/>
    </row>
    <row r="23" spans="1:2" x14ac:dyDescent="0.25">
      <c r="A23" s="261"/>
      <c r="B23" s="264"/>
    </row>
    <row r="24" spans="1:2" x14ac:dyDescent="0.25">
      <c r="A24" s="261"/>
      <c r="B24" s="264"/>
    </row>
    <row r="25" spans="1:2" x14ac:dyDescent="0.25">
      <c r="A25" s="261"/>
      <c r="B25" s="264"/>
    </row>
    <row r="26" spans="1:2" x14ac:dyDescent="0.25">
      <c r="A26" s="261"/>
      <c r="B26" s="264"/>
    </row>
    <row r="27" spans="1:2" x14ac:dyDescent="0.25">
      <c r="A27" s="261"/>
      <c r="B27" s="264"/>
    </row>
    <row r="28" spans="1:2" x14ac:dyDescent="0.25">
      <c r="A28" s="261"/>
      <c r="B28" s="264"/>
    </row>
    <row r="29" spans="1:2" x14ac:dyDescent="0.25">
      <c r="A29" s="261"/>
      <c r="B29" s="264"/>
    </row>
    <row r="30" spans="1:2" x14ac:dyDescent="0.25">
      <c r="A30" s="261"/>
      <c r="B30" s="264"/>
    </row>
    <row r="31" spans="1:2" x14ac:dyDescent="0.25">
      <c r="A31" s="261"/>
      <c r="B31" s="264"/>
    </row>
    <row r="32" spans="1:2"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t="s">
        <v>1078</v>
      </c>
      <c r="B39" s="264"/>
    </row>
    <row r="40" spans="1:12" x14ac:dyDescent="0.25">
      <c r="A40" s="261" t="s">
        <v>1084</v>
      </c>
      <c r="B40" s="264">
        <v>135.79882500000002</v>
      </c>
      <c r="C40"/>
      <c r="D40"/>
      <c r="E40"/>
      <c r="F40"/>
      <c r="G40"/>
      <c r="H40"/>
      <c r="I40"/>
      <c r="J40"/>
      <c r="K40"/>
      <c r="L40"/>
    </row>
    <row r="41" spans="1:12" customFormat="1" x14ac:dyDescent="0.25">
      <c r="A41" s="261" t="s">
        <v>2815</v>
      </c>
      <c r="B41" s="264">
        <v>11.647</v>
      </c>
    </row>
    <row r="42" spans="1:12" x14ac:dyDescent="0.25">
      <c r="A42" s="261" t="s">
        <v>1080</v>
      </c>
      <c r="B42" s="265">
        <v>9.2641000000000009</v>
      </c>
      <c r="C42"/>
      <c r="D42"/>
      <c r="E42"/>
      <c r="F42"/>
      <c r="G42"/>
      <c r="H42"/>
      <c r="I42"/>
      <c r="J42"/>
      <c r="K42"/>
      <c r="L42"/>
    </row>
    <row r="43" spans="1:12" x14ac:dyDescent="0.25">
      <c r="A43" s="261" t="s">
        <v>812</v>
      </c>
      <c r="B43" s="265">
        <v>5.8864000000000001</v>
      </c>
      <c r="C43"/>
      <c r="D43"/>
      <c r="E43"/>
      <c r="F43"/>
      <c r="G43"/>
      <c r="H43"/>
      <c r="I43"/>
      <c r="J43"/>
      <c r="K43"/>
      <c r="L43"/>
    </row>
    <row r="44" spans="1:12" x14ac:dyDescent="0.25">
      <c r="A44" s="261" t="s">
        <v>1081</v>
      </c>
      <c r="B44" s="265">
        <v>5.1075000000000008</v>
      </c>
      <c r="C44"/>
      <c r="D44"/>
      <c r="E44"/>
      <c r="F44"/>
      <c r="G44"/>
      <c r="H44"/>
      <c r="I44"/>
      <c r="J44"/>
      <c r="K44"/>
      <c r="L44"/>
    </row>
    <row r="45" spans="1:12" x14ac:dyDescent="0.25">
      <c r="A45" s="261" t="s">
        <v>1082</v>
      </c>
      <c r="B45" s="265">
        <v>3.6500000000000004</v>
      </c>
      <c r="C45"/>
      <c r="D45"/>
      <c r="E45" s="200"/>
      <c r="F45"/>
      <c r="G45"/>
      <c r="H45"/>
      <c r="I45"/>
      <c r="J45"/>
      <c r="K45"/>
      <c r="L45"/>
    </row>
    <row r="46" spans="1:12" x14ac:dyDescent="0.25">
      <c r="A46" s="261" t="s">
        <v>1083</v>
      </c>
      <c r="B46" s="266">
        <v>0.73260000000000003</v>
      </c>
      <c r="C46"/>
      <c r="D46"/>
      <c r="E46" s="200"/>
      <c r="F46"/>
      <c r="G46"/>
      <c r="H46"/>
      <c r="I46"/>
      <c r="J46"/>
      <c r="K46"/>
      <c r="L46"/>
    </row>
    <row r="47" spans="1:12" x14ac:dyDescent="0.25">
      <c r="A47" s="280"/>
      <c r="B47" s="280"/>
      <c r="C47"/>
      <c r="D47"/>
      <c r="E47" s="200"/>
      <c r="F47"/>
      <c r="G47"/>
      <c r="H47"/>
      <c r="I47"/>
      <c r="J47"/>
      <c r="K47"/>
      <c r="L47"/>
    </row>
    <row r="48" spans="1:12" x14ac:dyDescent="0.25">
      <c r="A48" s="280"/>
      <c r="B48" s="281"/>
      <c r="C48"/>
      <c r="D48"/>
      <c r="E48" s="200"/>
      <c r="F48"/>
      <c r="G48"/>
      <c r="H48"/>
      <c r="I48"/>
      <c r="J48"/>
      <c r="K48"/>
      <c r="L48"/>
    </row>
    <row r="49" spans="1:12" x14ac:dyDescent="0.25">
      <c r="A49" s="280"/>
      <c r="B49" s="281"/>
      <c r="C49"/>
      <c r="D49"/>
      <c r="E49" s="200"/>
      <c r="F49"/>
      <c r="G49"/>
      <c r="H49"/>
      <c r="I49"/>
      <c r="J49"/>
      <c r="K49"/>
      <c r="L49"/>
    </row>
    <row r="50" spans="1:12" x14ac:dyDescent="0.25">
      <c r="A50" s="280"/>
      <c r="B50" s="281"/>
      <c r="C50"/>
      <c r="D50"/>
      <c r="E50" s="200"/>
      <c r="F50"/>
      <c r="G50"/>
      <c r="H50"/>
      <c r="I50"/>
      <c r="J50"/>
      <c r="K50"/>
      <c r="L50"/>
    </row>
    <row r="51" spans="1:12" x14ac:dyDescent="0.25">
      <c r="A51"/>
      <c r="B51" s="281"/>
      <c r="C51"/>
      <c r="D51"/>
      <c r="E51" s="200"/>
      <c r="F51"/>
      <c r="G51"/>
      <c r="H51"/>
      <c r="I51"/>
      <c r="J51"/>
      <c r="K51"/>
      <c r="L51"/>
    </row>
    <row r="52" spans="1:12" x14ac:dyDescent="0.25">
      <c r="A52"/>
      <c r="B52" s="281"/>
      <c r="C52"/>
      <c r="D52"/>
      <c r="E52" s="200"/>
      <c r="F52"/>
      <c r="G52"/>
      <c r="H52"/>
      <c r="I52"/>
      <c r="J52"/>
      <c r="K52"/>
      <c r="L52"/>
    </row>
    <row r="53" spans="1:12" x14ac:dyDescent="0.25">
      <c r="A53"/>
      <c r="B53" s="281"/>
      <c r="C53"/>
      <c r="D53"/>
      <c r="E53" s="200"/>
      <c r="F53"/>
      <c r="G53"/>
      <c r="H53"/>
      <c r="I53"/>
      <c r="J53"/>
      <c r="K53"/>
      <c r="L53"/>
    </row>
    <row r="54" spans="1:12" x14ac:dyDescent="0.25">
      <c r="A54"/>
      <c r="B54" s="281"/>
      <c r="C54"/>
      <c r="D54"/>
      <c r="E54" s="200"/>
      <c r="F54"/>
      <c r="G54"/>
      <c r="H54"/>
      <c r="I54"/>
      <c r="J54"/>
      <c r="K54"/>
      <c r="L54"/>
    </row>
    <row r="55" spans="1:12" x14ac:dyDescent="0.25">
      <c r="B55" s="281"/>
      <c r="C55" s="199"/>
      <c r="D55" s="199"/>
      <c r="E55" s="199"/>
      <c r="F55" s="199"/>
      <c r="G55" s="199"/>
      <c r="H55" s="199"/>
      <c r="I55" s="199"/>
      <c r="J55" s="199"/>
      <c r="K55" s="199"/>
    </row>
    <row r="56" spans="1:12" x14ac:dyDescent="0.25">
      <c r="B56" s="280"/>
      <c r="C56" s="199"/>
      <c r="D56" s="199"/>
      <c r="E56" s="199"/>
      <c r="F56" s="199"/>
      <c r="G56" s="199"/>
      <c r="H56" s="199"/>
      <c r="I56" s="199"/>
      <c r="J56" s="199"/>
      <c r="K56" s="199"/>
    </row>
    <row r="57" spans="1:12" x14ac:dyDescent="0.25">
      <c r="B57" s="199"/>
      <c r="C57" s="199"/>
      <c r="D57" s="199"/>
      <c r="E57" s="199"/>
      <c r="F57" s="199"/>
      <c r="G57" s="199"/>
      <c r="H57" s="199"/>
      <c r="I57" s="199"/>
      <c r="J57" s="199"/>
      <c r="K57" s="199"/>
    </row>
    <row r="86" spans="5:13" x14ac:dyDescent="0.25">
      <c r="E86"/>
      <c r="F86"/>
      <c r="G86"/>
      <c r="H86"/>
      <c r="I86"/>
      <c r="J86"/>
      <c r="K86"/>
      <c r="L86"/>
      <c r="M86"/>
    </row>
    <row r="87" spans="5:13" x14ac:dyDescent="0.25">
      <c r="E87"/>
      <c r="F87"/>
      <c r="G87"/>
      <c r="H87"/>
      <c r="I87"/>
      <c r="J87"/>
      <c r="K87"/>
      <c r="L87"/>
      <c r="M87"/>
    </row>
    <row r="88" spans="5:13" x14ac:dyDescent="0.25">
      <c r="E88"/>
      <c r="F88"/>
      <c r="G88"/>
      <c r="H88"/>
      <c r="I88"/>
      <c r="J88"/>
      <c r="K88"/>
      <c r="L88"/>
      <c r="M88"/>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sheetData>
  <mergeCells count="1">
    <mergeCell ref="A1:A2"/>
  </mergeCells>
  <hyperlinks>
    <hyperlink ref="M11" r:id="rId1" location="/app/downloads" xr:uid="{E6FC468B-3793-4EE1-B3F7-729E11DBA322}"/>
    <hyperlink ref="M12" r:id="rId2" location="/app/downloads" xr:uid="{3257E1E7-36D5-4D94-868D-B9AC00ACD920}"/>
    <hyperlink ref="M4" r:id="rId3" xr:uid="{B5281E84-5499-44E5-BA51-C97033B53E0C}"/>
    <hyperlink ref="M7" r:id="rId4" location="/app/downloads" xr:uid="{7E4EB30D-0364-4AFD-BCB7-9BA5DE99C79A}"/>
    <hyperlink ref="M8" r:id="rId5" location="/app/downloads" xr:uid="{FB8EDEC9-16C0-4E46-95FB-B65FEBAA38BC}"/>
    <hyperlink ref="M9" r:id="rId6" location="/app/downloads" xr:uid="{43A79085-6F1D-4D54-85B8-26291873D3CF}"/>
    <hyperlink ref="M10" r:id="rId7" location="/app/downloads" xr:uid="{3E3E75C1-B0F3-4029-9AE0-770891BDA957}"/>
    <hyperlink ref="M16" r:id="rId8" xr:uid="{3455D3E1-ACB4-474E-B6ED-58426B3CCDC1}"/>
    <hyperlink ref="M15" r:id="rId9" xr:uid="{9B9AB511-5D1E-4ED1-8A86-42166C5D1E83}"/>
  </hyperlinks>
  <pageMargins left="0.7" right="0.7" top="0.75" bottom="0.75" header="0.3" footer="0.3"/>
  <pageSetup orientation="portrait"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7F15-1D5B-4222-80FF-F0580A8B2D51}">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7.42578125" style="40" customWidth="1"/>
    <col min="15" max="16384" width="8.85546875" style="40"/>
  </cols>
  <sheetData>
    <row r="1" spans="1:14" x14ac:dyDescent="0.25">
      <c r="A1" s="385" t="s">
        <v>2816</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268" t="s">
        <v>848</v>
      </c>
      <c r="B4" s="205">
        <v>4.2389999999999999</v>
      </c>
      <c r="C4" s="205">
        <v>3.5680000000000001</v>
      </c>
      <c r="D4" s="205">
        <v>2.8719999999999999</v>
      </c>
      <c r="E4" s="205">
        <v>2.5640000000000001</v>
      </c>
      <c r="F4" s="205">
        <v>3.66</v>
      </c>
      <c r="G4" s="205">
        <v>3.528</v>
      </c>
      <c r="H4" s="205">
        <v>3.0310000000000001</v>
      </c>
      <c r="I4" s="205">
        <v>3.6230000000000002</v>
      </c>
      <c r="J4" s="205">
        <v>3.0590000000000002</v>
      </c>
      <c r="K4" s="205">
        <v>2.4809999999999999</v>
      </c>
      <c r="L4" s="203" t="s">
        <v>74</v>
      </c>
      <c r="M4" s="375" t="s">
        <v>744</v>
      </c>
      <c r="N4" s="206"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x14ac:dyDescent="0.25">
      <c r="A7" s="268" t="s">
        <v>72</v>
      </c>
      <c r="B7" s="205">
        <v>5.2050000000000001</v>
      </c>
      <c r="C7" s="205">
        <v>4.9340000000000002</v>
      </c>
      <c r="D7" s="205">
        <v>3.9239999999999999</v>
      </c>
      <c r="E7" s="205">
        <v>3.37</v>
      </c>
      <c r="F7" s="205">
        <v>4.7679999999999998</v>
      </c>
      <c r="G7" s="205">
        <v>4.7190000000000003</v>
      </c>
      <c r="H7" s="205">
        <v>3.9529999999999998</v>
      </c>
      <c r="I7" s="205">
        <v>4.75</v>
      </c>
      <c r="J7" s="205">
        <v>4.3529999999999998</v>
      </c>
      <c r="K7" s="205">
        <v>3.09</v>
      </c>
      <c r="L7" s="203" t="s">
        <v>28</v>
      </c>
      <c r="M7" s="258" t="s">
        <v>65</v>
      </c>
      <c r="N7" s="206" t="s">
        <v>738</v>
      </c>
    </row>
    <row r="8" spans="1:14" x14ac:dyDescent="0.25">
      <c r="A8" s="268" t="s">
        <v>1134</v>
      </c>
      <c r="B8" s="205">
        <v>5.1020000000000003</v>
      </c>
      <c r="C8" s="205">
        <v>4.5890000000000004</v>
      </c>
      <c r="D8" s="205">
        <v>4.5359999999999996</v>
      </c>
      <c r="E8" s="205">
        <v>4.17</v>
      </c>
      <c r="F8" s="205">
        <v>4.6379999999999999</v>
      </c>
      <c r="G8" s="205">
        <v>4.7750000000000004</v>
      </c>
      <c r="H8" s="205">
        <v>4.2350000000000003</v>
      </c>
      <c r="I8" s="205">
        <v>4.4080000000000004</v>
      </c>
      <c r="J8" s="205">
        <v>4.375</v>
      </c>
      <c r="K8" s="205">
        <v>4.0720000000000001</v>
      </c>
      <c r="L8" s="206" t="s">
        <v>28</v>
      </c>
      <c r="M8" s="258" t="s">
        <v>65</v>
      </c>
      <c r="N8" s="206" t="s">
        <v>1133</v>
      </c>
    </row>
    <row r="9" spans="1:14" x14ac:dyDescent="0.25">
      <c r="A9" s="268" t="s">
        <v>1137</v>
      </c>
      <c r="B9" s="219">
        <v>0.63200000000000001</v>
      </c>
      <c r="C9" s="219">
        <v>0.36099999999999999</v>
      </c>
      <c r="D9" s="219">
        <v>0.20699999999999999</v>
      </c>
      <c r="E9" s="219">
        <v>0.35399999999999998</v>
      </c>
      <c r="F9" s="219">
        <v>0.50700000000000001</v>
      </c>
      <c r="G9" s="219">
        <v>0.40799999999999997</v>
      </c>
      <c r="H9" s="219">
        <v>0.51300000000000001</v>
      </c>
      <c r="I9" s="219">
        <v>0.40500000000000003</v>
      </c>
      <c r="J9" s="219">
        <v>0.21</v>
      </c>
      <c r="K9" s="219">
        <v>0.218</v>
      </c>
      <c r="L9" s="206" t="s">
        <v>28</v>
      </c>
      <c r="M9" s="258" t="s">
        <v>65</v>
      </c>
      <c r="N9" s="206" t="s">
        <v>1133</v>
      </c>
    </row>
    <row r="10" spans="1:14" x14ac:dyDescent="0.25">
      <c r="A10" s="268" t="s">
        <v>1140</v>
      </c>
      <c r="B10" s="219">
        <v>0.28799999999999998</v>
      </c>
      <c r="C10" s="219">
        <v>0.123</v>
      </c>
      <c r="D10" s="219">
        <v>0.16500000000000001</v>
      </c>
      <c r="E10" s="219">
        <v>0.193</v>
      </c>
      <c r="F10" s="219">
        <v>0.193</v>
      </c>
      <c r="G10" s="219">
        <v>0.311</v>
      </c>
      <c r="H10" s="219">
        <v>0.311</v>
      </c>
      <c r="I10" s="219">
        <v>0.23499999999999999</v>
      </c>
      <c r="J10" s="219">
        <v>9.5000000000000001E-2</v>
      </c>
      <c r="K10" s="219">
        <v>0.13100000000000001</v>
      </c>
      <c r="L10" s="206" t="s">
        <v>28</v>
      </c>
      <c r="M10" s="258" t="s">
        <v>65</v>
      </c>
      <c r="N10" s="206" t="s">
        <v>1133</v>
      </c>
    </row>
    <row r="11" spans="1:14" x14ac:dyDescent="0.25">
      <c r="A11" s="61" t="s">
        <v>836</v>
      </c>
      <c r="B11" s="219">
        <v>1.4850000000000001</v>
      </c>
      <c r="C11" s="219">
        <v>1.9319999999999999</v>
      </c>
      <c r="D11" s="219">
        <v>2.5150000000000001</v>
      </c>
      <c r="E11" s="219">
        <v>1.9450000000000001</v>
      </c>
      <c r="F11" s="219">
        <v>1.306</v>
      </c>
      <c r="G11" s="219">
        <v>1.75</v>
      </c>
      <c r="H11" s="219">
        <v>1.7909999999999999</v>
      </c>
      <c r="I11" s="219">
        <v>1.7110000000000001</v>
      </c>
      <c r="J11" s="219">
        <v>2.2229999999999999</v>
      </c>
      <c r="K11" s="219">
        <v>2.3159999999999998</v>
      </c>
      <c r="L11" s="64" t="s">
        <v>28</v>
      </c>
      <c r="M11" s="67" t="s">
        <v>65</v>
      </c>
      <c r="N11" s="24" t="s">
        <v>738</v>
      </c>
    </row>
    <row r="12" spans="1:14" x14ac:dyDescent="0.25">
      <c r="A12" s="61" t="s">
        <v>837</v>
      </c>
      <c r="B12" s="219">
        <v>1.9319999999999999</v>
      </c>
      <c r="C12" s="219">
        <v>2.5150000000000001</v>
      </c>
      <c r="D12" s="219">
        <v>1.9450000000000001</v>
      </c>
      <c r="E12" s="219">
        <v>1.306</v>
      </c>
      <c r="F12" s="219">
        <v>1.75</v>
      </c>
      <c r="G12" s="219">
        <v>1.7909999999999999</v>
      </c>
      <c r="H12" s="219">
        <v>1.7110000000000001</v>
      </c>
      <c r="I12" s="219">
        <v>2.2229999999999999</v>
      </c>
      <c r="J12" s="219">
        <v>2.3159999999999998</v>
      </c>
      <c r="K12" s="219">
        <v>2.0569999999999999</v>
      </c>
      <c r="L12" s="64" t="s">
        <v>28</v>
      </c>
      <c r="M12" s="67" t="s">
        <v>65</v>
      </c>
      <c r="N12" s="24" t="s">
        <v>738</v>
      </c>
    </row>
    <row r="13" spans="1:14" x14ac:dyDescent="0.25">
      <c r="A13" s="50"/>
      <c r="B13" s="124"/>
      <c r="C13" s="124"/>
      <c r="D13" s="124"/>
      <c r="E13" s="124"/>
      <c r="F13" s="124"/>
      <c r="G13" s="124"/>
      <c r="H13" s="124"/>
      <c r="I13" s="124"/>
      <c r="J13" s="124"/>
      <c r="K13" s="120"/>
      <c r="L13" s="52"/>
      <c r="M13" s="52"/>
      <c r="N13" s="53"/>
    </row>
    <row r="14" spans="1:14" s="5" customFormat="1" x14ac:dyDescent="0.25">
      <c r="A14" s="56" t="s">
        <v>19</v>
      </c>
      <c r="B14" s="56">
        <v>2008</v>
      </c>
      <c r="C14" s="56">
        <v>2009</v>
      </c>
      <c r="D14" s="56">
        <v>2010</v>
      </c>
      <c r="E14" s="56">
        <v>2011</v>
      </c>
      <c r="F14" s="56">
        <v>2012</v>
      </c>
      <c r="G14" s="56">
        <v>2013</v>
      </c>
      <c r="H14" s="56">
        <v>2014</v>
      </c>
      <c r="I14" s="56">
        <v>2015</v>
      </c>
      <c r="J14" s="56">
        <v>2016</v>
      </c>
      <c r="K14" s="74">
        <v>2017</v>
      </c>
      <c r="L14" s="4" t="s">
        <v>765</v>
      </c>
      <c r="M14" s="28" t="s">
        <v>766</v>
      </c>
      <c r="N14" s="29" t="s">
        <v>58</v>
      </c>
    </row>
    <row r="15" spans="1:14" ht="30" x14ac:dyDescent="0.25">
      <c r="A15" s="268" t="s">
        <v>757</v>
      </c>
      <c r="B15" s="205">
        <v>255.71428571428569</v>
      </c>
      <c r="C15" s="205">
        <v>221.9047619047619</v>
      </c>
      <c r="D15" s="205">
        <v>183.8095238095238</v>
      </c>
      <c r="E15" s="205">
        <v>254.76190476190473</v>
      </c>
      <c r="F15" s="205">
        <v>306.19047619047615</v>
      </c>
      <c r="G15" s="205">
        <v>288.57142857142856</v>
      </c>
      <c r="H15" s="205">
        <v>252.38095238095235</v>
      </c>
      <c r="I15" s="205">
        <v>262.85714285714283</v>
      </c>
      <c r="J15" s="205">
        <v>236.19047619047618</v>
      </c>
      <c r="K15" s="205">
        <v>211.9047619047619</v>
      </c>
      <c r="L15" s="203" t="s">
        <v>74</v>
      </c>
      <c r="M15" s="376" t="s">
        <v>753</v>
      </c>
      <c r="N15" s="206" t="s">
        <v>759</v>
      </c>
    </row>
    <row r="16" spans="1:14" x14ac:dyDescent="0.25">
      <c r="A16" s="260" t="s">
        <v>2817</v>
      </c>
      <c r="B16" s="204">
        <v>1.253452</v>
      </c>
      <c r="C16" s="204">
        <v>0.96867599999999998</v>
      </c>
      <c r="D16" s="204">
        <v>0.69157299999999999</v>
      </c>
      <c r="E16" s="204">
        <v>0.80874100000000004</v>
      </c>
      <c r="F16" s="204">
        <v>1.371381</v>
      </c>
      <c r="G16" s="204">
        <v>1.265798</v>
      </c>
      <c r="H16" s="204">
        <v>0.91495499999999996</v>
      </c>
      <c r="I16" s="204">
        <v>1.149831</v>
      </c>
      <c r="J16" s="204">
        <v>0.94987600000000005</v>
      </c>
      <c r="K16" s="204">
        <v>0.61425600000000002</v>
      </c>
      <c r="L16" s="203" t="s">
        <v>74</v>
      </c>
      <c r="M16" s="258" t="s">
        <v>750</v>
      </c>
      <c r="N16" s="206" t="s">
        <v>738</v>
      </c>
    </row>
    <row r="17" spans="1:2" x14ac:dyDescent="0.25">
      <c r="A17" s="261"/>
      <c r="B17" s="264"/>
    </row>
    <row r="18" spans="1:2" x14ac:dyDescent="0.25">
      <c r="A18" s="261"/>
      <c r="B18" s="264"/>
    </row>
    <row r="19" spans="1:2" x14ac:dyDescent="0.25">
      <c r="A19" s="261"/>
      <c r="B19" s="264"/>
    </row>
    <row r="20" spans="1:2" x14ac:dyDescent="0.25">
      <c r="A20" s="261"/>
      <c r="B20" s="264"/>
    </row>
    <row r="21" spans="1:2" x14ac:dyDescent="0.25">
      <c r="A21" s="261"/>
      <c r="B21" s="264"/>
    </row>
    <row r="22" spans="1:2" x14ac:dyDescent="0.25">
      <c r="A22" s="261"/>
      <c r="B22" s="264"/>
    </row>
    <row r="23" spans="1:2" x14ac:dyDescent="0.25">
      <c r="A23" s="261"/>
      <c r="B23" s="264"/>
    </row>
    <row r="24" spans="1:2" x14ac:dyDescent="0.25">
      <c r="A24" s="261"/>
      <c r="B24" s="264"/>
    </row>
    <row r="25" spans="1:2" x14ac:dyDescent="0.25">
      <c r="A25" s="261"/>
      <c r="B25" s="264"/>
    </row>
    <row r="26" spans="1:2" x14ac:dyDescent="0.25">
      <c r="A26" s="261"/>
      <c r="B26" s="264"/>
    </row>
    <row r="27" spans="1:2" x14ac:dyDescent="0.25">
      <c r="A27" s="261"/>
      <c r="B27" s="264"/>
    </row>
    <row r="28" spans="1:2" x14ac:dyDescent="0.25">
      <c r="A28" s="261"/>
      <c r="B28" s="264"/>
    </row>
    <row r="29" spans="1:2" x14ac:dyDescent="0.25">
      <c r="A29" s="261"/>
      <c r="B29" s="264"/>
    </row>
    <row r="30" spans="1:2" x14ac:dyDescent="0.25">
      <c r="A30" s="261"/>
      <c r="B30" s="264"/>
    </row>
    <row r="31" spans="1:2" x14ac:dyDescent="0.25">
      <c r="A31" s="261"/>
      <c r="B31" s="264"/>
    </row>
    <row r="32" spans="1:2"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t="s">
        <v>1078</v>
      </c>
      <c r="B39" s="264"/>
    </row>
    <row r="40" spans="1:12" x14ac:dyDescent="0.25">
      <c r="A40" s="261" t="s">
        <v>1084</v>
      </c>
      <c r="B40" s="264">
        <v>135.79882500000002</v>
      </c>
      <c r="C40"/>
      <c r="D40"/>
      <c r="E40"/>
      <c r="F40"/>
      <c r="G40"/>
      <c r="H40"/>
      <c r="I40"/>
      <c r="J40"/>
      <c r="K40"/>
      <c r="L40"/>
    </row>
    <row r="41" spans="1:12" customFormat="1" x14ac:dyDescent="0.25">
      <c r="A41" s="261" t="s">
        <v>2815</v>
      </c>
      <c r="B41" s="264">
        <v>11.647</v>
      </c>
    </row>
    <row r="42" spans="1:12" x14ac:dyDescent="0.25">
      <c r="A42" s="261" t="s">
        <v>1080</v>
      </c>
      <c r="B42" s="265">
        <v>9.2641000000000009</v>
      </c>
      <c r="C42"/>
      <c r="D42"/>
      <c r="E42"/>
      <c r="F42"/>
      <c r="G42"/>
      <c r="H42"/>
      <c r="I42"/>
      <c r="J42"/>
      <c r="K42"/>
      <c r="L42"/>
    </row>
    <row r="43" spans="1:12" x14ac:dyDescent="0.25">
      <c r="A43" s="261" t="s">
        <v>812</v>
      </c>
      <c r="B43" s="265">
        <v>5.8864000000000001</v>
      </c>
      <c r="C43"/>
      <c r="D43"/>
      <c r="E43"/>
      <c r="F43"/>
      <c r="G43"/>
      <c r="H43"/>
      <c r="I43"/>
      <c r="J43"/>
      <c r="K43"/>
      <c r="L43"/>
    </row>
    <row r="44" spans="1:12" x14ac:dyDescent="0.25">
      <c r="A44" s="261" t="s">
        <v>1081</v>
      </c>
      <c r="B44" s="265">
        <v>5.1075000000000008</v>
      </c>
      <c r="C44"/>
      <c r="D44"/>
      <c r="E44"/>
      <c r="F44"/>
      <c r="G44"/>
      <c r="H44"/>
      <c r="I44"/>
      <c r="J44"/>
      <c r="K44"/>
      <c r="L44"/>
    </row>
    <row r="45" spans="1:12" x14ac:dyDescent="0.25">
      <c r="A45" s="261" t="s">
        <v>1082</v>
      </c>
      <c r="B45" s="265">
        <v>3.6500000000000004</v>
      </c>
      <c r="C45"/>
      <c r="D45"/>
      <c r="E45" s="200"/>
      <c r="F45"/>
      <c r="G45"/>
      <c r="H45"/>
      <c r="I45"/>
      <c r="J45"/>
      <c r="K45"/>
      <c r="L45"/>
    </row>
    <row r="46" spans="1:12" x14ac:dyDescent="0.25">
      <c r="A46" s="261" t="s">
        <v>1083</v>
      </c>
      <c r="B46" s="266">
        <v>0.73260000000000003</v>
      </c>
      <c r="C46"/>
      <c r="D46"/>
      <c r="E46" s="200"/>
      <c r="F46"/>
      <c r="G46"/>
      <c r="H46"/>
      <c r="I46"/>
      <c r="J46"/>
      <c r="K46"/>
      <c r="L46"/>
    </row>
    <row r="47" spans="1:12" x14ac:dyDescent="0.25">
      <c r="A47" s="280"/>
      <c r="B47" s="280"/>
      <c r="C47"/>
      <c r="D47"/>
      <c r="E47" s="200"/>
      <c r="F47"/>
      <c r="G47"/>
      <c r="H47"/>
      <c r="I47"/>
      <c r="J47"/>
      <c r="K47"/>
      <c r="L47"/>
    </row>
    <row r="48" spans="1:12" x14ac:dyDescent="0.25">
      <c r="A48" s="280"/>
      <c r="B48" s="281"/>
      <c r="C48"/>
      <c r="D48"/>
      <c r="E48" s="200"/>
      <c r="F48"/>
      <c r="G48"/>
      <c r="H48"/>
      <c r="I48"/>
      <c r="J48"/>
      <c r="K48"/>
      <c r="L48"/>
    </row>
    <row r="49" spans="1:12" x14ac:dyDescent="0.25">
      <c r="A49" s="280"/>
      <c r="B49" s="281"/>
      <c r="C49"/>
      <c r="D49"/>
      <c r="E49" s="200"/>
      <c r="F49"/>
      <c r="G49"/>
      <c r="H49"/>
      <c r="I49"/>
      <c r="J49"/>
      <c r="K49"/>
      <c r="L49"/>
    </row>
    <row r="50" spans="1:12" x14ac:dyDescent="0.25">
      <c r="A50" s="280"/>
      <c r="B50" s="281"/>
      <c r="C50"/>
      <c r="D50"/>
      <c r="E50" s="200"/>
      <c r="F50"/>
      <c r="G50"/>
      <c r="H50"/>
      <c r="I50"/>
      <c r="J50"/>
      <c r="K50"/>
      <c r="L50"/>
    </row>
    <row r="51" spans="1:12" x14ac:dyDescent="0.25">
      <c r="A51"/>
      <c r="B51" s="281"/>
      <c r="C51"/>
      <c r="D51"/>
      <c r="E51" s="200"/>
      <c r="F51"/>
      <c r="G51"/>
      <c r="H51"/>
      <c r="I51"/>
      <c r="J51"/>
      <c r="K51"/>
      <c r="L51"/>
    </row>
    <row r="52" spans="1:12" x14ac:dyDescent="0.25">
      <c r="A52"/>
      <c r="B52" s="281"/>
      <c r="C52"/>
      <c r="D52"/>
      <c r="E52" s="200"/>
      <c r="F52"/>
      <c r="G52"/>
      <c r="H52"/>
      <c r="I52"/>
      <c r="J52"/>
      <c r="K52"/>
      <c r="L52"/>
    </row>
    <row r="53" spans="1:12" x14ac:dyDescent="0.25">
      <c r="A53"/>
      <c r="B53" s="281"/>
      <c r="C53"/>
      <c r="D53"/>
      <c r="E53" s="200"/>
      <c r="F53"/>
      <c r="G53"/>
      <c r="H53"/>
      <c r="I53"/>
      <c r="J53"/>
      <c r="K53"/>
      <c r="L53"/>
    </row>
    <row r="54" spans="1:12" x14ac:dyDescent="0.25">
      <c r="A54"/>
      <c r="B54" s="281"/>
      <c r="C54"/>
      <c r="D54"/>
      <c r="E54" s="200"/>
      <c r="F54"/>
      <c r="G54"/>
      <c r="H54"/>
      <c r="I54"/>
      <c r="J54"/>
      <c r="K54"/>
      <c r="L54"/>
    </row>
    <row r="55" spans="1:12" x14ac:dyDescent="0.25">
      <c r="B55" s="281"/>
      <c r="C55" s="199"/>
      <c r="D55" s="199"/>
      <c r="E55" s="199"/>
      <c r="F55" s="199"/>
      <c r="G55" s="199"/>
      <c r="H55" s="199"/>
      <c r="I55" s="199"/>
      <c r="J55" s="199"/>
      <c r="K55" s="199"/>
    </row>
    <row r="56" spans="1:12" x14ac:dyDescent="0.25">
      <c r="B56" s="280"/>
      <c r="C56" s="199"/>
      <c r="D56" s="199"/>
      <c r="E56" s="199"/>
      <c r="F56" s="199"/>
      <c r="G56" s="199"/>
      <c r="H56" s="199"/>
      <c r="I56" s="199"/>
      <c r="J56" s="199"/>
      <c r="K56" s="199"/>
    </row>
    <row r="57" spans="1:12" x14ac:dyDescent="0.25">
      <c r="B57" s="199"/>
      <c r="C57" s="199"/>
      <c r="D57" s="199"/>
      <c r="E57" s="199"/>
      <c r="F57" s="199"/>
      <c r="G57" s="199"/>
      <c r="H57" s="199"/>
      <c r="I57" s="199"/>
      <c r="J57" s="199"/>
      <c r="K57" s="199"/>
    </row>
    <row r="86" spans="5:13" x14ac:dyDescent="0.25">
      <c r="E86"/>
      <c r="F86"/>
      <c r="G86"/>
      <c r="H86"/>
      <c r="I86"/>
      <c r="J86"/>
      <c r="K86"/>
      <c r="L86"/>
      <c r="M86"/>
    </row>
    <row r="87" spans="5:13" x14ac:dyDescent="0.25">
      <c r="E87"/>
      <c r="F87"/>
      <c r="G87"/>
      <c r="H87"/>
      <c r="I87"/>
      <c r="J87"/>
      <c r="K87"/>
      <c r="L87"/>
      <c r="M87"/>
    </row>
    <row r="88" spans="5:13" x14ac:dyDescent="0.25">
      <c r="E88"/>
      <c r="F88"/>
      <c r="G88"/>
      <c r="H88"/>
      <c r="I88"/>
      <c r="J88"/>
      <c r="K88"/>
      <c r="L88"/>
      <c r="M88"/>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sheetData>
  <mergeCells count="1">
    <mergeCell ref="A1:A2"/>
  </mergeCells>
  <hyperlinks>
    <hyperlink ref="M11" r:id="rId1" location="/app/downloads" xr:uid="{2AB049DB-B01A-46E4-9EF9-1CA9A0D3A597}"/>
    <hyperlink ref="M12" r:id="rId2" location="/app/downloads" xr:uid="{8EA4889C-5B1F-41C4-B1A2-A991B7B9EB68}"/>
    <hyperlink ref="M4" r:id="rId3" xr:uid="{89097EFB-5F10-47BB-98A3-096F713A0559}"/>
    <hyperlink ref="M7" r:id="rId4" location="/app/downloads" xr:uid="{37A7DB99-BF14-4169-A42D-89BDFB52C7A7}"/>
    <hyperlink ref="M8" r:id="rId5" location="/app/downloads" xr:uid="{C34D14F3-A64B-4217-B707-DD9B675D72E7}"/>
    <hyperlink ref="M9" r:id="rId6" location="/app/downloads" xr:uid="{EF2BDFA4-BECD-4087-A5F1-35380D7276CC}"/>
    <hyperlink ref="M10" r:id="rId7" location="/app/downloads" xr:uid="{27621660-6620-428D-B2AB-45A98BE18A14}"/>
    <hyperlink ref="M15" r:id="rId8" xr:uid="{743BABF1-6EFC-48F9-A770-46C34C2327B5}"/>
    <hyperlink ref="M16" r:id="rId9" xr:uid="{84F1BD94-1F32-4E29-ABF6-312550B5CF37}"/>
  </hyperlinks>
  <pageMargins left="0.7" right="0.7" top="0.75" bottom="0.75" header="0.3" footer="0.3"/>
  <pageSetup orientation="portrait" r:id="rId10"/>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2DCD-6852-4101-8A8A-8CC238420036}">
  <sheetPr>
    <tabColor rgb="FF00441B"/>
  </sheetPr>
  <dimension ref="A1:N96"/>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7.42578125" style="40" customWidth="1"/>
    <col min="15" max="16384" width="8.85546875" style="40"/>
  </cols>
  <sheetData>
    <row r="1" spans="1:14" x14ac:dyDescent="0.25">
      <c r="A1" s="385" t="s">
        <v>2818</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268" t="s">
        <v>849</v>
      </c>
      <c r="B4" s="205">
        <v>8.4039999999999999</v>
      </c>
      <c r="C4" s="205">
        <v>6.5990000000000002</v>
      </c>
      <c r="D4" s="205">
        <v>5.3689999999999998</v>
      </c>
      <c r="E4" s="205">
        <v>5.4509999999999996</v>
      </c>
      <c r="F4" s="205">
        <v>6.2590000000000003</v>
      </c>
      <c r="G4" s="205">
        <v>8.0760000000000005</v>
      </c>
      <c r="H4" s="205">
        <v>7.1379999999999999</v>
      </c>
      <c r="I4" s="205">
        <v>8.4589999999999996</v>
      </c>
      <c r="J4" s="205">
        <v>6.69</v>
      </c>
      <c r="K4" s="205">
        <v>5.6260000000000003</v>
      </c>
      <c r="L4" s="203" t="s">
        <v>74</v>
      </c>
      <c r="M4" s="375" t="s">
        <v>745</v>
      </c>
      <c r="N4" s="206"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x14ac:dyDescent="0.25">
      <c r="A7" s="268" t="s">
        <v>73</v>
      </c>
      <c r="B7" s="205">
        <v>12.087</v>
      </c>
      <c r="C7" s="205">
        <v>9.6929999999999996</v>
      </c>
      <c r="D7" s="205">
        <v>8.7750000000000004</v>
      </c>
      <c r="E7" s="205">
        <v>5.41</v>
      </c>
      <c r="F7" s="205">
        <v>6.2930000000000001</v>
      </c>
      <c r="G7" s="205">
        <v>9.9659999999999993</v>
      </c>
      <c r="H7" s="205">
        <v>10.988</v>
      </c>
      <c r="I7" s="205">
        <v>15.157999999999999</v>
      </c>
      <c r="J7" s="205">
        <v>12.199</v>
      </c>
      <c r="K7" s="205">
        <v>9.2420000000000009</v>
      </c>
      <c r="L7" s="203" t="s">
        <v>28</v>
      </c>
      <c r="M7" s="258" t="s">
        <v>65</v>
      </c>
      <c r="N7" s="206" t="s">
        <v>738</v>
      </c>
    </row>
    <row r="8" spans="1:14" x14ac:dyDescent="0.25">
      <c r="A8" s="268" t="s">
        <v>1135</v>
      </c>
      <c r="B8" s="205">
        <v>8.4079999999999995</v>
      </c>
      <c r="C8" s="205">
        <v>5.8659999999999997</v>
      </c>
      <c r="D8" s="205">
        <v>5.2770000000000001</v>
      </c>
      <c r="E8" s="205">
        <v>3.9159999999999999</v>
      </c>
      <c r="F8" s="205">
        <v>4.7960000000000003</v>
      </c>
      <c r="G8" s="205">
        <v>4.13</v>
      </c>
      <c r="H8" s="205">
        <v>2.4590000000000001</v>
      </c>
      <c r="I8" s="205">
        <v>6.1870000000000003</v>
      </c>
      <c r="J8" s="205">
        <v>6.2119999999999997</v>
      </c>
      <c r="K8" s="205">
        <v>3.5569999999999999</v>
      </c>
      <c r="L8" s="203" t="s">
        <v>28</v>
      </c>
      <c r="M8" s="258" t="s">
        <v>65</v>
      </c>
      <c r="N8" s="206" t="s">
        <v>1133</v>
      </c>
    </row>
    <row r="9" spans="1:14" x14ac:dyDescent="0.25">
      <c r="A9" s="268" t="s">
        <v>1138</v>
      </c>
      <c r="B9" s="215">
        <v>3.0000000000000001E-3</v>
      </c>
      <c r="C9" s="215">
        <v>0</v>
      </c>
      <c r="D9" s="215">
        <v>1E-3</v>
      </c>
      <c r="E9" s="215">
        <v>3.0000000000000001E-3</v>
      </c>
      <c r="F9" s="215">
        <v>0.24299999999999999</v>
      </c>
      <c r="G9" s="215">
        <v>2E-3</v>
      </c>
      <c r="H9" s="215">
        <v>0.01</v>
      </c>
      <c r="I9" s="215">
        <v>0.11700000000000001</v>
      </c>
      <c r="J9" s="215">
        <v>4.3999999999999997E-2</v>
      </c>
      <c r="K9" s="215">
        <v>5.0999999999999997E-2</v>
      </c>
      <c r="L9" s="203" t="s">
        <v>28</v>
      </c>
      <c r="M9" s="258" t="s">
        <v>65</v>
      </c>
      <c r="N9" s="206" t="s">
        <v>1133</v>
      </c>
    </row>
    <row r="10" spans="1:14" x14ac:dyDescent="0.25">
      <c r="A10" s="268" t="s">
        <v>1141</v>
      </c>
      <c r="B10" s="222">
        <v>3.6320000000000001</v>
      </c>
      <c r="C10" s="222">
        <v>4.1689999999999996</v>
      </c>
      <c r="D10" s="222">
        <v>3.85</v>
      </c>
      <c r="E10" s="222">
        <v>1.611</v>
      </c>
      <c r="F10" s="222">
        <v>1.9379999999999999</v>
      </c>
      <c r="G10" s="222">
        <v>5.359</v>
      </c>
      <c r="H10" s="222">
        <v>8.9350000000000005</v>
      </c>
      <c r="I10" s="222">
        <v>8.6259999999999994</v>
      </c>
      <c r="J10" s="222">
        <v>6.1109999999999998</v>
      </c>
      <c r="K10" s="222">
        <v>5.8419999999999996</v>
      </c>
      <c r="L10" s="203" t="s">
        <v>28</v>
      </c>
      <c r="M10" s="258" t="s">
        <v>65</v>
      </c>
      <c r="N10" s="206" t="s">
        <v>1133</v>
      </c>
    </row>
    <row r="11" spans="1:14" x14ac:dyDescent="0.25">
      <c r="A11" s="61" t="s">
        <v>836</v>
      </c>
      <c r="B11" s="219">
        <v>1.34</v>
      </c>
      <c r="C11" s="219">
        <v>1.39</v>
      </c>
      <c r="D11" s="219">
        <v>1.048</v>
      </c>
      <c r="E11" s="219">
        <v>0.69699999999999995</v>
      </c>
      <c r="F11" s="219">
        <v>0.58299999999999996</v>
      </c>
      <c r="G11" s="219">
        <v>0.38500000000000001</v>
      </c>
      <c r="H11" s="219">
        <v>0.86399999999999999</v>
      </c>
      <c r="I11" s="219">
        <v>0.46800000000000003</v>
      </c>
      <c r="J11" s="219">
        <v>0.93</v>
      </c>
      <c r="K11" s="219">
        <v>0.85</v>
      </c>
      <c r="L11" s="64" t="s">
        <v>28</v>
      </c>
      <c r="M11" s="67" t="s">
        <v>65</v>
      </c>
      <c r="N11" s="24" t="s">
        <v>738</v>
      </c>
    </row>
    <row r="12" spans="1:14" x14ac:dyDescent="0.25">
      <c r="A12" s="61" t="s">
        <v>837</v>
      </c>
      <c r="B12" s="219">
        <v>1.39</v>
      </c>
      <c r="C12" s="219">
        <v>1.048</v>
      </c>
      <c r="D12" s="219">
        <v>0.69699999999999995</v>
      </c>
      <c r="E12" s="219">
        <v>0.58299999999999996</v>
      </c>
      <c r="F12" s="219">
        <v>0.38500000000000001</v>
      </c>
      <c r="G12" s="219">
        <v>0.86399999999999999</v>
      </c>
      <c r="H12" s="219">
        <v>0.46800000000000003</v>
      </c>
      <c r="I12" s="219">
        <v>0.93</v>
      </c>
      <c r="J12" s="219">
        <v>0.85</v>
      </c>
      <c r="K12" s="219">
        <v>0.88500000000000001</v>
      </c>
      <c r="L12" s="64" t="s">
        <v>28</v>
      </c>
      <c r="M12" s="67" t="s">
        <v>65</v>
      </c>
      <c r="N12" s="24" t="s">
        <v>738</v>
      </c>
    </row>
    <row r="13" spans="1:14" x14ac:dyDescent="0.25">
      <c r="A13" s="50"/>
      <c r="B13" s="124"/>
      <c r="C13" s="124"/>
      <c r="D13" s="124"/>
      <c r="E13" s="124"/>
      <c r="F13" s="124"/>
      <c r="G13" s="124"/>
      <c r="H13" s="124"/>
      <c r="I13" s="124"/>
      <c r="J13" s="124"/>
      <c r="K13" s="120"/>
      <c r="L13" s="52"/>
      <c r="M13" s="52"/>
      <c r="N13" s="53"/>
    </row>
    <row r="14" spans="1:14" s="5" customFormat="1" x14ac:dyDescent="0.25">
      <c r="A14" s="56" t="s">
        <v>19</v>
      </c>
      <c r="B14" s="56">
        <v>2008</v>
      </c>
      <c r="C14" s="56">
        <v>2009</v>
      </c>
      <c r="D14" s="56">
        <v>2010</v>
      </c>
      <c r="E14" s="56">
        <v>2011</v>
      </c>
      <c r="F14" s="56">
        <v>2012</v>
      </c>
      <c r="G14" s="56">
        <v>2013</v>
      </c>
      <c r="H14" s="56">
        <v>2014</v>
      </c>
      <c r="I14" s="56">
        <v>2015</v>
      </c>
      <c r="J14" s="56">
        <v>2016</v>
      </c>
      <c r="K14" s="74">
        <v>2017</v>
      </c>
      <c r="L14" s="4" t="s">
        <v>765</v>
      </c>
      <c r="M14" s="28" t="s">
        <v>766</v>
      </c>
      <c r="N14" s="29" t="s">
        <v>58</v>
      </c>
    </row>
    <row r="15" spans="1:14" ht="45" x14ac:dyDescent="0.25">
      <c r="A15" s="268" t="s">
        <v>761</v>
      </c>
      <c r="B15" s="205">
        <v>126.10441396974998</v>
      </c>
      <c r="C15" s="205">
        <v>126.76580075630461</v>
      </c>
      <c r="D15" s="205">
        <v>197.53418691765035</v>
      </c>
      <c r="E15" s="205">
        <v>235.89462053781901</v>
      </c>
      <c r="F15" s="205">
        <v>249.12235626891169</v>
      </c>
      <c r="G15" s="205">
        <v>168.43316830924647</v>
      </c>
      <c r="H15" s="205">
        <v>158.73282877311186</v>
      </c>
      <c r="I15" s="205">
        <v>130.29319695126267</v>
      </c>
      <c r="J15" s="205">
        <v>109.79020656806905</v>
      </c>
      <c r="K15" s="205">
        <v>124.56117813445584</v>
      </c>
      <c r="L15" s="203" t="s">
        <v>74</v>
      </c>
      <c r="M15" s="376" t="s">
        <v>754</v>
      </c>
      <c r="N15" s="206" t="s">
        <v>760</v>
      </c>
    </row>
    <row r="16" spans="1:14" x14ac:dyDescent="0.25">
      <c r="A16" s="260" t="s">
        <v>2819</v>
      </c>
      <c r="B16" s="204">
        <v>1.6419630000000001</v>
      </c>
      <c r="C16" s="204">
        <v>1.202331</v>
      </c>
      <c r="D16" s="204">
        <v>1.616773</v>
      </c>
      <c r="E16" s="204">
        <v>1.2596350000000001</v>
      </c>
      <c r="F16" s="204">
        <v>1.6062369999999999</v>
      </c>
      <c r="G16" s="204">
        <v>1.7169270000000001</v>
      </c>
      <c r="H16" s="204">
        <v>1.72133</v>
      </c>
      <c r="I16" s="204">
        <v>2.064638</v>
      </c>
      <c r="J16" s="204">
        <v>1.352438</v>
      </c>
      <c r="K16" s="204">
        <v>1.175125</v>
      </c>
      <c r="L16" s="203" t="s">
        <v>74</v>
      </c>
      <c r="M16" s="258" t="s">
        <v>751</v>
      </c>
      <c r="N16" s="206" t="s">
        <v>738</v>
      </c>
    </row>
    <row r="17" spans="1:2" x14ac:dyDescent="0.25">
      <c r="A17" s="261"/>
      <c r="B17" s="264"/>
    </row>
    <row r="18" spans="1:2" x14ac:dyDescent="0.25">
      <c r="A18" s="261"/>
      <c r="B18" s="264"/>
    </row>
    <row r="19" spans="1:2" x14ac:dyDescent="0.25">
      <c r="A19" s="261"/>
      <c r="B19" s="264"/>
    </row>
    <row r="20" spans="1:2" x14ac:dyDescent="0.25">
      <c r="A20" s="261"/>
      <c r="B20" s="264"/>
    </row>
    <row r="21" spans="1:2" x14ac:dyDescent="0.25">
      <c r="A21" s="261"/>
      <c r="B21" s="264"/>
    </row>
    <row r="22" spans="1:2" x14ac:dyDescent="0.25">
      <c r="A22" s="261"/>
      <c r="B22" s="264"/>
    </row>
    <row r="23" spans="1:2" x14ac:dyDescent="0.25">
      <c r="A23" s="261"/>
      <c r="B23" s="264"/>
    </row>
    <row r="24" spans="1:2" x14ac:dyDescent="0.25">
      <c r="A24" s="261"/>
      <c r="B24" s="264"/>
    </row>
    <row r="25" spans="1:2" x14ac:dyDescent="0.25">
      <c r="A25" s="261"/>
      <c r="B25" s="264"/>
    </row>
    <row r="26" spans="1:2" x14ac:dyDescent="0.25">
      <c r="A26" s="261"/>
      <c r="B26" s="264"/>
    </row>
    <row r="27" spans="1:2" x14ac:dyDescent="0.25">
      <c r="A27" s="261"/>
      <c r="B27" s="264"/>
    </row>
    <row r="28" spans="1:2" x14ac:dyDescent="0.25">
      <c r="A28" s="261"/>
      <c r="B28" s="264"/>
    </row>
    <row r="29" spans="1:2" x14ac:dyDescent="0.25">
      <c r="A29" s="261"/>
      <c r="B29" s="264"/>
    </row>
    <row r="30" spans="1:2" x14ac:dyDescent="0.25">
      <c r="A30" s="261"/>
      <c r="B30" s="264"/>
    </row>
    <row r="31" spans="1:2" x14ac:dyDescent="0.25">
      <c r="A31" s="261"/>
      <c r="B31" s="264"/>
    </row>
    <row r="32" spans="1:2"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t="s">
        <v>1078</v>
      </c>
      <c r="B39" s="264"/>
    </row>
    <row r="40" spans="1:12" x14ac:dyDescent="0.25">
      <c r="A40" s="261" t="s">
        <v>1084</v>
      </c>
      <c r="B40" s="264">
        <v>135.79882500000002</v>
      </c>
      <c r="C40"/>
      <c r="D40"/>
      <c r="E40"/>
      <c r="F40"/>
      <c r="G40"/>
      <c r="H40"/>
      <c r="I40"/>
      <c r="J40"/>
      <c r="K40"/>
      <c r="L40"/>
    </row>
    <row r="41" spans="1:12" customFormat="1" x14ac:dyDescent="0.25">
      <c r="A41" s="261" t="s">
        <v>2815</v>
      </c>
      <c r="B41" s="264">
        <v>11.647</v>
      </c>
    </row>
    <row r="42" spans="1:12" x14ac:dyDescent="0.25">
      <c r="A42" s="261" t="s">
        <v>1080</v>
      </c>
      <c r="B42" s="265">
        <v>9.2641000000000009</v>
      </c>
      <c r="C42"/>
      <c r="D42"/>
      <c r="E42"/>
      <c r="F42"/>
      <c r="G42"/>
      <c r="H42"/>
      <c r="I42"/>
      <c r="J42"/>
      <c r="K42"/>
      <c r="L42"/>
    </row>
    <row r="43" spans="1:12" x14ac:dyDescent="0.25">
      <c r="A43" s="261" t="s">
        <v>812</v>
      </c>
      <c r="B43" s="265">
        <v>5.8864000000000001</v>
      </c>
      <c r="C43"/>
      <c r="D43"/>
      <c r="E43"/>
      <c r="F43"/>
      <c r="G43"/>
      <c r="H43"/>
      <c r="I43"/>
      <c r="J43"/>
      <c r="K43"/>
      <c r="L43"/>
    </row>
    <row r="44" spans="1:12" x14ac:dyDescent="0.25">
      <c r="A44" s="261" t="s">
        <v>1081</v>
      </c>
      <c r="B44" s="265">
        <v>5.1075000000000008</v>
      </c>
      <c r="C44"/>
      <c r="D44"/>
      <c r="E44"/>
      <c r="F44"/>
      <c r="G44"/>
      <c r="H44"/>
      <c r="I44"/>
      <c r="J44"/>
      <c r="K44"/>
      <c r="L44"/>
    </row>
    <row r="45" spans="1:12" x14ac:dyDescent="0.25">
      <c r="A45" s="261" t="s">
        <v>1082</v>
      </c>
      <c r="B45" s="265">
        <v>3.6500000000000004</v>
      </c>
      <c r="C45"/>
      <c r="D45"/>
      <c r="E45" s="200"/>
      <c r="F45"/>
      <c r="G45"/>
      <c r="H45"/>
      <c r="I45"/>
      <c r="J45"/>
      <c r="K45"/>
      <c r="L45"/>
    </row>
    <row r="46" spans="1:12" x14ac:dyDescent="0.25">
      <c r="A46" s="261" t="s">
        <v>1083</v>
      </c>
      <c r="B46" s="266">
        <v>0.73260000000000003</v>
      </c>
      <c r="C46"/>
      <c r="D46"/>
      <c r="E46" s="200"/>
      <c r="F46"/>
      <c r="G46"/>
      <c r="H46"/>
      <c r="I46"/>
      <c r="J46"/>
      <c r="K46"/>
      <c r="L46"/>
    </row>
    <row r="47" spans="1:12" x14ac:dyDescent="0.25">
      <c r="A47" s="280"/>
      <c r="B47" s="280"/>
      <c r="C47"/>
      <c r="D47"/>
      <c r="E47" s="200"/>
      <c r="F47"/>
      <c r="G47"/>
      <c r="H47"/>
      <c r="I47"/>
      <c r="J47"/>
      <c r="K47"/>
      <c r="L47"/>
    </row>
    <row r="48" spans="1:12" x14ac:dyDescent="0.25">
      <c r="A48" s="280"/>
      <c r="B48" s="281"/>
      <c r="C48"/>
      <c r="D48"/>
      <c r="E48" s="200"/>
      <c r="F48"/>
      <c r="G48"/>
      <c r="H48"/>
      <c r="I48"/>
      <c r="J48"/>
      <c r="K48"/>
      <c r="L48"/>
    </row>
    <row r="49" spans="1:12" x14ac:dyDescent="0.25">
      <c r="A49" s="280"/>
      <c r="B49" s="281"/>
      <c r="C49"/>
      <c r="D49"/>
      <c r="E49" s="200"/>
      <c r="F49"/>
      <c r="G49"/>
      <c r="H49"/>
      <c r="I49"/>
      <c r="J49"/>
      <c r="K49"/>
      <c r="L49"/>
    </row>
    <row r="50" spans="1:12" x14ac:dyDescent="0.25">
      <c r="A50" s="280"/>
      <c r="B50" s="281"/>
      <c r="C50"/>
      <c r="D50"/>
      <c r="E50" s="200"/>
      <c r="F50"/>
      <c r="G50"/>
      <c r="H50"/>
      <c r="I50"/>
      <c r="J50"/>
      <c r="K50"/>
      <c r="L50"/>
    </row>
    <row r="51" spans="1:12" x14ac:dyDescent="0.25">
      <c r="A51"/>
      <c r="B51" s="281"/>
      <c r="C51"/>
      <c r="D51"/>
      <c r="E51" s="200"/>
      <c r="F51"/>
      <c r="G51"/>
      <c r="H51"/>
      <c r="I51"/>
      <c r="J51"/>
      <c r="K51"/>
      <c r="L51"/>
    </row>
    <row r="52" spans="1:12" x14ac:dyDescent="0.25">
      <c r="A52"/>
      <c r="B52" s="281"/>
      <c r="C52"/>
      <c r="D52"/>
      <c r="E52" s="200"/>
      <c r="F52"/>
      <c r="G52"/>
      <c r="H52"/>
      <c r="I52"/>
      <c r="J52"/>
      <c r="K52"/>
      <c r="L52"/>
    </row>
    <row r="53" spans="1:12" x14ac:dyDescent="0.25">
      <c r="A53"/>
      <c r="B53" s="281"/>
      <c r="C53"/>
      <c r="D53"/>
      <c r="E53" s="200"/>
      <c r="F53"/>
      <c r="G53"/>
      <c r="H53"/>
      <c r="I53"/>
      <c r="J53"/>
      <c r="K53"/>
      <c r="L53"/>
    </row>
    <row r="54" spans="1:12" x14ac:dyDescent="0.25">
      <c r="A54"/>
      <c r="B54" s="281"/>
      <c r="C54"/>
      <c r="D54"/>
      <c r="E54" s="200"/>
      <c r="F54"/>
      <c r="G54"/>
      <c r="H54"/>
      <c r="I54"/>
      <c r="J54"/>
      <c r="K54"/>
      <c r="L54"/>
    </row>
    <row r="55" spans="1:12" x14ac:dyDescent="0.25">
      <c r="B55" s="281"/>
      <c r="C55" s="199"/>
      <c r="D55" s="199"/>
      <c r="E55" s="199"/>
      <c r="F55" s="199"/>
      <c r="G55" s="199"/>
      <c r="H55" s="199"/>
      <c r="I55" s="199"/>
      <c r="J55" s="199"/>
      <c r="K55" s="199"/>
    </row>
    <row r="56" spans="1:12" x14ac:dyDescent="0.25">
      <c r="B56" s="280"/>
      <c r="C56" s="199"/>
      <c r="D56" s="199"/>
      <c r="E56" s="199"/>
      <c r="F56" s="199"/>
      <c r="G56" s="199"/>
      <c r="H56" s="199"/>
      <c r="I56" s="199"/>
      <c r="J56" s="199"/>
      <c r="K56" s="199"/>
    </row>
    <row r="57" spans="1:12" x14ac:dyDescent="0.25">
      <c r="B57" s="199"/>
      <c r="C57" s="199"/>
      <c r="D57" s="199"/>
      <c r="E57" s="199"/>
      <c r="F57" s="199"/>
      <c r="G57" s="199"/>
      <c r="H57" s="199"/>
      <c r="I57" s="199"/>
      <c r="J57" s="199"/>
      <c r="K57" s="199"/>
    </row>
    <row r="86" spans="5:13" x14ac:dyDescent="0.25">
      <c r="E86"/>
      <c r="F86"/>
      <c r="G86"/>
      <c r="H86"/>
      <c r="I86"/>
      <c r="J86"/>
      <c r="K86"/>
      <c r="L86"/>
      <c r="M86"/>
    </row>
    <row r="87" spans="5:13" x14ac:dyDescent="0.25">
      <c r="E87"/>
      <c r="F87"/>
      <c r="G87"/>
      <c r="H87"/>
      <c r="I87"/>
      <c r="J87"/>
      <c r="K87"/>
      <c r="L87"/>
      <c r="M87"/>
    </row>
    <row r="88" spans="5:13" x14ac:dyDescent="0.25">
      <c r="E88"/>
      <c r="F88"/>
      <c r="G88"/>
      <c r="H88"/>
      <c r="I88"/>
      <c r="J88"/>
      <c r="K88"/>
      <c r="L88"/>
      <c r="M88"/>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sheetData>
  <mergeCells count="1">
    <mergeCell ref="A1:A2"/>
  </mergeCells>
  <hyperlinks>
    <hyperlink ref="M11" r:id="rId1" location="/app/downloads" xr:uid="{FF7D607E-FAD5-410D-B72C-332A5FCEF7ED}"/>
    <hyperlink ref="M12" r:id="rId2" location="/app/downloads" xr:uid="{B591108C-1D6B-4272-A3AE-87C68BD0C3E8}"/>
    <hyperlink ref="M4" r:id="rId3" xr:uid="{E39D53D3-C6B0-4823-ADF3-9A9CFAA32500}"/>
    <hyperlink ref="M7" r:id="rId4" location="/app/downloads" xr:uid="{A26A9CF5-C3B7-476F-9ACA-0A06BCF0F335}"/>
    <hyperlink ref="M16" r:id="rId5" xr:uid="{A2A1A613-B12E-4643-8F88-C379132CA754}"/>
    <hyperlink ref="M8" r:id="rId6" location="/app/downloads" xr:uid="{DDA7A514-C82E-4EF7-B6EF-258FE1EFC4A3}"/>
    <hyperlink ref="M9" r:id="rId7" location="/app/downloads" xr:uid="{A2F534B2-3FC6-4D24-837D-BCC90BDCED1B}"/>
    <hyperlink ref="M10" r:id="rId8" location="/app/downloads" xr:uid="{608309D8-9403-47FF-820B-C26A75D91FD7}"/>
    <hyperlink ref="M15" r:id="rId9" xr:uid="{35B77487-63A8-42EC-B637-486AD4FE76A7}"/>
  </hyperlinks>
  <pageMargins left="0.7" right="0.7" top="0.75" bottom="0.75" header="0.3" footer="0.3"/>
  <pageSetup orientation="portrait" r:id="rId10"/>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0804-4A10-4323-B803-40F649DCFF69}">
  <sheetPr>
    <tabColor rgb="FF00441B"/>
  </sheetPr>
  <dimension ref="A1:N113"/>
  <sheetViews>
    <sheetView zoomScale="85" zoomScaleNormal="85" workbookViewId="0">
      <pane xSplit="1" ySplit="3" topLeftCell="B4" activePane="bottomRight" state="frozen"/>
      <selection pane="topRight" activeCell="B1" sqref="B1"/>
      <selection pane="bottomLeft" activeCell="A4" sqref="A4"/>
      <selection pane="bottomRight" sqref="A1:XFD1048576"/>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93</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ht="30" x14ac:dyDescent="0.25">
      <c r="A4" s="268" t="s">
        <v>950</v>
      </c>
      <c r="B4" s="377"/>
      <c r="C4" s="377"/>
      <c r="D4" s="377"/>
      <c r="E4" s="377"/>
      <c r="F4" s="378">
        <v>89.9</v>
      </c>
      <c r="G4" s="377"/>
      <c r="H4" s="377"/>
      <c r="I4" s="211"/>
      <c r="J4" s="211"/>
      <c r="K4" s="211"/>
      <c r="L4" s="206" t="s">
        <v>59</v>
      </c>
      <c r="M4" s="209" t="s">
        <v>62</v>
      </c>
      <c r="N4" s="206" t="s">
        <v>738</v>
      </c>
    </row>
    <row r="5" spans="1:14" x14ac:dyDescent="0.25">
      <c r="A5" s="268" t="s">
        <v>858</v>
      </c>
      <c r="B5" s="378">
        <v>75.718000000000004</v>
      </c>
      <c r="C5" s="378">
        <v>77.450999999999993</v>
      </c>
      <c r="D5" s="378">
        <v>77.403999999999996</v>
      </c>
      <c r="E5" s="378">
        <v>75.046000000000006</v>
      </c>
      <c r="F5" s="378">
        <v>77.197999999999993</v>
      </c>
      <c r="G5" s="378">
        <v>76.84</v>
      </c>
      <c r="H5" s="378">
        <v>83.275999999999996</v>
      </c>
      <c r="I5" s="378">
        <v>82.65</v>
      </c>
      <c r="J5" s="378">
        <v>83.433000000000007</v>
      </c>
      <c r="K5" s="378">
        <v>90.141999999999996</v>
      </c>
      <c r="L5" s="213" t="s">
        <v>28</v>
      </c>
      <c r="M5" s="209" t="s">
        <v>857</v>
      </c>
      <c r="N5" s="206" t="s">
        <v>738</v>
      </c>
    </row>
    <row r="6" spans="1:14" x14ac:dyDescent="0.25">
      <c r="A6" s="268" t="s">
        <v>859</v>
      </c>
      <c r="B6" s="378">
        <v>74.680999999999997</v>
      </c>
      <c r="C6" s="378">
        <v>76.372</v>
      </c>
      <c r="D6" s="378">
        <v>76.61</v>
      </c>
      <c r="E6" s="378">
        <v>73.775999999999996</v>
      </c>
      <c r="F6" s="378">
        <v>76.144000000000005</v>
      </c>
      <c r="G6" s="378">
        <v>76.253</v>
      </c>
      <c r="H6" s="378">
        <v>82.590999999999994</v>
      </c>
      <c r="I6" s="378">
        <v>81.731999999999999</v>
      </c>
      <c r="J6" s="378">
        <v>82.695999999999998</v>
      </c>
      <c r="K6" s="378">
        <v>89.522000000000006</v>
      </c>
      <c r="L6" s="213" t="s">
        <v>28</v>
      </c>
      <c r="M6" s="209" t="s">
        <v>857</v>
      </c>
      <c r="N6" s="206" t="s">
        <v>738</v>
      </c>
    </row>
    <row r="7" spans="1:14" s="55" customFormat="1" ht="30" x14ac:dyDescent="0.25">
      <c r="A7" s="379" t="s">
        <v>855</v>
      </c>
      <c r="B7" s="380">
        <v>1.0726850068959977</v>
      </c>
      <c r="C7" s="380">
        <v>1.1881990389147854</v>
      </c>
      <c r="D7" s="380">
        <v>1.174066858112518</v>
      </c>
      <c r="E7" s="380">
        <v>1.1334828806115809</v>
      </c>
      <c r="F7" s="380">
        <v>1.0786823387266231</v>
      </c>
      <c r="G7" s="380">
        <v>1.1890098487928342</v>
      </c>
      <c r="H7" s="380">
        <v>1.2838133694954657</v>
      </c>
      <c r="I7" s="380">
        <v>1.2970581045367786</v>
      </c>
      <c r="J7" s="380">
        <v>1.4026594031150237</v>
      </c>
      <c r="K7" s="380">
        <v>1.324500469158419</v>
      </c>
      <c r="L7" s="213" t="s">
        <v>28</v>
      </c>
      <c r="M7" s="209" t="s">
        <v>857</v>
      </c>
      <c r="N7" s="206" t="s">
        <v>740</v>
      </c>
    </row>
    <row r="8" spans="1:14" x14ac:dyDescent="0.25">
      <c r="A8" s="50"/>
      <c r="B8" s="267"/>
      <c r="C8" s="267"/>
      <c r="D8" s="267"/>
      <c r="E8" s="267"/>
      <c r="F8" s="267"/>
      <c r="G8" s="267"/>
      <c r="H8" s="267"/>
      <c r="I8" s="267"/>
      <c r="J8" s="267"/>
      <c r="K8" s="267"/>
      <c r="L8" s="52"/>
      <c r="M8" s="52"/>
      <c r="N8" s="53"/>
    </row>
    <row r="9" spans="1:14" s="5" customFormat="1" x14ac:dyDescent="0.25">
      <c r="A9" s="35" t="s">
        <v>27</v>
      </c>
      <c r="B9" s="35">
        <v>2008</v>
      </c>
      <c r="C9" s="35">
        <v>2009</v>
      </c>
      <c r="D9" s="35">
        <v>2010</v>
      </c>
      <c r="E9" s="35">
        <v>2011</v>
      </c>
      <c r="F9" s="35">
        <v>2012</v>
      </c>
      <c r="G9" s="35">
        <v>2013</v>
      </c>
      <c r="H9" s="35">
        <v>2014</v>
      </c>
      <c r="I9" s="35">
        <v>2015</v>
      </c>
      <c r="J9" s="35">
        <v>2016</v>
      </c>
      <c r="K9" s="74">
        <v>2017</v>
      </c>
      <c r="L9" s="4" t="s">
        <v>765</v>
      </c>
      <c r="M9" s="28" t="s">
        <v>766</v>
      </c>
      <c r="N9" s="29" t="s">
        <v>58</v>
      </c>
    </row>
    <row r="10" spans="1:14" ht="30" x14ac:dyDescent="0.25">
      <c r="A10" s="268" t="s">
        <v>862</v>
      </c>
      <c r="B10" s="205">
        <v>80.109189000000001</v>
      </c>
      <c r="C10" s="205">
        <v>90.745137</v>
      </c>
      <c r="D10" s="205">
        <v>89.945262</v>
      </c>
      <c r="E10" s="205">
        <v>83.623833000000005</v>
      </c>
      <c r="F10" s="205">
        <v>82.135187999999999</v>
      </c>
      <c r="G10" s="205">
        <v>90.665567999999993</v>
      </c>
      <c r="H10" s="205">
        <v>106.03142999999999</v>
      </c>
      <c r="I10" s="205">
        <v>106.01115300000001</v>
      </c>
      <c r="J10" s="205">
        <v>115.994322</v>
      </c>
      <c r="K10" s="205">
        <v>118.57193099999999</v>
      </c>
      <c r="L10" s="213" t="s">
        <v>28</v>
      </c>
      <c r="M10" s="209" t="s">
        <v>857</v>
      </c>
      <c r="N10" s="206" t="s">
        <v>740</v>
      </c>
    </row>
    <row r="11" spans="1:14" ht="30" x14ac:dyDescent="0.25">
      <c r="A11" s="268" t="s">
        <v>856</v>
      </c>
      <c r="B11" s="205">
        <v>47.730939071472754</v>
      </c>
      <c r="C11" s="205">
        <v>50.322167522595478</v>
      </c>
      <c r="D11" s="205">
        <v>47.969535349395869</v>
      </c>
      <c r="E11" s="205">
        <v>48.429981545582777</v>
      </c>
      <c r="F11" s="205">
        <v>48.163880912102357</v>
      </c>
      <c r="G11" s="205">
        <v>49.673738872789393</v>
      </c>
      <c r="H11" s="205">
        <v>54.520370481741651</v>
      </c>
      <c r="I11" s="205">
        <v>54.033393599999997</v>
      </c>
      <c r="J11" s="205">
        <v>55.139347800000003</v>
      </c>
      <c r="K11" s="205">
        <v>56.660930999999998</v>
      </c>
      <c r="L11" s="213" t="s">
        <v>28</v>
      </c>
      <c r="M11" s="209" t="s">
        <v>857</v>
      </c>
      <c r="N11" s="206" t="s">
        <v>740</v>
      </c>
    </row>
    <row r="12" spans="1:14" ht="30" x14ac:dyDescent="0.25">
      <c r="A12" s="268" t="s">
        <v>852</v>
      </c>
      <c r="B12" s="205">
        <v>0.35810450004494337</v>
      </c>
      <c r="C12" s="205">
        <v>0.39387888437358509</v>
      </c>
      <c r="D12" s="205">
        <v>0.39012560503646937</v>
      </c>
      <c r="E12" s="205">
        <v>0.4355640460236303</v>
      </c>
      <c r="F12" s="205">
        <v>1.0939439121023573</v>
      </c>
      <c r="G12" s="205">
        <v>1.9379802465572225</v>
      </c>
      <c r="H12" s="205">
        <v>0.89706618174970432</v>
      </c>
      <c r="I12" s="205">
        <v>0.63559727003301469</v>
      </c>
      <c r="J12" s="205">
        <v>0.60052796681010212</v>
      </c>
      <c r="K12" s="205">
        <v>0.67500000000000004</v>
      </c>
      <c r="L12" s="213" t="s">
        <v>28</v>
      </c>
      <c r="M12" s="209" t="s">
        <v>857</v>
      </c>
      <c r="N12" s="206" t="s">
        <v>740</v>
      </c>
    </row>
    <row r="13" spans="1:14" ht="30" x14ac:dyDescent="0.25">
      <c r="A13" s="268" t="s">
        <v>853</v>
      </c>
      <c r="B13" s="205">
        <v>34.540926428572199</v>
      </c>
      <c r="C13" s="205">
        <v>40.474299361778101</v>
      </c>
      <c r="D13" s="205">
        <v>40.634396255640596</v>
      </c>
      <c r="E13" s="205">
        <v>36.861776500440861</v>
      </c>
      <c r="F13" s="205">
        <v>35.843201999999998</v>
      </c>
      <c r="G13" s="205">
        <v>44.241091373767823</v>
      </c>
      <c r="H13" s="205">
        <v>49.745412700008053</v>
      </c>
      <c r="I13" s="205">
        <v>52.440919809571746</v>
      </c>
      <c r="J13" s="205">
        <v>58.688618626906205</v>
      </c>
      <c r="K13" s="205">
        <v>55.755000000000003</v>
      </c>
      <c r="L13" s="213" t="s">
        <v>28</v>
      </c>
      <c r="M13" s="209" t="s">
        <v>857</v>
      </c>
      <c r="N13" s="206" t="s">
        <v>740</v>
      </c>
    </row>
    <row r="14" spans="1:14" ht="30" x14ac:dyDescent="0.25">
      <c r="A14" s="268" t="s">
        <v>836</v>
      </c>
      <c r="B14" s="205">
        <v>5.5359179999999997</v>
      </c>
      <c r="C14" s="205">
        <v>3.7313460000000003</v>
      </c>
      <c r="D14" s="205">
        <v>4.0738949999999994</v>
      </c>
      <c r="E14" s="205">
        <v>5.8053509999999999</v>
      </c>
      <c r="F14" s="205">
        <v>4.5729899999999999</v>
      </c>
      <c r="G14" s="205">
        <v>3.7950389999999996</v>
      </c>
      <c r="H14" s="205">
        <v>2.4837569999999998</v>
      </c>
      <c r="I14" s="205">
        <v>5.1464699999999999</v>
      </c>
      <c r="J14" s="205">
        <v>5.3116830000000004</v>
      </c>
      <c r="K14" s="205">
        <v>8.1539999999999999</v>
      </c>
      <c r="L14" s="213" t="s">
        <v>28</v>
      </c>
      <c r="M14" s="209" t="s">
        <v>857</v>
      </c>
      <c r="N14" s="206" t="s">
        <v>740</v>
      </c>
    </row>
    <row r="15" spans="1:14" ht="30" x14ac:dyDescent="0.25">
      <c r="A15" s="268" t="s">
        <v>837</v>
      </c>
      <c r="B15" s="205">
        <v>3.7313460000000003</v>
      </c>
      <c r="C15" s="205">
        <v>4.0738949999999994</v>
      </c>
      <c r="D15" s="205">
        <v>5.8053509999999999</v>
      </c>
      <c r="E15" s="205">
        <v>4.5729899999999999</v>
      </c>
      <c r="F15" s="205">
        <v>3.7950389999999996</v>
      </c>
      <c r="G15" s="205">
        <v>2.4837569999999998</v>
      </c>
      <c r="H15" s="205">
        <v>5.1464699999999999</v>
      </c>
      <c r="I15" s="205">
        <v>5.3116830000000004</v>
      </c>
      <c r="J15" s="205">
        <v>8.1539999999999999</v>
      </c>
      <c r="K15" s="205">
        <v>14.984999999999999</v>
      </c>
      <c r="L15" s="213" t="s">
        <v>28</v>
      </c>
      <c r="M15" s="209" t="s">
        <v>857</v>
      </c>
      <c r="N15" s="206" t="s">
        <v>740</v>
      </c>
    </row>
    <row r="16" spans="1:14" x14ac:dyDescent="0.25">
      <c r="A16" s="41" t="s">
        <v>83</v>
      </c>
      <c r="B16" s="134"/>
      <c r="C16" s="9"/>
      <c r="D16" s="9"/>
      <c r="E16" s="9"/>
      <c r="F16" s="9"/>
      <c r="G16" s="9"/>
      <c r="H16" s="9"/>
      <c r="I16" s="9"/>
      <c r="J16" s="9"/>
      <c r="K16" s="83"/>
      <c r="L16" s="24"/>
      <c r="M16" s="44"/>
      <c r="N16" s="24"/>
    </row>
    <row r="17" spans="1:14" ht="30" x14ac:dyDescent="0.25">
      <c r="A17" s="268" t="s">
        <v>861</v>
      </c>
      <c r="B17" s="205">
        <v>44.871895799999997</v>
      </c>
      <c r="C17" s="205">
        <v>47.295529245000004</v>
      </c>
      <c r="D17" s="205">
        <v>44.497150056000002</v>
      </c>
      <c r="E17" s="205">
        <v>45.981513</v>
      </c>
      <c r="F17" s="205">
        <v>45.600380999999999</v>
      </c>
      <c r="G17" s="205">
        <v>46.814975999999994</v>
      </c>
      <c r="H17" s="205">
        <v>50.584332199287289</v>
      </c>
      <c r="I17" s="205">
        <v>50.9283936</v>
      </c>
      <c r="J17" s="205">
        <v>51.332347800000001</v>
      </c>
      <c r="K17" s="205">
        <v>52.92</v>
      </c>
      <c r="L17" s="213" t="s">
        <v>28</v>
      </c>
      <c r="M17" s="209" t="s">
        <v>857</v>
      </c>
      <c r="N17" s="206" t="s">
        <v>740</v>
      </c>
    </row>
    <row r="18" spans="1:14" ht="30" x14ac:dyDescent="0.25">
      <c r="A18" s="268" t="s">
        <v>860</v>
      </c>
      <c r="B18" s="205">
        <v>2.8590432714727587</v>
      </c>
      <c r="C18" s="205">
        <v>3.026638277595477</v>
      </c>
      <c r="D18" s="205">
        <v>3.4723852933958654</v>
      </c>
      <c r="E18" s="205">
        <v>2.448468545582775</v>
      </c>
      <c r="F18" s="205">
        <v>2.5634999121023592</v>
      </c>
      <c r="G18" s="205">
        <v>2.8587628727893959</v>
      </c>
      <c r="H18" s="205">
        <v>3.9360382824543656</v>
      </c>
      <c r="I18" s="205">
        <v>3.105</v>
      </c>
      <c r="J18" s="205">
        <v>3.8069999999999999</v>
      </c>
      <c r="K18" s="205">
        <v>3.7409309999999967</v>
      </c>
      <c r="L18" s="213" t="s">
        <v>28</v>
      </c>
      <c r="M18" s="209" t="s">
        <v>857</v>
      </c>
      <c r="N18" s="206" t="s">
        <v>740</v>
      </c>
    </row>
    <row r="19" spans="1:14" x14ac:dyDescent="0.25">
      <c r="A19" s="372" t="s">
        <v>2820</v>
      </c>
      <c r="B19" s="290"/>
      <c r="C19" s="290"/>
      <c r="D19" s="290"/>
      <c r="E19" s="290"/>
      <c r="F19" s="290"/>
      <c r="G19" s="290"/>
      <c r="H19" s="290"/>
      <c r="I19" s="290"/>
      <c r="J19" s="290"/>
      <c r="K19" s="290"/>
      <c r="L19" s="370"/>
      <c r="M19" s="371"/>
      <c r="N19" s="160"/>
    </row>
    <row r="20" spans="1:14" ht="34.5" customHeight="1" x14ac:dyDescent="0.25">
      <c r="A20" s="268" t="s">
        <v>821</v>
      </c>
      <c r="B20" s="217">
        <v>1.4719983743244873</v>
      </c>
      <c r="C20" s="217">
        <v>0.93848287824398025</v>
      </c>
      <c r="D20" s="217">
        <v>0.76022102655239765</v>
      </c>
      <c r="E20" s="217">
        <v>1.2414826668698762</v>
      </c>
      <c r="F20" s="217">
        <v>2.2108098349739778</v>
      </c>
      <c r="G20" s="217">
        <v>2.1268952228545301</v>
      </c>
      <c r="H20" s="217">
        <v>2.2724076961946311</v>
      </c>
      <c r="I20" s="217">
        <v>2.2856525971345656</v>
      </c>
      <c r="J20" s="217">
        <v>2.5719601818361606</v>
      </c>
      <c r="K20" s="217">
        <v>2.81227348724634</v>
      </c>
      <c r="L20" s="203" t="s">
        <v>28</v>
      </c>
      <c r="M20" s="295" t="s">
        <v>820</v>
      </c>
      <c r="N20" s="206" t="s">
        <v>779</v>
      </c>
    </row>
    <row r="21" spans="1:14" x14ac:dyDescent="0.25">
      <c r="A21" s="268" t="s">
        <v>76</v>
      </c>
      <c r="B21" s="205">
        <v>15.27455849276819</v>
      </c>
      <c r="C21" s="205">
        <v>11.208624519204724</v>
      </c>
      <c r="D21" s="205">
        <v>8.6614987080103365</v>
      </c>
      <c r="E21" s="205">
        <v>13.666538869255248</v>
      </c>
      <c r="F21" s="205">
        <v>24.647729045756794</v>
      </c>
      <c r="G21" s="205">
        <v>22.488572672124</v>
      </c>
      <c r="H21" s="205">
        <v>24.102917291948962</v>
      </c>
      <c r="I21" s="205">
        <v>24.025538968885737</v>
      </c>
      <c r="J21" s="205">
        <v>25.306747485892757</v>
      </c>
      <c r="K21" s="205">
        <v>27.193205488132726</v>
      </c>
      <c r="L21" s="203" t="s">
        <v>28</v>
      </c>
      <c r="M21" s="295" t="s">
        <v>820</v>
      </c>
      <c r="N21" s="206"/>
    </row>
    <row r="22" spans="1:14" x14ac:dyDescent="0.25">
      <c r="A22" s="50"/>
      <c r="B22" s="124"/>
      <c r="C22" s="124"/>
      <c r="D22" s="124"/>
      <c r="E22" s="124"/>
      <c r="F22" s="124"/>
      <c r="G22" s="124"/>
      <c r="H22" s="124"/>
      <c r="I22" s="124"/>
      <c r="J22" s="124"/>
      <c r="K22" s="120"/>
      <c r="L22" s="52"/>
      <c r="M22" s="52"/>
      <c r="N22" s="53"/>
    </row>
    <row r="23" spans="1:14" s="5" customFormat="1" x14ac:dyDescent="0.25">
      <c r="A23" s="56" t="s">
        <v>19</v>
      </c>
      <c r="B23" s="56">
        <v>2008</v>
      </c>
      <c r="C23" s="56">
        <v>2009</v>
      </c>
      <c r="D23" s="56">
        <v>2010</v>
      </c>
      <c r="E23" s="56">
        <v>2011</v>
      </c>
      <c r="F23" s="56">
        <v>2012</v>
      </c>
      <c r="G23" s="56">
        <v>2013</v>
      </c>
      <c r="H23" s="56">
        <v>2014</v>
      </c>
      <c r="I23" s="56">
        <v>2015</v>
      </c>
      <c r="J23" s="56">
        <v>2016</v>
      </c>
      <c r="K23" s="74">
        <v>2017</v>
      </c>
      <c r="L23" s="4" t="s">
        <v>765</v>
      </c>
      <c r="M23" s="28" t="s">
        <v>766</v>
      </c>
      <c r="N23" s="29" t="s">
        <v>58</v>
      </c>
    </row>
    <row r="24" spans="1:14" ht="30" x14ac:dyDescent="0.25">
      <c r="A24" s="268" t="s">
        <v>854</v>
      </c>
      <c r="B24" s="205">
        <v>369.2592592592593</v>
      </c>
      <c r="C24" s="205">
        <v>355.18518518518516</v>
      </c>
      <c r="D24" s="205">
        <v>418.51851851851853</v>
      </c>
      <c r="E24" s="205">
        <v>462.96296296296299</v>
      </c>
      <c r="F24" s="205">
        <v>533.33333333333337</v>
      </c>
      <c r="G24" s="205">
        <v>481.48148148148147</v>
      </c>
      <c r="H24" s="205">
        <v>374.07407407407408</v>
      </c>
      <c r="I24" s="205">
        <v>331.48148148148147</v>
      </c>
      <c r="J24" s="205">
        <v>350.74074074074076</v>
      </c>
      <c r="K24" s="205">
        <v>355.55555555555554</v>
      </c>
      <c r="L24" s="213" t="s">
        <v>28</v>
      </c>
      <c r="M24" s="209" t="s">
        <v>857</v>
      </c>
      <c r="N24" s="206" t="s">
        <v>740</v>
      </c>
    </row>
    <row r="25" spans="1:14" ht="30" x14ac:dyDescent="0.25">
      <c r="A25" s="203" t="s">
        <v>771</v>
      </c>
      <c r="B25" s="205">
        <v>1147.0648265999998</v>
      </c>
      <c r="C25" s="205">
        <v>709.00643519999983</v>
      </c>
      <c r="D25" s="205">
        <v>792.56160899999998</v>
      </c>
      <c r="E25" s="205">
        <v>1172.8589039999999</v>
      </c>
      <c r="F25" s="205">
        <v>1144.1988179999998</v>
      </c>
      <c r="G25" s="205">
        <v>1039.0383486000001</v>
      </c>
      <c r="H25" s="205">
        <v>842.82699059999982</v>
      </c>
      <c r="I25" s="205">
        <v>696.66055200000005</v>
      </c>
      <c r="J25" s="205">
        <v>658.3001291999999</v>
      </c>
      <c r="K25" s="205">
        <v>717.6044609999999</v>
      </c>
      <c r="L25" s="203" t="s">
        <v>778</v>
      </c>
      <c r="M25" s="209" t="s">
        <v>777</v>
      </c>
      <c r="N25" s="206" t="s">
        <v>779</v>
      </c>
    </row>
    <row r="26" spans="1:14" x14ac:dyDescent="0.25">
      <c r="A26" s="268" t="s">
        <v>69</v>
      </c>
      <c r="B26" s="205">
        <v>29.458224999999999</v>
      </c>
      <c r="C26" s="205">
        <v>32.163204</v>
      </c>
      <c r="D26" s="205">
        <v>37.571277000000002</v>
      </c>
      <c r="E26" s="205">
        <v>38.542177000000002</v>
      </c>
      <c r="F26" s="205">
        <v>43.723143999999998</v>
      </c>
      <c r="G26" s="205">
        <v>43.582901</v>
      </c>
      <c r="H26" s="205">
        <v>39.474860999999997</v>
      </c>
      <c r="I26" s="205">
        <v>35.140734000000002</v>
      </c>
      <c r="J26" s="205">
        <v>40.683934000000001</v>
      </c>
      <c r="K26" s="205">
        <v>40.841442999999998</v>
      </c>
      <c r="L26" s="213" t="s">
        <v>28</v>
      </c>
      <c r="M26" s="209" t="s">
        <v>857</v>
      </c>
      <c r="N26" s="206" t="s">
        <v>738</v>
      </c>
    </row>
    <row r="27" spans="1:14" x14ac:dyDescent="0.25">
      <c r="A27" s="203" t="s">
        <v>1089</v>
      </c>
      <c r="B27" s="204">
        <v>1.6884775599999997</v>
      </c>
      <c r="C27" s="204">
        <v>0.66539039999999994</v>
      </c>
      <c r="D27" s="204">
        <v>0.60252199999999989</v>
      </c>
      <c r="E27" s="204">
        <v>1.4560840000000002</v>
      </c>
      <c r="F27" s="204">
        <v>2.5296060000000002</v>
      </c>
      <c r="G27" s="204">
        <v>2.2099257000000003</v>
      </c>
      <c r="H27" s="204">
        <v>1.9152465399999996</v>
      </c>
      <c r="I27" s="204">
        <v>1.5923240000000003</v>
      </c>
      <c r="J27" s="204">
        <v>1.6931217199999999</v>
      </c>
      <c r="K27" s="204">
        <v>2.0181</v>
      </c>
      <c r="L27" s="203" t="s">
        <v>79</v>
      </c>
      <c r="M27" s="206"/>
      <c r="N27" s="206"/>
    </row>
    <row r="28" spans="1:14" x14ac:dyDescent="0.25">
      <c r="A28" s="50"/>
      <c r="B28" s="124"/>
      <c r="C28" s="124"/>
      <c r="D28" s="124"/>
      <c r="E28" s="124"/>
      <c r="F28" s="124"/>
      <c r="G28" s="124"/>
      <c r="H28" s="124"/>
      <c r="I28" s="124"/>
      <c r="J28" s="124"/>
      <c r="K28" s="120"/>
      <c r="L28" s="52"/>
      <c r="M28" s="52"/>
      <c r="N28" s="53"/>
    </row>
    <row r="29" spans="1:14" s="5" customFormat="1" x14ac:dyDescent="0.25">
      <c r="A29" s="56" t="s">
        <v>119</v>
      </c>
      <c r="B29" s="56">
        <v>2008</v>
      </c>
      <c r="C29" s="56">
        <v>2009</v>
      </c>
      <c r="D29" s="56">
        <v>2010</v>
      </c>
      <c r="E29" s="56">
        <v>2011</v>
      </c>
      <c r="F29" s="56">
        <v>2012</v>
      </c>
      <c r="G29" s="56">
        <v>2013</v>
      </c>
      <c r="H29" s="56">
        <v>2014</v>
      </c>
      <c r="I29" s="56">
        <v>2015</v>
      </c>
      <c r="J29" s="56">
        <v>2016</v>
      </c>
      <c r="K29" s="74">
        <v>2017</v>
      </c>
      <c r="L29" s="4" t="s">
        <v>765</v>
      </c>
      <c r="M29" s="28" t="s">
        <v>766</v>
      </c>
      <c r="N29" s="29" t="s">
        <v>58</v>
      </c>
    </row>
    <row r="30" spans="1:14" x14ac:dyDescent="0.25">
      <c r="A30" s="41" t="s">
        <v>84</v>
      </c>
      <c r="B30" s="9"/>
      <c r="C30" s="9"/>
      <c r="D30" s="9"/>
      <c r="E30" s="9"/>
      <c r="F30" s="9"/>
      <c r="G30" s="9"/>
      <c r="H30" s="9"/>
      <c r="I30" s="9"/>
      <c r="J30" s="9"/>
      <c r="K30" s="83"/>
      <c r="L30" s="24"/>
      <c r="M30" s="24"/>
      <c r="N30" s="24"/>
    </row>
    <row r="31" spans="1:14" ht="30" x14ac:dyDescent="0.25">
      <c r="A31" s="268" t="s">
        <v>951</v>
      </c>
      <c r="B31" s="220">
        <v>0.10886219999999999</v>
      </c>
      <c r="C31" s="220">
        <v>9.2071829874024014E-2</v>
      </c>
      <c r="D31" s="220">
        <v>0.1011164367456</v>
      </c>
      <c r="E31" s="220">
        <v>0.15149989500000002</v>
      </c>
      <c r="F31" s="220">
        <v>0.15171724140625001</v>
      </c>
      <c r="G31" s="205" t="s">
        <v>830</v>
      </c>
      <c r="H31" s="205" t="s">
        <v>830</v>
      </c>
      <c r="I31" s="220">
        <v>0.18415855500000003</v>
      </c>
      <c r="J31" s="205" t="s">
        <v>830</v>
      </c>
      <c r="K31" s="212"/>
      <c r="L31" s="203" t="s">
        <v>28</v>
      </c>
      <c r="M31" s="209" t="s">
        <v>80</v>
      </c>
      <c r="N31" s="206" t="s">
        <v>822</v>
      </c>
    </row>
    <row r="32" spans="1:14" ht="30" x14ac:dyDescent="0.25">
      <c r="A32" s="268" t="s">
        <v>952</v>
      </c>
      <c r="B32" s="220">
        <v>0.39553265999999998</v>
      </c>
      <c r="C32" s="220">
        <v>0.2787660142133625</v>
      </c>
      <c r="D32" s="220">
        <v>0.50066680138620001</v>
      </c>
      <c r="E32" s="220">
        <v>0.63502950000000002</v>
      </c>
      <c r="F32" s="220">
        <v>0.62808386484375001</v>
      </c>
      <c r="G32" s="205" t="s">
        <v>830</v>
      </c>
      <c r="H32" s="205" t="s">
        <v>830</v>
      </c>
      <c r="I32" s="220">
        <v>0.75426642207446815</v>
      </c>
      <c r="J32" s="205" t="s">
        <v>830</v>
      </c>
      <c r="K32" s="212"/>
      <c r="L32" s="203" t="s">
        <v>28</v>
      </c>
      <c r="M32" s="209" t="s">
        <v>80</v>
      </c>
      <c r="N32" s="206" t="s">
        <v>822</v>
      </c>
    </row>
    <row r="33" spans="1:14" ht="30" x14ac:dyDescent="0.25">
      <c r="A33" s="268" t="s">
        <v>953</v>
      </c>
      <c r="B33" s="220">
        <v>0.68038874999999999</v>
      </c>
      <c r="C33" s="220">
        <v>0.46373174387099997</v>
      </c>
      <c r="D33" s="220">
        <v>0.70219747739999994</v>
      </c>
      <c r="E33" s="220">
        <v>1.036912455</v>
      </c>
      <c r="F33" s="220">
        <v>1.04642844765625</v>
      </c>
      <c r="G33" s="205" t="s">
        <v>830</v>
      </c>
      <c r="H33" s="205" t="s">
        <v>830</v>
      </c>
      <c r="I33" s="220">
        <v>1.2080519401595746</v>
      </c>
      <c r="J33" s="205" t="s">
        <v>830</v>
      </c>
      <c r="K33" s="212"/>
      <c r="L33" s="203" t="s">
        <v>28</v>
      </c>
      <c r="M33" s="209" t="s">
        <v>80</v>
      </c>
      <c r="N33" s="206" t="s">
        <v>822</v>
      </c>
    </row>
    <row r="34" spans="1:14" x14ac:dyDescent="0.25">
      <c r="A34" s="261"/>
      <c r="B34" s="264"/>
    </row>
    <row r="35" spans="1:14" x14ac:dyDescent="0.25">
      <c r="A35" s="261"/>
      <c r="B35" s="264"/>
    </row>
    <row r="36" spans="1:14" x14ac:dyDescent="0.25">
      <c r="A36" s="261"/>
      <c r="B36" s="264"/>
    </row>
    <row r="37" spans="1:14" x14ac:dyDescent="0.25">
      <c r="A37" s="261"/>
      <c r="B37" s="264"/>
    </row>
    <row r="38" spans="1:14" x14ac:dyDescent="0.25">
      <c r="A38" s="261"/>
      <c r="B38" s="264"/>
    </row>
    <row r="39" spans="1:14" x14ac:dyDescent="0.25">
      <c r="A39" s="261"/>
      <c r="B39" s="264"/>
    </row>
    <row r="40" spans="1:14" x14ac:dyDescent="0.25">
      <c r="A40" s="261"/>
      <c r="B40" s="264"/>
    </row>
    <row r="41" spans="1:14" x14ac:dyDescent="0.25">
      <c r="A41" s="261"/>
      <c r="B41" s="264"/>
    </row>
    <row r="42" spans="1:14" x14ac:dyDescent="0.25">
      <c r="A42" s="261"/>
      <c r="B42" s="264"/>
    </row>
    <row r="43" spans="1:14" x14ac:dyDescent="0.25">
      <c r="A43" s="261"/>
      <c r="B43" s="264"/>
    </row>
    <row r="44" spans="1:14" x14ac:dyDescent="0.25">
      <c r="A44" s="261"/>
      <c r="B44" s="264"/>
    </row>
    <row r="45" spans="1:14" x14ac:dyDescent="0.25">
      <c r="A45" s="261"/>
      <c r="B45" s="264"/>
    </row>
    <row r="46" spans="1:14" x14ac:dyDescent="0.25">
      <c r="A46" s="261"/>
      <c r="B46" s="264"/>
    </row>
    <row r="47" spans="1:14" x14ac:dyDescent="0.25">
      <c r="A47" s="261"/>
      <c r="B47" s="264"/>
    </row>
    <row r="48" spans="1:14" x14ac:dyDescent="0.25">
      <c r="A48" s="261"/>
      <c r="B48" s="264"/>
    </row>
    <row r="49" spans="1:12" x14ac:dyDescent="0.25">
      <c r="A49" s="261"/>
      <c r="B49" s="264"/>
    </row>
    <row r="50" spans="1:12" x14ac:dyDescent="0.25">
      <c r="A50" s="261"/>
      <c r="B50" s="264"/>
    </row>
    <row r="51" spans="1:12" x14ac:dyDescent="0.25">
      <c r="A51" s="261"/>
      <c r="B51" s="264"/>
    </row>
    <row r="52" spans="1:12" x14ac:dyDescent="0.25">
      <c r="A52" s="261"/>
      <c r="B52" s="264"/>
    </row>
    <row r="53" spans="1:12" x14ac:dyDescent="0.25">
      <c r="A53" s="261"/>
      <c r="B53" s="264"/>
    </row>
    <row r="54" spans="1:12" x14ac:dyDescent="0.25">
      <c r="A54" s="261"/>
      <c r="B54" s="264"/>
    </row>
    <row r="55" spans="1:12" x14ac:dyDescent="0.25">
      <c r="A55" s="261"/>
      <c r="B55" s="264"/>
    </row>
    <row r="56" spans="1:12" x14ac:dyDescent="0.25">
      <c r="A56" s="261" t="s">
        <v>1078</v>
      </c>
      <c r="B56" s="264"/>
    </row>
    <row r="57" spans="1:12" x14ac:dyDescent="0.25">
      <c r="A57" s="261" t="s">
        <v>1084</v>
      </c>
      <c r="B57" s="264">
        <v>135.79882500000002</v>
      </c>
      <c r="C57"/>
      <c r="D57"/>
      <c r="E57"/>
      <c r="F57"/>
      <c r="G57"/>
      <c r="H57"/>
      <c r="I57"/>
      <c r="J57"/>
      <c r="K57"/>
      <c r="L57"/>
    </row>
    <row r="58" spans="1:12" customFormat="1" x14ac:dyDescent="0.25">
      <c r="A58" s="261" t="s">
        <v>1079</v>
      </c>
      <c r="B58" s="264">
        <v>11.647</v>
      </c>
    </row>
    <row r="59" spans="1:12" x14ac:dyDescent="0.25">
      <c r="A59" s="261" t="s">
        <v>1080</v>
      </c>
      <c r="B59" s="265">
        <v>9.2641000000000009</v>
      </c>
      <c r="C59"/>
      <c r="D59"/>
      <c r="E59"/>
      <c r="F59"/>
      <c r="G59"/>
      <c r="H59"/>
      <c r="I59"/>
      <c r="J59"/>
      <c r="K59"/>
      <c r="L59"/>
    </row>
    <row r="60" spans="1:12" x14ac:dyDescent="0.25">
      <c r="A60" s="261" t="s">
        <v>812</v>
      </c>
      <c r="B60" s="265">
        <v>5.8864000000000001</v>
      </c>
      <c r="C60"/>
      <c r="D60"/>
      <c r="E60"/>
      <c r="F60"/>
      <c r="G60"/>
      <c r="H60"/>
      <c r="I60"/>
      <c r="J60"/>
      <c r="K60"/>
      <c r="L60"/>
    </row>
    <row r="61" spans="1:12" x14ac:dyDescent="0.25">
      <c r="A61" s="261" t="s">
        <v>1081</v>
      </c>
      <c r="B61" s="265">
        <v>5.1075000000000008</v>
      </c>
      <c r="C61"/>
      <c r="D61"/>
      <c r="E61"/>
      <c r="F61"/>
      <c r="G61"/>
      <c r="H61"/>
      <c r="I61"/>
      <c r="J61"/>
      <c r="K61"/>
      <c r="L61"/>
    </row>
    <row r="62" spans="1:12" x14ac:dyDescent="0.25">
      <c r="A62" s="261" t="s">
        <v>1082</v>
      </c>
      <c r="B62" s="265">
        <v>3.6500000000000004</v>
      </c>
      <c r="C62"/>
      <c r="D62"/>
      <c r="E62" s="200"/>
      <c r="F62"/>
      <c r="G62"/>
      <c r="H62"/>
      <c r="I62"/>
      <c r="J62"/>
      <c r="K62"/>
      <c r="L62"/>
    </row>
    <row r="63" spans="1:12" x14ac:dyDescent="0.25">
      <c r="A63" s="261" t="s">
        <v>1083</v>
      </c>
      <c r="B63" s="266">
        <v>0.73260000000000003</v>
      </c>
      <c r="C63"/>
      <c r="D63"/>
      <c r="E63" s="200"/>
      <c r="F63"/>
      <c r="G63"/>
      <c r="H63"/>
      <c r="I63"/>
      <c r="J63"/>
      <c r="K63"/>
      <c r="L63"/>
    </row>
    <row r="64" spans="1:12" x14ac:dyDescent="0.25">
      <c r="A64" s="280"/>
      <c r="B64" s="280"/>
      <c r="C64"/>
      <c r="D64"/>
      <c r="E64" s="200"/>
      <c r="F64"/>
      <c r="G64"/>
      <c r="H64"/>
      <c r="I64"/>
      <c r="J64"/>
      <c r="K64"/>
      <c r="L64"/>
    </row>
    <row r="65" spans="1:12" x14ac:dyDescent="0.25">
      <c r="A65" s="280"/>
      <c r="B65" s="281"/>
      <c r="C65"/>
      <c r="D65"/>
      <c r="E65" s="200"/>
      <c r="F65"/>
      <c r="G65"/>
      <c r="H65"/>
      <c r="I65"/>
      <c r="J65"/>
      <c r="K65"/>
      <c r="L65"/>
    </row>
    <row r="66" spans="1:12" x14ac:dyDescent="0.25">
      <c r="A66" s="280"/>
      <c r="B66" s="281"/>
      <c r="C66"/>
      <c r="D66"/>
      <c r="E66" s="200"/>
      <c r="F66"/>
      <c r="G66"/>
      <c r="H66"/>
      <c r="I66"/>
      <c r="J66"/>
      <c r="K66"/>
      <c r="L66"/>
    </row>
    <row r="67" spans="1:12" x14ac:dyDescent="0.25">
      <c r="A67" s="280"/>
      <c r="B67" s="281"/>
      <c r="C67"/>
      <c r="D67"/>
      <c r="E67" s="200"/>
      <c r="F67"/>
      <c r="G67"/>
      <c r="H67"/>
      <c r="I67"/>
      <c r="J67"/>
      <c r="K67"/>
      <c r="L67"/>
    </row>
    <row r="68" spans="1:12" x14ac:dyDescent="0.25">
      <c r="A68"/>
      <c r="B68" s="281"/>
      <c r="C68"/>
      <c r="D68"/>
      <c r="E68" s="200"/>
      <c r="F68"/>
      <c r="G68"/>
      <c r="H68"/>
      <c r="I68"/>
      <c r="J68"/>
      <c r="K68"/>
      <c r="L68"/>
    </row>
    <row r="69" spans="1:12" x14ac:dyDescent="0.25">
      <c r="A69"/>
      <c r="B69" s="281"/>
      <c r="C69"/>
      <c r="D69"/>
      <c r="E69" s="200"/>
      <c r="F69"/>
      <c r="G69"/>
      <c r="H69"/>
      <c r="I69"/>
      <c r="J69"/>
      <c r="K69"/>
      <c r="L69"/>
    </row>
    <row r="70" spans="1:12" x14ac:dyDescent="0.25">
      <c r="A70"/>
      <c r="B70" s="281"/>
      <c r="C70"/>
      <c r="D70"/>
      <c r="E70" s="200"/>
      <c r="F70"/>
      <c r="G70"/>
      <c r="H70"/>
      <c r="I70"/>
      <c r="J70"/>
      <c r="K70"/>
      <c r="L70"/>
    </row>
    <row r="71" spans="1:12" x14ac:dyDescent="0.25">
      <c r="A71"/>
      <c r="B71" s="281"/>
      <c r="C71"/>
      <c r="D71"/>
      <c r="E71" s="200"/>
      <c r="F71"/>
      <c r="G71"/>
      <c r="H71"/>
      <c r="I71"/>
      <c r="J71"/>
      <c r="K71"/>
      <c r="L71"/>
    </row>
    <row r="72" spans="1:12" x14ac:dyDescent="0.25">
      <c r="B72" s="281"/>
      <c r="C72" s="199"/>
      <c r="D72" s="199"/>
      <c r="E72" s="199"/>
      <c r="F72" s="199"/>
      <c r="G72" s="199"/>
      <c r="H72" s="199"/>
      <c r="I72" s="199"/>
      <c r="J72" s="199"/>
      <c r="K72" s="199"/>
    </row>
    <row r="73" spans="1:12" x14ac:dyDescent="0.25">
      <c r="B73" s="280"/>
      <c r="C73" s="199"/>
      <c r="D73" s="199"/>
      <c r="E73" s="199"/>
      <c r="F73" s="199"/>
      <c r="G73" s="199"/>
      <c r="H73" s="199"/>
      <c r="I73" s="199"/>
      <c r="J73" s="199"/>
      <c r="K73" s="199"/>
    </row>
    <row r="74" spans="1:12" x14ac:dyDescent="0.25">
      <c r="B74" s="199"/>
      <c r="C74" s="199"/>
      <c r="D74" s="199"/>
      <c r="E74" s="199"/>
      <c r="F74" s="199"/>
      <c r="G74" s="199"/>
      <c r="H74" s="199"/>
      <c r="I74" s="199"/>
      <c r="J74" s="199"/>
      <c r="K74" s="199"/>
    </row>
    <row r="103" spans="5:13" x14ac:dyDescent="0.25">
      <c r="E103"/>
      <c r="F103"/>
      <c r="G103"/>
      <c r="H103"/>
      <c r="I103"/>
      <c r="J103"/>
      <c r="K103"/>
      <c r="L103"/>
      <c r="M103"/>
    </row>
    <row r="104" spans="5:13" x14ac:dyDescent="0.25">
      <c r="E104"/>
      <c r="F104"/>
      <c r="G104"/>
      <c r="H104"/>
      <c r="I104"/>
      <c r="J104"/>
      <c r="K104"/>
      <c r="L104"/>
      <c r="M104"/>
    </row>
    <row r="105" spans="5:13" x14ac:dyDescent="0.25">
      <c r="E105"/>
      <c r="F105"/>
      <c r="G105"/>
      <c r="H105"/>
      <c r="I105"/>
      <c r="J105"/>
      <c r="K105"/>
      <c r="L105"/>
      <c r="M105"/>
    </row>
    <row r="106" spans="5:13" x14ac:dyDescent="0.25">
      <c r="E106"/>
      <c r="F106"/>
      <c r="G106"/>
      <c r="H106"/>
      <c r="I106"/>
      <c r="J106"/>
      <c r="K106"/>
      <c r="L106"/>
      <c r="M106"/>
    </row>
    <row r="107" spans="5:13" x14ac:dyDescent="0.25">
      <c r="E107"/>
      <c r="F107"/>
      <c r="G107"/>
      <c r="H107"/>
      <c r="I107"/>
      <c r="J107"/>
      <c r="K107"/>
      <c r="L107"/>
      <c r="M107"/>
    </row>
    <row r="108" spans="5:13" x14ac:dyDescent="0.25">
      <c r="E108"/>
      <c r="F108"/>
      <c r="G108"/>
      <c r="H108"/>
      <c r="I108"/>
      <c r="J108"/>
      <c r="K108"/>
      <c r="L108"/>
      <c r="M108"/>
    </row>
    <row r="109" spans="5:13" x14ac:dyDescent="0.25">
      <c r="E109"/>
      <c r="F109"/>
      <c r="G109"/>
      <c r="H109"/>
      <c r="I109"/>
      <c r="J109"/>
      <c r="K109"/>
      <c r="L109"/>
      <c r="M109"/>
    </row>
    <row r="110" spans="5:13" x14ac:dyDescent="0.25">
      <c r="E110"/>
      <c r="F110"/>
      <c r="G110"/>
      <c r="H110"/>
      <c r="I110"/>
      <c r="J110"/>
      <c r="K110"/>
      <c r="L110"/>
      <c r="M110"/>
    </row>
    <row r="111" spans="5:13" x14ac:dyDescent="0.25">
      <c r="E111"/>
      <c r="F111"/>
      <c r="G111"/>
      <c r="H111"/>
      <c r="I111"/>
      <c r="J111"/>
      <c r="K111"/>
      <c r="L111"/>
      <c r="M111"/>
    </row>
    <row r="112" spans="5:13" x14ac:dyDescent="0.25">
      <c r="E112"/>
      <c r="F112"/>
      <c r="G112"/>
      <c r="H112"/>
      <c r="I112"/>
      <c r="J112"/>
      <c r="K112"/>
      <c r="L112"/>
      <c r="M112"/>
    </row>
    <row r="113" spans="5:13" x14ac:dyDescent="0.25">
      <c r="E113"/>
      <c r="F113"/>
      <c r="G113"/>
      <c r="H113"/>
      <c r="I113"/>
      <c r="J113"/>
      <c r="K113"/>
      <c r="L113"/>
      <c r="M113"/>
    </row>
  </sheetData>
  <mergeCells count="1">
    <mergeCell ref="A1:A2"/>
  </mergeCells>
  <hyperlinks>
    <hyperlink ref="M4" r:id="rId1" xr:uid="{1B235A00-FF37-4003-97FA-CACB95A0FE2D}"/>
    <hyperlink ref="M31" r:id="rId2" xr:uid="{E91302CD-8B87-4E15-822C-48A416269B04}"/>
    <hyperlink ref="M32" r:id="rId3" xr:uid="{10AA81BC-E137-4C06-B8A0-0522276C9EF3}"/>
    <hyperlink ref="M33" r:id="rId4" xr:uid="{051D2EAD-B9CC-4F95-B1A0-5ADC35AF757B}"/>
    <hyperlink ref="M24" r:id="rId5" xr:uid="{B1D30DE3-7C08-4B33-9EB6-6CF9778BE150}"/>
    <hyperlink ref="M21" r:id="rId6" xr:uid="{7B446F42-FF10-40D4-95C4-E685CA4FDF6A}"/>
    <hyperlink ref="M25" r:id="rId7" xr:uid="{9642A5CB-8B50-4113-824E-D025C528B9F8}"/>
  </hyperlinks>
  <pageMargins left="0.7" right="0.7" top="0.75" bottom="0.75" header="0.3" footer="0.3"/>
  <pageSetup orientation="portrait" r:id="rId8"/>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9F23-4A16-4E99-9A30-740B137585C8}">
  <sheetPr>
    <tabColor rgb="FF00441B"/>
  </sheetPr>
  <dimension ref="A1:N99"/>
  <sheetViews>
    <sheetView zoomScale="85" zoomScaleNormal="85" workbookViewId="0">
      <pane xSplit="1" ySplit="3" topLeftCell="B4" activePane="bottomRight" state="frozen"/>
      <selection pane="topRight" activeCell="B1" sqref="B1"/>
      <selection pane="bottomLeft" activeCell="A4" sqref="A4"/>
      <selection pane="bottomRight" activeCell="B11" sqref="B11"/>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2821</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268" t="s">
        <v>843</v>
      </c>
      <c r="B4" s="378">
        <v>9.4710000000000001</v>
      </c>
      <c r="C4" s="378">
        <v>9.1494999999999997</v>
      </c>
      <c r="D4" s="378">
        <v>10.974200000000002</v>
      </c>
      <c r="E4" s="378">
        <v>14.7354</v>
      </c>
      <c r="F4" s="378">
        <v>12.2644</v>
      </c>
      <c r="G4" s="378">
        <v>10.407</v>
      </c>
      <c r="H4" s="378">
        <v>11.0374</v>
      </c>
      <c r="I4" s="378">
        <v>8.5805000000000007</v>
      </c>
      <c r="J4" s="378">
        <v>10.0725</v>
      </c>
      <c r="K4" s="378">
        <v>12.611499999999999</v>
      </c>
      <c r="L4" s="213" t="s">
        <v>28</v>
      </c>
      <c r="M4" s="209" t="s">
        <v>857</v>
      </c>
      <c r="N4" s="206"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ht="30" x14ac:dyDescent="0.25">
      <c r="A7" s="268" t="s">
        <v>733</v>
      </c>
      <c r="B7" s="205">
        <v>5.9771698095000003</v>
      </c>
      <c r="C7" s="205">
        <v>3.9011676555000006</v>
      </c>
      <c r="D7" s="205">
        <v>3.7637291280000005</v>
      </c>
      <c r="E7" s="205">
        <v>5.5302904785000004</v>
      </c>
      <c r="F7" s="205">
        <v>4.8715834500000001</v>
      </c>
      <c r="G7" s="205">
        <v>5.1401102099999996</v>
      </c>
      <c r="H7" s="205">
        <v>3.8128985550000003</v>
      </c>
      <c r="I7" s="205">
        <v>4.6493231249999996</v>
      </c>
      <c r="J7" s="205">
        <v>3.667748955</v>
      </c>
      <c r="K7" s="205">
        <v>4.8706762650000002</v>
      </c>
      <c r="L7" s="213" t="s">
        <v>28</v>
      </c>
      <c r="M7" s="209" t="s">
        <v>857</v>
      </c>
      <c r="N7" s="206" t="s">
        <v>822</v>
      </c>
    </row>
    <row r="8" spans="1:14" ht="30" x14ac:dyDescent="0.25">
      <c r="A8" s="268" t="s">
        <v>863</v>
      </c>
      <c r="B8" s="204">
        <v>5.2961485240800927</v>
      </c>
      <c r="C8" s="204">
        <v>3.8457032173878263</v>
      </c>
      <c r="D8" s="204">
        <v>3.6742145931644212</v>
      </c>
      <c r="E8" s="204">
        <v>5.0305691723990948</v>
      </c>
      <c r="F8" s="204">
        <v>5.007811880001146</v>
      </c>
      <c r="G8" s="204">
        <v>4.9932598365891074</v>
      </c>
      <c r="H8" s="204">
        <v>3.7572643484720558</v>
      </c>
      <c r="I8" s="204">
        <v>4.4858972833082333</v>
      </c>
      <c r="J8" s="204">
        <v>3.6008518195073735</v>
      </c>
      <c r="K8" s="204">
        <v>4.5989058498045479</v>
      </c>
      <c r="L8" s="213" t="s">
        <v>28</v>
      </c>
      <c r="M8" s="209" t="s">
        <v>857</v>
      </c>
      <c r="N8" s="206" t="s">
        <v>822</v>
      </c>
    </row>
    <row r="9" spans="1:14" ht="30" x14ac:dyDescent="0.25">
      <c r="A9" s="268" t="s">
        <v>867</v>
      </c>
      <c r="B9" s="215">
        <v>2.338293010604159E-3</v>
      </c>
      <c r="C9" s="215">
        <v>0</v>
      </c>
      <c r="D9" s="215">
        <v>2.1921000099411739E-2</v>
      </c>
      <c r="E9" s="215">
        <v>2.458650011149978E-4</v>
      </c>
      <c r="F9" s="215">
        <v>8.6447567392039723E-2</v>
      </c>
      <c r="G9" s="215">
        <v>8.3010330376451849E-2</v>
      </c>
      <c r="H9" s="215">
        <v>8.2190294372733008E-2</v>
      </c>
      <c r="I9" s="215">
        <v>5.442555124681988E-2</v>
      </c>
      <c r="J9" s="215">
        <v>1.4852045067354026E-2</v>
      </c>
      <c r="K9" s="215">
        <v>4.6338221210143839E-2</v>
      </c>
      <c r="L9" s="213" t="s">
        <v>28</v>
      </c>
      <c r="M9" s="209" t="s">
        <v>857</v>
      </c>
      <c r="N9" s="206" t="s">
        <v>822</v>
      </c>
    </row>
    <row r="10" spans="1:14" ht="30" x14ac:dyDescent="0.25">
      <c r="A10" s="268" t="s">
        <v>871</v>
      </c>
      <c r="B10" s="219">
        <v>0.54366306746551196</v>
      </c>
      <c r="C10" s="219">
        <v>0.17247497378217402</v>
      </c>
      <c r="D10" s="219">
        <v>0.26791406121499028</v>
      </c>
      <c r="E10" s="219">
        <v>0.24961858413202029</v>
      </c>
      <c r="F10" s="219">
        <v>0.12037347754589371</v>
      </c>
      <c r="G10" s="219">
        <v>0.17361523378734509</v>
      </c>
      <c r="H10" s="219">
        <v>0.19860589590067776</v>
      </c>
      <c r="I10" s="219">
        <v>0.20696517293858707</v>
      </c>
      <c r="J10" s="219">
        <v>0.1234796905599804</v>
      </c>
      <c r="K10" s="219">
        <v>0.30994397140559599</v>
      </c>
      <c r="L10" s="213" t="s">
        <v>28</v>
      </c>
      <c r="M10" s="209" t="s">
        <v>857</v>
      </c>
      <c r="N10" s="206" t="s">
        <v>822</v>
      </c>
    </row>
    <row r="11" spans="1:14" ht="30" x14ac:dyDescent="0.25">
      <c r="A11" s="268" t="s">
        <v>836</v>
      </c>
      <c r="B11" s="219">
        <v>0.44368785417000001</v>
      </c>
      <c r="C11" s="219">
        <v>0.58338436513500003</v>
      </c>
      <c r="D11" s="219">
        <v>0.46637382946500011</v>
      </c>
      <c r="E11" s="219">
        <v>0.30989530318499997</v>
      </c>
      <c r="F11" s="219">
        <v>0.56024389015499998</v>
      </c>
      <c r="G11" s="219">
        <v>0.39008955000000001</v>
      </c>
      <c r="H11" s="219">
        <v>0.44633501999999997</v>
      </c>
      <c r="I11" s="219">
        <v>0.38555362500000001</v>
      </c>
      <c r="J11" s="219">
        <v>0.39643984500000001</v>
      </c>
      <c r="K11" s="219">
        <v>0.35470933500000001</v>
      </c>
      <c r="L11" s="213" t="s">
        <v>28</v>
      </c>
      <c r="M11" s="209" t="s">
        <v>857</v>
      </c>
      <c r="N11" s="206" t="s">
        <v>740</v>
      </c>
    </row>
    <row r="12" spans="1:14" ht="30" x14ac:dyDescent="0.25">
      <c r="A12" s="268" t="s">
        <v>837</v>
      </c>
      <c r="B12" s="219">
        <v>0.58338436513500003</v>
      </c>
      <c r="C12" s="219">
        <v>0.46637382946500011</v>
      </c>
      <c r="D12" s="219">
        <v>0.30989530318499997</v>
      </c>
      <c r="E12" s="219">
        <v>0.56024389015499998</v>
      </c>
      <c r="F12" s="219">
        <v>0.39008955000000001</v>
      </c>
      <c r="G12" s="219">
        <v>0.44633501999999997</v>
      </c>
      <c r="H12" s="219">
        <v>0.38555362500000001</v>
      </c>
      <c r="I12" s="219">
        <v>0.39643984500000001</v>
      </c>
      <c r="J12" s="219">
        <v>0.35470933500000001</v>
      </c>
      <c r="K12" s="219">
        <v>0.36287400000000003</v>
      </c>
      <c r="L12" s="213" t="s">
        <v>28</v>
      </c>
      <c r="M12" s="209" t="s">
        <v>857</v>
      </c>
      <c r="N12" s="206" t="s">
        <v>740</v>
      </c>
    </row>
    <row r="13" spans="1:14" x14ac:dyDescent="0.25">
      <c r="A13" s="41" t="s">
        <v>83</v>
      </c>
      <c r="B13" s="134"/>
      <c r="C13" s="9"/>
      <c r="D13" s="9"/>
      <c r="E13" s="9"/>
      <c r="F13" s="9"/>
      <c r="G13" s="9"/>
      <c r="H13" s="9"/>
      <c r="I13" s="9"/>
      <c r="J13" s="9"/>
      <c r="K13" s="83"/>
      <c r="L13" s="24"/>
      <c r="M13" s="44"/>
      <c r="N13" s="24"/>
    </row>
    <row r="14" spans="1:14" ht="30" x14ac:dyDescent="0.25">
      <c r="A14" s="268" t="s">
        <v>1092</v>
      </c>
      <c r="B14" s="217">
        <v>2.4547329131898001</v>
      </c>
      <c r="C14" s="217">
        <v>2.0319373662765003</v>
      </c>
      <c r="D14" s="217">
        <v>1.7242837444420498</v>
      </c>
      <c r="E14" s="217">
        <v>2.3247078924379503</v>
      </c>
      <c r="F14" s="217">
        <v>2.177244</v>
      </c>
      <c r="G14" s="217">
        <v>2.2679624999999999</v>
      </c>
      <c r="H14" s="217">
        <v>1.81437</v>
      </c>
      <c r="I14" s="217">
        <v>1.7236514999999999</v>
      </c>
      <c r="J14" s="217">
        <v>1.3607775</v>
      </c>
      <c r="K14" s="217">
        <v>1.6052094264000001</v>
      </c>
      <c r="L14" s="213" t="s">
        <v>28</v>
      </c>
      <c r="M14" s="209" t="s">
        <v>857</v>
      </c>
      <c r="N14" s="206" t="s">
        <v>822</v>
      </c>
    </row>
    <row r="15" spans="1:14" x14ac:dyDescent="0.25">
      <c r="A15" s="50"/>
      <c r="B15" s="124"/>
      <c r="C15" s="124"/>
      <c r="D15" s="124"/>
      <c r="E15" s="124"/>
      <c r="F15" s="124"/>
      <c r="G15" s="124"/>
      <c r="H15" s="124"/>
      <c r="I15" s="124"/>
      <c r="J15" s="124"/>
      <c r="K15" s="120"/>
      <c r="L15" s="52"/>
      <c r="M15" s="52"/>
      <c r="N15" s="53"/>
    </row>
    <row r="16" spans="1:14" s="5" customFormat="1" x14ac:dyDescent="0.25">
      <c r="A16" s="56" t="s">
        <v>19</v>
      </c>
      <c r="B16" s="56">
        <v>2008</v>
      </c>
      <c r="C16" s="56">
        <v>2009</v>
      </c>
      <c r="D16" s="56">
        <v>2010</v>
      </c>
      <c r="E16" s="56">
        <v>2011</v>
      </c>
      <c r="F16" s="56">
        <v>2012</v>
      </c>
      <c r="G16" s="56">
        <v>2013</v>
      </c>
      <c r="H16" s="56">
        <v>2014</v>
      </c>
      <c r="I16" s="56">
        <v>2015</v>
      </c>
      <c r="J16" s="56">
        <v>2016</v>
      </c>
      <c r="K16" s="74">
        <v>2017</v>
      </c>
      <c r="L16" s="4" t="s">
        <v>765</v>
      </c>
      <c r="M16" s="28" t="s">
        <v>766</v>
      </c>
      <c r="N16" s="29" t="s">
        <v>58</v>
      </c>
    </row>
    <row r="17" spans="1:14" ht="30" x14ac:dyDescent="0.25">
      <c r="A17" s="268" t="s">
        <v>2822</v>
      </c>
      <c r="B17" s="205">
        <v>178.57438119016518</v>
      </c>
      <c r="C17" s="205">
        <v>245.81535188522739</v>
      </c>
      <c r="D17" s="205">
        <v>174.16513721016111</v>
      </c>
      <c r="E17" s="205">
        <v>177.47207019516415</v>
      </c>
      <c r="F17" s="205">
        <v>286.60085870026512</v>
      </c>
      <c r="G17" s="205">
        <v>277.78237074025697</v>
      </c>
      <c r="H17" s="205">
        <v>271.16850477025082</v>
      </c>
      <c r="I17" s="205">
        <v>213.84833303019781</v>
      </c>
      <c r="J17" s="205">
        <v>250.22459586523146</v>
      </c>
      <c r="K17" s="205">
        <v>214.95064402519881</v>
      </c>
      <c r="L17" s="213" t="s">
        <v>28</v>
      </c>
      <c r="M17" s="209" t="s">
        <v>857</v>
      </c>
      <c r="N17" s="206" t="s">
        <v>822</v>
      </c>
    </row>
    <row r="18" spans="1:14" ht="30" x14ac:dyDescent="0.25">
      <c r="A18" s="203" t="s">
        <v>772</v>
      </c>
      <c r="B18" s="205">
        <v>1621.7199432</v>
      </c>
      <c r="C18" s="205">
        <v>817.914762</v>
      </c>
      <c r="D18" s="205">
        <v>887.80127940000011</v>
      </c>
      <c r="E18" s="205">
        <v>1201.5189899999998</v>
      </c>
      <c r="F18" s="205">
        <v>1173.2998283999998</v>
      </c>
      <c r="G18" s="205">
        <v>1071.4462919999999</v>
      </c>
      <c r="H18" s="205">
        <v>1337.3237051999999</v>
      </c>
      <c r="I18" s="205">
        <v>1008.3941027999999</v>
      </c>
      <c r="J18" s="205">
        <v>1011.2601113999999</v>
      </c>
      <c r="K18" s="205">
        <v>902.13132239999993</v>
      </c>
      <c r="L18" s="203" t="s">
        <v>778</v>
      </c>
      <c r="M18" s="209" t="s">
        <v>777</v>
      </c>
      <c r="N18" s="206" t="s">
        <v>779</v>
      </c>
    </row>
    <row r="19" spans="1:14" x14ac:dyDescent="0.25">
      <c r="A19" s="203" t="s">
        <v>938</v>
      </c>
      <c r="B19" s="222">
        <v>3.0236320000000001</v>
      </c>
      <c r="C19" s="222">
        <v>3.7866740000000001</v>
      </c>
      <c r="D19" s="222">
        <v>7.3468679999999997</v>
      </c>
      <c r="E19" s="222">
        <v>6.985976</v>
      </c>
      <c r="F19" s="222">
        <v>6.2918130000000003</v>
      </c>
      <c r="G19" s="222">
        <v>5.1915050000000003</v>
      </c>
      <c r="H19" s="222">
        <v>5.1472410000000002</v>
      </c>
      <c r="I19" s="222">
        <v>3.9889779999999999</v>
      </c>
      <c r="J19" s="222">
        <v>5.8137740000000004</v>
      </c>
      <c r="K19" s="222">
        <v>7.227322</v>
      </c>
      <c r="L19" s="203" t="s">
        <v>74</v>
      </c>
      <c r="M19" s="209" t="s">
        <v>767</v>
      </c>
      <c r="N19" s="206" t="s">
        <v>738</v>
      </c>
    </row>
    <row r="20" spans="1:14" x14ac:dyDescent="0.25">
      <c r="A20" s="261"/>
      <c r="B20" s="264"/>
    </row>
    <row r="21" spans="1:14" x14ac:dyDescent="0.25">
      <c r="A21" s="261"/>
      <c r="B21" s="264"/>
    </row>
    <row r="22" spans="1:14" x14ac:dyDescent="0.25">
      <c r="A22" s="261"/>
      <c r="B22" s="264"/>
    </row>
    <row r="23" spans="1:14" x14ac:dyDescent="0.25">
      <c r="A23" s="261"/>
      <c r="B23" s="264"/>
    </row>
    <row r="24" spans="1:14" x14ac:dyDescent="0.25">
      <c r="A24" s="261"/>
      <c r="B24" s="264"/>
    </row>
    <row r="25" spans="1:14" x14ac:dyDescent="0.25">
      <c r="A25" s="261"/>
      <c r="B25" s="264"/>
    </row>
    <row r="26" spans="1:14" x14ac:dyDescent="0.25">
      <c r="A26" s="261"/>
      <c r="B26" s="264"/>
    </row>
    <row r="27" spans="1:14" x14ac:dyDescent="0.25">
      <c r="A27" s="261"/>
      <c r="B27" s="264"/>
    </row>
    <row r="28" spans="1:14" x14ac:dyDescent="0.25">
      <c r="A28" s="261"/>
      <c r="B28" s="264"/>
    </row>
    <row r="29" spans="1:14" x14ac:dyDescent="0.25">
      <c r="A29" s="261"/>
      <c r="B29" s="264"/>
    </row>
    <row r="30" spans="1:14" x14ac:dyDescent="0.25">
      <c r="A30" s="261"/>
      <c r="B30" s="264"/>
    </row>
    <row r="31" spans="1:14" x14ac:dyDescent="0.25">
      <c r="A31" s="261"/>
      <c r="B31" s="264"/>
    </row>
    <row r="32" spans="1:14"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c r="B39" s="264"/>
    </row>
    <row r="40" spans="1:12" x14ac:dyDescent="0.25">
      <c r="A40" s="261"/>
      <c r="B40" s="264"/>
    </row>
    <row r="41" spans="1:12" x14ac:dyDescent="0.25">
      <c r="A41" s="261"/>
      <c r="B41" s="264"/>
    </row>
    <row r="42" spans="1:12" x14ac:dyDescent="0.25">
      <c r="A42" s="261" t="s">
        <v>1078</v>
      </c>
      <c r="B42" s="264"/>
    </row>
    <row r="43" spans="1:12" x14ac:dyDescent="0.25">
      <c r="A43" s="261" t="s">
        <v>1084</v>
      </c>
      <c r="B43" s="264">
        <v>135.79882500000002</v>
      </c>
      <c r="C43"/>
      <c r="D43"/>
      <c r="E43"/>
      <c r="F43"/>
      <c r="G43"/>
      <c r="H43"/>
      <c r="I43"/>
      <c r="J43"/>
      <c r="K43"/>
      <c r="L43"/>
    </row>
    <row r="44" spans="1:12" customFormat="1" x14ac:dyDescent="0.25">
      <c r="A44" s="261" t="s">
        <v>1079</v>
      </c>
      <c r="B44" s="264">
        <v>11.647</v>
      </c>
    </row>
    <row r="45" spans="1:12" x14ac:dyDescent="0.25">
      <c r="A45" s="261" t="s">
        <v>1080</v>
      </c>
      <c r="B45" s="265">
        <v>9.2641000000000009</v>
      </c>
      <c r="C45"/>
      <c r="D45"/>
      <c r="E45"/>
      <c r="F45"/>
      <c r="G45"/>
      <c r="H45"/>
      <c r="I45"/>
      <c r="J45"/>
      <c r="K45"/>
      <c r="L45"/>
    </row>
    <row r="46" spans="1:12" x14ac:dyDescent="0.25">
      <c r="A46" s="261" t="s">
        <v>812</v>
      </c>
      <c r="B46" s="265">
        <v>5.8864000000000001</v>
      </c>
      <c r="C46"/>
      <c r="D46"/>
      <c r="E46"/>
      <c r="F46"/>
      <c r="G46"/>
      <c r="H46"/>
      <c r="I46"/>
      <c r="J46"/>
      <c r="K46"/>
      <c r="L46"/>
    </row>
    <row r="47" spans="1:12" x14ac:dyDescent="0.25">
      <c r="A47" s="261" t="s">
        <v>1081</v>
      </c>
      <c r="B47" s="265">
        <v>5.1075000000000008</v>
      </c>
      <c r="C47"/>
      <c r="D47"/>
      <c r="E47"/>
      <c r="F47"/>
      <c r="G47"/>
      <c r="H47"/>
      <c r="I47"/>
      <c r="J47"/>
      <c r="K47"/>
      <c r="L47"/>
    </row>
    <row r="48" spans="1:12" x14ac:dyDescent="0.25">
      <c r="A48" s="261" t="s">
        <v>1082</v>
      </c>
      <c r="B48" s="265">
        <v>3.6500000000000004</v>
      </c>
      <c r="C48"/>
      <c r="D48"/>
      <c r="E48" s="200"/>
      <c r="F48"/>
      <c r="G48"/>
      <c r="H48"/>
      <c r="I48"/>
      <c r="J48"/>
      <c r="K48"/>
      <c r="L48"/>
    </row>
    <row r="49" spans="1:12" x14ac:dyDescent="0.25">
      <c r="A49" s="261" t="s">
        <v>1083</v>
      </c>
      <c r="B49" s="266">
        <v>0.73260000000000003</v>
      </c>
      <c r="C49"/>
      <c r="D49"/>
      <c r="E49" s="200"/>
      <c r="F49"/>
      <c r="G49"/>
      <c r="H49"/>
      <c r="I49"/>
      <c r="J49"/>
      <c r="K49"/>
      <c r="L49"/>
    </row>
    <row r="50" spans="1:12" x14ac:dyDescent="0.25">
      <c r="A50" s="280"/>
      <c r="B50" s="280"/>
      <c r="C50"/>
      <c r="D50"/>
      <c r="E50" s="200"/>
      <c r="F50"/>
      <c r="G50"/>
      <c r="H50"/>
      <c r="I50"/>
      <c r="J50"/>
      <c r="K50"/>
      <c r="L50"/>
    </row>
    <row r="51" spans="1:12" x14ac:dyDescent="0.25">
      <c r="A51" s="280"/>
      <c r="B51" s="281"/>
      <c r="C51"/>
      <c r="D51"/>
      <c r="E51" s="200"/>
      <c r="F51"/>
      <c r="G51"/>
      <c r="H51"/>
      <c r="I51"/>
      <c r="J51"/>
      <c r="K51"/>
      <c r="L51"/>
    </row>
    <row r="52" spans="1:12" x14ac:dyDescent="0.25">
      <c r="A52" s="280"/>
      <c r="B52" s="281"/>
      <c r="C52"/>
      <c r="D52"/>
      <c r="E52" s="200"/>
      <c r="F52"/>
      <c r="G52"/>
      <c r="H52"/>
      <c r="I52"/>
      <c r="J52"/>
      <c r="K52"/>
      <c r="L52"/>
    </row>
    <row r="53" spans="1:12" x14ac:dyDescent="0.25">
      <c r="A53" s="280"/>
      <c r="B53" s="281"/>
      <c r="C53"/>
      <c r="D53"/>
      <c r="E53" s="200"/>
      <c r="F53"/>
      <c r="G53"/>
      <c r="H53"/>
      <c r="I53"/>
      <c r="J53"/>
      <c r="K53"/>
      <c r="L53"/>
    </row>
    <row r="54" spans="1:12" x14ac:dyDescent="0.25">
      <c r="A54"/>
      <c r="B54" s="281"/>
      <c r="C54"/>
      <c r="D54"/>
      <c r="E54" s="200"/>
      <c r="F54"/>
      <c r="G54"/>
      <c r="H54"/>
      <c r="I54"/>
      <c r="J54"/>
      <c r="K54"/>
      <c r="L54"/>
    </row>
    <row r="55" spans="1:12" x14ac:dyDescent="0.25">
      <c r="A55"/>
      <c r="B55" s="281"/>
      <c r="C55"/>
      <c r="D55"/>
      <c r="E55" s="200"/>
      <c r="F55"/>
      <c r="G55"/>
      <c r="H55"/>
      <c r="I55"/>
      <c r="J55"/>
      <c r="K55"/>
      <c r="L55"/>
    </row>
    <row r="56" spans="1:12" x14ac:dyDescent="0.25">
      <c r="A56"/>
      <c r="B56" s="281"/>
      <c r="C56"/>
      <c r="D56"/>
      <c r="E56" s="200"/>
      <c r="F56"/>
      <c r="G56"/>
      <c r="H56"/>
      <c r="I56"/>
      <c r="J56"/>
      <c r="K56"/>
      <c r="L56"/>
    </row>
    <row r="57" spans="1:12" x14ac:dyDescent="0.25">
      <c r="A57"/>
      <c r="B57" s="281"/>
      <c r="C57"/>
      <c r="D57"/>
      <c r="E57" s="200"/>
      <c r="F57"/>
      <c r="G57"/>
      <c r="H57"/>
      <c r="I57"/>
      <c r="J57"/>
      <c r="K57"/>
      <c r="L57"/>
    </row>
    <row r="58" spans="1:12" x14ac:dyDescent="0.25">
      <c r="B58" s="281"/>
      <c r="C58" s="199"/>
      <c r="D58" s="199"/>
      <c r="E58" s="199"/>
      <c r="F58" s="199"/>
      <c r="G58" s="199"/>
      <c r="H58" s="199"/>
      <c r="I58" s="199"/>
      <c r="J58" s="199"/>
      <c r="K58" s="199"/>
    </row>
    <row r="59" spans="1:12" x14ac:dyDescent="0.25">
      <c r="B59" s="280"/>
      <c r="C59" s="199"/>
      <c r="D59" s="199"/>
      <c r="E59" s="199"/>
      <c r="F59" s="199"/>
      <c r="G59" s="199"/>
      <c r="H59" s="199"/>
      <c r="I59" s="199"/>
      <c r="J59" s="199"/>
      <c r="K59" s="199"/>
    </row>
    <row r="60" spans="1:12" x14ac:dyDescent="0.25">
      <c r="B60" s="199"/>
      <c r="C60" s="199"/>
      <c r="D60" s="199"/>
      <c r="E60" s="199"/>
      <c r="F60" s="199"/>
      <c r="G60" s="199"/>
      <c r="H60" s="199"/>
      <c r="I60" s="199"/>
      <c r="J60" s="199"/>
      <c r="K60" s="199"/>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row r="97" spans="5:13" x14ac:dyDescent="0.25">
      <c r="E97"/>
      <c r="F97"/>
      <c r="G97"/>
      <c r="H97"/>
      <c r="I97"/>
      <c r="J97"/>
      <c r="K97"/>
      <c r="L97"/>
      <c r="M97"/>
    </row>
    <row r="98" spans="5:13" x14ac:dyDescent="0.25">
      <c r="E98"/>
      <c r="F98"/>
      <c r="G98"/>
      <c r="H98"/>
      <c r="I98"/>
      <c r="J98"/>
      <c r="K98"/>
      <c r="L98"/>
      <c r="M98"/>
    </row>
    <row r="99" spans="5:13" x14ac:dyDescent="0.25">
      <c r="E99"/>
      <c r="F99"/>
      <c r="G99"/>
      <c r="H99"/>
      <c r="I99"/>
      <c r="J99"/>
      <c r="K99"/>
      <c r="L99"/>
      <c r="M99"/>
    </row>
  </sheetData>
  <mergeCells count="1">
    <mergeCell ref="A1:A2"/>
  </mergeCells>
  <hyperlinks>
    <hyperlink ref="M19" r:id="rId1" xr:uid="{3F6F2B15-C7BB-476F-B261-46AA616C3E5D}"/>
    <hyperlink ref="M8" r:id="rId2" xr:uid="{4D8E58F9-EE07-40FA-8528-C03D609D1985}"/>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903F-BED7-492B-974B-B1702B219922}">
  <sheetPr>
    <tabColor rgb="FF00441B"/>
  </sheetPr>
  <dimension ref="A1:N99"/>
  <sheetViews>
    <sheetView tabSelected="1" zoomScale="85" zoomScaleNormal="85" workbookViewId="0">
      <pane xSplit="1" ySplit="3" topLeftCell="B4" activePane="bottomRight" state="frozen"/>
      <selection pane="topRight" activeCell="B1" sqref="B1"/>
      <selection pane="bottomLeft" activeCell="A4" sqref="A4"/>
      <selection pane="bottomRight" activeCell="F12" sqref="D12:F12"/>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2823</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268" t="s">
        <v>846</v>
      </c>
      <c r="B4" s="204">
        <v>1.534</v>
      </c>
      <c r="C4" s="204">
        <v>1.1160000000000001</v>
      </c>
      <c r="D4" s="204">
        <v>1.288</v>
      </c>
      <c r="E4" s="204">
        <v>1.1405999999999998</v>
      </c>
      <c r="F4" s="204">
        <v>1.6379999999999999</v>
      </c>
      <c r="G4" s="204">
        <v>1.0669999999999999</v>
      </c>
      <c r="H4" s="204">
        <v>1.3534999999999999</v>
      </c>
      <c r="I4" s="204">
        <v>1.625</v>
      </c>
      <c r="J4" s="204">
        <v>1.671</v>
      </c>
      <c r="K4" s="204">
        <v>1.8705999999999998</v>
      </c>
      <c r="L4" s="213" t="s">
        <v>28</v>
      </c>
      <c r="M4" s="209" t="s">
        <v>857</v>
      </c>
      <c r="N4" s="206"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ht="30" x14ac:dyDescent="0.25">
      <c r="A7" s="268" t="s">
        <v>736</v>
      </c>
      <c r="B7" s="219">
        <v>1.6657050505710278</v>
      </c>
      <c r="C7" s="219">
        <v>2.3416259113807265</v>
      </c>
      <c r="D7" s="219">
        <v>1.6745047450311212</v>
      </c>
      <c r="E7" s="219">
        <v>1.8855114391492058</v>
      </c>
      <c r="F7" s="219">
        <v>1.6595089770491269</v>
      </c>
      <c r="G7" s="219">
        <v>3.0635093000069857</v>
      </c>
      <c r="H7" s="219">
        <v>1.8929186046406143</v>
      </c>
      <c r="I7" s="219">
        <v>2.3535395183391983</v>
      </c>
      <c r="J7" s="219">
        <v>2.7221705126774567</v>
      </c>
      <c r="K7" s="219">
        <v>2.5317582787434763</v>
      </c>
      <c r="L7" s="213" t="s">
        <v>28</v>
      </c>
      <c r="M7" s="209" t="s">
        <v>857</v>
      </c>
      <c r="N7" s="206" t="s">
        <v>779</v>
      </c>
    </row>
    <row r="8" spans="1:14" ht="30" x14ac:dyDescent="0.25">
      <c r="A8" s="268" t="s">
        <v>866</v>
      </c>
      <c r="B8" s="217">
        <v>1.580251260435517</v>
      </c>
      <c r="C8" s="217">
        <v>1.5525720636884897</v>
      </c>
      <c r="D8" s="217">
        <v>1.5752008649462272</v>
      </c>
      <c r="E8" s="217">
        <v>1.7817828014482444</v>
      </c>
      <c r="F8" s="217">
        <v>1.7594438954351708</v>
      </c>
      <c r="G8" s="217">
        <v>1.7735424274226388</v>
      </c>
      <c r="H8" s="217">
        <v>1.8497752602625928</v>
      </c>
      <c r="I8" s="217">
        <v>1.7935982011120533</v>
      </c>
      <c r="J8" s="217">
        <v>2.2051319586720437</v>
      </c>
      <c r="K8" s="217">
        <v>2.1615329891174242</v>
      </c>
      <c r="L8" s="213" t="s">
        <v>28</v>
      </c>
      <c r="M8" s="209" t="s">
        <v>857</v>
      </c>
      <c r="N8" s="206" t="s">
        <v>779</v>
      </c>
    </row>
    <row r="9" spans="1:14" ht="30" x14ac:dyDescent="0.25">
      <c r="A9" s="268" t="s">
        <v>870</v>
      </c>
      <c r="B9" s="221">
        <v>3.3084793400000007E-2</v>
      </c>
      <c r="C9" s="221">
        <v>3.8912802700000006E-2</v>
      </c>
      <c r="D9" s="221">
        <v>3.2646103100000004E-2</v>
      </c>
      <c r="E9" s="221">
        <v>2.9298406900000001E-2</v>
      </c>
      <c r="F9" s="221">
        <v>0.11516560140000001</v>
      </c>
      <c r="G9" s="221">
        <v>5.3915584400000015E-2</v>
      </c>
      <c r="H9" s="221">
        <v>3.9809245200000003E-2</v>
      </c>
      <c r="I9" s="221">
        <v>4.0663831500000011E-2</v>
      </c>
      <c r="J9" s="221">
        <v>4.283435540000001E-2</v>
      </c>
      <c r="K9" s="221">
        <v>7.3444834200000017E-2</v>
      </c>
      <c r="L9" s="213" t="s">
        <v>28</v>
      </c>
      <c r="M9" s="209" t="s">
        <v>857</v>
      </c>
      <c r="N9" s="206" t="s">
        <v>779</v>
      </c>
    </row>
    <row r="10" spans="1:14" ht="30" x14ac:dyDescent="0.25">
      <c r="A10" s="268" t="s">
        <v>874</v>
      </c>
      <c r="B10" s="217">
        <v>0.34026094682500002</v>
      </c>
      <c r="C10" s="217">
        <v>0.32956238879999999</v>
      </c>
      <c r="D10" s="217">
        <v>0.26864098962499999</v>
      </c>
      <c r="E10" s="217">
        <v>0.27491486029000006</v>
      </c>
      <c r="F10" s="217">
        <v>0.24774582619949997</v>
      </c>
      <c r="G10" s="217">
        <v>0.54219491145499998</v>
      </c>
      <c r="H10" s="217">
        <v>0.4970698396099999</v>
      </c>
      <c r="I10" s="217">
        <v>0.49027330952749998</v>
      </c>
      <c r="J10" s="217">
        <v>0.70053738612749994</v>
      </c>
      <c r="K10" s="217">
        <v>0.60211588006000005</v>
      </c>
      <c r="L10" s="213" t="s">
        <v>28</v>
      </c>
      <c r="M10" s="209" t="s">
        <v>857</v>
      </c>
      <c r="N10" s="206" t="s">
        <v>779</v>
      </c>
    </row>
    <row r="11" spans="1:14" ht="30" x14ac:dyDescent="0.25">
      <c r="A11" s="268" t="s">
        <v>836</v>
      </c>
      <c r="B11" s="217">
        <v>0.68951548156554743</v>
      </c>
      <c r="C11" s="217">
        <v>0.46779311827605824</v>
      </c>
      <c r="D11" s="217">
        <v>0.9661973798682949</v>
      </c>
      <c r="E11" s="217">
        <v>0.82950637342818867</v>
      </c>
      <c r="F11" s="217">
        <v>0.68761855773914993</v>
      </c>
      <c r="G11" s="217">
        <v>0.45510341455360603</v>
      </c>
      <c r="H11" s="217">
        <v>1.256790960082953</v>
      </c>
      <c r="I11" s="217">
        <v>0.8426737100509748</v>
      </c>
      <c r="J11" s="217">
        <v>0.95300554925061987</v>
      </c>
      <c r="K11" s="217">
        <v>0.81234107252853327</v>
      </c>
      <c r="L11" s="213" t="s">
        <v>28</v>
      </c>
      <c r="M11" s="209" t="s">
        <v>857</v>
      </c>
      <c r="N11" s="206" t="s">
        <v>779</v>
      </c>
    </row>
    <row r="12" spans="1:14" ht="30" x14ac:dyDescent="0.25">
      <c r="A12" s="268" t="s">
        <v>837</v>
      </c>
      <c r="B12" s="217">
        <v>1.9205122072605172</v>
      </c>
      <c r="C12" s="217">
        <v>1.8821344524884895</v>
      </c>
      <c r="D12" s="217">
        <v>1.8438418545712272</v>
      </c>
      <c r="E12" s="217">
        <v>2.0566976617382444</v>
      </c>
      <c r="F12" s="217">
        <v>2.007189721634671</v>
      </c>
      <c r="G12" s="217">
        <v>2.3157373388776388</v>
      </c>
      <c r="H12" s="217">
        <v>2.3468450998725925</v>
      </c>
      <c r="I12" s="217">
        <v>2.2838715106395533</v>
      </c>
      <c r="J12" s="217">
        <v>2.9056693447995436</v>
      </c>
      <c r="K12" s="217">
        <v>2.7636488691774241</v>
      </c>
      <c r="L12" s="213" t="s">
        <v>28</v>
      </c>
      <c r="M12" s="209" t="s">
        <v>857</v>
      </c>
      <c r="N12" s="206" t="s">
        <v>779</v>
      </c>
    </row>
    <row r="13" spans="1:14" x14ac:dyDescent="0.25">
      <c r="A13" s="41" t="s">
        <v>83</v>
      </c>
      <c r="B13" s="134"/>
      <c r="C13" s="9"/>
      <c r="D13" s="9"/>
      <c r="E13" s="9"/>
      <c r="F13" s="9"/>
      <c r="G13" s="9"/>
      <c r="H13" s="9"/>
      <c r="I13" s="9"/>
      <c r="J13" s="9"/>
      <c r="K13" s="83"/>
      <c r="L13" s="24"/>
      <c r="M13" s="44"/>
      <c r="N13" s="24"/>
    </row>
    <row r="14" spans="1:14" ht="30" x14ac:dyDescent="0.25">
      <c r="A14" s="268" t="s">
        <v>1096</v>
      </c>
      <c r="B14" s="217">
        <v>0.22501063674407681</v>
      </c>
      <c r="C14" s="217">
        <v>0.20167342973081101</v>
      </c>
      <c r="D14" s="217">
        <v>0.19713858883745153</v>
      </c>
      <c r="E14" s="217">
        <v>0.26605586354486171</v>
      </c>
      <c r="F14" s="217">
        <v>0.27440624968815513</v>
      </c>
      <c r="G14" s="217">
        <v>0.29821087923462614</v>
      </c>
      <c r="H14" s="217">
        <v>0.30066994523324181</v>
      </c>
      <c r="I14" s="217">
        <v>0.30635657314496545</v>
      </c>
      <c r="J14" s="217">
        <v>0.32152877454729201</v>
      </c>
      <c r="K14" s="217">
        <v>0.39904105012106389</v>
      </c>
      <c r="L14" s="213" t="s">
        <v>28</v>
      </c>
      <c r="M14" s="209" t="s">
        <v>857</v>
      </c>
      <c r="N14" s="206" t="s">
        <v>779</v>
      </c>
    </row>
    <row r="15" spans="1:14" x14ac:dyDescent="0.25">
      <c r="A15" s="50"/>
      <c r="B15" s="124"/>
      <c r="C15" s="124"/>
      <c r="D15" s="124"/>
      <c r="E15" s="124"/>
      <c r="F15" s="124"/>
      <c r="G15" s="124"/>
      <c r="H15" s="124"/>
      <c r="I15" s="124"/>
      <c r="J15" s="124"/>
      <c r="K15" s="120"/>
      <c r="L15" s="52"/>
      <c r="M15" s="52"/>
      <c r="N15" s="53"/>
    </row>
    <row r="16" spans="1:14" s="5" customFormat="1" x14ac:dyDescent="0.25">
      <c r="A16" s="56" t="s">
        <v>19</v>
      </c>
      <c r="B16" s="56">
        <v>2008</v>
      </c>
      <c r="C16" s="56">
        <v>2009</v>
      </c>
      <c r="D16" s="56">
        <v>2010</v>
      </c>
      <c r="E16" s="56">
        <v>2011</v>
      </c>
      <c r="F16" s="56">
        <v>2012</v>
      </c>
      <c r="G16" s="56">
        <v>2013</v>
      </c>
      <c r="H16" s="56">
        <v>2014</v>
      </c>
      <c r="I16" s="56">
        <v>2015</v>
      </c>
      <c r="J16" s="56">
        <v>2016</v>
      </c>
      <c r="K16" s="74">
        <v>2017</v>
      </c>
      <c r="L16" s="4" t="s">
        <v>765</v>
      </c>
      <c r="M16" s="28" t="s">
        <v>766</v>
      </c>
      <c r="N16" s="29" t="s">
        <v>58</v>
      </c>
    </row>
    <row r="17" spans="1:14" ht="30" x14ac:dyDescent="0.25">
      <c r="A17" s="268" t="s">
        <v>2824</v>
      </c>
      <c r="B17" s="205">
        <v>451.94750999999997</v>
      </c>
      <c r="C17" s="205">
        <v>507.06305999999995</v>
      </c>
      <c r="D17" s="205">
        <v>478.40297399999997</v>
      </c>
      <c r="E17" s="205">
        <v>496.03994999999998</v>
      </c>
      <c r="F17" s="205">
        <v>701.06979599999988</v>
      </c>
      <c r="G17" s="205">
        <v>663.59122200000002</v>
      </c>
      <c r="H17" s="205">
        <v>548.95087799999999</v>
      </c>
      <c r="I17" s="205">
        <v>485.01683999999995</v>
      </c>
      <c r="J17" s="205">
        <v>425.49204599999996</v>
      </c>
      <c r="K17" s="205">
        <v>434.31053399999996</v>
      </c>
      <c r="L17" s="213" t="s">
        <v>28</v>
      </c>
      <c r="M17" s="209" t="s">
        <v>857</v>
      </c>
      <c r="N17" s="206" t="s">
        <v>779</v>
      </c>
    </row>
    <row r="18" spans="1:14" ht="30" x14ac:dyDescent="0.25">
      <c r="A18" s="203" t="s">
        <v>775</v>
      </c>
      <c r="B18" s="205">
        <v>2084.0291765999996</v>
      </c>
      <c r="C18" s="205">
        <v>1730.4078077999998</v>
      </c>
      <c r="D18" s="205">
        <v>1314.3956363999998</v>
      </c>
      <c r="E18" s="205">
        <v>1702.8500327999998</v>
      </c>
      <c r="F18" s="205">
        <v>2207.9289330000001</v>
      </c>
      <c r="G18" s="205">
        <v>2024.5043825999999</v>
      </c>
      <c r="H18" s="205">
        <v>1504.2135905999999</v>
      </c>
      <c r="I18" s="205">
        <v>1277.7989111999998</v>
      </c>
      <c r="J18" s="205">
        <v>1284.4127771999999</v>
      </c>
      <c r="K18" s="205">
        <v>1471.1442606000001</v>
      </c>
      <c r="L18" s="203" t="s">
        <v>778</v>
      </c>
      <c r="M18" s="209" t="s">
        <v>777</v>
      </c>
      <c r="N18" s="206" t="s">
        <v>779</v>
      </c>
    </row>
    <row r="19" spans="1:14" x14ac:dyDescent="0.25">
      <c r="A19" s="203" t="s">
        <v>941</v>
      </c>
      <c r="B19" s="219">
        <v>1.1936169999999999</v>
      </c>
      <c r="C19" s="219">
        <v>0.79314700000000005</v>
      </c>
      <c r="D19" s="219">
        <v>0.93861099999999997</v>
      </c>
      <c r="E19" s="219">
        <v>1.168587</v>
      </c>
      <c r="F19" s="219">
        <v>2.0263260000000001</v>
      </c>
      <c r="G19" s="219">
        <v>1.0550949999999999</v>
      </c>
      <c r="H19" s="219">
        <v>1.1582509999999999</v>
      </c>
      <c r="I19" s="219">
        <v>1.16056</v>
      </c>
      <c r="J19" s="219">
        <v>1.088165</v>
      </c>
      <c r="K19" s="219">
        <v>1.6380950000000001</v>
      </c>
      <c r="L19" s="203" t="s">
        <v>74</v>
      </c>
      <c r="M19" s="209" t="s">
        <v>770</v>
      </c>
      <c r="N19" s="206" t="s">
        <v>738</v>
      </c>
    </row>
    <row r="20" spans="1:14" x14ac:dyDescent="0.25">
      <c r="A20" s="261"/>
      <c r="B20" s="264"/>
    </row>
    <row r="21" spans="1:14" x14ac:dyDescent="0.25">
      <c r="A21" s="261"/>
      <c r="B21" s="264"/>
    </row>
    <row r="22" spans="1:14" x14ac:dyDescent="0.25">
      <c r="A22" s="261"/>
      <c r="B22" s="264"/>
    </row>
    <row r="23" spans="1:14" x14ac:dyDescent="0.25">
      <c r="A23" s="261"/>
      <c r="B23" s="264"/>
    </row>
    <row r="24" spans="1:14" x14ac:dyDescent="0.25">
      <c r="A24" s="261"/>
      <c r="B24" s="264"/>
    </row>
    <row r="25" spans="1:14" x14ac:dyDescent="0.25">
      <c r="A25" s="261"/>
      <c r="B25" s="264"/>
    </row>
    <row r="26" spans="1:14" x14ac:dyDescent="0.25">
      <c r="A26" s="261"/>
      <c r="B26" s="264"/>
    </row>
    <row r="27" spans="1:14" x14ac:dyDescent="0.25">
      <c r="A27" s="261"/>
      <c r="B27" s="264"/>
    </row>
    <row r="28" spans="1:14" x14ac:dyDescent="0.25">
      <c r="A28" s="261"/>
      <c r="B28" s="264"/>
    </row>
    <row r="29" spans="1:14" x14ac:dyDescent="0.25">
      <c r="A29" s="261"/>
      <c r="B29" s="264"/>
    </row>
    <row r="30" spans="1:14" x14ac:dyDescent="0.25">
      <c r="A30" s="261"/>
      <c r="B30" s="264"/>
    </row>
    <row r="31" spans="1:14" x14ac:dyDescent="0.25">
      <c r="A31" s="261"/>
      <c r="B31" s="264"/>
    </row>
    <row r="32" spans="1:14"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c r="B39" s="264"/>
    </row>
    <row r="40" spans="1:12" x14ac:dyDescent="0.25">
      <c r="A40" s="261"/>
      <c r="B40" s="264"/>
    </row>
    <row r="41" spans="1:12" x14ac:dyDescent="0.25">
      <c r="A41" s="261"/>
      <c r="B41" s="264"/>
    </row>
    <row r="42" spans="1:12" x14ac:dyDescent="0.25">
      <c r="A42" s="261" t="s">
        <v>1078</v>
      </c>
      <c r="B42" s="264"/>
    </row>
    <row r="43" spans="1:12" x14ac:dyDescent="0.25">
      <c r="A43" s="261" t="s">
        <v>1084</v>
      </c>
      <c r="B43" s="264">
        <v>135.79882500000002</v>
      </c>
      <c r="C43"/>
      <c r="D43"/>
      <c r="E43"/>
      <c r="F43"/>
      <c r="G43"/>
      <c r="H43"/>
      <c r="I43"/>
      <c r="J43"/>
      <c r="K43"/>
      <c r="L43"/>
    </row>
    <row r="44" spans="1:12" customFormat="1" x14ac:dyDescent="0.25">
      <c r="A44" s="261" t="s">
        <v>1079</v>
      </c>
      <c r="B44" s="264">
        <v>11.647</v>
      </c>
    </row>
    <row r="45" spans="1:12" x14ac:dyDescent="0.25">
      <c r="A45" s="261" t="s">
        <v>1080</v>
      </c>
      <c r="B45" s="265">
        <v>9.2641000000000009</v>
      </c>
      <c r="C45"/>
      <c r="D45"/>
      <c r="E45"/>
      <c r="F45"/>
      <c r="G45"/>
      <c r="H45"/>
      <c r="I45"/>
      <c r="J45"/>
      <c r="K45"/>
      <c r="L45"/>
    </row>
    <row r="46" spans="1:12" x14ac:dyDescent="0.25">
      <c r="A46" s="261" t="s">
        <v>812</v>
      </c>
      <c r="B46" s="265">
        <v>5.8864000000000001</v>
      </c>
      <c r="C46"/>
      <c r="D46"/>
      <c r="E46"/>
      <c r="F46"/>
      <c r="G46"/>
      <c r="H46"/>
      <c r="I46"/>
      <c r="J46"/>
      <c r="K46"/>
      <c r="L46"/>
    </row>
    <row r="47" spans="1:12" x14ac:dyDescent="0.25">
      <c r="A47" s="261" t="s">
        <v>1081</v>
      </c>
      <c r="B47" s="265">
        <v>5.1075000000000008</v>
      </c>
      <c r="C47"/>
      <c r="D47"/>
      <c r="E47"/>
      <c r="F47"/>
      <c r="G47"/>
      <c r="H47"/>
      <c r="I47"/>
      <c r="J47"/>
      <c r="K47"/>
      <c r="L47"/>
    </row>
    <row r="48" spans="1:12" x14ac:dyDescent="0.25">
      <c r="A48" s="261" t="s">
        <v>1082</v>
      </c>
      <c r="B48" s="265">
        <v>3.6500000000000004</v>
      </c>
      <c r="C48"/>
      <c r="D48"/>
      <c r="E48" s="200"/>
      <c r="F48"/>
      <c r="G48"/>
      <c r="H48"/>
      <c r="I48"/>
      <c r="J48"/>
      <c r="K48"/>
      <c r="L48"/>
    </row>
    <row r="49" spans="1:12" x14ac:dyDescent="0.25">
      <c r="A49" s="261" t="s">
        <v>1083</v>
      </c>
      <c r="B49" s="266">
        <v>0.73260000000000003</v>
      </c>
      <c r="C49"/>
      <c r="D49"/>
      <c r="E49" s="200"/>
      <c r="F49"/>
      <c r="G49"/>
      <c r="H49"/>
      <c r="I49"/>
      <c r="J49"/>
      <c r="K49"/>
      <c r="L49"/>
    </row>
    <row r="50" spans="1:12" x14ac:dyDescent="0.25">
      <c r="A50" s="280"/>
      <c r="B50" s="280"/>
      <c r="C50"/>
      <c r="D50"/>
      <c r="E50" s="200"/>
      <c r="F50"/>
      <c r="G50"/>
      <c r="H50"/>
      <c r="I50"/>
      <c r="J50"/>
      <c r="K50"/>
      <c r="L50"/>
    </row>
    <row r="51" spans="1:12" x14ac:dyDescent="0.25">
      <c r="A51" s="280"/>
      <c r="B51" s="281"/>
      <c r="C51"/>
      <c r="D51"/>
      <c r="E51" s="200"/>
      <c r="F51"/>
      <c r="G51"/>
      <c r="H51"/>
      <c r="I51"/>
      <c r="J51"/>
      <c r="K51"/>
      <c r="L51"/>
    </row>
    <row r="52" spans="1:12" x14ac:dyDescent="0.25">
      <c r="A52" s="280"/>
      <c r="B52" s="281"/>
      <c r="C52"/>
      <c r="D52"/>
      <c r="E52" s="200"/>
      <c r="F52"/>
      <c r="G52"/>
      <c r="H52"/>
      <c r="I52"/>
      <c r="J52"/>
      <c r="K52"/>
      <c r="L52"/>
    </row>
    <row r="53" spans="1:12" x14ac:dyDescent="0.25">
      <c r="A53" s="280"/>
      <c r="B53" s="281"/>
      <c r="C53"/>
      <c r="D53"/>
      <c r="E53" s="200"/>
      <c r="F53"/>
      <c r="G53"/>
      <c r="H53"/>
      <c r="I53"/>
      <c r="J53"/>
      <c r="K53"/>
      <c r="L53"/>
    </row>
    <row r="54" spans="1:12" x14ac:dyDescent="0.25">
      <c r="A54"/>
      <c r="B54" s="281"/>
      <c r="C54"/>
      <c r="D54"/>
      <c r="E54" s="200"/>
      <c r="F54"/>
      <c r="G54"/>
      <c r="H54"/>
      <c r="I54"/>
      <c r="J54"/>
      <c r="K54"/>
      <c r="L54"/>
    </row>
    <row r="55" spans="1:12" x14ac:dyDescent="0.25">
      <c r="A55"/>
      <c r="B55" s="281"/>
      <c r="C55"/>
      <c r="D55"/>
      <c r="E55" s="200"/>
      <c r="F55"/>
      <c r="G55"/>
      <c r="H55"/>
      <c r="I55"/>
      <c r="J55"/>
      <c r="K55"/>
      <c r="L55"/>
    </row>
    <row r="56" spans="1:12" x14ac:dyDescent="0.25">
      <c r="A56"/>
      <c r="B56" s="281"/>
      <c r="C56"/>
      <c r="D56"/>
      <c r="E56" s="200"/>
      <c r="F56"/>
      <c r="G56"/>
      <c r="H56"/>
      <c r="I56"/>
      <c r="J56"/>
      <c r="K56"/>
      <c r="L56"/>
    </row>
    <row r="57" spans="1:12" x14ac:dyDescent="0.25">
      <c r="A57"/>
      <c r="B57" s="281"/>
      <c r="C57"/>
      <c r="D57"/>
      <c r="E57" s="200"/>
      <c r="F57"/>
      <c r="G57"/>
      <c r="H57"/>
      <c r="I57"/>
      <c r="J57"/>
      <c r="K57"/>
      <c r="L57"/>
    </row>
    <row r="58" spans="1:12" x14ac:dyDescent="0.25">
      <c r="B58" s="281"/>
      <c r="C58" s="199"/>
      <c r="D58" s="199"/>
      <c r="E58" s="199"/>
      <c r="F58" s="199"/>
      <c r="G58" s="199"/>
      <c r="H58" s="199"/>
      <c r="I58" s="199"/>
      <c r="J58" s="199"/>
      <c r="K58" s="199"/>
    </row>
    <row r="59" spans="1:12" x14ac:dyDescent="0.25">
      <c r="B59" s="280"/>
      <c r="C59" s="199"/>
      <c r="D59" s="199"/>
      <c r="E59" s="199"/>
      <c r="F59" s="199"/>
      <c r="G59" s="199"/>
      <c r="H59" s="199"/>
      <c r="I59" s="199"/>
      <c r="J59" s="199"/>
      <c r="K59" s="199"/>
    </row>
    <row r="60" spans="1:12" x14ac:dyDescent="0.25">
      <c r="B60" s="199"/>
      <c r="C60" s="199"/>
      <c r="D60" s="199"/>
      <c r="E60" s="199"/>
      <c r="F60" s="199"/>
      <c r="G60" s="199"/>
      <c r="H60" s="199"/>
      <c r="I60" s="199"/>
      <c r="J60" s="199"/>
      <c r="K60" s="199"/>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row r="97" spans="5:13" x14ac:dyDescent="0.25">
      <c r="E97"/>
      <c r="F97"/>
      <c r="G97"/>
      <c r="H97"/>
      <c r="I97"/>
      <c r="J97"/>
      <c r="K97"/>
      <c r="L97"/>
      <c r="M97"/>
    </row>
    <row r="98" spans="5:13" x14ac:dyDescent="0.25">
      <c r="E98"/>
      <c r="F98"/>
      <c r="G98"/>
      <c r="H98"/>
      <c r="I98"/>
      <c r="J98"/>
      <c r="K98"/>
      <c r="L98"/>
      <c r="M98"/>
    </row>
    <row r="99" spans="5:13" x14ac:dyDescent="0.25">
      <c r="E99"/>
      <c r="F99"/>
      <c r="G99"/>
      <c r="H99"/>
      <c r="I99"/>
      <c r="J99"/>
      <c r="K99"/>
      <c r="L99"/>
      <c r="M99"/>
    </row>
  </sheetData>
  <mergeCells count="1">
    <mergeCell ref="A1:A2"/>
  </mergeCells>
  <hyperlinks>
    <hyperlink ref="M19" r:id="rId1" xr:uid="{150983BB-086F-42C8-9676-06371ED2AEDF}"/>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A671-033A-4C0F-AB23-EE5CAE44DEB8}">
  <sheetPr>
    <tabColor rgb="FF00441B"/>
  </sheetPr>
  <dimension ref="A1:N99"/>
  <sheetViews>
    <sheetView zoomScale="85" zoomScaleNormal="85" workbookViewId="0">
      <pane xSplit="1" ySplit="3" topLeftCell="B4" activePane="bottomRight" state="frozen"/>
      <selection pane="topRight" activeCell="B1" sqref="B1"/>
      <selection pane="bottomLeft" activeCell="A4" sqref="A4"/>
      <selection pane="bottomRight" sqref="A1:XFD1048576"/>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2825</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381" t="s">
        <v>844</v>
      </c>
      <c r="B4" s="190">
        <v>2.5165000000000002</v>
      </c>
      <c r="C4" s="190">
        <v>2.0299999999999998</v>
      </c>
      <c r="D4" s="190">
        <v>1.9515</v>
      </c>
      <c r="E4" s="190">
        <v>1.5429999999999999</v>
      </c>
      <c r="F4" s="190">
        <v>1.92</v>
      </c>
      <c r="G4" s="190">
        <v>1.5754999999999999</v>
      </c>
      <c r="H4" s="190">
        <v>1.5652999999999999</v>
      </c>
      <c r="I4" s="190">
        <v>1.8591</v>
      </c>
      <c r="J4" s="190">
        <v>1.5966</v>
      </c>
      <c r="K4" s="190">
        <v>1.403</v>
      </c>
      <c r="L4" s="382" t="s">
        <v>28</v>
      </c>
      <c r="M4" s="81" t="s">
        <v>857</v>
      </c>
      <c r="N4" s="80"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ht="30" x14ac:dyDescent="0.25">
      <c r="A7" s="381" t="s">
        <v>734</v>
      </c>
      <c r="B7" s="190">
        <v>1.3012979095736141</v>
      </c>
      <c r="C7" s="190">
        <v>1.5525745456590747</v>
      </c>
      <c r="D7" s="190">
        <v>1.3773154763038744</v>
      </c>
      <c r="E7" s="190">
        <v>1.2408340295978177</v>
      </c>
      <c r="F7" s="190">
        <v>0.92454624874468283</v>
      </c>
      <c r="G7" s="190">
        <v>1.2410562899218098</v>
      </c>
      <c r="H7" s="190">
        <v>0.91705743660364458</v>
      </c>
      <c r="I7" s="190">
        <v>1.0065444325603212</v>
      </c>
      <c r="J7" s="190">
        <v>1.3261819940107649</v>
      </c>
      <c r="K7" s="190">
        <v>1.2027617432829756</v>
      </c>
      <c r="L7" s="382" t="s">
        <v>28</v>
      </c>
      <c r="M7" s="81" t="s">
        <v>857</v>
      </c>
      <c r="N7" s="80" t="s">
        <v>779</v>
      </c>
    </row>
    <row r="8" spans="1:14" ht="30" x14ac:dyDescent="0.25">
      <c r="A8" s="381" t="s">
        <v>864</v>
      </c>
      <c r="B8" s="190">
        <v>1.2053676321836579</v>
      </c>
      <c r="C8" s="190">
        <v>1.3356806745101883</v>
      </c>
      <c r="D8" s="190">
        <v>1.2908879617458233</v>
      </c>
      <c r="E8" s="190">
        <v>1.1803066466723096</v>
      </c>
      <c r="F8" s="190">
        <v>0.89335223906864758</v>
      </c>
      <c r="G8" s="190">
        <v>1.0909738721649336</v>
      </c>
      <c r="H8" s="190">
        <v>0.92565755036464314</v>
      </c>
      <c r="I8" s="190">
        <v>0.94816707807506229</v>
      </c>
      <c r="J8" s="190">
        <v>1.2195677989242601</v>
      </c>
      <c r="K8" s="190">
        <v>1.1122219591385734</v>
      </c>
      <c r="L8" s="382" t="s">
        <v>28</v>
      </c>
      <c r="M8" s="81" t="s">
        <v>857</v>
      </c>
      <c r="N8" s="80" t="s">
        <v>779</v>
      </c>
    </row>
    <row r="9" spans="1:14" ht="30" x14ac:dyDescent="0.25">
      <c r="A9" s="381" t="s">
        <v>868</v>
      </c>
      <c r="B9" s="383">
        <v>8.7236723574381475E-2</v>
      </c>
      <c r="C9" s="383">
        <v>6.9865038088162065E-2</v>
      </c>
      <c r="D9" s="383">
        <v>4.6478262486721079E-2</v>
      </c>
      <c r="E9" s="383">
        <v>4.0649598888154073E-2</v>
      </c>
      <c r="F9" s="383">
        <v>4.4082386912586383E-2</v>
      </c>
      <c r="G9" s="383">
        <v>5.3476741137482985E-2</v>
      </c>
      <c r="H9" s="383">
        <v>6.5244291311617145E-2</v>
      </c>
      <c r="I9" s="383">
        <v>7.4430446579957926E-2</v>
      </c>
      <c r="J9" s="383">
        <v>7.1555577327995459E-2</v>
      </c>
      <c r="K9" s="383">
        <v>7.9944316984952538E-2</v>
      </c>
      <c r="L9" s="382" t="s">
        <v>28</v>
      </c>
      <c r="M9" s="81" t="s">
        <v>857</v>
      </c>
      <c r="N9" s="80" t="s">
        <v>779</v>
      </c>
    </row>
    <row r="10" spans="1:14" ht="30" x14ac:dyDescent="0.25">
      <c r="A10" s="381" t="s">
        <v>872</v>
      </c>
      <c r="B10" s="190">
        <v>0.20009461939507089</v>
      </c>
      <c r="C10" s="190">
        <v>0.18392631480589416</v>
      </c>
      <c r="D10" s="190">
        <v>0.1791794693149211</v>
      </c>
      <c r="E10" s="190">
        <v>0.16046288207230083</v>
      </c>
      <c r="F10" s="190">
        <v>0.1060404005766068</v>
      </c>
      <c r="G10" s="190">
        <v>0.13641522220135696</v>
      </c>
      <c r="H10" s="190">
        <v>0.11974978023443475</v>
      </c>
      <c r="I10" s="190">
        <v>0.11581259735228988</v>
      </c>
      <c r="J10" s="190">
        <v>9.887227833161423E-2</v>
      </c>
      <c r="K10" s="190">
        <v>8.9948753119582406E-2</v>
      </c>
      <c r="L10" s="382" t="s">
        <v>28</v>
      </c>
      <c r="M10" s="81" t="s">
        <v>857</v>
      </c>
      <c r="N10" s="80" t="s">
        <v>779</v>
      </c>
    </row>
    <row r="11" spans="1:14" ht="30" x14ac:dyDescent="0.25">
      <c r="A11" s="268" t="s">
        <v>836</v>
      </c>
      <c r="B11" s="190">
        <v>0.13698493437877332</v>
      </c>
      <c r="C11" s="190">
        <v>0.12005731594804007</v>
      </c>
      <c r="D11" s="190">
        <v>0.22288991037919426</v>
      </c>
      <c r="E11" s="190">
        <v>0.17661621810904546</v>
      </c>
      <c r="F11" s="190">
        <v>0.11733031785040701</v>
      </c>
      <c r="G11" s="190">
        <v>8.6566313862421779E-2</v>
      </c>
      <c r="H11" s="190">
        <v>0.15371025055542403</v>
      </c>
      <c r="I11" s="190">
        <v>9.0604647871607921E-2</v>
      </c>
      <c r="J11" s="190">
        <v>0.10759985158453467</v>
      </c>
      <c r="K11" s="190">
        <v>0.18689734566742056</v>
      </c>
      <c r="L11" s="213" t="s">
        <v>28</v>
      </c>
      <c r="M11" s="209" t="s">
        <v>857</v>
      </c>
      <c r="N11" s="206" t="s">
        <v>779</v>
      </c>
    </row>
    <row r="12" spans="1:14" ht="30" x14ac:dyDescent="0.25">
      <c r="A12" s="268" t="s">
        <v>837</v>
      </c>
      <c r="B12" s="190">
        <v>0.12005731594804007</v>
      </c>
      <c r="C12" s="190">
        <v>0.22288991037919426</v>
      </c>
      <c r="D12" s="190">
        <v>0.17661621810904546</v>
      </c>
      <c r="E12" s="190">
        <v>0.11733031785040701</v>
      </c>
      <c r="F12" s="190">
        <v>8.6566313862421779E-2</v>
      </c>
      <c r="G12" s="190">
        <v>0.15371025055542403</v>
      </c>
      <c r="H12" s="190">
        <v>9.0604647871607921E-2</v>
      </c>
      <c r="I12" s="190">
        <v>0.10759985158453467</v>
      </c>
      <c r="J12" s="190">
        <v>0.18689734566742056</v>
      </c>
      <c r="K12" s="190">
        <v>0.26743269367719275</v>
      </c>
      <c r="L12" s="213" t="s">
        <v>28</v>
      </c>
      <c r="M12" s="209" t="s">
        <v>857</v>
      </c>
      <c r="N12" s="206" t="s">
        <v>779</v>
      </c>
    </row>
    <row r="13" spans="1:14" x14ac:dyDescent="0.25">
      <c r="A13" s="41" t="s">
        <v>83</v>
      </c>
      <c r="B13" s="134"/>
      <c r="C13" s="9"/>
      <c r="D13" s="9"/>
      <c r="E13" s="9"/>
      <c r="F13" s="9"/>
      <c r="G13" s="9"/>
      <c r="H13" s="9"/>
      <c r="I13" s="9"/>
      <c r="J13" s="9"/>
      <c r="K13" s="83"/>
      <c r="L13" s="24"/>
      <c r="M13" s="44"/>
      <c r="N13" s="24"/>
    </row>
    <row r="14" spans="1:14" ht="30" x14ac:dyDescent="0.25">
      <c r="A14" s="381" t="s">
        <v>1093</v>
      </c>
      <c r="B14" s="190">
        <v>0.68256599090456327</v>
      </c>
      <c r="C14" s="190">
        <v>0.66147393975021573</v>
      </c>
      <c r="D14" s="190">
        <v>0.77632356022937266</v>
      </c>
      <c r="E14" s="190">
        <v>0.58784136237413953</v>
      </c>
      <c r="F14" s="190">
        <v>0.34938098231805731</v>
      </c>
      <c r="G14" s="190">
        <v>0.4507929250456541</v>
      </c>
      <c r="H14" s="190">
        <v>0.46274599455144694</v>
      </c>
      <c r="I14" s="190">
        <v>0.36604914583996717</v>
      </c>
      <c r="J14" s="190">
        <v>0.49486941525576722</v>
      </c>
      <c r="K14" s="190">
        <v>0.50802359769611305</v>
      </c>
      <c r="L14" s="382" t="s">
        <v>28</v>
      </c>
      <c r="M14" s="81" t="s">
        <v>857</v>
      </c>
      <c r="N14" s="80" t="s">
        <v>779</v>
      </c>
    </row>
    <row r="15" spans="1:14" x14ac:dyDescent="0.25">
      <c r="A15" s="50"/>
      <c r="B15" s="124"/>
      <c r="C15" s="124"/>
      <c r="D15" s="124"/>
      <c r="E15" s="124"/>
      <c r="F15" s="124"/>
      <c r="G15" s="124"/>
      <c r="H15" s="124"/>
      <c r="I15" s="124"/>
      <c r="J15" s="124"/>
      <c r="K15" s="120"/>
      <c r="L15" s="52"/>
      <c r="M15" s="52"/>
      <c r="N15" s="53"/>
    </row>
    <row r="16" spans="1:14" s="5" customFormat="1" x14ac:dyDescent="0.25">
      <c r="A16" s="56" t="s">
        <v>19</v>
      </c>
      <c r="B16" s="56">
        <v>2008</v>
      </c>
      <c r="C16" s="56">
        <v>2009</v>
      </c>
      <c r="D16" s="56">
        <v>2010</v>
      </c>
      <c r="E16" s="56">
        <v>2011</v>
      </c>
      <c r="F16" s="56">
        <v>2012</v>
      </c>
      <c r="G16" s="56">
        <v>2013</v>
      </c>
      <c r="H16" s="56">
        <v>2014</v>
      </c>
      <c r="I16" s="56">
        <v>2015</v>
      </c>
      <c r="J16" s="56">
        <v>2016</v>
      </c>
      <c r="K16" s="74">
        <v>2017</v>
      </c>
      <c r="L16" s="4" t="s">
        <v>765</v>
      </c>
      <c r="M16" s="28" t="s">
        <v>766</v>
      </c>
      <c r="N16" s="29" t="s">
        <v>58</v>
      </c>
    </row>
    <row r="17" spans="1:14" ht="30" x14ac:dyDescent="0.25">
      <c r="A17" s="268" t="s">
        <v>2830</v>
      </c>
      <c r="B17" s="118">
        <v>427.146015042626</v>
      </c>
      <c r="C17" s="118">
        <v>429.11442985849067</v>
      </c>
      <c r="D17" s="118">
        <v>297.23063719556001</v>
      </c>
      <c r="E17" s="118">
        <v>458.6406520964602</v>
      </c>
      <c r="F17" s="118">
        <v>572.80871141660907</v>
      </c>
      <c r="G17" s="118">
        <v>499.97736322961754</v>
      </c>
      <c r="H17" s="118">
        <v>421.24077059503207</v>
      </c>
      <c r="I17" s="118">
        <v>427.146015042626</v>
      </c>
      <c r="J17" s="118">
        <v>385.80930390946867</v>
      </c>
      <c r="K17" s="118">
        <v>341.51997055251439</v>
      </c>
      <c r="L17" s="213" t="s">
        <v>28</v>
      </c>
      <c r="M17" s="209" t="s">
        <v>857</v>
      </c>
      <c r="N17" s="206" t="s">
        <v>2826</v>
      </c>
    </row>
    <row r="18" spans="1:14" ht="30" x14ac:dyDescent="0.25">
      <c r="A18" s="64" t="s">
        <v>773</v>
      </c>
      <c r="B18" s="118">
        <v>2009.5129529999999</v>
      </c>
      <c r="C18" s="118">
        <v>1107.6020928</v>
      </c>
      <c r="D18" s="118">
        <v>1164.0404159999998</v>
      </c>
      <c r="E18" s="118">
        <v>1898.6204663999999</v>
      </c>
      <c r="F18" s="118">
        <v>1834.245504</v>
      </c>
      <c r="G18" s="118">
        <v>1452.1845113999998</v>
      </c>
      <c r="H18" s="118">
        <v>1303.3725264</v>
      </c>
      <c r="I18" s="118">
        <v>1470.9237983999999</v>
      </c>
      <c r="J18" s="118">
        <v>1274.4919781999999</v>
      </c>
      <c r="K18" s="118">
        <v>1180.3546187999998</v>
      </c>
      <c r="L18" s="64" t="s">
        <v>778</v>
      </c>
      <c r="M18" s="81" t="s">
        <v>777</v>
      </c>
      <c r="N18" s="80" t="s">
        <v>779</v>
      </c>
    </row>
    <row r="19" spans="1:14" x14ac:dyDescent="0.25">
      <c r="A19" s="64" t="s">
        <v>939</v>
      </c>
      <c r="B19" s="384">
        <v>0.70410499999999998</v>
      </c>
      <c r="C19" s="384">
        <v>0.45895900000000001</v>
      </c>
      <c r="D19" s="384">
        <v>0.63377799999999995</v>
      </c>
      <c r="E19" s="384">
        <v>0.58928199999999997</v>
      </c>
      <c r="F19" s="384">
        <v>0.69996999999999998</v>
      </c>
      <c r="G19" s="384">
        <v>0.44329600000000002</v>
      </c>
      <c r="H19" s="384">
        <v>0.49777500000000002</v>
      </c>
      <c r="I19" s="384">
        <v>0.574156</v>
      </c>
      <c r="J19" s="384">
        <v>0.46401500000000001</v>
      </c>
      <c r="K19" s="384">
        <v>0.38916800000000001</v>
      </c>
      <c r="L19" s="64" t="s">
        <v>74</v>
      </c>
      <c r="M19" s="81" t="s">
        <v>768</v>
      </c>
      <c r="N19" s="80" t="s">
        <v>738</v>
      </c>
    </row>
    <row r="20" spans="1:14" x14ac:dyDescent="0.25">
      <c r="A20" s="261"/>
      <c r="B20" s="264"/>
    </row>
    <row r="21" spans="1:14" x14ac:dyDescent="0.25">
      <c r="A21" s="261"/>
      <c r="B21" s="264"/>
    </row>
    <row r="22" spans="1:14" x14ac:dyDescent="0.25">
      <c r="A22" s="261"/>
      <c r="B22" s="264"/>
    </row>
    <row r="23" spans="1:14" x14ac:dyDescent="0.25">
      <c r="A23" s="261"/>
      <c r="B23" s="264"/>
    </row>
    <row r="24" spans="1:14" x14ac:dyDescent="0.25">
      <c r="A24" s="261"/>
      <c r="B24" s="264"/>
    </row>
    <row r="25" spans="1:14" x14ac:dyDescent="0.25">
      <c r="A25" s="261"/>
      <c r="B25" s="264"/>
    </row>
    <row r="26" spans="1:14" x14ac:dyDescent="0.25">
      <c r="A26" s="261"/>
      <c r="B26" s="264"/>
    </row>
    <row r="27" spans="1:14" x14ac:dyDescent="0.25">
      <c r="A27" s="261"/>
      <c r="B27" s="264"/>
    </row>
    <row r="28" spans="1:14" x14ac:dyDescent="0.25">
      <c r="A28" s="261"/>
      <c r="B28" s="264"/>
    </row>
    <row r="29" spans="1:14" x14ac:dyDescent="0.25">
      <c r="A29" s="261"/>
      <c r="B29" s="264"/>
    </row>
    <row r="30" spans="1:14" x14ac:dyDescent="0.25">
      <c r="A30" s="261"/>
      <c r="B30" s="264"/>
    </row>
    <row r="31" spans="1:14" x14ac:dyDescent="0.25">
      <c r="A31" s="261"/>
      <c r="B31" s="264"/>
    </row>
    <row r="32" spans="1:14"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c r="B39" s="264"/>
    </row>
    <row r="40" spans="1:12" x14ac:dyDescent="0.25">
      <c r="A40" s="261"/>
      <c r="B40" s="264"/>
    </row>
    <row r="41" spans="1:12" x14ac:dyDescent="0.25">
      <c r="A41" s="261"/>
      <c r="B41" s="264"/>
    </row>
    <row r="42" spans="1:12" x14ac:dyDescent="0.25">
      <c r="A42" s="261" t="s">
        <v>1078</v>
      </c>
      <c r="B42" s="264"/>
    </row>
    <row r="43" spans="1:12" x14ac:dyDescent="0.25">
      <c r="A43" s="261" t="s">
        <v>1084</v>
      </c>
      <c r="B43" s="264">
        <v>135.79882500000002</v>
      </c>
      <c r="C43"/>
      <c r="D43"/>
      <c r="E43"/>
      <c r="F43"/>
      <c r="G43"/>
      <c r="H43"/>
      <c r="I43"/>
      <c r="J43"/>
      <c r="K43"/>
      <c r="L43"/>
    </row>
    <row r="44" spans="1:12" customFormat="1" x14ac:dyDescent="0.25">
      <c r="A44" s="261" t="s">
        <v>1079</v>
      </c>
      <c r="B44" s="264">
        <v>11.647</v>
      </c>
    </row>
    <row r="45" spans="1:12" x14ac:dyDescent="0.25">
      <c r="A45" s="261" t="s">
        <v>1080</v>
      </c>
      <c r="B45" s="265">
        <v>9.2641000000000009</v>
      </c>
      <c r="C45"/>
      <c r="D45"/>
      <c r="E45"/>
      <c r="F45"/>
      <c r="G45"/>
      <c r="H45"/>
      <c r="I45"/>
      <c r="J45"/>
      <c r="K45"/>
      <c r="L45"/>
    </row>
    <row r="46" spans="1:12" x14ac:dyDescent="0.25">
      <c r="A46" s="261" t="s">
        <v>812</v>
      </c>
      <c r="B46" s="265">
        <v>5.8864000000000001</v>
      </c>
      <c r="C46"/>
      <c r="D46"/>
      <c r="E46"/>
      <c r="F46"/>
      <c r="G46"/>
      <c r="H46"/>
      <c r="I46"/>
      <c r="J46"/>
      <c r="K46"/>
      <c r="L46"/>
    </row>
    <row r="47" spans="1:12" x14ac:dyDescent="0.25">
      <c r="A47" s="261" t="s">
        <v>1081</v>
      </c>
      <c r="B47" s="265">
        <v>5.1075000000000008</v>
      </c>
      <c r="C47"/>
      <c r="D47"/>
      <c r="E47"/>
      <c r="F47"/>
      <c r="G47"/>
      <c r="H47"/>
      <c r="I47"/>
      <c r="J47"/>
      <c r="K47"/>
      <c r="L47"/>
    </row>
    <row r="48" spans="1:12" x14ac:dyDescent="0.25">
      <c r="A48" s="261" t="s">
        <v>1082</v>
      </c>
      <c r="B48" s="265">
        <v>3.6500000000000004</v>
      </c>
      <c r="C48"/>
      <c r="D48"/>
      <c r="E48" s="200"/>
      <c r="F48"/>
      <c r="G48"/>
      <c r="H48"/>
      <c r="I48"/>
      <c r="J48"/>
      <c r="K48"/>
      <c r="L48"/>
    </row>
    <row r="49" spans="1:12" x14ac:dyDescent="0.25">
      <c r="A49" s="261" t="s">
        <v>1083</v>
      </c>
      <c r="B49" s="266">
        <v>0.73260000000000003</v>
      </c>
      <c r="C49"/>
      <c r="D49"/>
      <c r="E49" s="200"/>
      <c r="F49"/>
      <c r="G49"/>
      <c r="H49"/>
      <c r="I49"/>
      <c r="J49"/>
      <c r="K49"/>
      <c r="L49"/>
    </row>
    <row r="50" spans="1:12" x14ac:dyDescent="0.25">
      <c r="A50" s="280"/>
      <c r="B50" s="280"/>
      <c r="C50"/>
      <c r="D50"/>
      <c r="E50" s="200"/>
      <c r="F50"/>
      <c r="G50"/>
      <c r="H50"/>
      <c r="I50"/>
      <c r="J50"/>
      <c r="K50"/>
      <c r="L50"/>
    </row>
    <row r="51" spans="1:12" x14ac:dyDescent="0.25">
      <c r="A51" s="280"/>
      <c r="B51" s="281"/>
      <c r="C51"/>
      <c r="D51"/>
      <c r="E51" s="200"/>
      <c r="F51"/>
      <c r="G51"/>
      <c r="H51"/>
      <c r="I51"/>
      <c r="J51"/>
      <c r="K51"/>
      <c r="L51"/>
    </row>
    <row r="52" spans="1:12" x14ac:dyDescent="0.25">
      <c r="A52" s="280"/>
      <c r="B52" s="281"/>
      <c r="C52"/>
      <c r="D52"/>
      <c r="E52" s="200"/>
      <c r="F52"/>
      <c r="G52"/>
      <c r="H52"/>
      <c r="I52"/>
      <c r="J52"/>
      <c r="K52"/>
      <c r="L52"/>
    </row>
    <row r="53" spans="1:12" x14ac:dyDescent="0.25">
      <c r="A53" s="280"/>
      <c r="B53" s="281"/>
      <c r="C53"/>
      <c r="D53"/>
      <c r="E53" s="200"/>
      <c r="F53"/>
      <c r="G53"/>
      <c r="H53"/>
      <c r="I53"/>
      <c r="J53"/>
      <c r="K53"/>
      <c r="L53"/>
    </row>
    <row r="54" spans="1:12" x14ac:dyDescent="0.25">
      <c r="A54"/>
      <c r="B54" s="281"/>
      <c r="C54"/>
      <c r="D54"/>
      <c r="E54" s="200"/>
      <c r="F54"/>
      <c r="G54"/>
      <c r="H54"/>
      <c r="I54"/>
      <c r="J54"/>
      <c r="K54"/>
      <c r="L54"/>
    </row>
    <row r="55" spans="1:12" x14ac:dyDescent="0.25">
      <c r="A55"/>
      <c r="B55" s="281"/>
      <c r="C55"/>
      <c r="D55"/>
      <c r="E55" s="200"/>
      <c r="F55"/>
      <c r="G55"/>
      <c r="H55"/>
      <c r="I55"/>
      <c r="J55"/>
      <c r="K55"/>
      <c r="L55"/>
    </row>
    <row r="56" spans="1:12" x14ac:dyDescent="0.25">
      <c r="A56"/>
      <c r="B56" s="281"/>
      <c r="C56"/>
      <c r="D56"/>
      <c r="E56" s="200"/>
      <c r="F56"/>
      <c r="G56"/>
      <c r="H56"/>
      <c r="I56"/>
      <c r="J56"/>
      <c r="K56"/>
      <c r="L56"/>
    </row>
    <row r="57" spans="1:12" x14ac:dyDescent="0.25">
      <c r="A57"/>
      <c r="B57" s="281"/>
      <c r="C57"/>
      <c r="D57"/>
      <c r="E57" s="200"/>
      <c r="F57"/>
      <c r="G57"/>
      <c r="H57"/>
      <c r="I57"/>
      <c r="J57"/>
      <c r="K57"/>
      <c r="L57"/>
    </row>
    <row r="58" spans="1:12" x14ac:dyDescent="0.25">
      <c r="B58" s="281"/>
      <c r="C58" s="199"/>
      <c r="D58" s="199"/>
      <c r="E58" s="199"/>
      <c r="F58" s="199"/>
      <c r="G58" s="199"/>
      <c r="H58" s="199"/>
      <c r="I58" s="199"/>
      <c r="J58" s="199"/>
      <c r="K58" s="199"/>
    </row>
    <row r="59" spans="1:12" x14ac:dyDescent="0.25">
      <c r="B59" s="280"/>
      <c r="C59" s="199"/>
      <c r="D59" s="199"/>
      <c r="E59" s="199"/>
      <c r="F59" s="199"/>
      <c r="G59" s="199"/>
      <c r="H59" s="199"/>
      <c r="I59" s="199"/>
      <c r="J59" s="199"/>
      <c r="K59" s="199"/>
    </row>
    <row r="60" spans="1:12" x14ac:dyDescent="0.25">
      <c r="B60" s="199"/>
      <c r="C60" s="199"/>
      <c r="D60" s="199"/>
      <c r="E60" s="199"/>
      <c r="F60" s="199"/>
      <c r="G60" s="199"/>
      <c r="H60" s="199"/>
      <c r="I60" s="199"/>
      <c r="J60" s="199"/>
      <c r="K60" s="199"/>
    </row>
    <row r="89" spans="5:13" x14ac:dyDescent="0.25">
      <c r="E89"/>
      <c r="F89"/>
      <c r="G89"/>
      <c r="H89"/>
      <c r="I89"/>
      <c r="J89"/>
      <c r="K89"/>
      <c r="L89"/>
      <c r="M89"/>
    </row>
    <row r="90" spans="5:13" x14ac:dyDescent="0.25">
      <c r="E90"/>
      <c r="F90"/>
      <c r="G90"/>
      <c r="H90"/>
      <c r="I90"/>
      <c r="J90"/>
      <c r="K90"/>
      <c r="L90"/>
      <c r="M90"/>
    </row>
    <row r="91" spans="5:13" x14ac:dyDescent="0.25">
      <c r="E91"/>
      <c r="F91"/>
      <c r="G91"/>
      <c r="H91"/>
      <c r="I91"/>
      <c r="J91"/>
      <c r="K91"/>
      <c r="L91"/>
      <c r="M91"/>
    </row>
    <row r="92" spans="5:13" x14ac:dyDescent="0.25">
      <c r="E92"/>
      <c r="F92"/>
      <c r="G92"/>
      <c r="H92"/>
      <c r="I92"/>
      <c r="J92"/>
      <c r="K92"/>
      <c r="L92"/>
      <c r="M92"/>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row r="97" spans="5:13" x14ac:dyDescent="0.25">
      <c r="E97"/>
      <c r="F97"/>
      <c r="G97"/>
      <c r="H97"/>
      <c r="I97"/>
      <c r="J97"/>
      <c r="K97"/>
      <c r="L97"/>
      <c r="M97"/>
    </row>
    <row r="98" spans="5:13" x14ac:dyDescent="0.25">
      <c r="E98"/>
      <c r="F98"/>
      <c r="G98"/>
      <c r="H98"/>
      <c r="I98"/>
      <c r="J98"/>
      <c r="K98"/>
      <c r="L98"/>
      <c r="M98"/>
    </row>
    <row r="99" spans="5:13" x14ac:dyDescent="0.25">
      <c r="E99"/>
      <c r="F99"/>
      <c r="G99"/>
      <c r="H99"/>
      <c r="I99"/>
      <c r="J99"/>
      <c r="K99"/>
      <c r="L99"/>
      <c r="M99"/>
    </row>
  </sheetData>
  <mergeCells count="1">
    <mergeCell ref="A1:A2"/>
  </mergeCells>
  <hyperlinks>
    <hyperlink ref="M19" r:id="rId1" xr:uid="{F0C7E509-811F-4EDE-9363-34020F9D2F87}"/>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E7DD-DEAD-47BD-B370-6376BA24833D}">
  <sheetPr>
    <tabColor rgb="FF00441B"/>
  </sheetPr>
  <dimension ref="A1:N103"/>
  <sheetViews>
    <sheetView zoomScale="85" zoomScaleNormal="85" workbookViewId="0">
      <pane xSplit="1" ySplit="3" topLeftCell="B4" activePane="bottomRight" state="frozen"/>
      <selection pane="topRight" activeCell="B1" sqref="B1"/>
      <selection pane="bottomLeft" activeCell="A4" sqref="A4"/>
      <selection pane="bottomRight" sqref="A1:XFD1048576"/>
    </sheetView>
  </sheetViews>
  <sheetFormatPr defaultColWidth="8.85546875" defaultRowHeight="15" x14ac:dyDescent="0.25"/>
  <cols>
    <col min="1" max="1" width="86.140625" style="40" bestFit="1" customWidth="1"/>
    <col min="2" max="11" width="11.7109375" style="5" customWidth="1"/>
    <col min="12" max="12" width="25" style="40" bestFit="1" customWidth="1"/>
    <col min="13" max="13" width="99.140625" style="40" bestFit="1" customWidth="1"/>
    <col min="14" max="14" width="32.85546875" style="40" bestFit="1" customWidth="1"/>
    <col min="15" max="16384" width="8.85546875" style="40"/>
  </cols>
  <sheetData>
    <row r="1" spans="1:14" x14ac:dyDescent="0.25">
      <c r="A1" s="385" t="s">
        <v>2827</v>
      </c>
    </row>
    <row r="2" spans="1:14" x14ac:dyDescent="0.25">
      <c r="A2" s="385"/>
      <c r="L2" s="277"/>
    </row>
    <row r="3" spans="1:14" s="5" customFormat="1" x14ac:dyDescent="0.25">
      <c r="A3" s="35" t="s">
        <v>12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381" t="s">
        <v>845</v>
      </c>
      <c r="B4" s="161">
        <v>1.1759999999999999</v>
      </c>
      <c r="C4" s="161">
        <v>1.0109999999999999</v>
      </c>
      <c r="D4" s="161">
        <v>0.82</v>
      </c>
      <c r="E4" s="161">
        <v>1.4487999999999999</v>
      </c>
      <c r="F4" s="161">
        <v>1.0615000000000001</v>
      </c>
      <c r="G4" s="161">
        <v>1.7544000000000002</v>
      </c>
      <c r="H4" s="161">
        <v>1.3480000000000001</v>
      </c>
      <c r="I4" s="161">
        <v>1.7150000000000001</v>
      </c>
      <c r="J4" s="161">
        <v>1.7769999999999999</v>
      </c>
      <c r="K4" s="161">
        <v>1.714</v>
      </c>
      <c r="L4" s="382" t="s">
        <v>28</v>
      </c>
      <c r="M4" s="81" t="s">
        <v>857</v>
      </c>
      <c r="N4" s="80" t="s">
        <v>738</v>
      </c>
    </row>
    <row r="5" spans="1:14" x14ac:dyDescent="0.25">
      <c r="A5" s="50"/>
      <c r="B5" s="267"/>
      <c r="C5" s="267"/>
      <c r="D5" s="267"/>
      <c r="E5" s="267"/>
      <c r="F5" s="267"/>
      <c r="G5" s="267"/>
      <c r="H5" s="267"/>
      <c r="I5" s="267"/>
      <c r="J5" s="267"/>
      <c r="K5" s="267"/>
      <c r="L5" s="52"/>
      <c r="M5" s="52"/>
      <c r="N5" s="53"/>
    </row>
    <row r="6" spans="1:14" s="5" customFormat="1" x14ac:dyDescent="0.25">
      <c r="A6" s="35" t="s">
        <v>27</v>
      </c>
      <c r="B6" s="35">
        <v>2008</v>
      </c>
      <c r="C6" s="35">
        <v>2009</v>
      </c>
      <c r="D6" s="35">
        <v>2010</v>
      </c>
      <c r="E6" s="35">
        <v>2011</v>
      </c>
      <c r="F6" s="35">
        <v>2012</v>
      </c>
      <c r="G6" s="35">
        <v>2013</v>
      </c>
      <c r="H6" s="35">
        <v>2014</v>
      </c>
      <c r="I6" s="35">
        <v>2015</v>
      </c>
      <c r="J6" s="35">
        <v>2016</v>
      </c>
      <c r="K6" s="74">
        <v>2017</v>
      </c>
      <c r="L6" s="4" t="s">
        <v>765</v>
      </c>
      <c r="M6" s="28" t="s">
        <v>766</v>
      </c>
      <c r="N6" s="29" t="s">
        <v>58</v>
      </c>
    </row>
    <row r="7" spans="1:14" ht="30" x14ac:dyDescent="0.25">
      <c r="A7" s="381" t="s">
        <v>735</v>
      </c>
      <c r="B7" s="384">
        <v>0.64897668511294559</v>
      </c>
      <c r="C7" s="384">
        <v>0.65547673047264809</v>
      </c>
      <c r="D7" s="384">
        <v>0.66441984940578791</v>
      </c>
      <c r="E7" s="384">
        <v>1.1102367776467388</v>
      </c>
      <c r="F7" s="384">
        <v>0.69310078925882246</v>
      </c>
      <c r="G7" s="384">
        <v>1.0848271795337023</v>
      </c>
      <c r="H7" s="384">
        <v>1.0026784904291028</v>
      </c>
      <c r="I7" s="384">
        <v>1.1389798602921164</v>
      </c>
      <c r="J7" s="384">
        <v>1.3056654268347998</v>
      </c>
      <c r="K7" s="384">
        <v>1.3999546402975598</v>
      </c>
      <c r="L7" s="382" t="s">
        <v>28</v>
      </c>
      <c r="M7" s="81" t="s">
        <v>857</v>
      </c>
      <c r="N7" s="80" t="s">
        <v>779</v>
      </c>
    </row>
    <row r="8" spans="1:14" ht="30" x14ac:dyDescent="0.25">
      <c r="A8" s="381" t="s">
        <v>865</v>
      </c>
      <c r="B8" s="384">
        <v>1.076620939321661</v>
      </c>
      <c r="C8" s="384">
        <v>1.2425111820759089</v>
      </c>
      <c r="D8" s="384">
        <v>1.1386332720231458</v>
      </c>
      <c r="E8" s="384">
        <v>1.3187594043403239</v>
      </c>
      <c r="F8" s="384">
        <v>1.1940519952190662</v>
      </c>
      <c r="G8" s="384">
        <v>1.2908923647945607</v>
      </c>
      <c r="H8" s="384">
        <v>1.7297199280161839</v>
      </c>
      <c r="I8" s="384">
        <v>1.7787423756288623</v>
      </c>
      <c r="J8" s="384">
        <v>1.4371028758051345</v>
      </c>
      <c r="K8" s="384">
        <v>2.028755365483724</v>
      </c>
      <c r="L8" s="382" t="s">
        <v>28</v>
      </c>
      <c r="M8" s="81" t="s">
        <v>857</v>
      </c>
      <c r="N8" s="80" t="s">
        <v>779</v>
      </c>
    </row>
    <row r="9" spans="1:14" ht="30" x14ac:dyDescent="0.25">
      <c r="A9" s="381" t="s">
        <v>869</v>
      </c>
      <c r="B9" s="384">
        <v>0.87349178989385834</v>
      </c>
      <c r="C9" s="384">
        <v>0.82519167361655565</v>
      </c>
      <c r="D9" s="384">
        <v>0.56799512964325283</v>
      </c>
      <c r="E9" s="384">
        <v>0.48219158240665566</v>
      </c>
      <c r="F9" s="384">
        <v>0.62197444470472463</v>
      </c>
      <c r="G9" s="384">
        <v>0.39403797511872724</v>
      </c>
      <c r="H9" s="384">
        <v>0.93313214375828002</v>
      </c>
      <c r="I9" s="384">
        <v>0.77687062241909643</v>
      </c>
      <c r="J9" s="384">
        <v>0.35879524630318427</v>
      </c>
      <c r="K9" s="384">
        <v>0.69478775231126644</v>
      </c>
      <c r="L9" s="382" t="s">
        <v>28</v>
      </c>
      <c r="M9" s="81" t="s">
        <v>857</v>
      </c>
      <c r="N9" s="80" t="s">
        <v>779</v>
      </c>
    </row>
    <row r="10" spans="1:14" ht="30" x14ac:dyDescent="0.25">
      <c r="A10" s="381" t="s">
        <v>873</v>
      </c>
      <c r="B10" s="384">
        <v>0.42313502547920984</v>
      </c>
      <c r="C10" s="384">
        <v>0.1905386063914134</v>
      </c>
      <c r="D10" s="384">
        <v>0.17591315944356711</v>
      </c>
      <c r="E10" s="384">
        <v>0.29373427368458455</v>
      </c>
      <c r="F10" s="384">
        <v>0.15285395633497323</v>
      </c>
      <c r="G10" s="384">
        <v>0.17713000658652725</v>
      </c>
      <c r="H10" s="384">
        <v>0.15809424422798932</v>
      </c>
      <c r="I10" s="384">
        <v>0.15656968741438357</v>
      </c>
      <c r="J10" s="384">
        <v>0.17599564546856572</v>
      </c>
      <c r="K10" s="384">
        <v>0.11884242039372223</v>
      </c>
      <c r="L10" s="382" t="s">
        <v>28</v>
      </c>
      <c r="M10" s="81" t="s">
        <v>857</v>
      </c>
      <c r="N10" s="80" t="s">
        <v>779</v>
      </c>
    </row>
    <row r="11" spans="1:14" ht="30" x14ac:dyDescent="0.25">
      <c r="A11" s="268" t="s">
        <v>836</v>
      </c>
      <c r="B11" s="384">
        <v>0.13376669560586804</v>
      </c>
      <c r="C11" s="384">
        <v>0.15647897916286782</v>
      </c>
      <c r="D11" s="384">
        <v>0.20409711959691956</v>
      </c>
      <c r="E11" s="384">
        <v>0.12196648677188199</v>
      </c>
      <c r="F11" s="384">
        <v>0.1019013690328773</v>
      </c>
      <c r="G11" s="384">
        <v>7.0070969082228152E-2</v>
      </c>
      <c r="H11" s="384">
        <v>8.091364415305663E-2</v>
      </c>
      <c r="I11" s="384">
        <v>0.12890962713789486</v>
      </c>
      <c r="J11" s="384">
        <v>0.10944824101365223</v>
      </c>
      <c r="K11" s="384">
        <v>0.16080988033322718</v>
      </c>
      <c r="L11" s="213" t="s">
        <v>28</v>
      </c>
      <c r="M11" s="209" t="s">
        <v>857</v>
      </c>
      <c r="N11" s="206" t="s">
        <v>779</v>
      </c>
    </row>
    <row r="12" spans="1:14" ht="30" x14ac:dyDescent="0.25">
      <c r="A12" s="268" t="s">
        <v>837</v>
      </c>
      <c r="B12" s="384">
        <v>0.15647897916286782</v>
      </c>
      <c r="C12" s="384">
        <v>0.20409711959691956</v>
      </c>
      <c r="D12" s="384">
        <v>0.12196648677188199</v>
      </c>
      <c r="E12" s="384">
        <v>0.1019013690328773</v>
      </c>
      <c r="F12" s="384">
        <v>7.0070969082228152E-2</v>
      </c>
      <c r="G12" s="384">
        <v>8.091364415305663E-2</v>
      </c>
      <c r="H12" s="384">
        <v>0.12890962713789486</v>
      </c>
      <c r="I12" s="384">
        <v>0.10944824101365223</v>
      </c>
      <c r="J12" s="384">
        <v>0.16080988033322718</v>
      </c>
      <c r="K12" s="384">
        <v>0.10795501451042401</v>
      </c>
      <c r="L12" s="213" t="s">
        <v>28</v>
      </c>
      <c r="M12" s="209" t="s">
        <v>857</v>
      </c>
      <c r="N12" s="206" t="s">
        <v>779</v>
      </c>
    </row>
    <row r="13" spans="1:14" x14ac:dyDescent="0.25">
      <c r="A13" s="41" t="s">
        <v>83</v>
      </c>
      <c r="B13" s="134"/>
      <c r="C13" s="9"/>
      <c r="D13" s="9"/>
      <c r="E13" s="9"/>
      <c r="F13" s="9"/>
      <c r="G13" s="9"/>
      <c r="H13" s="9"/>
      <c r="I13" s="9"/>
      <c r="J13" s="9"/>
      <c r="K13" s="83"/>
      <c r="L13" s="24"/>
      <c r="M13" s="44"/>
      <c r="N13" s="24"/>
    </row>
    <row r="14" spans="1:14" ht="30" x14ac:dyDescent="0.25">
      <c r="A14" s="381" t="s">
        <v>1094</v>
      </c>
      <c r="B14" s="190">
        <v>1.0491699174453415</v>
      </c>
      <c r="C14" s="190">
        <v>1.2156400254014335</v>
      </c>
      <c r="D14" s="190">
        <v>1.1122199038374307</v>
      </c>
      <c r="E14" s="190">
        <v>1.2900299374036106</v>
      </c>
      <c r="F14" s="190">
        <v>1.1666515467658531</v>
      </c>
      <c r="G14" s="190">
        <v>1.26417490701261</v>
      </c>
      <c r="H14" s="190">
        <v>1.6878345278054976</v>
      </c>
      <c r="I14" s="190">
        <v>1.7354622153678672</v>
      </c>
      <c r="J14" s="190">
        <v>1.5412437630409146</v>
      </c>
      <c r="K14" s="190">
        <v>1.987771</v>
      </c>
      <c r="L14" s="382" t="s">
        <v>28</v>
      </c>
      <c r="M14" s="81" t="s">
        <v>857</v>
      </c>
      <c r="N14" s="80" t="s">
        <v>779</v>
      </c>
    </row>
    <row r="15" spans="1:14" x14ac:dyDescent="0.25">
      <c r="A15" s="372" t="s">
        <v>2828</v>
      </c>
      <c r="B15" s="290"/>
      <c r="C15" s="290"/>
      <c r="D15" s="290"/>
      <c r="E15" s="290"/>
      <c r="F15" s="290"/>
      <c r="G15" s="290"/>
      <c r="H15" s="290"/>
      <c r="I15" s="290"/>
      <c r="J15" s="290"/>
      <c r="K15" s="290"/>
      <c r="L15" s="370"/>
      <c r="M15" s="371"/>
      <c r="N15" s="160"/>
    </row>
    <row r="16" spans="1:14" x14ac:dyDescent="0.25">
      <c r="A16" s="381" t="s">
        <v>1095</v>
      </c>
      <c r="B16" s="121"/>
      <c r="C16" s="83">
        <v>0</v>
      </c>
      <c r="D16" s="190">
        <v>0.11158172998854247</v>
      </c>
      <c r="E16" s="190">
        <v>0.38418587520445313</v>
      </c>
      <c r="F16" s="190">
        <v>0.3569708191096867</v>
      </c>
      <c r="G16" s="190">
        <v>0.29301543728698554</v>
      </c>
      <c r="H16" s="190">
        <v>0.47444914458542858</v>
      </c>
      <c r="I16" s="190">
        <v>0.33792027984335016</v>
      </c>
      <c r="J16" s="190">
        <v>0.51255022311810161</v>
      </c>
      <c r="K16" s="190">
        <v>0.65860435749334822</v>
      </c>
      <c r="L16" s="64" t="s">
        <v>14</v>
      </c>
      <c r="M16" s="82" t="s">
        <v>802</v>
      </c>
      <c r="N16" s="80"/>
    </row>
    <row r="17" spans="1:14" x14ac:dyDescent="0.25">
      <c r="A17" s="381" t="s">
        <v>77</v>
      </c>
      <c r="B17" s="121"/>
      <c r="C17" s="118">
        <v>0</v>
      </c>
      <c r="D17" s="118">
        <v>6.84333600946717</v>
      </c>
      <c r="E17" s="118">
        <v>18.987974581670485</v>
      </c>
      <c r="F17" s="118">
        <v>16.792080965568125</v>
      </c>
      <c r="G17" s="118">
        <v>15.298569583743921</v>
      </c>
      <c r="H17" s="118">
        <v>20.539751685005825</v>
      </c>
      <c r="I17" s="118">
        <v>13.498822250407683</v>
      </c>
      <c r="J17" s="118">
        <v>19.44587850628119</v>
      </c>
      <c r="K17" s="118">
        <v>22.020018198362145</v>
      </c>
      <c r="L17" s="64" t="s">
        <v>875</v>
      </c>
      <c r="M17" s="80"/>
      <c r="N17" s="80"/>
    </row>
    <row r="18" spans="1:14" x14ac:dyDescent="0.25">
      <c r="A18" s="50"/>
      <c r="B18" s="124"/>
      <c r="C18" s="124"/>
      <c r="D18" s="124"/>
      <c r="E18" s="124"/>
      <c r="F18" s="124"/>
      <c r="G18" s="124"/>
      <c r="H18" s="124"/>
      <c r="I18" s="124"/>
      <c r="J18" s="124"/>
      <c r="K18" s="120"/>
      <c r="L18" s="52"/>
      <c r="M18" s="52"/>
      <c r="N18" s="53"/>
    </row>
    <row r="19" spans="1:14" s="5" customFormat="1" x14ac:dyDescent="0.25">
      <c r="A19" s="56" t="s">
        <v>19</v>
      </c>
      <c r="B19" s="56">
        <v>2008</v>
      </c>
      <c r="C19" s="56">
        <v>2009</v>
      </c>
      <c r="D19" s="56">
        <v>2010</v>
      </c>
      <c r="E19" s="56">
        <v>2011</v>
      </c>
      <c r="F19" s="56">
        <v>2012</v>
      </c>
      <c r="G19" s="56">
        <v>2013</v>
      </c>
      <c r="H19" s="56">
        <v>2014</v>
      </c>
      <c r="I19" s="56">
        <v>2015</v>
      </c>
      <c r="J19" s="56">
        <v>2016</v>
      </c>
      <c r="K19" s="74">
        <v>2017</v>
      </c>
      <c r="L19" s="4" t="s">
        <v>765</v>
      </c>
      <c r="M19" s="28" t="s">
        <v>766</v>
      </c>
      <c r="N19" s="29" t="s">
        <v>58</v>
      </c>
    </row>
    <row r="20" spans="1:14" ht="30" x14ac:dyDescent="0.25">
      <c r="A20" s="268" t="s">
        <v>2829</v>
      </c>
      <c r="B20" s="118">
        <v>360.2199113032284</v>
      </c>
      <c r="C20" s="118">
        <v>368.09357056668694</v>
      </c>
      <c r="D20" s="118">
        <v>318.88320017007101</v>
      </c>
      <c r="E20" s="118">
        <v>379.90405946187474</v>
      </c>
      <c r="F20" s="118">
        <v>472.41955580751261</v>
      </c>
      <c r="G20" s="118">
        <v>521.62992620412854</v>
      </c>
      <c r="H20" s="118">
        <v>405.49345206811506</v>
      </c>
      <c r="I20" s="118">
        <v>332.66210388112347</v>
      </c>
      <c r="J20" s="118">
        <v>307.0727112748832</v>
      </c>
      <c r="K20" s="118">
        <v>326.7568594335296</v>
      </c>
      <c r="L20" s="213" t="s">
        <v>28</v>
      </c>
      <c r="M20" s="209" t="s">
        <v>857</v>
      </c>
      <c r="N20" s="206" t="s">
        <v>2826</v>
      </c>
    </row>
    <row r="21" spans="1:14" ht="30" x14ac:dyDescent="0.25">
      <c r="A21" s="64" t="s">
        <v>774</v>
      </c>
      <c r="B21" s="118">
        <v>1447.1138808000001</v>
      </c>
      <c r="C21" s="118">
        <v>871.70753879999984</v>
      </c>
      <c r="D21" s="118">
        <v>945.3419136</v>
      </c>
      <c r="E21" s="118">
        <v>1293.6721895999999</v>
      </c>
      <c r="F21" s="118">
        <v>1260.8233217999998</v>
      </c>
      <c r="G21" s="118">
        <v>1238.3361774</v>
      </c>
      <c r="H21" s="118">
        <v>963.41981400000009</v>
      </c>
      <c r="I21" s="118">
        <v>833.56757819999996</v>
      </c>
      <c r="J21" s="118">
        <v>777.57017940000003</v>
      </c>
      <c r="K21" s="118">
        <v>853.85010059999991</v>
      </c>
      <c r="L21" s="64" t="s">
        <v>778</v>
      </c>
      <c r="M21" s="81" t="s">
        <v>777</v>
      </c>
      <c r="N21" s="80" t="s">
        <v>779</v>
      </c>
    </row>
    <row r="22" spans="1:14" x14ac:dyDescent="0.25">
      <c r="A22" s="64" t="s">
        <v>940</v>
      </c>
      <c r="B22" s="384">
        <v>0.27098800000000001</v>
      </c>
      <c r="C22" s="384">
        <v>0.23715600000000001</v>
      </c>
      <c r="D22" s="384">
        <v>0.47106799999999999</v>
      </c>
      <c r="E22" s="384">
        <v>0.36419699999999999</v>
      </c>
      <c r="F22" s="384">
        <v>0.63025299999999995</v>
      </c>
      <c r="G22" s="384">
        <v>0.45644800000000002</v>
      </c>
      <c r="H22" s="384">
        <v>0.42338199999999998</v>
      </c>
      <c r="I22" s="384">
        <v>0.44855200000000001</v>
      </c>
      <c r="J22" s="384">
        <v>0.51009800000000005</v>
      </c>
      <c r="K22" s="384">
        <v>0.53265399999999996</v>
      </c>
      <c r="L22" s="64" t="s">
        <v>74</v>
      </c>
      <c r="M22" s="81" t="s">
        <v>769</v>
      </c>
      <c r="N22" s="80" t="s">
        <v>738</v>
      </c>
    </row>
    <row r="23" spans="1:14" x14ac:dyDescent="0.25">
      <c r="A23" s="64" t="s">
        <v>1090</v>
      </c>
      <c r="B23" s="121"/>
      <c r="C23" s="228">
        <v>0</v>
      </c>
      <c r="D23" s="228">
        <v>0.10548288615016725</v>
      </c>
      <c r="E23" s="228">
        <v>0.4970105823891372</v>
      </c>
      <c r="F23" s="228">
        <v>0.450077133935542</v>
      </c>
      <c r="G23" s="228">
        <v>0.3628516165291551</v>
      </c>
      <c r="H23" s="228">
        <v>0.45709370662895277</v>
      </c>
      <c r="I23" s="228">
        <v>0.28167938929368769</v>
      </c>
      <c r="J23" s="228">
        <v>0.39854376894145233</v>
      </c>
      <c r="K23" s="228">
        <v>0.5623493969012936</v>
      </c>
      <c r="L23" s="64" t="s">
        <v>79</v>
      </c>
      <c r="M23" s="80"/>
      <c r="N23" s="80"/>
    </row>
    <row r="24" spans="1:14" x14ac:dyDescent="0.25">
      <c r="A24" s="261"/>
      <c r="B24" s="264"/>
    </row>
    <row r="25" spans="1:14" x14ac:dyDescent="0.25">
      <c r="A25" s="261"/>
      <c r="B25" s="264"/>
    </row>
    <row r="26" spans="1:14" x14ac:dyDescent="0.25">
      <c r="A26" s="261"/>
      <c r="B26" s="264"/>
    </row>
    <row r="27" spans="1:14" x14ac:dyDescent="0.25">
      <c r="A27" s="261"/>
      <c r="B27" s="264"/>
    </row>
    <row r="28" spans="1:14" x14ac:dyDescent="0.25">
      <c r="A28" s="261"/>
      <c r="B28" s="264"/>
    </row>
    <row r="29" spans="1:14" x14ac:dyDescent="0.25">
      <c r="A29" s="261"/>
      <c r="B29" s="264"/>
    </row>
    <row r="30" spans="1:14" x14ac:dyDescent="0.25">
      <c r="A30" s="261"/>
      <c r="B30" s="264"/>
    </row>
    <row r="31" spans="1:14" x14ac:dyDescent="0.25">
      <c r="A31" s="261"/>
      <c r="B31" s="264"/>
    </row>
    <row r="32" spans="1:14" x14ac:dyDescent="0.25">
      <c r="A32" s="261"/>
      <c r="B32" s="264"/>
    </row>
    <row r="33" spans="1:12" x14ac:dyDescent="0.25">
      <c r="A33" s="261"/>
      <c r="B33" s="264"/>
    </row>
    <row r="34" spans="1:12" x14ac:dyDescent="0.25">
      <c r="A34" s="261"/>
      <c r="B34" s="264"/>
    </row>
    <row r="35" spans="1:12" x14ac:dyDescent="0.25">
      <c r="A35" s="261"/>
      <c r="B35" s="264"/>
    </row>
    <row r="36" spans="1:12" x14ac:dyDescent="0.25">
      <c r="A36" s="261"/>
      <c r="B36" s="264"/>
    </row>
    <row r="37" spans="1:12" x14ac:dyDescent="0.25">
      <c r="A37" s="261"/>
      <c r="B37" s="264"/>
    </row>
    <row r="38" spans="1:12" x14ac:dyDescent="0.25">
      <c r="A38" s="261"/>
      <c r="B38" s="264"/>
    </row>
    <row r="39" spans="1:12" x14ac:dyDescent="0.25">
      <c r="A39" s="261"/>
      <c r="B39" s="264"/>
    </row>
    <row r="40" spans="1:12" x14ac:dyDescent="0.25">
      <c r="A40" s="261"/>
      <c r="B40" s="264"/>
    </row>
    <row r="41" spans="1:12" x14ac:dyDescent="0.25">
      <c r="A41" s="261"/>
      <c r="B41" s="264"/>
    </row>
    <row r="42" spans="1:12" x14ac:dyDescent="0.25">
      <c r="A42" s="261"/>
      <c r="B42" s="264"/>
    </row>
    <row r="43" spans="1:12" x14ac:dyDescent="0.25">
      <c r="A43" s="261"/>
      <c r="B43" s="264"/>
    </row>
    <row r="44" spans="1:12" x14ac:dyDescent="0.25">
      <c r="A44" s="261"/>
      <c r="B44" s="264"/>
    </row>
    <row r="45" spans="1:12" x14ac:dyDescent="0.25">
      <c r="A45" s="261"/>
      <c r="B45" s="264"/>
    </row>
    <row r="46" spans="1:12" x14ac:dyDescent="0.25">
      <c r="A46" s="261" t="s">
        <v>1078</v>
      </c>
      <c r="B46" s="264"/>
    </row>
    <row r="47" spans="1:12" x14ac:dyDescent="0.25">
      <c r="A47" s="261" t="s">
        <v>1084</v>
      </c>
      <c r="B47" s="264">
        <v>135.79882500000002</v>
      </c>
      <c r="C47"/>
      <c r="D47"/>
      <c r="E47"/>
      <c r="F47"/>
      <c r="G47"/>
      <c r="H47"/>
      <c r="I47"/>
      <c r="J47"/>
      <c r="K47"/>
      <c r="L47"/>
    </row>
    <row r="48" spans="1:12" customFormat="1" x14ac:dyDescent="0.25">
      <c r="A48" s="261" t="s">
        <v>1079</v>
      </c>
      <c r="B48" s="264">
        <v>11.647</v>
      </c>
    </row>
    <row r="49" spans="1:12" x14ac:dyDescent="0.25">
      <c r="A49" s="261" t="s">
        <v>1080</v>
      </c>
      <c r="B49" s="265">
        <v>9.2641000000000009</v>
      </c>
      <c r="C49"/>
      <c r="D49"/>
      <c r="E49"/>
      <c r="F49"/>
      <c r="G49"/>
      <c r="H49"/>
      <c r="I49"/>
      <c r="J49"/>
      <c r="K49"/>
      <c r="L49"/>
    </row>
    <row r="50" spans="1:12" x14ac:dyDescent="0.25">
      <c r="A50" s="261" t="s">
        <v>812</v>
      </c>
      <c r="B50" s="265">
        <v>5.8864000000000001</v>
      </c>
      <c r="C50"/>
      <c r="D50"/>
      <c r="E50"/>
      <c r="F50"/>
      <c r="G50"/>
      <c r="H50"/>
      <c r="I50"/>
      <c r="J50"/>
      <c r="K50"/>
      <c r="L50"/>
    </row>
    <row r="51" spans="1:12" x14ac:dyDescent="0.25">
      <c r="A51" s="261" t="s">
        <v>1081</v>
      </c>
      <c r="B51" s="265">
        <v>5.1075000000000008</v>
      </c>
      <c r="C51"/>
      <c r="D51"/>
      <c r="E51"/>
      <c r="F51"/>
      <c r="G51"/>
      <c r="H51"/>
      <c r="I51"/>
      <c r="J51"/>
      <c r="K51"/>
      <c r="L51"/>
    </row>
    <row r="52" spans="1:12" x14ac:dyDescent="0.25">
      <c r="A52" s="261" t="s">
        <v>1082</v>
      </c>
      <c r="B52" s="265">
        <v>3.6500000000000004</v>
      </c>
      <c r="C52"/>
      <c r="D52"/>
      <c r="E52" s="200"/>
      <c r="F52"/>
      <c r="G52"/>
      <c r="H52"/>
      <c r="I52"/>
      <c r="J52"/>
      <c r="K52"/>
      <c r="L52"/>
    </row>
    <row r="53" spans="1:12" x14ac:dyDescent="0.25">
      <c r="A53" s="261" t="s">
        <v>1083</v>
      </c>
      <c r="B53" s="266">
        <v>0.73260000000000003</v>
      </c>
      <c r="C53"/>
      <c r="D53"/>
      <c r="E53" s="200"/>
      <c r="F53"/>
      <c r="G53"/>
      <c r="H53"/>
      <c r="I53"/>
      <c r="J53"/>
      <c r="K53"/>
      <c r="L53"/>
    </row>
    <row r="54" spans="1:12" x14ac:dyDescent="0.25">
      <c r="A54" s="280"/>
      <c r="B54" s="280"/>
      <c r="C54"/>
      <c r="D54"/>
      <c r="E54" s="200"/>
      <c r="F54"/>
      <c r="G54"/>
      <c r="H54"/>
      <c r="I54"/>
      <c r="J54"/>
      <c r="K54"/>
      <c r="L54"/>
    </row>
    <row r="55" spans="1:12" x14ac:dyDescent="0.25">
      <c r="A55" s="280"/>
      <c r="B55" s="281"/>
      <c r="C55"/>
      <c r="D55"/>
      <c r="E55" s="200"/>
      <c r="F55"/>
      <c r="G55"/>
      <c r="H55"/>
      <c r="I55"/>
      <c r="J55"/>
      <c r="K55"/>
      <c r="L55"/>
    </row>
    <row r="56" spans="1:12" x14ac:dyDescent="0.25">
      <c r="A56" s="280"/>
      <c r="B56" s="281"/>
      <c r="C56"/>
      <c r="D56"/>
      <c r="E56" s="200"/>
      <c r="F56"/>
      <c r="G56"/>
      <c r="H56"/>
      <c r="I56"/>
      <c r="J56"/>
      <c r="K56"/>
      <c r="L56"/>
    </row>
    <row r="57" spans="1:12" x14ac:dyDescent="0.25">
      <c r="A57" s="280"/>
      <c r="B57" s="281"/>
      <c r="C57"/>
      <c r="D57"/>
      <c r="E57" s="200"/>
      <c r="F57"/>
      <c r="G57"/>
      <c r="H57"/>
      <c r="I57"/>
      <c r="J57"/>
      <c r="K57"/>
      <c r="L57"/>
    </row>
    <row r="58" spans="1:12" x14ac:dyDescent="0.25">
      <c r="A58"/>
      <c r="B58" s="281"/>
      <c r="C58"/>
      <c r="D58"/>
      <c r="E58" s="200"/>
      <c r="F58"/>
      <c r="G58"/>
      <c r="H58"/>
      <c r="I58"/>
      <c r="J58"/>
      <c r="K58"/>
      <c r="L58"/>
    </row>
    <row r="59" spans="1:12" x14ac:dyDescent="0.25">
      <c r="A59"/>
      <c r="B59" s="281"/>
      <c r="C59"/>
      <c r="D59"/>
      <c r="E59" s="200"/>
      <c r="F59"/>
      <c r="G59"/>
      <c r="H59"/>
      <c r="I59"/>
      <c r="J59"/>
      <c r="K59"/>
      <c r="L59"/>
    </row>
    <row r="60" spans="1:12" x14ac:dyDescent="0.25">
      <c r="A60"/>
      <c r="B60" s="281"/>
      <c r="C60"/>
      <c r="D60"/>
      <c r="E60" s="200"/>
      <c r="F60"/>
      <c r="G60"/>
      <c r="H60"/>
      <c r="I60"/>
      <c r="J60"/>
      <c r="K60"/>
      <c r="L60"/>
    </row>
    <row r="61" spans="1:12" x14ac:dyDescent="0.25">
      <c r="A61"/>
      <c r="B61" s="281"/>
      <c r="C61"/>
      <c r="D61"/>
      <c r="E61" s="200"/>
      <c r="F61"/>
      <c r="G61"/>
      <c r="H61"/>
      <c r="I61"/>
      <c r="J61"/>
      <c r="K61"/>
      <c r="L61"/>
    </row>
    <row r="62" spans="1:12" x14ac:dyDescent="0.25">
      <c r="B62" s="281"/>
      <c r="C62" s="199"/>
      <c r="D62" s="199"/>
      <c r="E62" s="199"/>
      <c r="F62" s="199"/>
      <c r="G62" s="199"/>
      <c r="H62" s="199"/>
      <c r="I62" s="199"/>
      <c r="J62" s="199"/>
      <c r="K62" s="199"/>
    </row>
    <row r="63" spans="1:12" x14ac:dyDescent="0.25">
      <c r="B63" s="280"/>
      <c r="C63" s="199"/>
      <c r="D63" s="199"/>
      <c r="E63" s="199"/>
      <c r="F63" s="199"/>
      <c r="G63" s="199"/>
      <c r="H63" s="199"/>
      <c r="I63" s="199"/>
      <c r="J63" s="199"/>
      <c r="K63" s="199"/>
    </row>
    <row r="64" spans="1:12" x14ac:dyDescent="0.25">
      <c r="B64" s="199"/>
      <c r="C64" s="199"/>
      <c r="D64" s="199"/>
      <c r="E64" s="199"/>
      <c r="F64" s="199"/>
      <c r="G64" s="199"/>
      <c r="H64" s="199"/>
      <c r="I64" s="199"/>
      <c r="J64" s="199"/>
      <c r="K64" s="199"/>
    </row>
    <row r="93" spans="5:13" x14ac:dyDescent="0.25">
      <c r="E93"/>
      <c r="F93"/>
      <c r="G93"/>
      <c r="H93"/>
      <c r="I93"/>
      <c r="J93"/>
      <c r="K93"/>
      <c r="L93"/>
      <c r="M93"/>
    </row>
    <row r="94" spans="5:13" x14ac:dyDescent="0.25">
      <c r="E94"/>
      <c r="F94"/>
      <c r="G94"/>
      <c r="H94"/>
      <c r="I94"/>
      <c r="J94"/>
      <c r="K94"/>
      <c r="L94"/>
      <c r="M94"/>
    </row>
    <row r="95" spans="5:13" x14ac:dyDescent="0.25">
      <c r="E95"/>
      <c r="F95"/>
      <c r="G95"/>
      <c r="H95"/>
      <c r="I95"/>
      <c r="J95"/>
      <c r="K95"/>
      <c r="L95"/>
      <c r="M95"/>
    </row>
    <row r="96" spans="5:13" x14ac:dyDescent="0.25">
      <c r="E96"/>
      <c r="F96"/>
      <c r="G96"/>
      <c r="H96"/>
      <c r="I96"/>
      <c r="J96"/>
      <c r="K96"/>
      <c r="L96"/>
      <c r="M96"/>
    </row>
    <row r="97" spans="5:13" x14ac:dyDescent="0.25">
      <c r="E97"/>
      <c r="F97"/>
      <c r="G97"/>
      <c r="H97"/>
      <c r="I97"/>
      <c r="J97"/>
      <c r="K97"/>
      <c r="L97"/>
      <c r="M97"/>
    </row>
    <row r="98" spans="5:13" x14ac:dyDescent="0.25">
      <c r="E98"/>
      <c r="F98"/>
      <c r="G98"/>
      <c r="H98"/>
      <c r="I98"/>
      <c r="J98"/>
      <c r="K98"/>
      <c r="L98"/>
      <c r="M98"/>
    </row>
    <row r="99" spans="5:13" x14ac:dyDescent="0.25">
      <c r="E99"/>
      <c r="F99"/>
      <c r="G99"/>
      <c r="H99"/>
      <c r="I99"/>
      <c r="J99"/>
      <c r="K99"/>
      <c r="L99"/>
      <c r="M99"/>
    </row>
    <row r="100" spans="5:13" x14ac:dyDescent="0.25">
      <c r="E100"/>
      <c r="F100"/>
      <c r="G100"/>
      <c r="H100"/>
      <c r="I100"/>
      <c r="J100"/>
      <c r="K100"/>
      <c r="L100"/>
      <c r="M100"/>
    </row>
    <row r="101" spans="5:13" x14ac:dyDescent="0.25">
      <c r="E101"/>
      <c r="F101"/>
      <c r="G101"/>
      <c r="H101"/>
      <c r="I101"/>
      <c r="J101"/>
      <c r="K101"/>
      <c r="L101"/>
      <c r="M101"/>
    </row>
    <row r="102" spans="5:13" x14ac:dyDescent="0.25">
      <c r="E102"/>
      <c r="F102"/>
      <c r="G102"/>
      <c r="H102"/>
      <c r="I102"/>
      <c r="J102"/>
      <c r="K102"/>
      <c r="L102"/>
      <c r="M102"/>
    </row>
    <row r="103" spans="5:13" x14ac:dyDescent="0.25">
      <c r="E103"/>
      <c r="F103"/>
      <c r="G103"/>
      <c r="H103"/>
      <c r="I103"/>
      <c r="J103"/>
      <c r="K103"/>
      <c r="L103"/>
      <c r="M103"/>
    </row>
  </sheetData>
  <mergeCells count="1">
    <mergeCell ref="A1:A2"/>
  </mergeCells>
  <hyperlinks>
    <hyperlink ref="M22" r:id="rId1" xr:uid="{6C8765DD-1277-4C8E-A145-05759B2088D0}"/>
    <hyperlink ref="M16" r:id="rId2" xr:uid="{3CD12236-E81F-4FC7-92C7-823AEC9B3C79}"/>
  </hyperlinks>
  <pageMargins left="0.7" right="0.7" top="0.75" bottom="0.75" header="0.3" footer="0.3"/>
  <pageSetup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8306C"/>
  </sheetPr>
  <dimension ref="A1:M61"/>
  <sheetViews>
    <sheetView zoomScale="85" zoomScaleNormal="85" workbookViewId="0">
      <pane xSplit="1" ySplit="3" topLeftCell="B4" activePane="bottomRight" state="frozen"/>
      <selection pane="topRight" activeCell="B1" sqref="B1"/>
      <selection pane="bottomLeft" activeCell="A4" sqref="A4"/>
      <selection pane="bottomRight" activeCell="G28" sqref="G28"/>
    </sheetView>
  </sheetViews>
  <sheetFormatPr defaultColWidth="8.85546875" defaultRowHeight="15" x14ac:dyDescent="0.25"/>
  <cols>
    <col min="1" max="1" width="66.28515625" style="40" customWidth="1"/>
    <col min="2" max="9" width="11.7109375" style="40" customWidth="1"/>
    <col min="10" max="10" width="17.7109375" style="40" bestFit="1" customWidth="1"/>
    <col min="11" max="11" width="108.7109375" style="40" customWidth="1"/>
    <col min="12" max="12" width="19.5703125" style="40" bestFit="1" customWidth="1"/>
    <col min="13" max="13" width="18" style="40" customWidth="1"/>
    <col min="14" max="16384" width="8.85546875" style="40"/>
  </cols>
  <sheetData>
    <row r="1" spans="1:13" x14ac:dyDescent="0.25">
      <c r="A1" s="388" t="s">
        <v>11</v>
      </c>
    </row>
    <row r="2" spans="1:13" x14ac:dyDescent="0.25">
      <c r="A2" s="388"/>
    </row>
    <row r="3" spans="1:13" s="5" customFormat="1" x14ac:dyDescent="0.25">
      <c r="A3" s="74" t="s">
        <v>12</v>
      </c>
      <c r="B3" s="74">
        <v>2010</v>
      </c>
      <c r="C3" s="74">
        <v>2011</v>
      </c>
      <c r="D3" s="74">
        <v>2012</v>
      </c>
      <c r="E3" s="74">
        <v>2013</v>
      </c>
      <c r="F3" s="74">
        <v>2014</v>
      </c>
      <c r="G3" s="74">
        <v>2015</v>
      </c>
      <c r="H3" s="74">
        <v>2016</v>
      </c>
      <c r="I3" s="74">
        <v>2017</v>
      </c>
      <c r="J3" s="4" t="s">
        <v>765</v>
      </c>
      <c r="K3" s="75" t="s">
        <v>786</v>
      </c>
      <c r="L3" s="75" t="s">
        <v>58</v>
      </c>
    </row>
    <row r="4" spans="1:13" x14ac:dyDescent="0.25">
      <c r="A4" s="64" t="s">
        <v>13</v>
      </c>
      <c r="B4" s="118">
        <v>1127</v>
      </c>
      <c r="C4" s="118">
        <v>1181</v>
      </c>
      <c r="D4" s="118">
        <v>1120</v>
      </c>
      <c r="E4" s="118">
        <v>1126</v>
      </c>
      <c r="F4" s="118">
        <v>1212</v>
      </c>
      <c r="G4" s="118">
        <v>1254</v>
      </c>
      <c r="H4" s="118">
        <v>1306</v>
      </c>
      <c r="I4" s="118">
        <v>1342</v>
      </c>
      <c r="J4" s="64" t="s">
        <v>14</v>
      </c>
      <c r="K4" s="81" t="s">
        <v>780</v>
      </c>
      <c r="L4" s="80" t="s">
        <v>738</v>
      </c>
    </row>
    <row r="5" spans="1:13" x14ac:dyDescent="0.25">
      <c r="A5" s="64" t="s">
        <v>15</v>
      </c>
      <c r="B5" s="118">
        <v>44</v>
      </c>
      <c r="C5" s="118">
        <v>123</v>
      </c>
      <c r="D5" s="118">
        <v>126</v>
      </c>
      <c r="E5" s="118">
        <v>173</v>
      </c>
      <c r="F5" s="118">
        <v>163</v>
      </c>
      <c r="G5" s="118">
        <v>161</v>
      </c>
      <c r="H5" s="118">
        <v>200</v>
      </c>
      <c r="I5" s="118">
        <v>203</v>
      </c>
      <c r="J5" s="64" t="s">
        <v>14</v>
      </c>
      <c r="K5" s="81" t="s">
        <v>781</v>
      </c>
      <c r="L5" s="80" t="s">
        <v>738</v>
      </c>
    </row>
    <row r="6" spans="1:13" x14ac:dyDescent="0.25">
      <c r="A6" s="64" t="s">
        <v>876</v>
      </c>
      <c r="B6" s="83">
        <v>4405</v>
      </c>
      <c r="C6" s="83">
        <v>4534</v>
      </c>
      <c r="D6" s="83">
        <v>4492</v>
      </c>
      <c r="E6" s="83">
        <v>4850</v>
      </c>
      <c r="F6" s="83">
        <v>4992</v>
      </c>
      <c r="G6" s="83">
        <v>4898</v>
      </c>
      <c r="H6" s="83">
        <v>4913</v>
      </c>
      <c r="I6" s="83">
        <v>4913</v>
      </c>
      <c r="J6" s="64" t="s">
        <v>14</v>
      </c>
      <c r="K6" s="81" t="s">
        <v>783</v>
      </c>
      <c r="L6" s="80" t="s">
        <v>738</v>
      </c>
    </row>
    <row r="7" spans="1:13" ht="30" x14ac:dyDescent="0.25">
      <c r="A7" s="64" t="s">
        <v>17</v>
      </c>
      <c r="B7" s="118">
        <v>64.544803999999999</v>
      </c>
      <c r="C7" s="118">
        <v>65.585464000000002</v>
      </c>
      <c r="D7" s="118">
        <v>67.636076000000003</v>
      </c>
      <c r="E7" s="118">
        <v>71.071960000000004</v>
      </c>
      <c r="F7" s="118">
        <v>73.869799999999998</v>
      </c>
      <c r="G7" s="118">
        <v>74.050635999999997</v>
      </c>
      <c r="H7" s="118">
        <v>74.425955999999999</v>
      </c>
      <c r="I7" s="118">
        <v>70.877476000000001</v>
      </c>
      <c r="J7" s="64" t="s">
        <v>14</v>
      </c>
      <c r="K7" s="81" t="s">
        <v>784</v>
      </c>
      <c r="L7" s="80" t="s">
        <v>785</v>
      </c>
    </row>
    <row r="8" spans="1:13" ht="30" x14ac:dyDescent="0.25">
      <c r="A8" s="85" t="s">
        <v>927</v>
      </c>
      <c r="B8" s="118">
        <v>1500.76908712</v>
      </c>
      <c r="C8" s="118">
        <v>2153.6735174360001</v>
      </c>
      <c r="D8" s="118">
        <v>2828.9595765944005</v>
      </c>
      <c r="E8" s="118">
        <v>3189.8447864544005</v>
      </c>
      <c r="F8" s="118">
        <v>3254.0013048544006</v>
      </c>
      <c r="G8" s="118">
        <v>3254.0013048544006</v>
      </c>
      <c r="H8" s="118">
        <v>3301.7693048544006</v>
      </c>
      <c r="I8" s="118">
        <v>3317.4645048544003</v>
      </c>
      <c r="J8" s="80" t="s">
        <v>18</v>
      </c>
      <c r="K8" s="44" t="s">
        <v>48</v>
      </c>
      <c r="L8" s="84" t="s">
        <v>785</v>
      </c>
    </row>
    <row r="9" spans="1:13" x14ac:dyDescent="0.25">
      <c r="A9" s="64" t="s">
        <v>16</v>
      </c>
      <c r="B9" s="118">
        <v>27059</v>
      </c>
      <c r="C9" s="118">
        <v>26712</v>
      </c>
      <c r="D9" s="118">
        <v>26219</v>
      </c>
      <c r="E9" s="118">
        <v>26750</v>
      </c>
      <c r="F9" s="118">
        <v>26996</v>
      </c>
      <c r="G9" s="118">
        <v>27376</v>
      </c>
      <c r="H9" s="118">
        <v>28006</v>
      </c>
      <c r="I9" s="118">
        <v>28199</v>
      </c>
      <c r="J9" s="64" t="s">
        <v>14</v>
      </c>
      <c r="K9" s="81" t="s">
        <v>782</v>
      </c>
      <c r="L9" s="80" t="s">
        <v>738</v>
      </c>
    </row>
    <row r="10" spans="1:13" x14ac:dyDescent="0.25">
      <c r="A10" s="50"/>
      <c r="B10" s="120"/>
      <c r="C10" s="120"/>
      <c r="D10" s="120"/>
      <c r="E10" s="120"/>
      <c r="F10" s="120"/>
      <c r="G10" s="120"/>
      <c r="H10" s="120"/>
      <c r="I10" s="120"/>
      <c r="J10" s="65"/>
      <c r="K10" s="112"/>
      <c r="L10" s="53"/>
    </row>
    <row r="11" spans="1:13" s="5" customFormat="1" x14ac:dyDescent="0.25">
      <c r="A11" s="35" t="s">
        <v>19</v>
      </c>
      <c r="B11" s="35">
        <v>2010</v>
      </c>
      <c r="C11" s="35">
        <v>2011</v>
      </c>
      <c r="D11" s="35">
        <v>2012</v>
      </c>
      <c r="E11" s="35">
        <v>2013</v>
      </c>
      <c r="F11" s="35">
        <v>2014</v>
      </c>
      <c r="G11" s="35">
        <v>2015</v>
      </c>
      <c r="H11" s="35">
        <v>2016</v>
      </c>
      <c r="I11" s="35">
        <v>2017</v>
      </c>
      <c r="J11" s="35" t="s">
        <v>765</v>
      </c>
      <c r="K11" s="29" t="s">
        <v>786</v>
      </c>
      <c r="L11" s="29" t="s">
        <v>58</v>
      </c>
      <c r="M11" s="32"/>
    </row>
    <row r="12" spans="1:13" x14ac:dyDescent="0.25">
      <c r="A12" s="64" t="s">
        <v>20</v>
      </c>
      <c r="B12" s="83">
        <v>470400</v>
      </c>
      <c r="C12" s="83">
        <v>401600</v>
      </c>
      <c r="D12" s="83">
        <v>382000</v>
      </c>
      <c r="E12" s="83">
        <v>386781</v>
      </c>
      <c r="F12" s="83">
        <v>379214</v>
      </c>
      <c r="G12" s="83">
        <v>357407</v>
      </c>
      <c r="H12" s="83">
        <v>339176</v>
      </c>
      <c r="I12" s="83">
        <v>357493</v>
      </c>
      <c r="J12" s="78" t="s">
        <v>799</v>
      </c>
      <c r="K12" s="81" t="s">
        <v>796</v>
      </c>
      <c r="L12" s="80" t="s">
        <v>738</v>
      </c>
    </row>
    <row r="13" spans="1:13" ht="45" x14ac:dyDescent="0.25">
      <c r="A13" s="79" t="s">
        <v>22</v>
      </c>
      <c r="B13" s="121"/>
      <c r="C13" s="122"/>
      <c r="D13" s="83">
        <v>64044</v>
      </c>
      <c r="E13" s="83">
        <v>62000</v>
      </c>
      <c r="F13" s="83">
        <v>54500</v>
      </c>
      <c r="G13" s="83">
        <v>49486</v>
      </c>
      <c r="H13" s="83">
        <v>47400</v>
      </c>
      <c r="I13" s="122"/>
      <c r="J13" s="80" t="s">
        <v>787</v>
      </c>
      <c r="K13" s="82" t="s">
        <v>788</v>
      </c>
      <c r="L13" s="80" t="s">
        <v>738</v>
      </c>
    </row>
    <row r="14" spans="1:13" x14ac:dyDescent="0.25">
      <c r="A14" s="79" t="s">
        <v>23</v>
      </c>
      <c r="B14" s="83">
        <v>26549</v>
      </c>
      <c r="C14" s="83">
        <v>25477</v>
      </c>
      <c r="D14" s="83">
        <v>25484</v>
      </c>
      <c r="E14" s="83">
        <v>25085</v>
      </c>
      <c r="F14" s="83">
        <v>26895</v>
      </c>
      <c r="G14" s="83">
        <v>23416</v>
      </c>
      <c r="H14" s="83">
        <v>23596</v>
      </c>
      <c r="I14" s="122"/>
      <c r="J14" s="255" t="s">
        <v>1061</v>
      </c>
      <c r="K14" s="63" t="s">
        <v>1062</v>
      </c>
      <c r="L14" s="80" t="s">
        <v>738</v>
      </c>
    </row>
    <row r="15" spans="1:13" ht="45" x14ac:dyDescent="0.25">
      <c r="A15" s="79" t="s">
        <v>24</v>
      </c>
      <c r="B15" s="122"/>
      <c r="C15" s="122"/>
      <c r="D15" s="83">
        <v>7000</v>
      </c>
      <c r="E15" s="123">
        <v>14000</v>
      </c>
      <c r="F15" s="83">
        <v>13950</v>
      </c>
      <c r="G15" s="122"/>
      <c r="H15" s="122"/>
      <c r="I15" s="122"/>
      <c r="J15" s="37" t="s">
        <v>45</v>
      </c>
      <c r="K15" s="81" t="s">
        <v>1053</v>
      </c>
      <c r="L15" s="80" t="s">
        <v>738</v>
      </c>
    </row>
    <row r="16" spans="1:13" x14ac:dyDescent="0.25">
      <c r="A16" s="79" t="s">
        <v>25</v>
      </c>
      <c r="B16" s="122"/>
      <c r="C16" s="122"/>
      <c r="D16" s="122"/>
      <c r="E16" s="122"/>
      <c r="F16" s="122"/>
      <c r="G16" s="122"/>
      <c r="H16" s="122"/>
      <c r="I16" s="122"/>
      <c r="J16" s="64"/>
      <c r="K16" s="80"/>
      <c r="L16" s="80"/>
    </row>
    <row r="17" spans="1:12" x14ac:dyDescent="0.25">
      <c r="A17" s="79" t="s">
        <v>887</v>
      </c>
      <c r="B17" s="9">
        <v>54</v>
      </c>
      <c r="C17" s="134">
        <v>42.4</v>
      </c>
      <c r="D17" s="134">
        <v>40.6</v>
      </c>
      <c r="E17" s="9">
        <v>44</v>
      </c>
      <c r="F17" s="9">
        <v>53</v>
      </c>
      <c r="G17" s="9">
        <v>44</v>
      </c>
      <c r="H17" s="9">
        <v>42</v>
      </c>
      <c r="I17" s="83">
        <v>45</v>
      </c>
      <c r="J17" s="37" t="s">
        <v>21</v>
      </c>
      <c r="K17" s="44" t="s">
        <v>796</v>
      </c>
      <c r="L17" s="80" t="s">
        <v>738</v>
      </c>
    </row>
    <row r="18" spans="1:12" ht="90" x14ac:dyDescent="0.25">
      <c r="A18" s="79" t="s">
        <v>888</v>
      </c>
      <c r="B18" s="129"/>
      <c r="C18" s="129"/>
      <c r="D18" s="134">
        <v>6.0880000000000001</v>
      </c>
      <c r="E18" s="134">
        <v>16.8</v>
      </c>
      <c r="F18" s="134">
        <v>12.3</v>
      </c>
      <c r="G18" s="134">
        <v>8.4</v>
      </c>
      <c r="H18" s="134">
        <v>14.7</v>
      </c>
      <c r="I18" s="122"/>
      <c r="J18" s="24" t="s">
        <v>805</v>
      </c>
      <c r="K18" s="44" t="s">
        <v>1060</v>
      </c>
      <c r="L18" s="80" t="s">
        <v>738</v>
      </c>
    </row>
    <row r="19" spans="1:12" x14ac:dyDescent="0.25">
      <c r="A19" s="79" t="s">
        <v>889</v>
      </c>
      <c r="B19" s="122"/>
      <c r="C19" s="122"/>
      <c r="D19" s="122"/>
      <c r="E19" s="122"/>
      <c r="F19" s="122"/>
      <c r="G19" s="122"/>
      <c r="H19" s="122"/>
      <c r="I19" s="122"/>
      <c r="J19" s="64"/>
      <c r="K19" s="80"/>
      <c r="L19" s="80"/>
    </row>
    <row r="20" spans="1:12" ht="30" x14ac:dyDescent="0.25">
      <c r="A20" s="79" t="s">
        <v>890</v>
      </c>
      <c r="B20" s="122"/>
      <c r="C20" s="140">
        <v>2.7</v>
      </c>
      <c r="D20" s="122"/>
      <c r="E20" s="83">
        <v>5.6</v>
      </c>
      <c r="F20" s="122"/>
      <c r="G20" s="122"/>
      <c r="H20" s="122"/>
      <c r="I20" s="122"/>
      <c r="J20" s="80" t="s">
        <v>1059</v>
      </c>
      <c r="K20" s="81" t="s">
        <v>1058</v>
      </c>
      <c r="L20" s="80" t="s">
        <v>738</v>
      </c>
    </row>
    <row r="21" spans="1:12" x14ac:dyDescent="0.25">
      <c r="A21" s="79" t="s">
        <v>891</v>
      </c>
      <c r="B21" s="122"/>
      <c r="C21" s="122"/>
      <c r="D21" s="122"/>
      <c r="E21" s="122"/>
      <c r="F21" s="122"/>
      <c r="G21" s="122"/>
      <c r="H21" s="122"/>
      <c r="I21" s="122"/>
      <c r="J21" s="64"/>
      <c r="K21" s="80"/>
      <c r="L21" s="80"/>
    </row>
    <row r="22" spans="1:12" x14ac:dyDescent="0.25">
      <c r="A22" s="60"/>
    </row>
    <row r="26" spans="1:12" x14ac:dyDescent="0.25">
      <c r="B26"/>
      <c r="C26"/>
      <c r="D26"/>
      <c r="E26"/>
      <c r="F26"/>
      <c r="G26"/>
      <c r="H26"/>
      <c r="I26"/>
    </row>
    <row r="27" spans="1:12" x14ac:dyDescent="0.25">
      <c r="B27" s="77"/>
      <c r="C27" s="77"/>
      <c r="D27" s="77"/>
      <c r="E27" s="77"/>
      <c r="F27" s="77"/>
      <c r="G27" s="77"/>
      <c r="H27" s="77"/>
      <c r="I27" s="77"/>
    </row>
    <row r="35" spans="11:12" x14ac:dyDescent="0.25">
      <c r="K35" s="303"/>
      <c r="L35" s="303"/>
    </row>
    <row r="36" spans="11:12" x14ac:dyDescent="0.25">
      <c r="K36" s="303"/>
      <c r="L36" s="303"/>
    </row>
    <row r="37" spans="11:12" x14ac:dyDescent="0.25">
      <c r="K37" s="303"/>
      <c r="L37" s="303"/>
    </row>
    <row r="38" spans="11:12" x14ac:dyDescent="0.25">
      <c r="K38" s="303"/>
      <c r="L38" s="303"/>
    </row>
    <row r="39" spans="11:12" x14ac:dyDescent="0.25">
      <c r="K39" s="303"/>
      <c r="L39" s="303"/>
    </row>
    <row r="40" spans="11:12" x14ac:dyDescent="0.25">
      <c r="K40" s="303"/>
      <c r="L40" s="303"/>
    </row>
    <row r="41" spans="11:12" x14ac:dyDescent="0.25">
      <c r="K41" s="303"/>
      <c r="L41" s="303"/>
    </row>
    <row r="42" spans="11:12" x14ac:dyDescent="0.25">
      <c r="K42" s="303"/>
      <c r="L42" s="303"/>
    </row>
    <row r="43" spans="11:12" x14ac:dyDescent="0.25">
      <c r="K43" s="303"/>
      <c r="L43" s="303"/>
    </row>
    <row r="44" spans="11:12" x14ac:dyDescent="0.25">
      <c r="K44" s="303"/>
      <c r="L44" s="303"/>
    </row>
    <row r="45" spans="11:12" x14ac:dyDescent="0.25">
      <c r="K45" s="303"/>
      <c r="L45" s="303"/>
    </row>
    <row r="46" spans="11:12" x14ac:dyDescent="0.25">
      <c r="K46" s="303"/>
      <c r="L46" s="303"/>
    </row>
    <row r="47" spans="11:12" x14ac:dyDescent="0.25">
      <c r="K47" s="303"/>
      <c r="L47" s="303"/>
    </row>
    <row r="48" spans="11:12" x14ac:dyDescent="0.25">
      <c r="K48" s="303"/>
      <c r="L48" s="303"/>
    </row>
    <row r="56" spans="6:6" x14ac:dyDescent="0.25">
      <c r="F56" s="300"/>
    </row>
    <row r="57" spans="6:6" x14ac:dyDescent="0.25">
      <c r="F57" s="302"/>
    </row>
    <row r="58" spans="6:6" x14ac:dyDescent="0.25">
      <c r="F58"/>
    </row>
    <row r="59" spans="6:6" x14ac:dyDescent="0.25">
      <c r="F59" s="301"/>
    </row>
    <row r="60" spans="6:6" x14ac:dyDescent="0.25">
      <c r="F60" s="302"/>
    </row>
    <row r="61" spans="6:6" x14ac:dyDescent="0.25">
      <c r="F61" s="300"/>
    </row>
  </sheetData>
  <mergeCells count="1">
    <mergeCell ref="A1:A2"/>
  </mergeCells>
  <hyperlinks>
    <hyperlink ref="K8" r:id="rId1" xr:uid="{00000000-0004-0000-0900-000000000000}"/>
    <hyperlink ref="K7" r:id="rId2" xr:uid="{00000000-0004-0000-0900-000001000000}"/>
    <hyperlink ref="K14" r:id="rId3" xr:uid="{00000000-0004-0000-0900-000002000000}"/>
    <hyperlink ref="K15" r:id="rId4" display="http://energyrecoverycouncil.org/wp-content/uploads/2016/01/ERC_2014_Directory.pdf" xr:uid="{00000000-0004-0000-0900-000003000000}"/>
  </hyperlinks>
  <pageMargins left="0.7" right="0.7" top="0.75" bottom="0.75" header="0.3" footer="0.3"/>
  <pageSetup orientation="portrait"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8306C"/>
  </sheetPr>
  <dimension ref="A1:V178"/>
  <sheetViews>
    <sheetView zoomScale="85" zoomScaleNormal="85" zoomScalePageLayoutView="94"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67.5703125" style="40" customWidth="1"/>
    <col min="2" max="3" width="11.7109375" style="40" customWidth="1"/>
    <col min="4" max="4" width="11.85546875" style="40" customWidth="1"/>
    <col min="5" max="9" width="11.7109375" style="40" customWidth="1"/>
    <col min="10" max="10" width="17.7109375" style="40" bestFit="1" customWidth="1"/>
    <col min="11" max="11" width="70.42578125" style="40" customWidth="1"/>
    <col min="12" max="12" width="35.42578125" style="40" customWidth="1"/>
    <col min="13" max="13" width="8.85546875" style="40"/>
    <col min="14" max="14" width="14" style="40" bestFit="1" customWidth="1"/>
    <col min="15" max="21" width="9.7109375" style="40" bestFit="1" customWidth="1"/>
    <col min="22" max="16384" width="8.85546875" style="40"/>
  </cols>
  <sheetData>
    <row r="1" spans="1:22" x14ac:dyDescent="0.25">
      <c r="A1" s="388" t="s">
        <v>26</v>
      </c>
    </row>
    <row r="2" spans="1:22" x14ac:dyDescent="0.25">
      <c r="A2" s="388"/>
      <c r="B2" s="77"/>
    </row>
    <row r="3" spans="1:22" s="5" customFormat="1" x14ac:dyDescent="0.25">
      <c r="A3" s="4" t="s">
        <v>12</v>
      </c>
      <c r="B3" s="4">
        <v>2010</v>
      </c>
      <c r="C3" s="4">
        <v>2011</v>
      </c>
      <c r="D3" s="4">
        <v>2012</v>
      </c>
      <c r="E3" s="4">
        <v>2013</v>
      </c>
      <c r="F3" s="4">
        <v>2014</v>
      </c>
      <c r="G3" s="4">
        <v>2015</v>
      </c>
      <c r="H3" s="4">
        <v>2016</v>
      </c>
      <c r="I3" s="74">
        <v>2017</v>
      </c>
      <c r="J3" s="4" t="s">
        <v>800</v>
      </c>
      <c r="K3" s="28" t="s">
        <v>801</v>
      </c>
      <c r="L3" s="75" t="s">
        <v>58</v>
      </c>
    </row>
    <row r="4" spans="1:22" x14ac:dyDescent="0.25">
      <c r="A4" s="66" t="s">
        <v>877</v>
      </c>
      <c r="B4" s="83">
        <v>204</v>
      </c>
      <c r="C4" s="83">
        <v>209</v>
      </c>
      <c r="D4" s="83">
        <v>211</v>
      </c>
      <c r="E4" s="83">
        <v>210</v>
      </c>
      <c r="F4" s="83">
        <v>213</v>
      </c>
      <c r="G4" s="83">
        <v>214</v>
      </c>
      <c r="H4" s="83">
        <v>213</v>
      </c>
      <c r="I4" s="83">
        <v>209</v>
      </c>
      <c r="J4" s="78" t="s">
        <v>799</v>
      </c>
      <c r="K4" s="81" t="s">
        <v>796</v>
      </c>
      <c r="L4" s="80" t="s">
        <v>738</v>
      </c>
    </row>
    <row r="5" spans="1:22" x14ac:dyDescent="0.25">
      <c r="A5" s="37" t="s">
        <v>1150</v>
      </c>
      <c r="B5" s="121"/>
      <c r="C5" s="129"/>
      <c r="D5" s="129"/>
      <c r="E5" s="129"/>
      <c r="F5" s="129"/>
      <c r="G5" s="129"/>
      <c r="H5" s="129"/>
      <c r="I5" s="130">
        <v>202</v>
      </c>
      <c r="J5" s="66" t="s">
        <v>794</v>
      </c>
      <c r="K5" s="87" t="s">
        <v>31</v>
      </c>
      <c r="L5" s="80" t="s">
        <v>738</v>
      </c>
    </row>
    <row r="6" spans="1:22" x14ac:dyDescent="0.25">
      <c r="A6" s="37" t="s">
        <v>1151</v>
      </c>
      <c r="B6" s="129"/>
      <c r="C6" s="129"/>
      <c r="D6" s="129"/>
      <c r="E6" s="129"/>
      <c r="F6" s="129"/>
      <c r="G6" s="129"/>
      <c r="H6" s="9">
        <v>10</v>
      </c>
      <c r="I6" s="83">
        <v>7</v>
      </c>
      <c r="J6" s="66" t="s">
        <v>794</v>
      </c>
      <c r="K6" s="44" t="s">
        <v>32</v>
      </c>
      <c r="L6" s="80" t="s">
        <v>738</v>
      </c>
    </row>
    <row r="7" spans="1:22" x14ac:dyDescent="0.25">
      <c r="A7" s="37" t="s">
        <v>1152</v>
      </c>
      <c r="B7" s="129"/>
      <c r="C7" s="129"/>
      <c r="D7" s="129"/>
      <c r="E7" s="129"/>
      <c r="F7" s="129"/>
      <c r="G7" s="129"/>
      <c r="H7" s="129"/>
      <c r="I7" s="129"/>
      <c r="J7" s="37"/>
      <c r="K7" s="24"/>
      <c r="L7" s="64"/>
    </row>
    <row r="8" spans="1:22" ht="30" x14ac:dyDescent="0.25">
      <c r="A8" s="223" t="s">
        <v>878</v>
      </c>
      <c r="B8" s="122"/>
      <c r="C8" s="83">
        <v>193</v>
      </c>
      <c r="D8" s="83">
        <v>194</v>
      </c>
      <c r="E8" s="83">
        <v>192</v>
      </c>
      <c r="F8" s="83">
        <v>198</v>
      </c>
      <c r="G8" s="83">
        <v>199</v>
      </c>
      <c r="H8" s="83">
        <v>200</v>
      </c>
      <c r="I8" s="83">
        <v>201</v>
      </c>
      <c r="J8" s="78" t="s">
        <v>797</v>
      </c>
      <c r="K8" s="81" t="s">
        <v>798</v>
      </c>
      <c r="L8" s="80" t="s">
        <v>738</v>
      </c>
    </row>
    <row r="9" spans="1:22" x14ac:dyDescent="0.25">
      <c r="A9" s="38" t="s">
        <v>882</v>
      </c>
      <c r="B9" s="122"/>
      <c r="C9" s="121"/>
      <c r="D9" s="121"/>
      <c r="E9" s="83">
        <v>7</v>
      </c>
      <c r="F9" s="83">
        <v>3</v>
      </c>
      <c r="G9" s="83">
        <v>3</v>
      </c>
      <c r="H9" s="83">
        <v>3</v>
      </c>
      <c r="I9" s="83">
        <v>7</v>
      </c>
      <c r="J9" s="78" t="s">
        <v>799</v>
      </c>
      <c r="K9" s="81" t="s">
        <v>796</v>
      </c>
      <c r="L9" s="80" t="s">
        <v>738</v>
      </c>
    </row>
    <row r="10" spans="1:22" x14ac:dyDescent="0.25">
      <c r="A10" s="37" t="s">
        <v>883</v>
      </c>
      <c r="B10" s="121"/>
      <c r="C10" s="121"/>
      <c r="D10" s="121"/>
      <c r="E10" s="121"/>
      <c r="F10" s="121"/>
      <c r="G10" s="121"/>
      <c r="H10" s="121"/>
      <c r="I10" s="83">
        <v>11</v>
      </c>
      <c r="J10" s="66" t="s">
        <v>794</v>
      </c>
      <c r="K10" s="87" t="s">
        <v>31</v>
      </c>
      <c r="L10" s="80" t="s">
        <v>738</v>
      </c>
    </row>
    <row r="11" spans="1:22" x14ac:dyDescent="0.25">
      <c r="A11" s="37" t="s">
        <v>881</v>
      </c>
      <c r="B11" s="83">
        <v>29</v>
      </c>
      <c r="C11" s="83">
        <v>29</v>
      </c>
      <c r="D11" s="83">
        <v>29</v>
      </c>
      <c r="E11" s="83">
        <v>28</v>
      </c>
      <c r="F11" s="83">
        <v>29</v>
      </c>
      <c r="G11" s="83">
        <v>29</v>
      </c>
      <c r="H11" s="83">
        <v>28</v>
      </c>
      <c r="I11" s="83">
        <v>28</v>
      </c>
      <c r="J11" s="78" t="s">
        <v>799</v>
      </c>
      <c r="K11" s="81" t="s">
        <v>796</v>
      </c>
      <c r="L11" s="80" t="s">
        <v>738</v>
      </c>
    </row>
    <row r="12" spans="1:22" x14ac:dyDescent="0.25">
      <c r="A12" s="50"/>
      <c r="B12" s="124"/>
      <c r="C12" s="124"/>
      <c r="D12" s="124"/>
      <c r="E12" s="124"/>
      <c r="F12" s="124"/>
      <c r="G12" s="124"/>
      <c r="H12" s="124"/>
      <c r="I12" s="120"/>
      <c r="J12" s="51"/>
      <c r="K12" s="52"/>
      <c r="L12" s="53"/>
    </row>
    <row r="13" spans="1:22" s="5" customFormat="1" x14ac:dyDescent="0.25">
      <c r="A13" s="35" t="s">
        <v>27</v>
      </c>
      <c r="B13" s="35">
        <v>2010</v>
      </c>
      <c r="C13" s="35">
        <v>2011</v>
      </c>
      <c r="D13" s="35">
        <v>2012</v>
      </c>
      <c r="E13" s="35">
        <v>2013</v>
      </c>
      <c r="F13" s="35">
        <v>2014</v>
      </c>
      <c r="G13" s="35">
        <v>2015</v>
      </c>
      <c r="H13" s="35">
        <v>2016</v>
      </c>
      <c r="I13" s="35">
        <v>2017</v>
      </c>
      <c r="J13" s="4" t="s">
        <v>800</v>
      </c>
      <c r="K13" s="28" t="s">
        <v>801</v>
      </c>
      <c r="L13" s="75" t="s">
        <v>58</v>
      </c>
    </row>
    <row r="14" spans="1:22" x14ac:dyDescent="0.25">
      <c r="A14" s="37" t="s">
        <v>1047</v>
      </c>
      <c r="B14" s="123">
        <v>13.298</v>
      </c>
      <c r="C14" s="123">
        <v>13.929</v>
      </c>
      <c r="D14" s="123">
        <v>13.218</v>
      </c>
      <c r="E14" s="123">
        <v>13.292999999999999</v>
      </c>
      <c r="F14" s="123">
        <v>14.313000000000001</v>
      </c>
      <c r="G14" s="123">
        <v>14.807</v>
      </c>
      <c r="H14" s="125">
        <v>15.413</v>
      </c>
      <c r="I14" s="125">
        <v>15.848000000000001</v>
      </c>
      <c r="J14" s="37" t="s">
        <v>14</v>
      </c>
      <c r="K14" s="44" t="s">
        <v>784</v>
      </c>
      <c r="L14" s="80" t="s">
        <v>738</v>
      </c>
      <c r="N14" s="77"/>
      <c r="O14" s="77"/>
      <c r="P14" s="77"/>
      <c r="Q14" s="77"/>
      <c r="R14" s="77"/>
      <c r="S14" s="77"/>
      <c r="T14" s="77"/>
      <c r="U14" s="77"/>
    </row>
    <row r="15" spans="1:22" x14ac:dyDescent="0.25">
      <c r="A15" s="37" t="s">
        <v>1042</v>
      </c>
      <c r="B15" s="171">
        <v>12.858000000000001</v>
      </c>
      <c r="C15" s="171">
        <v>12.893000000000001</v>
      </c>
      <c r="D15" s="171">
        <v>12.882</v>
      </c>
      <c r="E15" s="171">
        <v>13.215999999999999</v>
      </c>
      <c r="F15" s="171">
        <v>13.444000000000001</v>
      </c>
      <c r="G15" s="171">
        <v>13.946999999999999</v>
      </c>
      <c r="H15" s="171">
        <v>14.356999999999999</v>
      </c>
      <c r="I15" s="283">
        <v>14.395</v>
      </c>
      <c r="J15" s="37" t="s">
        <v>14</v>
      </c>
      <c r="K15" s="44" t="s">
        <v>780</v>
      </c>
      <c r="L15" s="80" t="s">
        <v>738</v>
      </c>
    </row>
    <row r="16" spans="1:22" ht="30" x14ac:dyDescent="0.25">
      <c r="A16" s="37" t="s">
        <v>1154</v>
      </c>
      <c r="B16" s="126">
        <v>13.420745437372315</v>
      </c>
      <c r="C16" s="126">
        <v>13.472314103798336</v>
      </c>
      <c r="D16" s="126">
        <v>13.472314103798336</v>
      </c>
      <c r="E16" s="126">
        <v>13.820402602173989</v>
      </c>
      <c r="F16" s="126">
        <v>14.091138100910605</v>
      </c>
      <c r="G16" s="126">
        <v>14.3103049332212</v>
      </c>
      <c r="H16" s="126">
        <v>14.735746431235885</v>
      </c>
      <c r="I16" s="126">
        <v>14.800207264268414</v>
      </c>
      <c r="J16" s="37" t="s">
        <v>14</v>
      </c>
      <c r="K16" s="44" t="s">
        <v>792</v>
      </c>
      <c r="L16" s="80" t="s">
        <v>1156</v>
      </c>
      <c r="N16" s="77"/>
      <c r="O16" s="77"/>
      <c r="P16" s="77"/>
      <c r="Q16" s="77"/>
      <c r="R16" s="77"/>
      <c r="S16" s="77"/>
      <c r="T16" s="77"/>
      <c r="U16" s="77"/>
      <c r="V16" s="284"/>
    </row>
    <row r="17" spans="1:21" ht="30" x14ac:dyDescent="0.25">
      <c r="A17" s="37" t="s">
        <v>1155</v>
      </c>
      <c r="B17" s="126">
        <v>0.21916683231059494</v>
      </c>
      <c r="C17" s="126">
        <v>0.21916683231059494</v>
      </c>
      <c r="D17" s="126">
        <v>0.21916683231059494</v>
      </c>
      <c r="E17" s="126">
        <v>0.23205899891710055</v>
      </c>
      <c r="F17" s="126">
        <v>0.18049033249107821</v>
      </c>
      <c r="G17" s="126">
        <v>0.23205899891710055</v>
      </c>
      <c r="H17" s="126">
        <v>0.23205899891710055</v>
      </c>
      <c r="I17" s="126">
        <v>0.23205899891710055</v>
      </c>
      <c r="J17" s="37" t="s">
        <v>14</v>
      </c>
      <c r="K17" s="44" t="s">
        <v>792</v>
      </c>
      <c r="L17" s="80" t="s">
        <v>1156</v>
      </c>
      <c r="N17" s="284"/>
      <c r="O17" s="284"/>
      <c r="P17" s="284"/>
      <c r="Q17" s="284"/>
      <c r="R17" s="284"/>
      <c r="S17" s="284"/>
      <c r="T17" s="284"/>
      <c r="U17" s="284"/>
    </row>
    <row r="18" spans="1:21" ht="30" x14ac:dyDescent="0.25">
      <c r="A18" s="37" t="s">
        <v>1043</v>
      </c>
      <c r="B18" s="144">
        <v>1.5665999999999999E-2</v>
      </c>
      <c r="C18" s="144">
        <v>0.17186400000000002</v>
      </c>
      <c r="D18" s="144">
        <v>0.49413000000000001</v>
      </c>
      <c r="E18" s="144">
        <v>0.37699199999999999</v>
      </c>
      <c r="F18" s="144">
        <v>7.4676000000000006E-2</v>
      </c>
      <c r="G18" s="144">
        <v>9.1518000000000002E-2</v>
      </c>
      <c r="H18" s="144">
        <v>3.6204E-2</v>
      </c>
      <c r="I18" s="161">
        <v>7.6608000000000009E-2</v>
      </c>
      <c r="J18" s="37" t="s">
        <v>14</v>
      </c>
      <c r="K18" s="44" t="s">
        <v>789</v>
      </c>
      <c r="L18" s="80" t="s">
        <v>790</v>
      </c>
    </row>
    <row r="19" spans="1:21" ht="30" x14ac:dyDescent="0.25">
      <c r="A19" s="37" t="s">
        <v>1044</v>
      </c>
      <c r="B19" s="144">
        <v>0.39849599999999996</v>
      </c>
      <c r="C19" s="144">
        <v>1.1951939999999999</v>
      </c>
      <c r="D19" s="144">
        <v>0.74155199999999999</v>
      </c>
      <c r="E19" s="144">
        <v>0.618954</v>
      </c>
      <c r="F19" s="144">
        <v>0.84625800000000007</v>
      </c>
      <c r="G19" s="144">
        <v>0.83206199999999997</v>
      </c>
      <c r="H19" s="144">
        <v>1.170288</v>
      </c>
      <c r="I19" s="161">
        <v>1.3789020000000001</v>
      </c>
      <c r="J19" s="37" t="s">
        <v>14</v>
      </c>
      <c r="K19" s="44" t="s">
        <v>791</v>
      </c>
      <c r="L19" s="80" t="s">
        <v>790</v>
      </c>
    </row>
    <row r="20" spans="1:21" x14ac:dyDescent="0.25">
      <c r="A20" s="35" t="s">
        <v>1153</v>
      </c>
      <c r="B20" s="35">
        <v>2010</v>
      </c>
      <c r="C20" s="35">
        <v>2011</v>
      </c>
      <c r="D20" s="35">
        <v>2012</v>
      </c>
      <c r="E20" s="35">
        <v>2013</v>
      </c>
      <c r="F20" s="35">
        <v>2014</v>
      </c>
      <c r="G20" s="35">
        <v>2015</v>
      </c>
      <c r="H20" s="35">
        <v>2016</v>
      </c>
      <c r="I20" s="35">
        <v>2017</v>
      </c>
      <c r="J20" s="4" t="s">
        <v>800</v>
      </c>
      <c r="K20" s="28" t="s">
        <v>801</v>
      </c>
      <c r="L20" s="75" t="s">
        <v>58</v>
      </c>
    </row>
    <row r="21" spans="1:21" ht="30" x14ac:dyDescent="0.25">
      <c r="A21" s="37" t="s">
        <v>886</v>
      </c>
      <c r="B21" s="123">
        <v>114.77500000000001</v>
      </c>
      <c r="C21" s="123">
        <v>125.47500000000001</v>
      </c>
      <c r="D21" s="123">
        <v>125</v>
      </c>
      <c r="E21" s="123">
        <v>116.02500000000001</v>
      </c>
      <c r="F21" s="123">
        <v>128.1</v>
      </c>
      <c r="G21" s="123">
        <v>130</v>
      </c>
      <c r="H21" s="123">
        <v>130.07500000000002</v>
      </c>
      <c r="I21" s="123">
        <v>135.97499999999999</v>
      </c>
      <c r="J21" s="37" t="s">
        <v>28</v>
      </c>
      <c r="K21" s="57" t="s">
        <v>820</v>
      </c>
      <c r="L21" s="24" t="s">
        <v>739</v>
      </c>
    </row>
    <row r="22" spans="1:21" x14ac:dyDescent="0.25">
      <c r="A22" s="66" t="s">
        <v>892</v>
      </c>
      <c r="B22" s="161">
        <v>1.6E-2</v>
      </c>
      <c r="C22" s="161">
        <v>0.104</v>
      </c>
      <c r="D22" s="161">
        <v>0.438</v>
      </c>
      <c r="E22" s="161">
        <v>1.0609999999999999</v>
      </c>
      <c r="F22" s="161">
        <v>1.6659999999999999</v>
      </c>
      <c r="G22" s="161">
        <v>2.4889999999999999</v>
      </c>
      <c r="H22" s="189">
        <v>3.395</v>
      </c>
      <c r="I22" s="189">
        <v>4.4530000000000003</v>
      </c>
      <c r="J22" s="66" t="s">
        <v>30</v>
      </c>
      <c r="K22" s="86" t="s">
        <v>793</v>
      </c>
      <c r="L22" s="80" t="s">
        <v>738</v>
      </c>
    </row>
    <row r="23" spans="1:21" ht="30" x14ac:dyDescent="0.25">
      <c r="A23" s="38" t="s">
        <v>1048</v>
      </c>
      <c r="B23" s="228">
        <v>0</v>
      </c>
      <c r="C23" s="228">
        <v>0</v>
      </c>
      <c r="D23" s="228">
        <v>1.1439900000000001E-4</v>
      </c>
      <c r="E23" s="228">
        <v>0</v>
      </c>
      <c r="F23" s="228">
        <v>4.1524500000000002E-3</v>
      </c>
      <c r="G23" s="228">
        <v>1.2432269999999999E-2</v>
      </c>
      <c r="H23" s="251">
        <v>2.168964E-2</v>
      </c>
      <c r="I23" s="251">
        <v>5.7267329999999998E-2</v>
      </c>
      <c r="J23" s="37" t="s">
        <v>18</v>
      </c>
      <c r="K23" s="117" t="s">
        <v>795</v>
      </c>
      <c r="L23" s="80" t="s">
        <v>1049</v>
      </c>
    </row>
    <row r="24" spans="1:21" x14ac:dyDescent="0.25">
      <c r="A24" s="50"/>
      <c r="B24" s="124"/>
      <c r="C24" s="124"/>
      <c r="D24" s="124"/>
      <c r="E24" s="124"/>
      <c r="F24" s="124"/>
      <c r="G24" s="124"/>
      <c r="H24" s="124"/>
      <c r="I24" s="124"/>
      <c r="J24" s="51"/>
      <c r="K24" s="52"/>
      <c r="L24" s="53"/>
    </row>
    <row r="25" spans="1:21" s="5" customFormat="1" x14ac:dyDescent="0.25">
      <c r="A25" s="35" t="s">
        <v>19</v>
      </c>
      <c r="B25" s="35">
        <v>2010</v>
      </c>
      <c r="C25" s="35">
        <v>2011</v>
      </c>
      <c r="D25" s="35">
        <v>2012</v>
      </c>
      <c r="E25" s="35">
        <v>2013</v>
      </c>
      <c r="F25" s="35">
        <v>2014</v>
      </c>
      <c r="G25" s="35">
        <v>2015</v>
      </c>
      <c r="H25" s="35">
        <v>2016</v>
      </c>
      <c r="I25" s="35">
        <v>2017</v>
      </c>
      <c r="J25" s="4" t="s">
        <v>800</v>
      </c>
      <c r="K25" s="28" t="s">
        <v>801</v>
      </c>
      <c r="L25" s="75" t="s">
        <v>58</v>
      </c>
    </row>
    <row r="26" spans="1:21" x14ac:dyDescent="0.25">
      <c r="A26" s="37" t="s">
        <v>896</v>
      </c>
      <c r="B26" s="161">
        <v>1.84</v>
      </c>
      <c r="C26" s="226">
        <v>2.56</v>
      </c>
      <c r="D26" s="161">
        <v>2.5</v>
      </c>
      <c r="E26" s="161">
        <v>2.5</v>
      </c>
      <c r="F26" s="161">
        <v>2.39</v>
      </c>
      <c r="G26" s="161">
        <v>1.82</v>
      </c>
      <c r="H26" s="161">
        <v>1.55</v>
      </c>
      <c r="I26" s="161">
        <v>1.6</v>
      </c>
      <c r="J26" s="66" t="s">
        <v>28</v>
      </c>
      <c r="K26" s="87" t="s">
        <v>29</v>
      </c>
      <c r="L26" s="80" t="s">
        <v>738</v>
      </c>
    </row>
    <row r="27" spans="1:21" ht="30" x14ac:dyDescent="0.25">
      <c r="A27" s="37" t="s">
        <v>1159</v>
      </c>
      <c r="B27" s="204">
        <v>2.7600000000000002</v>
      </c>
      <c r="C27" s="226">
        <v>3.84</v>
      </c>
      <c r="D27" s="204">
        <v>3.75</v>
      </c>
      <c r="E27" s="204">
        <v>3.75</v>
      </c>
      <c r="F27" s="204">
        <v>3.585</v>
      </c>
      <c r="G27" s="204">
        <v>2.73</v>
      </c>
      <c r="H27" s="204">
        <v>2.3250000000000002</v>
      </c>
      <c r="I27" s="204">
        <v>2.4000000000000004</v>
      </c>
      <c r="J27" s="66" t="s">
        <v>28</v>
      </c>
      <c r="K27" s="87" t="s">
        <v>29</v>
      </c>
      <c r="L27" s="206" t="s">
        <v>1162</v>
      </c>
    </row>
    <row r="28" spans="1:21" x14ac:dyDescent="0.25">
      <c r="A28" s="37" t="s">
        <v>1160</v>
      </c>
      <c r="B28" s="204">
        <v>3.37</v>
      </c>
      <c r="C28" s="204">
        <v>4.38</v>
      </c>
      <c r="D28" s="204">
        <v>4.7074999999999996</v>
      </c>
      <c r="E28" s="204">
        <v>4.5025000000000004</v>
      </c>
      <c r="F28" s="204">
        <v>4.4349999999999996</v>
      </c>
      <c r="G28" s="204">
        <v>2.95</v>
      </c>
      <c r="H28" s="204">
        <v>2.4550000000000001</v>
      </c>
      <c r="I28" s="204">
        <v>2.6750000000000003</v>
      </c>
      <c r="J28" s="255" t="s">
        <v>1164</v>
      </c>
      <c r="K28" s="55" t="s">
        <v>1158</v>
      </c>
      <c r="L28" s="206" t="s">
        <v>1163</v>
      </c>
    </row>
    <row r="29" spans="1:21" x14ac:dyDescent="0.25">
      <c r="A29" s="37" t="s">
        <v>1161</v>
      </c>
      <c r="B29" s="204">
        <v>2.7449999999999997</v>
      </c>
      <c r="C29" s="204">
        <v>3.4775</v>
      </c>
      <c r="D29" s="204">
        <v>3.65</v>
      </c>
      <c r="E29" s="204">
        <v>3.4950000000000001</v>
      </c>
      <c r="F29" s="204">
        <v>3.5075000000000003</v>
      </c>
      <c r="G29" s="204">
        <v>2.4724999999999997</v>
      </c>
      <c r="H29" s="204">
        <v>2.13</v>
      </c>
      <c r="I29" s="204">
        <v>2.3624999999999998</v>
      </c>
      <c r="J29" s="255" t="s">
        <v>1164</v>
      </c>
      <c r="K29" s="55" t="s">
        <v>1158</v>
      </c>
      <c r="L29" s="206" t="s">
        <v>1163</v>
      </c>
    </row>
    <row r="30" spans="1:21" x14ac:dyDescent="0.25">
      <c r="A30" s="37" t="s">
        <v>33</v>
      </c>
      <c r="B30" s="142">
        <v>90</v>
      </c>
      <c r="C30" s="142">
        <v>95</v>
      </c>
      <c r="D30" s="142">
        <v>96</v>
      </c>
      <c r="E30" s="142">
        <v>96</v>
      </c>
      <c r="F30" s="142">
        <v>97</v>
      </c>
      <c r="G30" s="142">
        <v>97</v>
      </c>
      <c r="H30" s="142">
        <v>95</v>
      </c>
      <c r="I30" s="224">
        <v>98</v>
      </c>
      <c r="J30" s="78" t="s">
        <v>799</v>
      </c>
      <c r="K30" s="81" t="s">
        <v>796</v>
      </c>
      <c r="L30" s="80" t="s">
        <v>738</v>
      </c>
    </row>
    <row r="31" spans="1:21" x14ac:dyDescent="0.25">
      <c r="A31" s="37" t="s">
        <v>34</v>
      </c>
      <c r="B31" s="9">
        <v>10</v>
      </c>
      <c r="C31" s="142">
        <v>10</v>
      </c>
      <c r="D31" s="9">
        <v>10</v>
      </c>
      <c r="E31" s="9">
        <v>10</v>
      </c>
      <c r="F31" s="9">
        <v>10</v>
      </c>
      <c r="G31" s="9">
        <v>10</v>
      </c>
      <c r="H31" s="9">
        <v>10.100000000000001</v>
      </c>
      <c r="I31" s="83">
        <v>10.100000000000001</v>
      </c>
      <c r="J31" s="37" t="s">
        <v>21</v>
      </c>
      <c r="K31" s="44" t="s">
        <v>796</v>
      </c>
      <c r="L31" s="80" t="s">
        <v>738</v>
      </c>
    </row>
    <row r="32" spans="1:21" x14ac:dyDescent="0.25">
      <c r="A32" s="37" t="s">
        <v>884</v>
      </c>
      <c r="B32" s="9">
        <v>70400</v>
      </c>
      <c r="C32" s="9">
        <v>90200</v>
      </c>
      <c r="D32" s="9">
        <v>70000</v>
      </c>
      <c r="E32" s="9">
        <v>86504</v>
      </c>
      <c r="F32" s="9">
        <v>83949</v>
      </c>
      <c r="G32" s="9">
        <v>85967</v>
      </c>
      <c r="H32" s="9">
        <v>74420</v>
      </c>
      <c r="I32" s="83">
        <v>71906</v>
      </c>
      <c r="J32" s="37" t="s">
        <v>21</v>
      </c>
      <c r="K32" s="44" t="s">
        <v>796</v>
      </c>
      <c r="L32" s="80" t="s">
        <v>738</v>
      </c>
    </row>
    <row r="33" spans="1:12" x14ac:dyDescent="0.25">
      <c r="A33" s="24" t="s">
        <v>885</v>
      </c>
      <c r="B33" s="9">
        <v>329600</v>
      </c>
      <c r="C33" s="9">
        <v>311400</v>
      </c>
      <c r="D33" s="9">
        <v>295000</v>
      </c>
      <c r="E33" s="9">
        <v>300277</v>
      </c>
      <c r="F33" s="9">
        <v>295265</v>
      </c>
      <c r="G33" s="9">
        <v>271440</v>
      </c>
      <c r="H33" s="9">
        <v>264756</v>
      </c>
      <c r="I33" s="83">
        <v>285587</v>
      </c>
      <c r="J33" s="37" t="s">
        <v>21</v>
      </c>
      <c r="K33" s="44" t="s">
        <v>796</v>
      </c>
      <c r="L33" s="80" t="s">
        <v>738</v>
      </c>
    </row>
    <row r="34" spans="1:12" x14ac:dyDescent="0.25">
      <c r="A34" s="37" t="s">
        <v>893</v>
      </c>
      <c r="B34" s="9">
        <v>54</v>
      </c>
      <c r="C34" s="134">
        <v>42.4</v>
      </c>
      <c r="D34" s="134">
        <v>40.6</v>
      </c>
      <c r="E34" s="9">
        <v>44</v>
      </c>
      <c r="F34" s="9">
        <v>53</v>
      </c>
      <c r="G34" s="9">
        <v>44</v>
      </c>
      <c r="H34" s="9">
        <v>42</v>
      </c>
      <c r="I34" s="83">
        <v>45</v>
      </c>
      <c r="J34" s="37" t="s">
        <v>21</v>
      </c>
      <c r="K34" s="44" t="s">
        <v>796</v>
      </c>
      <c r="L34" s="80" t="s">
        <v>738</v>
      </c>
    </row>
    <row r="35" spans="1:12" x14ac:dyDescent="0.25">
      <c r="A35" s="37" t="s">
        <v>894</v>
      </c>
      <c r="B35" s="9">
        <v>36</v>
      </c>
      <c r="C35" s="134">
        <v>29.9</v>
      </c>
      <c r="D35" s="134">
        <v>29.9</v>
      </c>
      <c r="E35" s="9">
        <v>31</v>
      </c>
      <c r="F35" s="9">
        <v>27</v>
      </c>
      <c r="G35" s="9">
        <v>24</v>
      </c>
      <c r="H35" s="9">
        <v>23</v>
      </c>
      <c r="I35" s="83">
        <v>24</v>
      </c>
      <c r="J35" s="37" t="s">
        <v>21</v>
      </c>
      <c r="K35" s="44" t="s">
        <v>796</v>
      </c>
      <c r="L35" s="80" t="s">
        <v>738</v>
      </c>
    </row>
    <row r="36" spans="1:12" x14ac:dyDescent="0.25">
      <c r="A36" s="37" t="s">
        <v>895</v>
      </c>
      <c r="B36" s="129"/>
      <c r="C36" s="129"/>
      <c r="D36" s="144">
        <v>7.9</v>
      </c>
      <c r="E36" s="9">
        <v>8.3000000000000007</v>
      </c>
      <c r="F36" s="9">
        <v>10.3</v>
      </c>
      <c r="G36" s="9">
        <v>10</v>
      </c>
      <c r="H36" s="9">
        <v>9</v>
      </c>
      <c r="I36" s="83">
        <v>10</v>
      </c>
      <c r="J36" s="37" t="s">
        <v>21</v>
      </c>
      <c r="K36" s="44" t="s">
        <v>796</v>
      </c>
      <c r="L36" s="80" t="s">
        <v>738</v>
      </c>
    </row>
    <row r="37" spans="1:12" x14ac:dyDescent="0.25">
      <c r="A37" s="64" t="s">
        <v>2789</v>
      </c>
      <c r="B37" s="161">
        <v>79.48</v>
      </c>
      <c r="C37" s="161">
        <v>94.88</v>
      </c>
      <c r="D37" s="161">
        <v>94.05</v>
      </c>
      <c r="E37" s="161">
        <v>97.98</v>
      </c>
      <c r="F37" s="161">
        <v>93.17</v>
      </c>
      <c r="G37" s="161">
        <v>48.66</v>
      </c>
      <c r="H37" s="161">
        <v>43.29</v>
      </c>
      <c r="I37" s="161">
        <v>50.8</v>
      </c>
    </row>
    <row r="38" spans="1:12" x14ac:dyDescent="0.25">
      <c r="A38" s="55"/>
    </row>
    <row r="119" spans="2:11" x14ac:dyDescent="0.25">
      <c r="B119"/>
      <c r="C119"/>
      <c r="D119"/>
      <c r="E119"/>
      <c r="F119"/>
      <c r="G119"/>
      <c r="H119"/>
      <c r="I119"/>
      <c r="J119"/>
      <c r="K119"/>
    </row>
    <row r="120" spans="2:11" x14ac:dyDescent="0.25">
      <c r="B120"/>
      <c r="C120"/>
      <c r="D120"/>
      <c r="E120"/>
      <c r="F120"/>
      <c r="G120"/>
      <c r="H120"/>
      <c r="I120"/>
      <c r="J120"/>
      <c r="K120"/>
    </row>
    <row r="121" spans="2:11" x14ac:dyDescent="0.25">
      <c r="B121"/>
      <c r="C121"/>
      <c r="D121"/>
      <c r="E121"/>
      <c r="F121"/>
      <c r="G121"/>
      <c r="H121"/>
      <c r="I121"/>
      <c r="J121"/>
      <c r="K121"/>
    </row>
    <row r="122" spans="2:11" x14ac:dyDescent="0.25">
      <c r="B122"/>
      <c r="C122"/>
      <c r="D122"/>
      <c r="E122"/>
      <c r="F122"/>
      <c r="G122"/>
      <c r="H122"/>
      <c r="I122"/>
      <c r="J122"/>
      <c r="K122"/>
    </row>
    <row r="124" spans="2:11" x14ac:dyDescent="0.25">
      <c r="G124"/>
      <c r="H124"/>
      <c r="I124"/>
    </row>
    <row r="125" spans="2:11" x14ac:dyDescent="0.25">
      <c r="G125"/>
      <c r="H125"/>
      <c r="I125"/>
    </row>
    <row r="126" spans="2:11" x14ac:dyDescent="0.25">
      <c r="C126" s="369"/>
      <c r="G126"/>
      <c r="H126"/>
      <c r="I126"/>
    </row>
    <row r="127" spans="2:11" x14ac:dyDescent="0.25">
      <c r="C127" s="369"/>
      <c r="G127"/>
      <c r="H127"/>
      <c r="I127"/>
    </row>
    <row r="128" spans="2:11" x14ac:dyDescent="0.25">
      <c r="C128" s="369"/>
      <c r="G128"/>
      <c r="H128"/>
      <c r="I128"/>
    </row>
    <row r="129" spans="2:11" x14ac:dyDescent="0.25">
      <c r="C129" s="369"/>
      <c r="G129"/>
      <c r="H129"/>
      <c r="I129"/>
    </row>
    <row r="130" spans="2:11" x14ac:dyDescent="0.25">
      <c r="C130" s="369"/>
      <c r="G130"/>
      <c r="H130"/>
      <c r="I130"/>
    </row>
    <row r="131" spans="2:11" x14ac:dyDescent="0.25">
      <c r="C131" s="369"/>
      <c r="G131"/>
      <c r="H131"/>
      <c r="I131"/>
    </row>
    <row r="132" spans="2:11" x14ac:dyDescent="0.25">
      <c r="C132" s="369"/>
      <c r="G132"/>
      <c r="H132"/>
      <c r="I132"/>
    </row>
    <row r="133" spans="2:11" x14ac:dyDescent="0.25">
      <c r="C133" s="369"/>
      <c r="G133"/>
      <c r="H133"/>
      <c r="I133"/>
    </row>
    <row r="134" spans="2:11" x14ac:dyDescent="0.25">
      <c r="G134"/>
      <c r="H134"/>
      <c r="I134"/>
    </row>
    <row r="135" spans="2:11" x14ac:dyDescent="0.25">
      <c r="G135"/>
      <c r="H135"/>
      <c r="I135"/>
    </row>
    <row r="136" spans="2:11" x14ac:dyDescent="0.25">
      <c r="G136"/>
      <c r="H136"/>
      <c r="I136"/>
    </row>
    <row r="137" spans="2:11" x14ac:dyDescent="0.25">
      <c r="G137"/>
      <c r="H137"/>
      <c r="I137"/>
    </row>
    <row r="138" spans="2:11" x14ac:dyDescent="0.25">
      <c r="G138"/>
      <c r="H138"/>
      <c r="I138"/>
    </row>
    <row r="139" spans="2:11" x14ac:dyDescent="0.25">
      <c r="G139"/>
      <c r="H139"/>
      <c r="I139"/>
    </row>
    <row r="140" spans="2:11" x14ac:dyDescent="0.25">
      <c r="G140"/>
      <c r="H140"/>
      <c r="I140"/>
    </row>
    <row r="141" spans="2:11" x14ac:dyDescent="0.25">
      <c r="G141"/>
      <c r="H141"/>
      <c r="I141"/>
    </row>
    <row r="142" spans="2:11" x14ac:dyDescent="0.25">
      <c r="B142"/>
      <c r="C142"/>
      <c r="D142"/>
      <c r="E142"/>
      <c r="F142"/>
      <c r="G142"/>
      <c r="H142"/>
      <c r="I142"/>
      <c r="J142"/>
      <c r="K142"/>
    </row>
    <row r="143" spans="2:11" x14ac:dyDescent="0.25">
      <c r="B143"/>
      <c r="C143"/>
      <c r="D143"/>
      <c r="E143"/>
      <c r="F143"/>
      <c r="G143"/>
      <c r="H143"/>
      <c r="I143"/>
      <c r="J143"/>
      <c r="K143"/>
    </row>
    <row r="144" spans="2:11" x14ac:dyDescent="0.25">
      <c r="B144"/>
      <c r="C144"/>
      <c r="D144"/>
      <c r="E144"/>
      <c r="F144"/>
      <c r="G144"/>
      <c r="H144"/>
      <c r="I144"/>
      <c r="J144"/>
      <c r="K144"/>
    </row>
    <row r="145" spans="2:11" x14ac:dyDescent="0.25">
      <c r="B145"/>
      <c r="C145"/>
      <c r="D145"/>
      <c r="E145"/>
      <c r="F145"/>
      <c r="G145"/>
      <c r="H145"/>
      <c r="I145"/>
      <c r="J145"/>
      <c r="K145"/>
    </row>
    <row r="146" spans="2:11" x14ac:dyDescent="0.25">
      <c r="B146"/>
      <c r="C146"/>
      <c r="D146"/>
      <c r="E146"/>
      <c r="F146"/>
      <c r="G146"/>
      <c r="H146"/>
      <c r="I146"/>
      <c r="J146"/>
      <c r="K146"/>
    </row>
    <row r="147" spans="2:11" x14ac:dyDescent="0.25">
      <c r="B147"/>
      <c r="C147"/>
      <c r="D147"/>
      <c r="E147"/>
      <c r="F147"/>
      <c r="G147"/>
      <c r="H147"/>
      <c r="I147"/>
      <c r="J147"/>
      <c r="K147"/>
    </row>
    <row r="148" spans="2:11" x14ac:dyDescent="0.25">
      <c r="B148"/>
      <c r="C148"/>
      <c r="D148"/>
      <c r="E148"/>
      <c r="F148"/>
      <c r="G148"/>
      <c r="H148"/>
      <c r="I148"/>
      <c r="J148"/>
      <c r="K148"/>
    </row>
    <row r="149" spans="2:11" x14ac:dyDescent="0.25">
      <c r="B149"/>
      <c r="C149"/>
      <c r="D149"/>
      <c r="E149"/>
      <c r="F149"/>
      <c r="G149"/>
      <c r="H149"/>
      <c r="I149"/>
      <c r="J149"/>
      <c r="K149"/>
    </row>
    <row r="150" spans="2:11" x14ac:dyDescent="0.25">
      <c r="B150"/>
      <c r="C150"/>
      <c r="D150"/>
      <c r="E150"/>
      <c r="F150"/>
      <c r="G150"/>
      <c r="H150"/>
      <c r="I150"/>
      <c r="J150"/>
      <c r="K150"/>
    </row>
    <row r="151" spans="2:11" x14ac:dyDescent="0.25">
      <c r="B151"/>
      <c r="C151"/>
      <c r="D151"/>
      <c r="E151"/>
      <c r="F151"/>
      <c r="G151"/>
      <c r="H151"/>
      <c r="I151"/>
      <c r="J151"/>
      <c r="K151"/>
    </row>
    <row r="152" spans="2:11" x14ac:dyDescent="0.25">
      <c r="B152"/>
      <c r="C152"/>
      <c r="D152"/>
      <c r="E152"/>
      <c r="F152"/>
      <c r="G152"/>
      <c r="H152"/>
      <c r="I152"/>
      <c r="J152"/>
      <c r="K152"/>
    </row>
    <row r="153" spans="2:11" x14ac:dyDescent="0.25">
      <c r="B153"/>
      <c r="C153"/>
      <c r="D153"/>
      <c r="E153"/>
      <c r="F153"/>
      <c r="G153"/>
      <c r="H153"/>
      <c r="I153"/>
      <c r="J153"/>
      <c r="K153"/>
    </row>
    <row r="154" spans="2:11" x14ac:dyDescent="0.25">
      <c r="B154"/>
      <c r="C154"/>
      <c r="D154"/>
      <c r="E154"/>
      <c r="F154"/>
      <c r="G154"/>
      <c r="H154"/>
      <c r="I154"/>
      <c r="J154"/>
      <c r="K154"/>
    </row>
    <row r="155" spans="2:11" x14ac:dyDescent="0.25">
      <c r="B155"/>
      <c r="C155"/>
      <c r="D155"/>
      <c r="E155"/>
      <c r="F155"/>
      <c r="G155"/>
      <c r="H155"/>
      <c r="I155"/>
      <c r="J155"/>
      <c r="K155"/>
    </row>
    <row r="156" spans="2:11" x14ac:dyDescent="0.25">
      <c r="B156"/>
      <c r="C156"/>
      <c r="D156"/>
      <c r="E156"/>
      <c r="F156"/>
      <c r="G156"/>
      <c r="H156"/>
      <c r="I156"/>
      <c r="J156"/>
      <c r="K156"/>
    </row>
    <row r="157" spans="2:11" x14ac:dyDescent="0.25">
      <c r="B157"/>
      <c r="C157"/>
      <c r="D157"/>
      <c r="E157"/>
      <c r="F157"/>
      <c r="G157"/>
      <c r="H157"/>
      <c r="I157"/>
      <c r="J157"/>
      <c r="K157"/>
    </row>
    <row r="158" spans="2:11" x14ac:dyDescent="0.25">
      <c r="B158"/>
      <c r="C158"/>
      <c r="D158"/>
      <c r="E158"/>
      <c r="F158"/>
      <c r="G158"/>
      <c r="H158"/>
      <c r="I158"/>
      <c r="J158"/>
      <c r="K158"/>
    </row>
    <row r="159" spans="2:11" x14ac:dyDescent="0.25">
      <c r="B159"/>
      <c r="C159"/>
      <c r="D159"/>
      <c r="E159"/>
      <c r="F159"/>
      <c r="G159"/>
      <c r="H159"/>
      <c r="I159"/>
      <c r="J159"/>
      <c r="K159"/>
    </row>
    <row r="160" spans="2:11" x14ac:dyDescent="0.25">
      <c r="B160"/>
      <c r="C160"/>
      <c r="D160"/>
      <c r="E160"/>
      <c r="F160"/>
      <c r="G160"/>
      <c r="H160"/>
      <c r="I160"/>
      <c r="J160"/>
      <c r="K160"/>
    </row>
    <row r="161" spans="2:11" x14ac:dyDescent="0.25">
      <c r="B161"/>
      <c r="C161"/>
      <c r="D161"/>
      <c r="E161"/>
      <c r="F161"/>
      <c r="G161"/>
      <c r="H161"/>
      <c r="I161"/>
      <c r="J161"/>
      <c r="K161"/>
    </row>
    <row r="162" spans="2:11" x14ac:dyDescent="0.25">
      <c r="B162"/>
      <c r="C162"/>
      <c r="D162"/>
      <c r="E162"/>
      <c r="F162"/>
      <c r="G162"/>
      <c r="H162"/>
      <c r="I162"/>
      <c r="J162"/>
      <c r="K162"/>
    </row>
    <row r="163" spans="2:11" x14ac:dyDescent="0.25">
      <c r="B163"/>
      <c r="C163"/>
      <c r="D163"/>
      <c r="E163"/>
      <c r="F163"/>
      <c r="G163"/>
      <c r="H163"/>
      <c r="I163"/>
      <c r="J163"/>
      <c r="K163"/>
    </row>
    <row r="164" spans="2:11" x14ac:dyDescent="0.25">
      <c r="B164"/>
      <c r="C164"/>
      <c r="D164"/>
      <c r="E164"/>
      <c r="F164"/>
      <c r="G164"/>
      <c r="H164"/>
      <c r="I164"/>
      <c r="J164"/>
      <c r="K164"/>
    </row>
    <row r="165" spans="2:11" x14ac:dyDescent="0.25">
      <c r="B165"/>
      <c r="C165"/>
      <c r="D165"/>
      <c r="E165"/>
      <c r="F165"/>
      <c r="G165"/>
      <c r="H165"/>
      <c r="I165"/>
      <c r="J165"/>
      <c r="K165"/>
    </row>
    <row r="166" spans="2:11" x14ac:dyDescent="0.25">
      <c r="B166"/>
      <c r="C166"/>
      <c r="D166"/>
      <c r="E166"/>
      <c r="F166"/>
      <c r="G166"/>
      <c r="H166"/>
      <c r="I166"/>
      <c r="J166"/>
      <c r="K166"/>
    </row>
    <row r="167" spans="2:11" x14ac:dyDescent="0.25">
      <c r="B167"/>
      <c r="C167"/>
      <c r="D167"/>
      <c r="E167"/>
      <c r="F167"/>
      <c r="G167"/>
      <c r="H167"/>
      <c r="I167"/>
      <c r="J167"/>
      <c r="K167"/>
    </row>
    <row r="168" spans="2:11" x14ac:dyDescent="0.25">
      <c r="B168"/>
      <c r="C168"/>
      <c r="D168"/>
      <c r="E168"/>
      <c r="F168"/>
      <c r="G168"/>
      <c r="H168"/>
      <c r="I168"/>
      <c r="J168"/>
      <c r="K168"/>
    </row>
    <row r="169" spans="2:11" x14ac:dyDescent="0.25">
      <c r="B169"/>
      <c r="C169"/>
      <c r="D169"/>
      <c r="E169"/>
      <c r="F169"/>
      <c r="G169"/>
      <c r="H169"/>
      <c r="I169"/>
      <c r="J169"/>
      <c r="K169"/>
    </row>
    <row r="170" spans="2:11" x14ac:dyDescent="0.25">
      <c r="B170"/>
      <c r="C170"/>
      <c r="D170"/>
      <c r="E170"/>
      <c r="F170"/>
      <c r="G170"/>
      <c r="H170"/>
      <c r="I170"/>
      <c r="J170"/>
      <c r="K170"/>
    </row>
    <row r="171" spans="2:11" x14ac:dyDescent="0.25">
      <c r="B171"/>
      <c r="C171"/>
      <c r="D171"/>
      <c r="E171"/>
      <c r="F171"/>
      <c r="G171"/>
      <c r="H171"/>
      <c r="I171"/>
      <c r="J171"/>
      <c r="K171"/>
    </row>
    <row r="172" spans="2:11" x14ac:dyDescent="0.25">
      <c r="B172"/>
      <c r="C172"/>
      <c r="D172"/>
      <c r="E172"/>
      <c r="F172"/>
      <c r="G172"/>
      <c r="H172"/>
      <c r="I172"/>
      <c r="J172"/>
      <c r="K172"/>
    </row>
    <row r="173" spans="2:11" x14ac:dyDescent="0.25">
      <c r="B173"/>
      <c r="C173"/>
      <c r="D173"/>
      <c r="E173"/>
      <c r="F173"/>
      <c r="G173"/>
      <c r="H173"/>
      <c r="I173"/>
      <c r="J173"/>
      <c r="K173"/>
    </row>
    <row r="174" spans="2:11" x14ac:dyDescent="0.25">
      <c r="B174"/>
      <c r="C174"/>
      <c r="D174"/>
      <c r="E174"/>
      <c r="F174"/>
      <c r="G174"/>
      <c r="H174"/>
      <c r="I174"/>
      <c r="J174"/>
      <c r="K174"/>
    </row>
    <row r="175" spans="2:11" x14ac:dyDescent="0.25">
      <c r="B175"/>
      <c r="C175"/>
      <c r="D175"/>
      <c r="E175"/>
      <c r="F175"/>
      <c r="G175"/>
      <c r="H175"/>
      <c r="I175"/>
      <c r="J175"/>
      <c r="K175"/>
    </row>
    <row r="176" spans="2:11" x14ac:dyDescent="0.25">
      <c r="B176"/>
      <c r="C176"/>
      <c r="D176"/>
      <c r="E176"/>
      <c r="F176"/>
      <c r="G176"/>
      <c r="H176"/>
      <c r="I176"/>
      <c r="J176"/>
      <c r="K176"/>
    </row>
    <row r="177" spans="2:11" x14ac:dyDescent="0.25">
      <c r="B177"/>
      <c r="C177"/>
      <c r="D177"/>
      <c r="E177"/>
      <c r="F177"/>
      <c r="G177"/>
      <c r="H177"/>
      <c r="I177"/>
      <c r="J177"/>
      <c r="K177"/>
    </row>
    <row r="178" spans="2:11" x14ac:dyDescent="0.25">
      <c r="B178"/>
      <c r="C178"/>
      <c r="D178"/>
      <c r="E178"/>
      <c r="F178"/>
      <c r="G178"/>
      <c r="H178"/>
      <c r="I178"/>
      <c r="J178"/>
      <c r="K178"/>
    </row>
  </sheetData>
  <mergeCells count="1">
    <mergeCell ref="A1:A2"/>
  </mergeCells>
  <hyperlinks>
    <hyperlink ref="K6" r:id="rId1" xr:uid="{00000000-0004-0000-0A00-000000000000}"/>
    <hyperlink ref="K8" r:id="rId2" display="http://www.ethanolrfa.org/resources/publications/" xr:uid="{00000000-0004-0000-0A00-000001000000}"/>
    <hyperlink ref="K5" r:id="rId3" xr:uid="{00000000-0004-0000-0A00-000002000000}"/>
    <hyperlink ref="K10" r:id="rId4" xr:uid="{00000000-0004-0000-0A00-000003000000}"/>
    <hyperlink ref="K23" r:id="rId5" xr:uid="{00000000-0004-0000-0A00-000004000000}"/>
    <hyperlink ref="K26" r:id="rId6" xr:uid="{00000000-0004-0000-0A00-000005000000}"/>
    <hyperlink ref="K22" r:id="rId7" xr:uid="{00000000-0004-0000-0A00-000006000000}"/>
    <hyperlink ref="K16" r:id="rId8" xr:uid="{00000000-0004-0000-0A00-000007000000}"/>
    <hyperlink ref="K15" r:id="rId9" xr:uid="{00000000-0004-0000-0A00-000008000000}"/>
    <hyperlink ref="K17" r:id="rId10" xr:uid="{00000000-0004-0000-0A00-000009000000}"/>
    <hyperlink ref="K18" r:id="rId11" xr:uid="{00000000-0004-0000-0A00-00000A000000}"/>
    <hyperlink ref="K27" r:id="rId12" xr:uid="{00000000-0004-0000-0A00-00000B000000}"/>
    <hyperlink ref="K28" r:id="rId13" xr:uid="{00000000-0004-0000-0A00-00000C000000}"/>
    <hyperlink ref="K29" r:id="rId14" xr:uid="{00000000-0004-0000-0A00-00000D000000}"/>
    <hyperlink ref="K14" r:id="rId15" xr:uid="{1FA6871A-51FA-450C-96FF-4FF1F8B295FA}"/>
  </hyperlinks>
  <pageMargins left="0.7" right="0.7" top="0.75" bottom="0.75" header="0.3" footer="0.3"/>
  <pageSetup orientation="portrait" r:id="rId16"/>
  <drawing r:id="rId17"/>
  <legacyDrawing r:id="rId1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8306C"/>
  </sheetPr>
  <dimension ref="A1:M157"/>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74.42578125" style="40" bestFit="1" customWidth="1"/>
    <col min="2" max="9" width="11.7109375" style="40" customWidth="1"/>
    <col min="10" max="10" width="18.42578125" style="40" bestFit="1" customWidth="1"/>
    <col min="11" max="11" width="106.28515625" style="40" customWidth="1"/>
    <col min="12" max="12" width="37.140625" style="40" customWidth="1"/>
    <col min="13" max="16384" width="8.85546875" style="40"/>
  </cols>
  <sheetData>
    <row r="1" spans="1:12" x14ac:dyDescent="0.25">
      <c r="A1" s="388" t="s">
        <v>35</v>
      </c>
    </row>
    <row r="2" spans="1:12" x14ac:dyDescent="0.25">
      <c r="A2" s="389"/>
    </row>
    <row r="3" spans="1:12" s="5" customFormat="1" x14ac:dyDescent="0.25">
      <c r="A3" s="4" t="s">
        <v>12</v>
      </c>
      <c r="B3" s="4">
        <v>2010</v>
      </c>
      <c r="C3" s="4">
        <v>2011</v>
      </c>
      <c r="D3" s="4">
        <v>2012</v>
      </c>
      <c r="E3" s="4">
        <v>2013</v>
      </c>
      <c r="F3" s="4">
        <v>2014</v>
      </c>
      <c r="G3" s="4">
        <v>2015</v>
      </c>
      <c r="H3" s="4">
        <v>2016</v>
      </c>
      <c r="I3" s="74">
        <v>2017</v>
      </c>
      <c r="J3" s="28" t="s">
        <v>800</v>
      </c>
      <c r="K3" s="28" t="s">
        <v>801</v>
      </c>
      <c r="L3" s="75" t="s">
        <v>58</v>
      </c>
    </row>
    <row r="4" spans="1:12" x14ac:dyDescent="0.25">
      <c r="A4" s="37" t="s">
        <v>897</v>
      </c>
      <c r="B4" s="129"/>
      <c r="C4" s="9">
        <v>103</v>
      </c>
      <c r="D4" s="9">
        <v>112</v>
      </c>
      <c r="E4" s="9">
        <v>115</v>
      </c>
      <c r="F4" s="9">
        <v>98</v>
      </c>
      <c r="G4" s="9">
        <v>94</v>
      </c>
      <c r="H4" s="9">
        <v>96</v>
      </c>
      <c r="I4" s="83">
        <v>95</v>
      </c>
      <c r="J4" s="24" t="s">
        <v>14</v>
      </c>
      <c r="K4" s="68" t="s">
        <v>802</v>
      </c>
      <c r="L4" s="80" t="s">
        <v>738</v>
      </c>
    </row>
    <row r="5" spans="1:12" x14ac:dyDescent="0.25">
      <c r="A5" s="61" t="s">
        <v>901</v>
      </c>
      <c r="B5" s="129"/>
      <c r="C5" s="129"/>
      <c r="D5" s="129"/>
      <c r="E5" s="129"/>
      <c r="F5" s="129"/>
      <c r="G5" s="129"/>
      <c r="H5" s="83">
        <v>35</v>
      </c>
      <c r="I5" s="83">
        <v>19</v>
      </c>
      <c r="J5" s="39" t="s">
        <v>36</v>
      </c>
      <c r="K5" s="67" t="s">
        <v>39</v>
      </c>
      <c r="L5" s="80" t="s">
        <v>738</v>
      </c>
    </row>
    <row r="6" spans="1:12" x14ac:dyDescent="0.25">
      <c r="A6" s="61" t="s">
        <v>902</v>
      </c>
      <c r="B6" s="129"/>
      <c r="C6" s="135"/>
      <c r="D6" s="129"/>
      <c r="E6" s="129"/>
      <c r="F6" s="129"/>
      <c r="G6" s="129"/>
      <c r="H6" s="83">
        <v>5</v>
      </c>
      <c r="I6" s="83">
        <v>7</v>
      </c>
      <c r="J6" s="39" t="s">
        <v>36</v>
      </c>
      <c r="K6" s="67" t="s">
        <v>39</v>
      </c>
      <c r="L6" s="80" t="s">
        <v>738</v>
      </c>
    </row>
    <row r="7" spans="1:12" x14ac:dyDescent="0.25">
      <c r="A7" s="61" t="s">
        <v>903</v>
      </c>
      <c r="B7" s="129"/>
      <c r="C7" s="135"/>
      <c r="D7" s="129"/>
      <c r="E7" s="129"/>
      <c r="F7" s="129"/>
      <c r="G7" s="129"/>
      <c r="H7" s="83">
        <v>57</v>
      </c>
      <c r="I7" s="83">
        <v>45</v>
      </c>
      <c r="J7" s="39" t="s">
        <v>36</v>
      </c>
      <c r="K7" s="67" t="s">
        <v>39</v>
      </c>
      <c r="L7" s="80" t="s">
        <v>738</v>
      </c>
    </row>
    <row r="8" spans="1:12" x14ac:dyDescent="0.25">
      <c r="A8" s="61" t="s">
        <v>904</v>
      </c>
      <c r="B8" s="129"/>
      <c r="C8" s="135"/>
      <c r="D8" s="129"/>
      <c r="E8" s="129"/>
      <c r="F8" s="129"/>
      <c r="G8" s="129"/>
      <c r="H8" s="83">
        <v>12</v>
      </c>
      <c r="I8" s="83">
        <v>13</v>
      </c>
      <c r="J8" s="39" t="s">
        <v>36</v>
      </c>
      <c r="K8" s="67" t="s">
        <v>39</v>
      </c>
      <c r="L8" s="80" t="s">
        <v>738</v>
      </c>
    </row>
    <row r="9" spans="1:12" x14ac:dyDescent="0.25">
      <c r="A9" s="61" t="s">
        <v>905</v>
      </c>
      <c r="B9" s="129"/>
      <c r="C9" s="135"/>
      <c r="D9" s="129"/>
      <c r="E9" s="129"/>
      <c r="F9" s="129"/>
      <c r="G9" s="129"/>
      <c r="H9" s="83">
        <v>5</v>
      </c>
      <c r="I9" s="83">
        <v>3</v>
      </c>
      <c r="J9" s="39" t="s">
        <v>36</v>
      </c>
      <c r="K9" s="67" t="s">
        <v>39</v>
      </c>
      <c r="L9" s="80" t="s">
        <v>738</v>
      </c>
    </row>
    <row r="10" spans="1:12" x14ac:dyDescent="0.25">
      <c r="A10" s="61" t="s">
        <v>906</v>
      </c>
      <c r="B10" s="129"/>
      <c r="C10" s="135"/>
      <c r="D10" s="129"/>
      <c r="E10" s="129"/>
      <c r="F10" s="129"/>
      <c r="G10" s="129"/>
      <c r="H10" s="83">
        <v>2</v>
      </c>
      <c r="I10" s="83">
        <v>0</v>
      </c>
      <c r="J10" s="39" t="s">
        <v>36</v>
      </c>
      <c r="K10" s="67" t="s">
        <v>39</v>
      </c>
      <c r="L10" s="80" t="s">
        <v>738</v>
      </c>
    </row>
    <row r="11" spans="1:12" x14ac:dyDescent="0.25">
      <c r="A11" s="61" t="s">
        <v>907</v>
      </c>
      <c r="B11" s="129"/>
      <c r="C11" s="135"/>
      <c r="D11" s="129"/>
      <c r="E11" s="129"/>
      <c r="F11" s="129"/>
      <c r="G11" s="129"/>
      <c r="H11" s="83">
        <v>11</v>
      </c>
      <c r="I11" s="83">
        <v>7</v>
      </c>
      <c r="J11" s="39" t="s">
        <v>36</v>
      </c>
      <c r="K11" s="67" t="s">
        <v>39</v>
      </c>
      <c r="L11" s="80" t="s">
        <v>738</v>
      </c>
    </row>
    <row r="12" spans="1:12" x14ac:dyDescent="0.25">
      <c r="A12" s="61" t="s">
        <v>908</v>
      </c>
      <c r="B12" s="129"/>
      <c r="C12" s="135"/>
      <c r="D12" s="129"/>
      <c r="E12" s="129"/>
      <c r="F12" s="129"/>
      <c r="G12" s="129"/>
      <c r="H12" s="83">
        <v>20</v>
      </c>
      <c r="I12" s="83">
        <v>12</v>
      </c>
      <c r="J12" s="39" t="s">
        <v>36</v>
      </c>
      <c r="K12" s="67" t="s">
        <v>39</v>
      </c>
      <c r="L12" s="80" t="s">
        <v>738</v>
      </c>
    </row>
    <row r="13" spans="1:12" x14ac:dyDescent="0.25">
      <c r="A13" s="113" t="s">
        <v>909</v>
      </c>
      <c r="B13" s="119"/>
      <c r="C13" s="136"/>
      <c r="D13" s="119"/>
      <c r="E13" s="119"/>
      <c r="F13" s="119"/>
      <c r="G13" s="119"/>
      <c r="H13" s="133">
        <v>14</v>
      </c>
      <c r="I13" s="133">
        <v>6</v>
      </c>
      <c r="J13" s="84" t="s">
        <v>36</v>
      </c>
      <c r="K13" s="114" t="s">
        <v>39</v>
      </c>
      <c r="L13" s="84" t="s">
        <v>738</v>
      </c>
    </row>
    <row r="14" spans="1:12" x14ac:dyDescent="0.25">
      <c r="A14" s="37" t="s">
        <v>898</v>
      </c>
      <c r="B14" s="129"/>
      <c r="C14" s="129"/>
      <c r="D14" s="129"/>
      <c r="E14" s="129"/>
      <c r="F14" s="129"/>
      <c r="G14" s="129"/>
      <c r="H14" s="9">
        <v>6</v>
      </c>
      <c r="I14" s="83">
        <v>0</v>
      </c>
      <c r="J14" s="24" t="s">
        <v>36</v>
      </c>
      <c r="K14" s="44" t="s">
        <v>37</v>
      </c>
      <c r="L14" s="80" t="s">
        <v>738</v>
      </c>
    </row>
    <row r="15" spans="1:12" x14ac:dyDescent="0.25">
      <c r="A15" s="37" t="s">
        <v>899</v>
      </c>
      <c r="B15" s="131"/>
      <c r="C15" s="131"/>
      <c r="D15" s="131"/>
      <c r="E15" s="131"/>
      <c r="F15" s="131"/>
      <c r="G15" s="131"/>
      <c r="H15" s="131"/>
      <c r="I15" s="121"/>
      <c r="J15" s="24"/>
      <c r="K15" s="24"/>
      <c r="L15" s="64"/>
    </row>
    <row r="16" spans="1:12" x14ac:dyDescent="0.25">
      <c r="A16" s="37" t="s">
        <v>879</v>
      </c>
      <c r="B16" s="131"/>
      <c r="C16" s="131"/>
      <c r="D16" s="131"/>
      <c r="E16" s="131"/>
      <c r="F16" s="131"/>
      <c r="G16" s="131"/>
      <c r="H16" s="131"/>
      <c r="I16" s="121"/>
      <c r="J16" s="24"/>
      <c r="K16" s="24"/>
      <c r="L16" s="64"/>
    </row>
    <row r="17" spans="1:12" x14ac:dyDescent="0.25">
      <c r="A17" s="37" t="s">
        <v>880</v>
      </c>
      <c r="B17" s="131"/>
      <c r="C17" s="131"/>
      <c r="D17" s="131"/>
      <c r="E17" s="131"/>
      <c r="F17" s="131"/>
      <c r="G17" s="131"/>
      <c r="H17" s="131"/>
      <c r="I17" s="121"/>
      <c r="J17" s="24"/>
      <c r="K17" s="24"/>
      <c r="L17" s="80"/>
    </row>
    <row r="18" spans="1:12" x14ac:dyDescent="0.25">
      <c r="A18" s="85" t="s">
        <v>882</v>
      </c>
      <c r="B18" s="132"/>
      <c r="C18" s="132"/>
      <c r="D18" s="132"/>
      <c r="E18" s="132"/>
      <c r="F18" s="132"/>
      <c r="G18" s="132"/>
      <c r="H18" s="133">
        <v>15</v>
      </c>
      <c r="I18" s="133">
        <v>10</v>
      </c>
      <c r="J18" s="84" t="s">
        <v>36</v>
      </c>
      <c r="K18" s="111" t="s">
        <v>38</v>
      </c>
      <c r="L18" s="84" t="s">
        <v>738</v>
      </c>
    </row>
    <row r="19" spans="1:12" x14ac:dyDescent="0.25">
      <c r="A19" s="37" t="s">
        <v>1157</v>
      </c>
      <c r="B19" s="129"/>
      <c r="C19" s="9">
        <v>35</v>
      </c>
      <c r="D19" s="9">
        <v>37</v>
      </c>
      <c r="E19" s="9">
        <v>38</v>
      </c>
      <c r="F19" s="9">
        <v>35</v>
      </c>
      <c r="G19" s="9">
        <v>36</v>
      </c>
      <c r="H19" s="9">
        <v>37</v>
      </c>
      <c r="I19" s="83">
        <v>36</v>
      </c>
      <c r="J19" s="24" t="s">
        <v>14</v>
      </c>
      <c r="K19" s="68" t="s">
        <v>802</v>
      </c>
      <c r="L19" s="80" t="s">
        <v>738</v>
      </c>
    </row>
    <row r="20" spans="1:12" x14ac:dyDescent="0.25">
      <c r="A20" s="50"/>
      <c r="B20" s="120"/>
      <c r="C20" s="120"/>
      <c r="D20" s="120"/>
      <c r="E20" s="120"/>
      <c r="F20" s="120"/>
      <c r="G20" s="120"/>
      <c r="H20" s="120"/>
      <c r="I20" s="120"/>
      <c r="J20" s="112"/>
      <c r="K20" s="112"/>
      <c r="L20" s="53"/>
    </row>
    <row r="21" spans="1:12" s="5" customFormat="1" x14ac:dyDescent="0.25">
      <c r="A21" s="35" t="s">
        <v>27</v>
      </c>
      <c r="B21" s="35">
        <v>2010</v>
      </c>
      <c r="C21" s="35">
        <v>2011</v>
      </c>
      <c r="D21" s="35">
        <v>2012</v>
      </c>
      <c r="E21" s="35">
        <v>2013</v>
      </c>
      <c r="F21" s="35">
        <v>2014</v>
      </c>
      <c r="G21" s="35">
        <v>2015</v>
      </c>
      <c r="H21" s="35">
        <v>2016</v>
      </c>
      <c r="I21" s="35">
        <v>2017</v>
      </c>
      <c r="J21" s="29" t="s">
        <v>800</v>
      </c>
      <c r="K21" s="29" t="s">
        <v>801</v>
      </c>
      <c r="L21" s="29" t="s">
        <v>58</v>
      </c>
    </row>
    <row r="22" spans="1:12" x14ac:dyDescent="0.25">
      <c r="A22" s="37" t="s">
        <v>1045</v>
      </c>
      <c r="B22" s="144">
        <v>0.34350000000000003</v>
      </c>
      <c r="C22" s="144">
        <v>0.96750000000000003</v>
      </c>
      <c r="D22" s="144">
        <v>0.96960000000000002</v>
      </c>
      <c r="E22" s="144">
        <v>1.3580000000000001</v>
      </c>
      <c r="F22" s="144">
        <v>1.268</v>
      </c>
      <c r="G22" s="144">
        <v>1.266</v>
      </c>
      <c r="H22" s="144">
        <v>1.569</v>
      </c>
      <c r="I22" s="161">
        <v>1.5960000000000001</v>
      </c>
      <c r="J22" s="24" t="s">
        <v>14</v>
      </c>
      <c r="K22" s="68" t="s">
        <v>802</v>
      </c>
      <c r="L22" s="80" t="s">
        <v>738</v>
      </c>
    </row>
    <row r="23" spans="1:12" ht="30" x14ac:dyDescent="0.25">
      <c r="A23" s="61" t="s">
        <v>1046</v>
      </c>
      <c r="B23" s="144">
        <v>0.25863034148161967</v>
      </c>
      <c r="C23" s="144">
        <v>0.88561298749766748</v>
      </c>
      <c r="D23" s="144">
        <v>0.90128755364806867</v>
      </c>
      <c r="E23" s="144">
        <v>1.4263855196865085</v>
      </c>
      <c r="F23" s="144">
        <v>1.418548236611308</v>
      </c>
      <c r="G23" s="144">
        <v>1.496921067363314</v>
      </c>
      <c r="H23" s="144">
        <v>2.0847172980033588</v>
      </c>
      <c r="I23" s="161">
        <v>1.9514834857249486</v>
      </c>
      <c r="J23" s="24" t="s">
        <v>14</v>
      </c>
      <c r="K23" s="44" t="s">
        <v>792</v>
      </c>
      <c r="L23" s="80" t="s">
        <v>804</v>
      </c>
    </row>
    <row r="24" spans="1:12" ht="30" x14ac:dyDescent="0.25">
      <c r="A24" s="37" t="s">
        <v>1211</v>
      </c>
      <c r="B24" s="134">
        <v>23.687999999999999</v>
      </c>
      <c r="C24" s="134">
        <v>37.380000000000003</v>
      </c>
      <c r="D24" s="134">
        <v>35.826000000000001</v>
      </c>
      <c r="E24" s="134">
        <v>342.38400000000001</v>
      </c>
      <c r="F24" s="134">
        <v>192.27600000000001</v>
      </c>
      <c r="G24" s="134">
        <v>352.75799999999998</v>
      </c>
      <c r="H24" s="134">
        <v>708.91800000000001</v>
      </c>
      <c r="I24" s="118">
        <v>393.70800000000003</v>
      </c>
      <c r="J24" s="24" t="s">
        <v>14</v>
      </c>
      <c r="K24" s="44" t="s">
        <v>781</v>
      </c>
      <c r="L24" s="80" t="s">
        <v>803</v>
      </c>
    </row>
    <row r="25" spans="1:12" ht="30" x14ac:dyDescent="0.25">
      <c r="A25" s="37" t="s">
        <v>1212</v>
      </c>
      <c r="B25" s="134">
        <v>108.696</v>
      </c>
      <c r="C25" s="134">
        <v>75.558000000000007</v>
      </c>
      <c r="D25" s="134">
        <v>128.352</v>
      </c>
      <c r="E25" s="134">
        <v>196.35</v>
      </c>
      <c r="F25" s="134">
        <v>82.908000000000001</v>
      </c>
      <c r="G25" s="134">
        <v>87.822000000000003</v>
      </c>
      <c r="H25" s="134">
        <v>88.116</v>
      </c>
      <c r="I25" s="118">
        <v>93.156000000000006</v>
      </c>
      <c r="J25" s="24" t="s">
        <v>14</v>
      </c>
      <c r="K25" s="44" t="s">
        <v>781</v>
      </c>
      <c r="L25" s="80" t="s">
        <v>803</v>
      </c>
    </row>
    <row r="26" spans="1:12" x14ac:dyDescent="0.25">
      <c r="A26" s="61" t="s">
        <v>900</v>
      </c>
      <c r="B26" s="9">
        <v>644</v>
      </c>
      <c r="C26" s="9">
        <v>627</v>
      </c>
      <c r="D26" s="9">
        <v>675</v>
      </c>
      <c r="E26" s="9">
        <v>757</v>
      </c>
      <c r="F26" s="9">
        <v>783</v>
      </c>
      <c r="G26" s="9">
        <v>721</v>
      </c>
      <c r="H26" s="9">
        <v>697</v>
      </c>
      <c r="I26" s="122"/>
      <c r="J26" s="24" t="s">
        <v>28</v>
      </c>
      <c r="K26" s="44" t="s">
        <v>29</v>
      </c>
      <c r="L26" s="80" t="s">
        <v>738</v>
      </c>
    </row>
    <row r="27" spans="1:12" x14ac:dyDescent="0.25">
      <c r="A27" s="50"/>
      <c r="B27" s="120"/>
      <c r="C27" s="120"/>
      <c r="D27" s="120"/>
      <c r="E27" s="120"/>
      <c r="F27" s="120"/>
      <c r="G27" s="120"/>
      <c r="H27" s="120"/>
      <c r="I27" s="120"/>
      <c r="J27" s="112"/>
      <c r="K27" s="112"/>
      <c r="L27" s="53"/>
    </row>
    <row r="28" spans="1:12" s="5" customFormat="1" x14ac:dyDescent="0.25">
      <c r="A28" s="35" t="s">
        <v>19</v>
      </c>
      <c r="B28" s="35">
        <v>2010</v>
      </c>
      <c r="C28" s="35">
        <v>2011</v>
      </c>
      <c r="D28" s="35">
        <v>2012</v>
      </c>
      <c r="E28" s="35">
        <v>2013</v>
      </c>
      <c r="F28" s="35">
        <v>2014</v>
      </c>
      <c r="G28" s="35">
        <v>2015</v>
      </c>
      <c r="H28" s="35">
        <v>2016</v>
      </c>
      <c r="I28" s="35">
        <v>2017</v>
      </c>
      <c r="J28" s="29" t="s">
        <v>800</v>
      </c>
      <c r="K28" s="29" t="s">
        <v>801</v>
      </c>
      <c r="L28" s="29" t="s">
        <v>58</v>
      </c>
    </row>
    <row r="29" spans="1:12" x14ac:dyDescent="0.25">
      <c r="A29" s="260" t="s">
        <v>1166</v>
      </c>
      <c r="B29" s="137">
        <v>3.436375</v>
      </c>
      <c r="C29" s="137">
        <v>5.1727083333333335</v>
      </c>
      <c r="D29" s="137">
        <v>4.5162500000000003</v>
      </c>
      <c r="E29" s="137">
        <v>4.6016666666666666</v>
      </c>
      <c r="F29" s="137">
        <v>3.4550000000000001</v>
      </c>
      <c r="G29" s="137">
        <v>2.8358333333333334</v>
      </c>
      <c r="H29" s="137">
        <v>3.2391666666666672</v>
      </c>
      <c r="I29" s="137">
        <v>3.2724999999999991</v>
      </c>
      <c r="J29" s="24" t="s">
        <v>28</v>
      </c>
      <c r="K29" s="44" t="s">
        <v>29</v>
      </c>
      <c r="L29" s="80" t="s">
        <v>738</v>
      </c>
    </row>
    <row r="30" spans="1:12" s="5" customFormat="1" x14ac:dyDescent="0.25">
      <c r="A30" s="260" t="s">
        <v>1168</v>
      </c>
      <c r="B30" s="137">
        <v>3.6274999999999999</v>
      </c>
      <c r="C30" s="137">
        <v>4.125</v>
      </c>
      <c r="D30" s="137">
        <v>4.2275</v>
      </c>
      <c r="E30" s="137">
        <v>4.2125000000000004</v>
      </c>
      <c r="F30" s="137">
        <v>4.18</v>
      </c>
      <c r="G30" s="137">
        <v>3.6150000000000002</v>
      </c>
      <c r="H30" s="137">
        <v>3</v>
      </c>
      <c r="I30" s="137">
        <v>3.12</v>
      </c>
      <c r="J30" s="255" t="s">
        <v>1164</v>
      </c>
      <c r="K30" s="55" t="s">
        <v>1158</v>
      </c>
      <c r="L30" s="206" t="s">
        <v>1163</v>
      </c>
    </row>
    <row r="31" spans="1:12" s="5" customFormat="1" x14ac:dyDescent="0.25">
      <c r="A31" s="260" t="s">
        <v>1167</v>
      </c>
      <c r="B31" s="137">
        <v>2.8</v>
      </c>
      <c r="C31" s="137">
        <v>3.5300000000000002</v>
      </c>
      <c r="D31" s="137">
        <v>3.6875</v>
      </c>
      <c r="E31" s="137">
        <v>3.6675</v>
      </c>
      <c r="F31" s="137">
        <v>3.5975000000000001</v>
      </c>
      <c r="G31" s="137">
        <v>2.6349999999999998</v>
      </c>
      <c r="H31" s="137">
        <v>2.1674999999999995</v>
      </c>
      <c r="I31" s="137">
        <v>2.3025000000000002</v>
      </c>
      <c r="J31" s="255" t="s">
        <v>1164</v>
      </c>
      <c r="K31" s="55" t="s">
        <v>1158</v>
      </c>
      <c r="L31" s="206" t="s">
        <v>1163</v>
      </c>
    </row>
    <row r="32" spans="1:12" s="5" customFormat="1" x14ac:dyDescent="0.25">
      <c r="A32" s="260" t="s">
        <v>1165</v>
      </c>
      <c r="B32" s="137">
        <v>2.67</v>
      </c>
      <c r="C32" s="137">
        <v>4.1675000000000004</v>
      </c>
      <c r="D32" s="137">
        <v>3.5525000000000002</v>
      </c>
      <c r="E32" s="137">
        <v>3.5349999999999997</v>
      </c>
      <c r="F32" s="137">
        <v>3.4850000000000003</v>
      </c>
      <c r="G32" s="137">
        <v>2.5549999999999997</v>
      </c>
      <c r="H32" s="137">
        <v>2.0724999999999998</v>
      </c>
      <c r="I32" s="137">
        <v>2.3075000000000001</v>
      </c>
      <c r="J32" s="255" t="s">
        <v>1164</v>
      </c>
      <c r="K32" s="55" t="s">
        <v>1158</v>
      </c>
      <c r="L32" s="206" t="s">
        <v>1163</v>
      </c>
    </row>
    <row r="33" spans="1:13" ht="45" x14ac:dyDescent="0.25">
      <c r="A33" s="260" t="s">
        <v>1085</v>
      </c>
      <c r="B33" s="129"/>
      <c r="C33" s="129"/>
      <c r="D33" s="83">
        <v>64044</v>
      </c>
      <c r="E33" s="83">
        <v>62000</v>
      </c>
      <c r="F33" s="83">
        <v>54500</v>
      </c>
      <c r="G33" s="83">
        <v>49486</v>
      </c>
      <c r="H33" s="83">
        <v>47400</v>
      </c>
      <c r="I33" s="122"/>
      <c r="J33" s="80" t="s">
        <v>787</v>
      </c>
      <c r="K33" s="82" t="s">
        <v>788</v>
      </c>
      <c r="L33" s="80" t="s">
        <v>738</v>
      </c>
    </row>
    <row r="34" spans="1:13" ht="90" x14ac:dyDescent="0.25">
      <c r="A34" s="61" t="s">
        <v>893</v>
      </c>
      <c r="B34" s="129"/>
      <c r="C34" s="129"/>
      <c r="D34" s="134">
        <v>6.0880000000000001</v>
      </c>
      <c r="E34" s="134">
        <v>16.8</v>
      </c>
      <c r="F34" s="134">
        <v>12.3</v>
      </c>
      <c r="G34" s="134">
        <v>8.4</v>
      </c>
      <c r="H34" s="134">
        <v>14.7</v>
      </c>
      <c r="I34" s="122"/>
      <c r="J34" s="24" t="s">
        <v>805</v>
      </c>
      <c r="K34" s="44" t="s">
        <v>1060</v>
      </c>
      <c r="L34" s="80" t="s">
        <v>738</v>
      </c>
    </row>
    <row r="35" spans="1:13" ht="45" x14ac:dyDescent="0.25">
      <c r="A35" s="61" t="s">
        <v>894</v>
      </c>
      <c r="B35" s="129"/>
      <c r="C35" s="129"/>
      <c r="D35" s="129"/>
      <c r="E35" s="9">
        <v>2.6</v>
      </c>
      <c r="F35" s="9">
        <v>2.2999999999999998</v>
      </c>
      <c r="G35" s="9">
        <v>1.9</v>
      </c>
      <c r="H35" s="129"/>
      <c r="I35" s="122"/>
      <c r="J35" s="24" t="s">
        <v>806</v>
      </c>
      <c r="K35" s="44" t="s">
        <v>807</v>
      </c>
      <c r="L35" s="80" t="s">
        <v>738</v>
      </c>
    </row>
    <row r="36" spans="1:13" x14ac:dyDescent="0.25">
      <c r="A36" s="61" t="s">
        <v>895</v>
      </c>
      <c r="B36" s="129"/>
      <c r="C36" s="129"/>
      <c r="D36" s="129"/>
      <c r="E36" s="129"/>
      <c r="F36" s="129"/>
      <c r="G36" s="129"/>
      <c r="H36" s="129"/>
      <c r="I36" s="122"/>
      <c r="J36" s="24"/>
      <c r="K36" s="24"/>
      <c r="L36" s="80"/>
    </row>
    <row r="37" spans="1:13" x14ac:dyDescent="0.25">
      <c r="B37" s="77"/>
      <c r="C37" s="77"/>
      <c r="D37" s="77"/>
      <c r="E37" s="77"/>
      <c r="F37" s="77"/>
      <c r="G37" s="284"/>
      <c r="H37" s="77"/>
      <c r="I37" s="77"/>
    </row>
    <row r="38" spans="1:13" x14ac:dyDescent="0.25">
      <c r="B38" s="285"/>
      <c r="C38" s="285"/>
      <c r="D38" s="285"/>
      <c r="E38" s="285"/>
      <c r="F38" s="285"/>
      <c r="G38" s="285"/>
      <c r="H38" s="285"/>
      <c r="I38" s="285"/>
      <c r="J38" s="285"/>
      <c r="K38" s="285"/>
      <c r="L38"/>
      <c r="M38"/>
    </row>
    <row r="39" spans="1:13" x14ac:dyDescent="0.25">
      <c r="L39"/>
      <c r="M39"/>
    </row>
    <row r="40" spans="1:13" x14ac:dyDescent="0.25">
      <c r="L40"/>
      <c r="M40"/>
    </row>
    <row r="41" spans="1:13" x14ac:dyDescent="0.25">
      <c r="L41"/>
      <c r="M41"/>
    </row>
    <row r="125" spans="2:10" x14ac:dyDescent="0.25">
      <c r="E125"/>
      <c r="F125"/>
      <c r="G125"/>
      <c r="H125"/>
    </row>
    <row r="126" spans="2:10" x14ac:dyDescent="0.25">
      <c r="E126"/>
      <c r="F126"/>
      <c r="G126"/>
      <c r="H126"/>
    </row>
    <row r="127" spans="2:10" x14ac:dyDescent="0.25">
      <c r="C127" s="40">
        <v>2010</v>
      </c>
      <c r="D127" s="40">
        <v>2011</v>
      </c>
      <c r="E127">
        <v>2012</v>
      </c>
      <c r="F127" s="40">
        <v>2013</v>
      </c>
      <c r="G127" s="40">
        <v>2014</v>
      </c>
      <c r="H127" s="40">
        <v>2015</v>
      </c>
      <c r="I127" s="40">
        <v>2016</v>
      </c>
      <c r="J127" s="40">
        <v>2017</v>
      </c>
    </row>
    <row r="128" spans="2:10" x14ac:dyDescent="0.25">
      <c r="B128" s="40" t="s">
        <v>2770</v>
      </c>
      <c r="C128" s="118">
        <v>418.51851851851853</v>
      </c>
      <c r="D128" s="118">
        <v>462.96296296296299</v>
      </c>
      <c r="E128" s="118">
        <v>533.33333333333337</v>
      </c>
      <c r="F128" s="118">
        <v>481.48148148148147</v>
      </c>
      <c r="G128" s="118">
        <v>374.07407407407408</v>
      </c>
      <c r="H128" s="118">
        <v>331.48148148148147</v>
      </c>
      <c r="I128" s="118">
        <v>350.74074074074076</v>
      </c>
      <c r="J128" s="118">
        <v>355.55555555555554</v>
      </c>
    </row>
    <row r="129" spans="3:10" x14ac:dyDescent="0.25">
      <c r="C129" s="77"/>
      <c r="D129" s="77"/>
      <c r="E129" s="366"/>
      <c r="F129" s="77"/>
      <c r="G129" s="77"/>
      <c r="H129" s="77"/>
      <c r="I129" s="77"/>
      <c r="J129" s="77"/>
    </row>
    <row r="130" spans="3:10" x14ac:dyDescent="0.25">
      <c r="E130"/>
      <c r="F130"/>
      <c r="G130"/>
      <c r="H130"/>
    </row>
    <row r="131" spans="3:10" x14ac:dyDescent="0.25">
      <c r="E131"/>
      <c r="F131"/>
      <c r="G131"/>
      <c r="H131"/>
    </row>
    <row r="132" spans="3:10" x14ac:dyDescent="0.25">
      <c r="E132"/>
      <c r="F132"/>
      <c r="G132"/>
      <c r="H132"/>
    </row>
    <row r="133" spans="3:10" x14ac:dyDescent="0.25">
      <c r="E133"/>
      <c r="F133"/>
      <c r="G133"/>
      <c r="H133"/>
    </row>
    <row r="134" spans="3:10" x14ac:dyDescent="0.25">
      <c r="E134"/>
      <c r="F134"/>
      <c r="G134"/>
      <c r="H134"/>
    </row>
    <row r="135" spans="3:10" x14ac:dyDescent="0.25">
      <c r="E135"/>
      <c r="F135"/>
      <c r="G135"/>
      <c r="H135"/>
    </row>
    <row r="136" spans="3:10" x14ac:dyDescent="0.25">
      <c r="E136"/>
      <c r="F136"/>
      <c r="G136"/>
      <c r="H136"/>
    </row>
    <row r="137" spans="3:10" x14ac:dyDescent="0.25">
      <c r="E137"/>
      <c r="F137"/>
      <c r="G137"/>
      <c r="H137"/>
    </row>
    <row r="138" spans="3:10" x14ac:dyDescent="0.25">
      <c r="E138"/>
      <c r="F138"/>
      <c r="G138"/>
      <c r="H138"/>
    </row>
    <row r="139" spans="3:10" x14ac:dyDescent="0.25">
      <c r="E139"/>
      <c r="F139"/>
      <c r="G139"/>
      <c r="H139"/>
    </row>
    <row r="140" spans="3:10" x14ac:dyDescent="0.25">
      <c r="E140"/>
      <c r="F140"/>
      <c r="G140"/>
      <c r="H140"/>
    </row>
    <row r="141" spans="3:10" x14ac:dyDescent="0.25">
      <c r="E141"/>
      <c r="F141"/>
      <c r="G141"/>
      <c r="H141"/>
    </row>
    <row r="142" spans="3:10" x14ac:dyDescent="0.25">
      <c r="E142"/>
      <c r="F142"/>
      <c r="G142"/>
      <c r="H142"/>
    </row>
    <row r="143" spans="3:10" x14ac:dyDescent="0.25">
      <c r="E143"/>
      <c r="F143"/>
      <c r="G143"/>
      <c r="H143"/>
    </row>
    <row r="144" spans="3:10" x14ac:dyDescent="0.25">
      <c r="E144"/>
      <c r="F144"/>
      <c r="G144"/>
      <c r="H144"/>
    </row>
    <row r="145" spans="5:8" x14ac:dyDescent="0.25">
      <c r="E145"/>
      <c r="F145"/>
      <c r="G145"/>
      <c r="H145"/>
    </row>
    <row r="146" spans="5:8" x14ac:dyDescent="0.25">
      <c r="E146"/>
      <c r="F146"/>
      <c r="G146"/>
      <c r="H146"/>
    </row>
    <row r="147" spans="5:8" x14ac:dyDescent="0.25">
      <c r="E147"/>
      <c r="F147"/>
      <c r="G147"/>
      <c r="H147"/>
    </row>
    <row r="148" spans="5:8" x14ac:dyDescent="0.25">
      <c r="E148"/>
      <c r="F148"/>
      <c r="G148"/>
      <c r="H148"/>
    </row>
    <row r="149" spans="5:8" x14ac:dyDescent="0.25">
      <c r="E149"/>
      <c r="F149"/>
      <c r="G149"/>
      <c r="H149"/>
    </row>
    <row r="150" spans="5:8" x14ac:dyDescent="0.25">
      <c r="E150"/>
      <c r="F150"/>
      <c r="G150"/>
      <c r="H150"/>
    </row>
    <row r="151" spans="5:8" x14ac:dyDescent="0.25">
      <c r="E151"/>
      <c r="F151"/>
      <c r="G151"/>
      <c r="H151"/>
    </row>
    <row r="152" spans="5:8" x14ac:dyDescent="0.25">
      <c r="E152"/>
      <c r="F152"/>
      <c r="G152"/>
      <c r="H152"/>
    </row>
    <row r="153" spans="5:8" x14ac:dyDescent="0.25">
      <c r="E153"/>
      <c r="F153"/>
      <c r="G153"/>
      <c r="H153"/>
    </row>
    <row r="154" spans="5:8" x14ac:dyDescent="0.25">
      <c r="E154"/>
      <c r="F154"/>
      <c r="G154"/>
      <c r="H154"/>
    </row>
    <row r="155" spans="5:8" x14ac:dyDescent="0.25">
      <c r="E155"/>
      <c r="F155"/>
      <c r="G155"/>
      <c r="H155"/>
    </row>
    <row r="156" spans="5:8" x14ac:dyDescent="0.25">
      <c r="E156"/>
      <c r="F156"/>
      <c r="G156"/>
      <c r="H156"/>
    </row>
    <row r="157" spans="5:8" x14ac:dyDescent="0.25">
      <c r="E157"/>
      <c r="F157"/>
      <c r="G157"/>
      <c r="H157"/>
    </row>
  </sheetData>
  <mergeCells count="1">
    <mergeCell ref="A1:A2"/>
  </mergeCells>
  <hyperlinks>
    <hyperlink ref="K26" r:id="rId1" xr:uid="{00000000-0004-0000-0B00-000000000000}"/>
    <hyperlink ref="K14" r:id="rId2" xr:uid="{00000000-0004-0000-0B00-000001000000}"/>
    <hyperlink ref="K18" r:id="rId3" xr:uid="{00000000-0004-0000-0B00-000002000000}"/>
    <hyperlink ref="K4" r:id="rId4" xr:uid="{00000000-0004-0000-0B00-000003000000}"/>
    <hyperlink ref="K19" r:id="rId5" xr:uid="{00000000-0004-0000-0B00-000004000000}"/>
    <hyperlink ref="K5" r:id="rId6" xr:uid="{00000000-0004-0000-0B00-000005000000}"/>
    <hyperlink ref="K6:K13" r:id="rId7" display="http://www.biodieselmagazine.com/plants/listplants/USA/existing/" xr:uid="{00000000-0004-0000-0B00-000006000000}"/>
    <hyperlink ref="K22" r:id="rId8" xr:uid="{00000000-0004-0000-0B00-000007000000}"/>
    <hyperlink ref="K29" r:id="rId9" xr:uid="{00000000-0004-0000-0B00-000008000000}"/>
    <hyperlink ref="K24" r:id="rId10" xr:uid="{00000000-0004-0000-0B00-000009000000}"/>
    <hyperlink ref="K23" r:id="rId11" xr:uid="{00000000-0004-0000-0B00-00000A000000}"/>
    <hyperlink ref="K30" r:id="rId12" xr:uid="{00000000-0004-0000-0B00-00000B000000}"/>
    <hyperlink ref="K31" r:id="rId13" xr:uid="{00000000-0004-0000-0B00-00000C000000}"/>
    <hyperlink ref="K32" r:id="rId14" xr:uid="{00000000-0004-0000-0B00-00000D000000}"/>
  </hyperlinks>
  <pageMargins left="0.7" right="0.7" top="0.75" bottom="0.75" header="0.3" footer="0.3"/>
  <pageSetup orientation="portrait" r:id="rId15"/>
  <drawing r:id="rId1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8306C"/>
  </sheetPr>
  <dimension ref="A1:L36"/>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101.28515625" style="40" bestFit="1" customWidth="1"/>
    <col min="2" max="9" width="11.7109375" style="40" customWidth="1"/>
    <col min="10" max="10" width="27.42578125" style="40" bestFit="1" customWidth="1"/>
    <col min="11" max="11" width="84" style="40" customWidth="1"/>
    <col min="12" max="12" width="23.42578125" style="40" customWidth="1"/>
    <col min="13" max="16384" width="8.85546875" style="40"/>
  </cols>
  <sheetData>
    <row r="1" spans="1:12" x14ac:dyDescent="0.25">
      <c r="A1" s="388" t="s">
        <v>40</v>
      </c>
    </row>
    <row r="2" spans="1:12" x14ac:dyDescent="0.25">
      <c r="A2" s="389"/>
    </row>
    <row r="3" spans="1:12" s="5" customFormat="1" x14ac:dyDescent="0.25">
      <c r="A3" s="4" t="s">
        <v>12</v>
      </c>
      <c r="B3" s="4">
        <v>2010</v>
      </c>
      <c r="C3" s="4">
        <v>2011</v>
      </c>
      <c r="D3" s="4">
        <v>2012</v>
      </c>
      <c r="E3" s="4">
        <v>2013</v>
      </c>
      <c r="F3" s="4">
        <v>2014</v>
      </c>
      <c r="G3" s="4">
        <v>2015</v>
      </c>
      <c r="H3" s="4">
        <v>2016</v>
      </c>
      <c r="I3" s="74">
        <v>2017</v>
      </c>
      <c r="J3" s="28" t="s">
        <v>800</v>
      </c>
      <c r="K3" s="28" t="s">
        <v>801</v>
      </c>
      <c r="L3" s="75" t="s">
        <v>58</v>
      </c>
    </row>
    <row r="4" spans="1:12" x14ac:dyDescent="0.25">
      <c r="A4" s="61" t="s">
        <v>911</v>
      </c>
      <c r="B4" s="138"/>
      <c r="C4" s="138"/>
      <c r="D4" s="138"/>
      <c r="E4" s="9">
        <v>123</v>
      </c>
      <c r="F4" s="9">
        <v>122</v>
      </c>
      <c r="G4" s="9">
        <v>137</v>
      </c>
      <c r="H4" s="9">
        <v>147</v>
      </c>
      <c r="I4" s="9">
        <v>148</v>
      </c>
      <c r="J4" s="256" t="s">
        <v>1064</v>
      </c>
      <c r="K4" s="256" t="s">
        <v>1086</v>
      </c>
      <c r="L4" s="80" t="s">
        <v>1063</v>
      </c>
    </row>
    <row r="5" spans="1:12" x14ac:dyDescent="0.25">
      <c r="A5" s="61" t="s">
        <v>912</v>
      </c>
      <c r="B5" s="129"/>
      <c r="C5" s="129"/>
      <c r="D5" s="129"/>
      <c r="E5" s="9">
        <v>11</v>
      </c>
      <c r="F5" s="9">
        <v>15</v>
      </c>
      <c r="G5" s="9">
        <v>22</v>
      </c>
      <c r="H5" s="9">
        <v>18</v>
      </c>
      <c r="I5" s="9">
        <v>7</v>
      </c>
      <c r="J5" s="256" t="s">
        <v>1064</v>
      </c>
      <c r="K5" s="257" t="s">
        <v>1086</v>
      </c>
      <c r="L5" s="80" t="s">
        <v>1063</v>
      </c>
    </row>
    <row r="6" spans="1:12" x14ac:dyDescent="0.25">
      <c r="A6" s="61" t="s">
        <v>913</v>
      </c>
      <c r="B6" s="131"/>
      <c r="C6" s="131"/>
      <c r="D6" s="131"/>
      <c r="E6" s="131"/>
      <c r="F6" s="131"/>
      <c r="G6" s="131"/>
      <c r="H6" s="131"/>
      <c r="I6" s="122"/>
      <c r="J6" s="24"/>
      <c r="K6" s="24"/>
      <c r="L6" s="64"/>
    </row>
    <row r="7" spans="1:12" x14ac:dyDescent="0.25">
      <c r="A7" s="61" t="s">
        <v>879</v>
      </c>
      <c r="B7" s="129"/>
      <c r="C7" s="129"/>
      <c r="D7" s="129"/>
      <c r="E7" s="129"/>
      <c r="F7" s="129"/>
      <c r="G7" s="129"/>
      <c r="H7" s="9">
        <v>13</v>
      </c>
      <c r="I7" s="83">
        <v>11</v>
      </c>
      <c r="J7" s="24" t="s">
        <v>14</v>
      </c>
      <c r="K7" s="44" t="s">
        <v>41</v>
      </c>
      <c r="L7" s="80" t="s">
        <v>738</v>
      </c>
    </row>
    <row r="8" spans="1:12" x14ac:dyDescent="0.25">
      <c r="A8" s="61" t="s">
        <v>880</v>
      </c>
      <c r="B8" s="131"/>
      <c r="C8" s="131"/>
      <c r="D8" s="131"/>
      <c r="E8" s="131"/>
      <c r="F8" s="131"/>
      <c r="G8" s="131"/>
      <c r="H8" s="131"/>
      <c r="I8" s="122"/>
      <c r="J8" s="24"/>
      <c r="K8" s="24"/>
      <c r="L8" s="80"/>
    </row>
    <row r="9" spans="1:12" x14ac:dyDescent="0.25">
      <c r="A9" s="61" t="s">
        <v>910</v>
      </c>
      <c r="B9" s="129"/>
      <c r="C9" s="129"/>
      <c r="D9" s="129"/>
      <c r="E9" s="9">
        <v>36</v>
      </c>
      <c r="F9" s="9">
        <v>36</v>
      </c>
      <c r="G9" s="9">
        <v>36</v>
      </c>
      <c r="H9" s="9">
        <v>38</v>
      </c>
      <c r="I9" s="9">
        <v>37</v>
      </c>
      <c r="J9" s="256" t="s">
        <v>1064</v>
      </c>
      <c r="K9" s="256" t="s">
        <v>1086</v>
      </c>
      <c r="L9" s="80" t="s">
        <v>738</v>
      </c>
    </row>
    <row r="10" spans="1:12" x14ac:dyDescent="0.25">
      <c r="A10" s="113" t="s">
        <v>882</v>
      </c>
      <c r="B10" s="132"/>
      <c r="C10" s="132"/>
      <c r="D10" s="132"/>
      <c r="E10" s="9">
        <v>7</v>
      </c>
      <c r="F10" s="9">
        <v>9</v>
      </c>
      <c r="G10" s="9">
        <v>9</v>
      </c>
      <c r="H10" s="9">
        <v>11</v>
      </c>
      <c r="I10" s="9">
        <v>4</v>
      </c>
      <c r="J10" s="256" t="s">
        <v>1064</v>
      </c>
      <c r="K10" s="257" t="s">
        <v>1086</v>
      </c>
      <c r="L10" s="84" t="s">
        <v>738</v>
      </c>
    </row>
    <row r="11" spans="1:12" x14ac:dyDescent="0.25">
      <c r="A11" s="50"/>
      <c r="B11" s="120"/>
      <c r="C11" s="120"/>
      <c r="D11" s="120"/>
      <c r="E11" s="120"/>
      <c r="F11" s="120"/>
      <c r="G11" s="120"/>
      <c r="H11" s="120"/>
      <c r="I11" s="120"/>
      <c r="J11" s="112"/>
      <c r="K11" s="112"/>
      <c r="L11" s="53"/>
    </row>
    <row r="12" spans="1:12" s="5" customFormat="1" x14ac:dyDescent="0.25">
      <c r="A12" s="35" t="s">
        <v>42</v>
      </c>
      <c r="B12" s="35">
        <v>2010</v>
      </c>
      <c r="C12" s="35">
        <v>2011</v>
      </c>
      <c r="D12" s="35">
        <v>2012</v>
      </c>
      <c r="E12" s="35">
        <v>2013</v>
      </c>
      <c r="F12" s="35">
        <v>2014</v>
      </c>
      <c r="G12" s="35">
        <v>2015</v>
      </c>
      <c r="H12" s="35">
        <v>2016</v>
      </c>
      <c r="I12" s="35">
        <v>2017</v>
      </c>
      <c r="J12" s="29" t="s">
        <v>800</v>
      </c>
      <c r="K12" s="29" t="s">
        <v>801</v>
      </c>
      <c r="L12" s="29" t="s">
        <v>58</v>
      </c>
    </row>
    <row r="13" spans="1:12" s="5" customFormat="1" x14ac:dyDescent="0.25">
      <c r="A13" s="10" t="s">
        <v>1175</v>
      </c>
      <c r="B13" s="129"/>
      <c r="C13" s="129"/>
      <c r="D13" s="288">
        <v>3.1515606900000002</v>
      </c>
      <c r="E13" s="288">
        <v>4.2673982399999995</v>
      </c>
      <c r="F13" s="288">
        <v>5.3950291950000002</v>
      </c>
      <c r="G13" s="288">
        <v>5.9121246450000005</v>
      </c>
      <c r="H13" s="288">
        <v>5.7996337049999998</v>
      </c>
      <c r="I13" s="288">
        <v>6.2595765000000005</v>
      </c>
      <c r="J13" s="292" t="s">
        <v>1180</v>
      </c>
      <c r="K13" s="291" t="s">
        <v>1181</v>
      </c>
      <c r="L13" s="292" t="s">
        <v>2788</v>
      </c>
    </row>
    <row r="14" spans="1:12" s="5" customFormat="1" x14ac:dyDescent="0.25">
      <c r="A14" s="10" t="s">
        <v>1176</v>
      </c>
      <c r="B14" s="129"/>
      <c r="C14" s="129"/>
      <c r="D14" s="288">
        <v>8.6736450000000007E-2</v>
      </c>
      <c r="E14" s="288">
        <v>0.15244173499999999</v>
      </c>
      <c r="F14" s="288">
        <v>0.21998649000000001</v>
      </c>
      <c r="G14" s="288">
        <v>0.20717152699999999</v>
      </c>
      <c r="H14" s="288">
        <v>0.204847371</v>
      </c>
      <c r="I14" s="288">
        <v>0.21161666300000001</v>
      </c>
      <c r="J14" s="255" t="s">
        <v>1065</v>
      </c>
      <c r="K14" s="258" t="s">
        <v>1066</v>
      </c>
      <c r="L14" s="80" t="s">
        <v>1063</v>
      </c>
    </row>
    <row r="15" spans="1:12" s="5" customFormat="1" x14ac:dyDescent="0.25">
      <c r="A15" s="10" t="s">
        <v>1177</v>
      </c>
      <c r="B15" s="129"/>
      <c r="C15" s="129"/>
      <c r="D15" s="288">
        <v>1.898124809</v>
      </c>
      <c r="E15" s="288">
        <v>2.8825167500000002</v>
      </c>
      <c r="F15" s="288">
        <v>4.0557324440000002</v>
      </c>
      <c r="G15" s="288">
        <v>4.6687747760000002</v>
      </c>
      <c r="H15" s="288">
        <v>4.0592406399999996</v>
      </c>
      <c r="I15" s="288">
        <v>5.2039813539999997</v>
      </c>
      <c r="J15" s="255" t="s">
        <v>1065</v>
      </c>
      <c r="K15" s="258" t="s">
        <v>1066</v>
      </c>
      <c r="L15" s="80" t="s">
        <v>1179</v>
      </c>
    </row>
    <row r="16" spans="1:12" s="5" customFormat="1" x14ac:dyDescent="0.25">
      <c r="A16" s="10" t="s">
        <v>1182</v>
      </c>
      <c r="B16" s="294"/>
      <c r="C16" s="294"/>
      <c r="D16" s="293">
        <f t="shared" ref="D16:I16" si="0">+D13+D14-D15</f>
        <v>1.3401723310000002</v>
      </c>
      <c r="E16" s="293">
        <f t="shared" si="0"/>
        <v>1.5373232249999993</v>
      </c>
      <c r="F16" s="293">
        <f t="shared" si="0"/>
        <v>1.5592832410000002</v>
      </c>
      <c r="G16" s="293">
        <f t="shared" si="0"/>
        <v>1.4505213960000001</v>
      </c>
      <c r="H16" s="293">
        <f t="shared" si="0"/>
        <v>1.9452404359999997</v>
      </c>
      <c r="I16" s="293">
        <f t="shared" si="0"/>
        <v>1.2672118090000009</v>
      </c>
      <c r="J16" s="292" t="s">
        <v>1183</v>
      </c>
      <c r="K16" s="29"/>
      <c r="L16" s="29"/>
    </row>
    <row r="17" spans="1:12" s="5" customFormat="1" x14ac:dyDescent="0.25">
      <c r="A17" s="10" t="s">
        <v>1174</v>
      </c>
      <c r="B17" s="287">
        <v>126.83606808</v>
      </c>
      <c r="C17" s="287">
        <v>127.78123085999999</v>
      </c>
      <c r="D17" s="287">
        <v>128.97547985999998</v>
      </c>
      <c r="E17" s="287">
        <v>136.58113992</v>
      </c>
      <c r="F17" s="287">
        <v>144.47000759999997</v>
      </c>
      <c r="G17" s="287">
        <v>143.06761806</v>
      </c>
      <c r="H17" s="287">
        <v>139.71689657999997</v>
      </c>
      <c r="I17" s="287">
        <v>147.69106775999998</v>
      </c>
      <c r="J17" s="66" t="s">
        <v>14</v>
      </c>
      <c r="K17" s="68" t="s">
        <v>784</v>
      </c>
      <c r="L17" s="80" t="s">
        <v>738</v>
      </c>
    </row>
    <row r="18" spans="1:12" s="5" customFormat="1" x14ac:dyDescent="0.25">
      <c r="A18" s="268" t="s">
        <v>1172</v>
      </c>
      <c r="B18" s="287">
        <v>87.712470839999995</v>
      </c>
      <c r="C18" s="287">
        <v>91.073428739999983</v>
      </c>
      <c r="D18" s="287">
        <v>91.189441500000001</v>
      </c>
      <c r="E18" s="287">
        <v>94.485568739999991</v>
      </c>
      <c r="F18" s="287">
        <v>92.943281459999994</v>
      </c>
      <c r="G18" s="287">
        <v>93.21284052</v>
      </c>
      <c r="H18" s="287">
        <v>93.690540119999994</v>
      </c>
      <c r="I18" s="287">
        <v>95.908431119999989</v>
      </c>
      <c r="J18" s="66" t="s">
        <v>14</v>
      </c>
      <c r="K18" s="68" t="s">
        <v>784</v>
      </c>
      <c r="L18" s="80" t="s">
        <v>738</v>
      </c>
    </row>
    <row r="19" spans="1:12" s="5" customFormat="1" x14ac:dyDescent="0.25">
      <c r="A19" s="268" t="s">
        <v>1173</v>
      </c>
      <c r="B19" s="287">
        <v>39.055354440000002</v>
      </c>
      <c r="C19" s="287">
        <v>36.622498620000002</v>
      </c>
      <c r="D19" s="287">
        <v>37.704146999999999</v>
      </c>
      <c r="E19" s="287">
        <v>41.976146280000002</v>
      </c>
      <c r="F19" s="287">
        <v>51.274227780000004</v>
      </c>
      <c r="G19" s="287">
        <v>49.598867039999995</v>
      </c>
      <c r="H19" s="287">
        <v>45.7909188</v>
      </c>
      <c r="I19" s="287">
        <v>51.543786839999996</v>
      </c>
      <c r="J19" s="66" t="s">
        <v>14</v>
      </c>
      <c r="K19" s="68" t="s">
        <v>784</v>
      </c>
      <c r="L19" s="80" t="s">
        <v>738</v>
      </c>
    </row>
    <row r="20" spans="1:12" s="5" customFormat="1" x14ac:dyDescent="0.25">
      <c r="A20" s="268" t="s">
        <v>1213</v>
      </c>
      <c r="B20" s="287">
        <f t="shared" ref="B20:I20" si="1">+B21-B17</f>
        <v>1989.1639319200001</v>
      </c>
      <c r="C20" s="287">
        <f t="shared" si="1"/>
        <v>2011.2187691399999</v>
      </c>
      <c r="D20" s="287">
        <f t="shared" si="1"/>
        <v>2004.02452014</v>
      </c>
      <c r="E20" s="287">
        <f t="shared" si="1"/>
        <v>2210.4188600799998</v>
      </c>
      <c r="F20" s="287">
        <f t="shared" si="1"/>
        <v>2265.5299924000001</v>
      </c>
      <c r="G20" s="287">
        <f t="shared" si="1"/>
        <v>2091.9323819400001</v>
      </c>
      <c r="H20" s="287">
        <f t="shared" si="1"/>
        <v>1991.2831034200001</v>
      </c>
      <c r="I20" s="287">
        <f t="shared" si="1"/>
        <v>1997.3089322400001</v>
      </c>
      <c r="J20" s="255" t="s">
        <v>1183</v>
      </c>
      <c r="K20" s="258"/>
      <c r="L20" s="206"/>
    </row>
    <row r="21" spans="1:12" x14ac:dyDescent="0.25">
      <c r="A21" s="260" t="s">
        <v>1169</v>
      </c>
      <c r="B21" s="139">
        <v>2116</v>
      </c>
      <c r="C21" s="139">
        <v>2139</v>
      </c>
      <c r="D21" s="139">
        <v>2133</v>
      </c>
      <c r="E21" s="139">
        <v>2347</v>
      </c>
      <c r="F21" s="139">
        <v>2410</v>
      </c>
      <c r="G21" s="139">
        <v>2235</v>
      </c>
      <c r="H21" s="139">
        <v>2131</v>
      </c>
      <c r="I21" s="140">
        <v>2145</v>
      </c>
      <c r="J21" s="66" t="s">
        <v>14</v>
      </c>
      <c r="K21" s="68" t="s">
        <v>784</v>
      </c>
      <c r="L21" s="80" t="s">
        <v>738</v>
      </c>
    </row>
    <row r="22" spans="1:12" x14ac:dyDescent="0.25">
      <c r="A22" s="268" t="s">
        <v>1170</v>
      </c>
      <c r="B22" s="286">
        <v>440</v>
      </c>
      <c r="C22" s="286">
        <v>450</v>
      </c>
      <c r="D22" s="286">
        <v>420</v>
      </c>
      <c r="E22" s="286">
        <v>580</v>
      </c>
      <c r="F22" s="286">
        <v>587</v>
      </c>
      <c r="G22" s="286">
        <v>436</v>
      </c>
      <c r="H22" s="286">
        <v>349</v>
      </c>
      <c r="I22" s="286">
        <v>334</v>
      </c>
      <c r="J22" s="66" t="s">
        <v>14</v>
      </c>
      <c r="K22" s="68" t="s">
        <v>784</v>
      </c>
      <c r="L22" s="80" t="s">
        <v>738</v>
      </c>
    </row>
    <row r="23" spans="1:12" x14ac:dyDescent="0.25">
      <c r="A23" s="268" t="s">
        <v>1171</v>
      </c>
      <c r="B23" s="286">
        <v>72</v>
      </c>
      <c r="C23" s="286">
        <v>69</v>
      </c>
      <c r="D23" s="286">
        <v>61</v>
      </c>
      <c r="E23" s="286">
        <v>70</v>
      </c>
      <c r="F23" s="286">
        <v>76</v>
      </c>
      <c r="G23" s="286">
        <v>79</v>
      </c>
      <c r="H23" s="286">
        <v>84</v>
      </c>
      <c r="I23" s="286">
        <v>84</v>
      </c>
      <c r="J23" s="66" t="s">
        <v>14</v>
      </c>
      <c r="K23" s="68" t="s">
        <v>784</v>
      </c>
      <c r="L23" s="80" t="s">
        <v>738</v>
      </c>
    </row>
    <row r="24" spans="1:12" x14ac:dyDescent="0.25">
      <c r="A24" s="268" t="s">
        <v>1172</v>
      </c>
      <c r="B24" s="286">
        <v>1409</v>
      </c>
      <c r="C24" s="286">
        <v>1438</v>
      </c>
      <c r="D24" s="286">
        <v>1462</v>
      </c>
      <c r="E24" s="286">
        <v>1489</v>
      </c>
      <c r="F24" s="286">
        <v>1495</v>
      </c>
      <c r="G24" s="286">
        <v>1476</v>
      </c>
      <c r="H24" s="286">
        <v>1474</v>
      </c>
      <c r="I24" s="286">
        <v>1480</v>
      </c>
      <c r="J24" s="66" t="s">
        <v>14</v>
      </c>
      <c r="K24" s="68" t="s">
        <v>784</v>
      </c>
      <c r="L24" s="80" t="s">
        <v>738</v>
      </c>
    </row>
    <row r="25" spans="1:12" x14ac:dyDescent="0.25">
      <c r="A25" s="268" t="s">
        <v>1173</v>
      </c>
      <c r="B25" s="286">
        <v>196</v>
      </c>
      <c r="C25" s="286">
        <v>182</v>
      </c>
      <c r="D25" s="286">
        <v>190</v>
      </c>
      <c r="E25" s="286">
        <v>207</v>
      </c>
      <c r="F25" s="286">
        <v>251</v>
      </c>
      <c r="G25" s="286">
        <v>244</v>
      </c>
      <c r="H25" s="286">
        <v>224</v>
      </c>
      <c r="I25" s="286">
        <v>247</v>
      </c>
      <c r="J25" s="66" t="s">
        <v>14</v>
      </c>
      <c r="K25" s="68" t="s">
        <v>784</v>
      </c>
      <c r="L25" s="80" t="s">
        <v>738</v>
      </c>
    </row>
    <row r="26" spans="1:12" x14ac:dyDescent="0.25">
      <c r="A26" s="61" t="s">
        <v>914</v>
      </c>
      <c r="B26" s="141">
        <v>15.7</v>
      </c>
      <c r="C26" s="141">
        <v>18.3</v>
      </c>
      <c r="D26" s="141">
        <v>19.8</v>
      </c>
      <c r="E26" s="141">
        <v>22.54</v>
      </c>
      <c r="F26" s="141">
        <v>24.9</v>
      </c>
      <c r="G26" s="141">
        <v>27.1</v>
      </c>
      <c r="H26" s="141">
        <v>28.6</v>
      </c>
      <c r="I26" s="178"/>
      <c r="J26" s="66" t="s">
        <v>43</v>
      </c>
      <c r="K26" s="68" t="s">
        <v>808</v>
      </c>
      <c r="L26" s="80" t="s">
        <v>738</v>
      </c>
    </row>
    <row r="27" spans="1:12" x14ac:dyDescent="0.25">
      <c r="A27" s="260" t="s">
        <v>915</v>
      </c>
      <c r="B27" s="129"/>
      <c r="C27" s="129"/>
      <c r="D27" s="129"/>
      <c r="E27" s="129"/>
      <c r="F27" s="129"/>
      <c r="G27" s="129"/>
      <c r="H27" s="207">
        <v>1.0304239726</v>
      </c>
      <c r="I27" s="207">
        <v>0.90400000000000003</v>
      </c>
      <c r="J27" s="66" t="s">
        <v>14</v>
      </c>
      <c r="K27" s="68" t="s">
        <v>44</v>
      </c>
      <c r="L27" s="80" t="s">
        <v>738</v>
      </c>
    </row>
    <row r="28" spans="1:12" x14ac:dyDescent="0.25">
      <c r="A28" s="61" t="s">
        <v>916</v>
      </c>
      <c r="B28" s="129"/>
      <c r="C28" s="129"/>
      <c r="D28" s="129"/>
      <c r="E28" s="129"/>
      <c r="F28" s="129"/>
      <c r="G28" s="129"/>
      <c r="H28" s="141">
        <v>9.8287996255000003</v>
      </c>
      <c r="I28" s="141">
        <v>9.3919999999999995</v>
      </c>
      <c r="J28" s="66" t="s">
        <v>14</v>
      </c>
      <c r="K28" s="68" t="s">
        <v>44</v>
      </c>
      <c r="L28" s="80" t="s">
        <v>738</v>
      </c>
    </row>
    <row r="29" spans="1:12" x14ac:dyDescent="0.25">
      <c r="A29" s="113" t="s">
        <v>917</v>
      </c>
      <c r="B29" s="119"/>
      <c r="C29" s="119"/>
      <c r="D29" s="119"/>
      <c r="E29" s="119"/>
      <c r="F29" s="119"/>
      <c r="G29" s="119"/>
      <c r="H29" s="225">
        <v>2.0717377900000002</v>
      </c>
      <c r="I29" s="225">
        <v>2.411</v>
      </c>
      <c r="J29" s="115" t="s">
        <v>14</v>
      </c>
      <c r="K29" s="116" t="s">
        <v>44</v>
      </c>
      <c r="L29" s="84" t="s">
        <v>738</v>
      </c>
    </row>
    <row r="30" spans="1:12" ht="13.5" customHeight="1" x14ac:dyDescent="0.25">
      <c r="A30" s="61" t="s">
        <v>727</v>
      </c>
      <c r="B30" s="129"/>
      <c r="C30" s="129"/>
      <c r="D30" s="161">
        <v>0.25823427999999998</v>
      </c>
      <c r="E30" s="161">
        <v>0.37098051999999998</v>
      </c>
      <c r="F30" s="161">
        <v>0.52240938599999998</v>
      </c>
      <c r="G30" s="161">
        <v>0.68297815200000001</v>
      </c>
      <c r="H30" s="161">
        <v>0.61249602599999997</v>
      </c>
      <c r="I30" s="161">
        <v>0.66654466099999998</v>
      </c>
      <c r="J30" s="255" t="s">
        <v>1065</v>
      </c>
      <c r="K30" s="258" t="s">
        <v>1066</v>
      </c>
      <c r="L30" s="80" t="s">
        <v>1063</v>
      </c>
    </row>
    <row r="31" spans="1:12" ht="13.7" customHeight="1" x14ac:dyDescent="0.25">
      <c r="A31" s="260" t="s">
        <v>1178</v>
      </c>
      <c r="B31" s="289"/>
      <c r="C31" s="129"/>
      <c r="D31" s="290">
        <v>1.8437913E-2</v>
      </c>
      <c r="E31" s="290">
        <v>3.1400575999999999E-2</v>
      </c>
      <c r="F31" s="290">
        <v>4.7028721000000002E-2</v>
      </c>
      <c r="G31" s="290">
        <v>4.5782785999999999E-2</v>
      </c>
      <c r="H31" s="290">
        <v>3.4745364000000001E-2</v>
      </c>
      <c r="I31" s="290">
        <v>4.1133926000000001E-2</v>
      </c>
      <c r="J31" s="255" t="s">
        <v>1065</v>
      </c>
      <c r="K31" s="258" t="s">
        <v>1066</v>
      </c>
      <c r="L31" s="80" t="s">
        <v>1179</v>
      </c>
    </row>
    <row r="32" spans="1:12" x14ac:dyDescent="0.25">
      <c r="A32" s="50"/>
      <c r="B32" s="120"/>
      <c r="C32" s="120"/>
      <c r="D32" s="120"/>
      <c r="E32" s="120"/>
      <c r="F32" s="120"/>
      <c r="G32" s="120"/>
      <c r="H32" s="120"/>
      <c r="I32" s="120"/>
      <c r="J32" s="112"/>
      <c r="K32" s="112"/>
      <c r="L32" s="53"/>
    </row>
    <row r="33" spans="1:12" s="5" customFormat="1" x14ac:dyDescent="0.25">
      <c r="A33" s="35" t="s">
        <v>19</v>
      </c>
      <c r="B33" s="35">
        <v>2010</v>
      </c>
      <c r="C33" s="35">
        <v>2011</v>
      </c>
      <c r="D33" s="35">
        <v>2012</v>
      </c>
      <c r="E33" s="35">
        <v>2013</v>
      </c>
      <c r="F33" s="35">
        <v>2014</v>
      </c>
      <c r="G33" s="35">
        <v>2015</v>
      </c>
      <c r="H33" s="35">
        <v>2016</v>
      </c>
      <c r="I33" s="35">
        <v>2017</v>
      </c>
      <c r="J33" s="29" t="s">
        <v>800</v>
      </c>
      <c r="K33" s="29" t="s">
        <v>801</v>
      </c>
      <c r="L33" s="29" t="s">
        <v>58</v>
      </c>
    </row>
    <row r="34" spans="1:12" x14ac:dyDescent="0.25">
      <c r="A34" s="79" t="s">
        <v>23</v>
      </c>
      <c r="B34" s="83">
        <v>26549</v>
      </c>
      <c r="C34" s="83">
        <v>25477</v>
      </c>
      <c r="D34" s="83">
        <v>25484</v>
      </c>
      <c r="E34" s="83">
        <v>25085</v>
      </c>
      <c r="F34" s="83">
        <v>26895</v>
      </c>
      <c r="G34" s="83">
        <v>23416</v>
      </c>
      <c r="H34" s="83">
        <v>23596</v>
      </c>
      <c r="I34" s="122"/>
      <c r="J34" s="255" t="s">
        <v>1061</v>
      </c>
      <c r="K34" s="258" t="s">
        <v>1062</v>
      </c>
      <c r="L34" s="80" t="s">
        <v>738</v>
      </c>
    </row>
    <row r="35" spans="1:12" x14ac:dyDescent="0.25">
      <c r="L35"/>
    </row>
    <row r="36" spans="1:12" x14ac:dyDescent="0.25">
      <c r="L36"/>
    </row>
  </sheetData>
  <mergeCells count="1">
    <mergeCell ref="A1:A2"/>
  </mergeCells>
  <hyperlinks>
    <hyperlink ref="K7" r:id="rId1" xr:uid="{00000000-0004-0000-0C00-000000000000}"/>
    <hyperlink ref="K21" r:id="rId2" xr:uid="{00000000-0004-0000-0C00-000001000000}"/>
    <hyperlink ref="K26" r:id="rId3" xr:uid="{00000000-0004-0000-0C00-000002000000}"/>
    <hyperlink ref="K27" r:id="rId4" xr:uid="{00000000-0004-0000-0C00-000003000000}"/>
    <hyperlink ref="K28:K29" r:id="rId5" display="http://www.eia.gov/biofuels/biomass/" xr:uid="{00000000-0004-0000-0C00-000004000000}"/>
    <hyperlink ref="K34" r:id="rId6" xr:uid="{00000000-0004-0000-0C00-000005000000}"/>
    <hyperlink ref="K30" r:id="rId7" xr:uid="{00000000-0004-0000-0C00-000006000000}"/>
    <hyperlink ref="K22" r:id="rId8" xr:uid="{00000000-0004-0000-0C00-000007000000}"/>
    <hyperlink ref="K23" r:id="rId9" xr:uid="{00000000-0004-0000-0C00-000008000000}"/>
    <hyperlink ref="K24" r:id="rId10" xr:uid="{00000000-0004-0000-0C00-000009000000}"/>
    <hyperlink ref="K25" r:id="rId11" xr:uid="{00000000-0004-0000-0C00-00000A000000}"/>
    <hyperlink ref="K17" r:id="rId12" xr:uid="{00000000-0004-0000-0C00-00000B000000}"/>
    <hyperlink ref="K18" r:id="rId13" xr:uid="{00000000-0004-0000-0C00-00000C000000}"/>
    <hyperlink ref="K19" r:id="rId14" xr:uid="{00000000-0004-0000-0C00-00000D000000}"/>
    <hyperlink ref="K31" r:id="rId15" xr:uid="{00000000-0004-0000-0C00-00000E000000}"/>
    <hyperlink ref="K14" r:id="rId16" xr:uid="{00000000-0004-0000-0C00-00000F000000}"/>
    <hyperlink ref="K15" r:id="rId17" xr:uid="{00000000-0004-0000-0C00-000010000000}"/>
    <hyperlink ref="K13" r:id="rId18" location="data/FO" xr:uid="{00000000-0004-0000-0C00-000011000000}"/>
  </hyperlinks>
  <pageMargins left="0.7" right="0.7" top="0.75" bottom="0.75" header="0.3" footer="0.3"/>
  <pageSetup orientation="portrait" r:id="rId19"/>
  <drawing r:id="rId2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8306C"/>
  </sheetPr>
  <dimension ref="A1:L144"/>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70.7109375" defaultRowHeight="15" x14ac:dyDescent="0.25"/>
  <cols>
    <col min="1" max="1" width="91.5703125" style="40" bestFit="1" customWidth="1"/>
    <col min="2" max="9" width="11.7109375" style="40" customWidth="1"/>
    <col min="10" max="10" width="25.28515625" style="40" bestFit="1" customWidth="1"/>
    <col min="11" max="11" width="107.7109375" style="40" customWidth="1"/>
    <col min="12" max="12" width="25.85546875" style="40" bestFit="1" customWidth="1"/>
    <col min="13" max="16384" width="70.7109375" style="40"/>
  </cols>
  <sheetData>
    <row r="1" spans="1:12" x14ac:dyDescent="0.25">
      <c r="A1" s="388" t="s">
        <v>725</v>
      </c>
      <c r="C1" s="58"/>
    </row>
    <row r="2" spans="1:12" x14ac:dyDescent="0.25">
      <c r="A2" s="389"/>
    </row>
    <row r="3" spans="1:12" s="5" customFormat="1" x14ac:dyDescent="0.25">
      <c r="A3" s="4" t="s">
        <v>12</v>
      </c>
      <c r="B3" s="4">
        <v>2010</v>
      </c>
      <c r="C3" s="4">
        <v>2011</v>
      </c>
      <c r="D3" s="4">
        <v>2012</v>
      </c>
      <c r="E3" s="4">
        <v>2013</v>
      </c>
      <c r="F3" s="4">
        <v>2014</v>
      </c>
      <c r="G3" s="4">
        <v>2015</v>
      </c>
      <c r="H3" s="4">
        <v>2016</v>
      </c>
      <c r="I3" s="74">
        <v>2017</v>
      </c>
      <c r="J3" s="28" t="s">
        <v>800</v>
      </c>
      <c r="K3" s="28" t="s">
        <v>801</v>
      </c>
      <c r="L3" s="4" t="s">
        <v>58</v>
      </c>
    </row>
    <row r="4" spans="1:12" ht="30" x14ac:dyDescent="0.25">
      <c r="A4" s="260" t="s">
        <v>918</v>
      </c>
      <c r="B4" s="9">
        <v>86</v>
      </c>
      <c r="C4" s="142">
        <v>85</v>
      </c>
      <c r="D4" s="9">
        <v>85</v>
      </c>
      <c r="E4" s="9">
        <v>84</v>
      </c>
      <c r="F4" s="142">
        <v>84</v>
      </c>
      <c r="G4" s="9">
        <v>78</v>
      </c>
      <c r="H4" s="9">
        <v>77</v>
      </c>
      <c r="I4" s="304">
        <v>70</v>
      </c>
      <c r="J4" s="24" t="s">
        <v>1215</v>
      </c>
      <c r="K4" s="44" t="s">
        <v>1214</v>
      </c>
      <c r="L4" s="80" t="s">
        <v>738</v>
      </c>
    </row>
    <row r="5" spans="1:12" x14ac:dyDescent="0.25">
      <c r="A5" s="260" t="s">
        <v>1216</v>
      </c>
      <c r="B5" s="9">
        <v>2</v>
      </c>
      <c r="C5" s="9">
        <v>0</v>
      </c>
      <c r="D5" s="9">
        <v>2</v>
      </c>
      <c r="E5" s="9">
        <v>2</v>
      </c>
      <c r="F5" s="9">
        <v>1</v>
      </c>
      <c r="G5" s="9">
        <v>0</v>
      </c>
      <c r="H5" s="9">
        <v>0</v>
      </c>
      <c r="I5" s="83">
        <v>0</v>
      </c>
      <c r="J5" s="37" t="s">
        <v>14</v>
      </c>
      <c r="K5" s="44" t="s">
        <v>46</v>
      </c>
      <c r="L5" s="80" t="s">
        <v>738</v>
      </c>
    </row>
    <row r="6" spans="1:12" x14ac:dyDescent="0.25">
      <c r="A6" s="260" t="s">
        <v>1217</v>
      </c>
      <c r="B6" s="9">
        <v>2</v>
      </c>
      <c r="C6" s="9">
        <v>2</v>
      </c>
      <c r="D6" s="9">
        <v>2</v>
      </c>
      <c r="E6" s="9">
        <v>2</v>
      </c>
      <c r="F6" s="9">
        <v>2</v>
      </c>
      <c r="G6" s="9">
        <v>2</v>
      </c>
      <c r="H6" s="9">
        <v>1</v>
      </c>
      <c r="I6" s="83">
        <v>1</v>
      </c>
      <c r="J6" s="37" t="s">
        <v>14</v>
      </c>
      <c r="K6" s="44" t="s">
        <v>46</v>
      </c>
      <c r="L6" s="80" t="s">
        <v>738</v>
      </c>
    </row>
    <row r="7" spans="1:12" x14ac:dyDescent="0.25">
      <c r="A7" s="260" t="s">
        <v>1218</v>
      </c>
      <c r="B7" s="9">
        <v>11</v>
      </c>
      <c r="C7" s="9">
        <v>10</v>
      </c>
      <c r="D7" s="9">
        <v>11</v>
      </c>
      <c r="E7" s="9">
        <v>13</v>
      </c>
      <c r="F7" s="9">
        <v>8</v>
      </c>
      <c r="G7" s="9">
        <v>9</v>
      </c>
      <c r="H7" s="9">
        <v>11</v>
      </c>
      <c r="I7" s="83">
        <v>11</v>
      </c>
      <c r="J7" s="37" t="s">
        <v>14</v>
      </c>
      <c r="K7" s="44" t="s">
        <v>46</v>
      </c>
      <c r="L7" s="80" t="s">
        <v>738</v>
      </c>
    </row>
    <row r="8" spans="1:12" x14ac:dyDescent="0.25">
      <c r="A8" s="260" t="s">
        <v>1219</v>
      </c>
      <c r="B8" s="9">
        <v>20</v>
      </c>
      <c r="C8" s="9">
        <v>20</v>
      </c>
      <c r="D8" s="9">
        <v>16</v>
      </c>
      <c r="E8" s="9">
        <v>13</v>
      </c>
      <c r="F8" s="9">
        <v>15</v>
      </c>
      <c r="G8" s="9">
        <v>15</v>
      </c>
      <c r="H8" s="9">
        <v>15</v>
      </c>
      <c r="I8" s="83">
        <v>10</v>
      </c>
      <c r="J8" s="37" t="s">
        <v>14</v>
      </c>
      <c r="K8" s="44" t="s">
        <v>46</v>
      </c>
      <c r="L8" s="80" t="s">
        <v>738</v>
      </c>
    </row>
    <row r="9" spans="1:12" x14ac:dyDescent="0.25">
      <c r="A9" s="260" t="s">
        <v>919</v>
      </c>
      <c r="B9" s="9">
        <v>9</v>
      </c>
      <c r="C9" s="9">
        <v>9</v>
      </c>
      <c r="D9" s="9">
        <v>7</v>
      </c>
      <c r="E9" s="9">
        <v>5</v>
      </c>
      <c r="F9" s="9">
        <v>7</v>
      </c>
      <c r="G9" s="9">
        <v>7</v>
      </c>
      <c r="H9" s="9">
        <v>7</v>
      </c>
      <c r="I9" s="83">
        <v>8</v>
      </c>
      <c r="J9" s="37" t="s">
        <v>14</v>
      </c>
      <c r="K9" s="44" t="s">
        <v>46</v>
      </c>
      <c r="L9" s="80" t="s">
        <v>738</v>
      </c>
    </row>
    <row r="10" spans="1:12" x14ac:dyDescent="0.25">
      <c r="A10" s="45"/>
      <c r="B10" s="252"/>
      <c r="C10" s="143"/>
      <c r="D10" s="143"/>
      <c r="E10" s="143"/>
      <c r="F10" s="143"/>
      <c r="G10" s="143"/>
      <c r="H10" s="143"/>
      <c r="I10" s="143"/>
      <c r="J10" s="46"/>
      <c r="K10" s="47"/>
      <c r="L10" s="59"/>
    </row>
    <row r="11" spans="1:12" s="5" customFormat="1" x14ac:dyDescent="0.25">
      <c r="A11" s="4" t="s">
        <v>27</v>
      </c>
      <c r="B11" s="4">
        <v>2010</v>
      </c>
      <c r="C11" s="4">
        <v>2011</v>
      </c>
      <c r="D11" s="4">
        <v>2012</v>
      </c>
      <c r="E11" s="4">
        <v>2013</v>
      </c>
      <c r="F11" s="4">
        <v>2014</v>
      </c>
      <c r="G11" s="4">
        <v>2015</v>
      </c>
      <c r="H11" s="4">
        <v>2016</v>
      </c>
      <c r="I11" s="74">
        <v>2017</v>
      </c>
      <c r="J11" s="28" t="s">
        <v>800</v>
      </c>
      <c r="K11" s="28" t="s">
        <v>801</v>
      </c>
      <c r="L11" s="4" t="s">
        <v>58</v>
      </c>
    </row>
    <row r="12" spans="1:12" s="5" customFormat="1" ht="30" x14ac:dyDescent="0.25">
      <c r="A12" s="260" t="s">
        <v>1187</v>
      </c>
      <c r="B12" s="205">
        <v>227.79415349999999</v>
      </c>
      <c r="C12" s="205">
        <v>227.1409803</v>
      </c>
      <c r="D12" s="205">
        <v>228.42918300000002</v>
      </c>
      <c r="E12" s="205">
        <v>231.33217500000001</v>
      </c>
      <c r="F12" s="205">
        <v>234.50732250000001</v>
      </c>
      <c r="G12" s="138"/>
      <c r="H12" s="138"/>
      <c r="I12" s="147"/>
      <c r="J12" s="37" t="s">
        <v>18</v>
      </c>
      <c r="K12" s="81" t="s">
        <v>1186</v>
      </c>
      <c r="L12" s="206" t="s">
        <v>1193</v>
      </c>
    </row>
    <row r="13" spans="1:12" s="5" customFormat="1" ht="30" x14ac:dyDescent="0.25">
      <c r="A13" s="260" t="s">
        <v>1184</v>
      </c>
      <c r="B13" s="205">
        <v>77.564317500000001</v>
      </c>
      <c r="C13" s="205">
        <v>78.816232799999995</v>
      </c>
      <c r="D13" s="205">
        <v>78.562220999999994</v>
      </c>
      <c r="E13" s="205">
        <v>79.378687499999998</v>
      </c>
      <c r="F13" s="205">
        <v>81.102339000000001</v>
      </c>
      <c r="G13" s="138"/>
      <c r="H13" s="138"/>
      <c r="I13" s="147"/>
      <c r="J13" s="37" t="s">
        <v>18</v>
      </c>
      <c r="K13" s="81" t="s">
        <v>1186</v>
      </c>
      <c r="L13" s="206" t="s">
        <v>1193</v>
      </c>
    </row>
    <row r="14" spans="1:12" s="5" customFormat="1" ht="30" x14ac:dyDescent="0.25">
      <c r="A14" s="260" t="s">
        <v>1185</v>
      </c>
      <c r="B14" s="205">
        <v>26.580520500000002</v>
      </c>
      <c r="C14" s="205">
        <v>26.544233100000003</v>
      </c>
      <c r="D14" s="205">
        <v>29.4835125</v>
      </c>
      <c r="E14" s="205">
        <v>30.118542000000001</v>
      </c>
      <c r="F14" s="205">
        <v>30.0278235</v>
      </c>
      <c r="G14" s="138"/>
      <c r="H14" s="138"/>
      <c r="I14" s="147"/>
      <c r="J14" s="37" t="s">
        <v>18</v>
      </c>
      <c r="K14" s="81" t="s">
        <v>1186</v>
      </c>
      <c r="L14" s="206" t="s">
        <v>1193</v>
      </c>
    </row>
    <row r="15" spans="1:12" s="5" customFormat="1" ht="30" x14ac:dyDescent="0.25">
      <c r="A15" s="260" t="s">
        <v>1188</v>
      </c>
      <c r="B15" s="205">
        <v>123.64931550000001</v>
      </c>
      <c r="C15" s="205">
        <v>121.78051440000002</v>
      </c>
      <c r="D15" s="205">
        <v>120.111294</v>
      </c>
      <c r="E15" s="205">
        <v>121.83494550000002</v>
      </c>
      <c r="F15" s="205">
        <v>123.37716</v>
      </c>
      <c r="G15" s="138"/>
      <c r="H15" s="138"/>
      <c r="I15" s="147"/>
      <c r="J15" s="37" t="s">
        <v>18</v>
      </c>
      <c r="K15" s="81" t="s">
        <v>1186</v>
      </c>
      <c r="L15" s="206" t="s">
        <v>1193</v>
      </c>
    </row>
    <row r="16" spans="1:12" s="5" customFormat="1" ht="30" x14ac:dyDescent="0.25">
      <c r="A16" s="260" t="s">
        <v>1189</v>
      </c>
      <c r="B16" s="205">
        <v>19.437000000000001</v>
      </c>
      <c r="C16" s="205">
        <v>16.972000000000001</v>
      </c>
      <c r="D16" s="205">
        <v>16.968</v>
      </c>
      <c r="E16" s="205">
        <v>17.007000000000001</v>
      </c>
      <c r="F16" s="205">
        <v>16.706</v>
      </c>
      <c r="G16" s="205">
        <v>16.631</v>
      </c>
      <c r="H16" s="205">
        <v>16.994</v>
      </c>
      <c r="I16" s="147"/>
      <c r="J16" s="37" t="s">
        <v>14</v>
      </c>
      <c r="K16" s="44" t="s">
        <v>47</v>
      </c>
      <c r="L16" s="80" t="s">
        <v>819</v>
      </c>
    </row>
    <row r="17" spans="1:12" s="5" customFormat="1" ht="30" x14ac:dyDescent="0.25">
      <c r="A17" s="260" t="s">
        <v>1221</v>
      </c>
      <c r="B17" s="205">
        <v>2.2869999999999999</v>
      </c>
      <c r="C17" s="205">
        <v>2.044</v>
      </c>
      <c r="D17" s="205">
        <v>1.986</v>
      </c>
      <c r="E17" s="205">
        <v>1.865</v>
      </c>
      <c r="F17" s="205">
        <v>1.9550000000000001</v>
      </c>
      <c r="G17" s="205">
        <v>1.986</v>
      </c>
      <c r="H17" s="205">
        <v>2.2320000000000002</v>
      </c>
      <c r="I17" s="147"/>
      <c r="J17" s="37" t="s">
        <v>14</v>
      </c>
      <c r="K17" s="44" t="s">
        <v>47</v>
      </c>
      <c r="L17" s="80" t="s">
        <v>819</v>
      </c>
    </row>
    <row r="18" spans="1:12" s="5" customFormat="1" ht="30" x14ac:dyDescent="0.25">
      <c r="A18" s="260" t="s">
        <v>1220</v>
      </c>
      <c r="B18" s="205">
        <v>21.725000000000001</v>
      </c>
      <c r="C18" s="205">
        <v>19.015999999999998</v>
      </c>
      <c r="D18" s="205">
        <v>18.954000000000001</v>
      </c>
      <c r="E18" s="205">
        <v>18.870999999999999</v>
      </c>
      <c r="F18" s="205">
        <v>18.661000000000001</v>
      </c>
      <c r="G18" s="205">
        <v>18.617000000000001</v>
      </c>
      <c r="H18" s="205">
        <v>19.225999999999999</v>
      </c>
      <c r="I18" s="147"/>
      <c r="J18" s="37" t="s">
        <v>14</v>
      </c>
      <c r="K18" s="44" t="s">
        <v>47</v>
      </c>
      <c r="L18" s="80" t="s">
        <v>819</v>
      </c>
    </row>
    <row r="19" spans="1:12" s="5" customFormat="1" ht="30" x14ac:dyDescent="0.25">
      <c r="A19" s="260" t="s">
        <v>1192</v>
      </c>
      <c r="B19" s="204">
        <v>0.40200000000000002</v>
      </c>
      <c r="C19" s="204">
        <v>0.38800000000000001</v>
      </c>
      <c r="D19" s="204">
        <v>0.41799999999999998</v>
      </c>
      <c r="E19" s="204">
        <v>0.45600000000000002</v>
      </c>
      <c r="F19" s="204">
        <v>0.44400000000000001</v>
      </c>
      <c r="G19" s="204">
        <v>0.45200000000000001</v>
      </c>
      <c r="H19" s="204">
        <v>0.46400000000000002</v>
      </c>
      <c r="I19" s="147"/>
      <c r="J19" s="37" t="s">
        <v>14</v>
      </c>
      <c r="K19" s="44" t="s">
        <v>47</v>
      </c>
      <c r="L19" s="80" t="s">
        <v>819</v>
      </c>
    </row>
    <row r="20" spans="1:12" s="5" customFormat="1" ht="30" x14ac:dyDescent="0.25">
      <c r="A20" s="260" t="s">
        <v>1190</v>
      </c>
      <c r="B20" s="205">
        <v>17.620999999999999</v>
      </c>
      <c r="C20" s="205">
        <v>15.367000000000001</v>
      </c>
      <c r="D20" s="205">
        <v>14.757</v>
      </c>
      <c r="E20" s="205">
        <v>14.574</v>
      </c>
      <c r="F20" s="205">
        <v>14.459</v>
      </c>
      <c r="G20" s="205">
        <v>14.452</v>
      </c>
      <c r="H20" s="205">
        <v>14.837999999999999</v>
      </c>
      <c r="I20" s="147"/>
      <c r="J20" s="37" t="s">
        <v>14</v>
      </c>
      <c r="K20" s="44" t="s">
        <v>47</v>
      </c>
      <c r="L20" s="80" t="s">
        <v>819</v>
      </c>
    </row>
    <row r="21" spans="1:12" s="5" customFormat="1" ht="30" x14ac:dyDescent="0.25">
      <c r="A21" s="268" t="s">
        <v>1191</v>
      </c>
      <c r="B21" s="204">
        <v>3.5489999999999999</v>
      </c>
      <c r="C21" s="204">
        <v>3.1030000000000002</v>
      </c>
      <c r="D21" s="204">
        <v>3.577</v>
      </c>
      <c r="E21" s="204">
        <v>3.6459999999999999</v>
      </c>
      <c r="F21" s="204">
        <v>3.5510000000000002</v>
      </c>
      <c r="G21" s="204">
        <v>3.5019999999999998</v>
      </c>
      <c r="H21" s="204">
        <v>3.7</v>
      </c>
      <c r="I21" s="244"/>
      <c r="J21" s="37" t="s">
        <v>14</v>
      </c>
      <c r="K21" s="44" t="s">
        <v>47</v>
      </c>
      <c r="L21" s="80" t="s">
        <v>819</v>
      </c>
    </row>
    <row r="22" spans="1:12" s="5" customFormat="1" ht="30" x14ac:dyDescent="0.25">
      <c r="A22" s="268" t="s">
        <v>1172</v>
      </c>
      <c r="B22" s="204">
        <v>0.152</v>
      </c>
      <c r="C22" s="204">
        <v>0.158</v>
      </c>
      <c r="D22" s="204">
        <v>0.20300000000000001</v>
      </c>
      <c r="E22" s="204">
        <v>0.19500000000000001</v>
      </c>
      <c r="F22" s="204">
        <v>0.20599999999999999</v>
      </c>
      <c r="G22" s="204">
        <v>0.21099999999999999</v>
      </c>
      <c r="H22" s="204">
        <v>0.224</v>
      </c>
      <c r="I22" s="147"/>
      <c r="J22" s="37" t="s">
        <v>14</v>
      </c>
      <c r="K22" s="44" t="s">
        <v>47</v>
      </c>
      <c r="L22" s="80" t="s">
        <v>819</v>
      </c>
    </row>
    <row r="23" spans="1:12" s="5" customFormat="1" x14ac:dyDescent="0.25">
      <c r="A23" s="260" t="s">
        <v>1222</v>
      </c>
      <c r="B23" s="205">
        <v>144.934</v>
      </c>
      <c r="C23" s="205">
        <v>135.24100000000001</v>
      </c>
      <c r="D23" s="205">
        <v>135.73500000000001</v>
      </c>
      <c r="E23" s="199">
        <v>135.76400000000001</v>
      </c>
      <c r="F23" s="205">
        <v>134.40799999999999</v>
      </c>
      <c r="G23" s="205">
        <v>133.11699999999999</v>
      </c>
      <c r="H23" s="205">
        <v>135.95699999999999</v>
      </c>
      <c r="I23" s="147"/>
      <c r="J23" s="37" t="s">
        <v>14</v>
      </c>
      <c r="K23" s="44" t="s">
        <v>47</v>
      </c>
      <c r="L23" s="80" t="s">
        <v>738</v>
      </c>
    </row>
    <row r="24" spans="1:12" s="5" customFormat="1" x14ac:dyDescent="0.25">
      <c r="A24" s="260" t="s">
        <v>1223</v>
      </c>
      <c r="B24" s="205">
        <v>17.501999999999999</v>
      </c>
      <c r="C24" s="205">
        <v>16.765999999999998</v>
      </c>
      <c r="D24" s="205">
        <v>16.309999999999999</v>
      </c>
      <c r="E24" s="205">
        <v>15.167999999999999</v>
      </c>
      <c r="F24" s="205">
        <v>15.782999999999999</v>
      </c>
      <c r="G24" s="205">
        <v>16.623000000000001</v>
      </c>
      <c r="H24" s="205">
        <v>18.259</v>
      </c>
      <c r="I24" s="147"/>
      <c r="J24" s="37" t="s">
        <v>14</v>
      </c>
      <c r="K24" s="44" t="s">
        <v>47</v>
      </c>
      <c r="L24" s="80" t="s">
        <v>738</v>
      </c>
    </row>
    <row r="25" spans="1:12" s="5" customFormat="1" x14ac:dyDescent="0.25">
      <c r="A25" s="260" t="s">
        <v>1224</v>
      </c>
      <c r="B25" s="205">
        <v>162.43600000000001</v>
      </c>
      <c r="C25" s="205">
        <v>152.00700000000001</v>
      </c>
      <c r="D25" s="205">
        <v>152.04499999999999</v>
      </c>
      <c r="E25" s="205">
        <v>150.93199999999999</v>
      </c>
      <c r="F25" s="205">
        <v>150.191</v>
      </c>
      <c r="G25" s="205">
        <v>149.74</v>
      </c>
      <c r="H25" s="205">
        <v>154.21600000000001</v>
      </c>
      <c r="I25" s="147"/>
      <c r="J25" s="37" t="s">
        <v>14</v>
      </c>
      <c r="K25" s="44" t="s">
        <v>47</v>
      </c>
      <c r="L25" s="80" t="s">
        <v>738</v>
      </c>
    </row>
    <row r="26" spans="1:12" s="5" customFormat="1" x14ac:dyDescent="0.25">
      <c r="A26" s="260" t="s">
        <v>1192</v>
      </c>
      <c r="B26" s="204">
        <v>3.33</v>
      </c>
      <c r="C26" s="204">
        <v>3.4329999999999998</v>
      </c>
      <c r="D26" s="204">
        <v>3.91</v>
      </c>
      <c r="E26" s="204">
        <v>4.4589999999999996</v>
      </c>
      <c r="F26" s="204">
        <v>4.4290000000000003</v>
      </c>
      <c r="G26" s="204">
        <v>4.2949999999999999</v>
      </c>
      <c r="H26" s="204">
        <v>4.4340000000000002</v>
      </c>
      <c r="I26" s="147"/>
      <c r="J26" s="37" t="s">
        <v>14</v>
      </c>
      <c r="K26" s="44" t="s">
        <v>47</v>
      </c>
      <c r="L26" s="80" t="s">
        <v>738</v>
      </c>
    </row>
    <row r="27" spans="1:12" s="5" customFormat="1" x14ac:dyDescent="0.25">
      <c r="A27" s="260" t="s">
        <v>1190</v>
      </c>
      <c r="B27" s="205">
        <v>130.46700000000001</v>
      </c>
      <c r="C27" s="205">
        <v>121.648</v>
      </c>
      <c r="D27" s="205">
        <v>117.598</v>
      </c>
      <c r="E27" s="205">
        <v>115.574</v>
      </c>
      <c r="F27" s="205">
        <v>115.709</v>
      </c>
      <c r="G27" s="205">
        <v>114.886</v>
      </c>
      <c r="H27" s="205">
        <v>117.88</v>
      </c>
      <c r="I27" s="147"/>
      <c r="J27" s="37" t="s">
        <v>14</v>
      </c>
      <c r="K27" s="44" t="s">
        <v>47</v>
      </c>
      <c r="L27" s="80" t="s">
        <v>738</v>
      </c>
    </row>
    <row r="28" spans="1:12" s="5" customFormat="1" x14ac:dyDescent="0.25">
      <c r="A28" s="268" t="s">
        <v>1191</v>
      </c>
      <c r="B28" s="205">
        <v>27.509</v>
      </c>
      <c r="C28" s="205">
        <v>25.664000000000001</v>
      </c>
      <c r="D28" s="205">
        <v>28.922999999999998</v>
      </c>
      <c r="E28" s="205">
        <v>29.341999999999999</v>
      </c>
      <c r="F28" s="205">
        <v>28.411000000000001</v>
      </c>
      <c r="G28" s="205">
        <v>28.821000000000002</v>
      </c>
      <c r="H28" s="205">
        <v>30.094999999999999</v>
      </c>
      <c r="I28" s="244"/>
      <c r="J28" s="37" t="s">
        <v>14</v>
      </c>
      <c r="K28" s="44" t="s">
        <v>47</v>
      </c>
      <c r="L28" s="80" t="s">
        <v>738</v>
      </c>
    </row>
    <row r="29" spans="1:12" s="5" customFormat="1" x14ac:dyDescent="0.25">
      <c r="A29" s="268" t="s">
        <v>1172</v>
      </c>
      <c r="B29" s="204">
        <v>1.1379999999999999</v>
      </c>
      <c r="C29" s="204">
        <v>1.262</v>
      </c>
      <c r="D29" s="204">
        <v>1.6140000000000001</v>
      </c>
      <c r="E29" s="204">
        <v>1.5569999999999999</v>
      </c>
      <c r="F29" s="204">
        <v>1.643</v>
      </c>
      <c r="G29" s="204">
        <v>1.7390000000000001</v>
      </c>
      <c r="H29" s="204">
        <v>1.806</v>
      </c>
      <c r="I29" s="147"/>
      <c r="J29" s="37" t="s">
        <v>14</v>
      </c>
      <c r="K29" s="44" t="s">
        <v>47</v>
      </c>
      <c r="L29" s="80" t="s">
        <v>738</v>
      </c>
    </row>
    <row r="30" spans="1:12" x14ac:dyDescent="0.25">
      <c r="A30" s="45"/>
      <c r="B30" s="252"/>
      <c r="C30" s="143"/>
      <c r="D30" s="143"/>
      <c r="E30" s="143"/>
      <c r="F30" s="143"/>
      <c r="G30" s="143"/>
      <c r="H30" s="143"/>
      <c r="I30" s="143"/>
      <c r="J30" s="46"/>
      <c r="K30" s="47"/>
      <c r="L30" s="59"/>
    </row>
    <row r="31" spans="1:12" s="5" customFormat="1" x14ac:dyDescent="0.25">
      <c r="A31" s="4" t="s">
        <v>19</v>
      </c>
      <c r="B31" s="4">
        <v>2010</v>
      </c>
      <c r="C31" s="4">
        <v>2011</v>
      </c>
      <c r="D31" s="4">
        <v>2012</v>
      </c>
      <c r="E31" s="4">
        <v>2013</v>
      </c>
      <c r="F31" s="4">
        <v>2014</v>
      </c>
      <c r="G31" s="4">
        <v>2015</v>
      </c>
      <c r="H31" s="4">
        <v>2016</v>
      </c>
      <c r="I31" s="74">
        <v>2017</v>
      </c>
      <c r="J31" s="28" t="s">
        <v>800</v>
      </c>
      <c r="K31" s="28" t="s">
        <v>801</v>
      </c>
      <c r="L31" s="4" t="s">
        <v>58</v>
      </c>
    </row>
    <row r="32" spans="1:12" x14ac:dyDescent="0.25">
      <c r="A32" s="188" t="s">
        <v>1050</v>
      </c>
      <c r="B32" s="129"/>
      <c r="C32" s="9">
        <v>0.64</v>
      </c>
      <c r="D32" s="9">
        <v>0.28999999999999998</v>
      </c>
      <c r="E32" s="9">
        <v>0.55000000000000004</v>
      </c>
      <c r="F32" s="9">
        <v>0.34799999999999998</v>
      </c>
      <c r="G32" s="9">
        <v>0.52400000000000002</v>
      </c>
      <c r="H32" s="9">
        <v>0.22700000000000001</v>
      </c>
      <c r="I32" s="148"/>
      <c r="J32" s="40" t="s">
        <v>1052</v>
      </c>
      <c r="K32" s="44" t="s">
        <v>1051</v>
      </c>
      <c r="L32" s="37"/>
    </row>
    <row r="33" spans="1:12" ht="45" x14ac:dyDescent="0.25">
      <c r="A33" s="79" t="s">
        <v>24</v>
      </c>
      <c r="B33" s="122"/>
      <c r="C33" s="122"/>
      <c r="D33" s="83">
        <v>7000</v>
      </c>
      <c r="E33" s="123">
        <v>5350</v>
      </c>
      <c r="F33" s="83">
        <v>5350</v>
      </c>
      <c r="G33" s="122"/>
      <c r="H33" s="122"/>
      <c r="I33" s="122"/>
      <c r="J33" s="37" t="s">
        <v>45</v>
      </c>
      <c r="K33" s="81" t="s">
        <v>1053</v>
      </c>
      <c r="L33" s="80" t="s">
        <v>738</v>
      </c>
    </row>
    <row r="34" spans="1:12" ht="30" x14ac:dyDescent="0.25">
      <c r="A34" s="61" t="s">
        <v>893</v>
      </c>
      <c r="B34" s="122"/>
      <c r="C34" s="140">
        <v>2.7</v>
      </c>
      <c r="D34" s="122"/>
      <c r="E34" s="83">
        <v>5.6</v>
      </c>
      <c r="F34" s="122"/>
      <c r="G34" s="122"/>
      <c r="H34" s="122"/>
      <c r="I34" s="122"/>
      <c r="J34" s="80" t="s">
        <v>1059</v>
      </c>
      <c r="K34" s="81" t="s">
        <v>1058</v>
      </c>
      <c r="L34" s="80" t="s">
        <v>738</v>
      </c>
    </row>
    <row r="38" spans="1:12" x14ac:dyDescent="0.25">
      <c r="K38" s="77"/>
    </row>
    <row r="39" spans="1:12" x14ac:dyDescent="0.25">
      <c r="K39" s="77"/>
    </row>
    <row r="40" spans="1:12" x14ac:dyDescent="0.25">
      <c r="K40" s="77"/>
    </row>
    <row r="41" spans="1:12" x14ac:dyDescent="0.25">
      <c r="K41" s="77"/>
    </row>
    <row r="135" spans="2:9" x14ac:dyDescent="0.25">
      <c r="B135"/>
      <c r="C135"/>
      <c r="D135"/>
      <c r="E135"/>
      <c r="F135"/>
      <c r="G135"/>
      <c r="H135"/>
      <c r="I135"/>
    </row>
    <row r="136" spans="2:9" x14ac:dyDescent="0.25">
      <c r="B136"/>
      <c r="C136"/>
      <c r="D136"/>
      <c r="E136"/>
      <c r="F136"/>
      <c r="G136"/>
      <c r="H136"/>
      <c r="I136"/>
    </row>
    <row r="137" spans="2:9" x14ac:dyDescent="0.25">
      <c r="B137"/>
      <c r="C137"/>
      <c r="D137"/>
      <c r="E137"/>
      <c r="F137"/>
      <c r="G137"/>
      <c r="H137"/>
      <c r="I137"/>
    </row>
    <row r="138" spans="2:9" x14ac:dyDescent="0.25">
      <c r="B138"/>
      <c r="C138"/>
      <c r="D138"/>
      <c r="E138"/>
      <c r="F138"/>
      <c r="G138"/>
      <c r="H138"/>
      <c r="I138"/>
    </row>
    <row r="139" spans="2:9" x14ac:dyDescent="0.25">
      <c r="B139"/>
      <c r="C139"/>
      <c r="D139"/>
      <c r="E139"/>
      <c r="F139"/>
      <c r="G139"/>
      <c r="H139"/>
      <c r="I139"/>
    </row>
    <row r="140" spans="2:9" x14ac:dyDescent="0.25">
      <c r="B140"/>
      <c r="C140"/>
      <c r="D140"/>
      <c r="E140"/>
      <c r="F140"/>
      <c r="G140"/>
      <c r="H140"/>
      <c r="I140"/>
    </row>
    <row r="141" spans="2:9" x14ac:dyDescent="0.25">
      <c r="B141"/>
      <c r="C141"/>
      <c r="D141"/>
      <c r="E141"/>
      <c r="F141"/>
      <c r="G141"/>
      <c r="H141"/>
      <c r="I141"/>
    </row>
    <row r="142" spans="2:9" x14ac:dyDescent="0.25">
      <c r="B142"/>
      <c r="C142"/>
      <c r="D142"/>
      <c r="E142"/>
      <c r="F142"/>
      <c r="G142"/>
      <c r="H142"/>
      <c r="I142"/>
    </row>
    <row r="143" spans="2:9" x14ac:dyDescent="0.25">
      <c r="B143"/>
      <c r="C143"/>
      <c r="D143"/>
      <c r="E143"/>
      <c r="F143"/>
      <c r="G143"/>
      <c r="H143"/>
      <c r="I143"/>
    </row>
    <row r="144" spans="2:9" x14ac:dyDescent="0.25">
      <c r="B144"/>
      <c r="C144"/>
      <c r="D144"/>
      <c r="E144"/>
      <c r="F144"/>
      <c r="G144"/>
      <c r="H144"/>
      <c r="I144"/>
    </row>
  </sheetData>
  <mergeCells count="1">
    <mergeCell ref="A1:A2"/>
  </mergeCells>
  <hyperlinks>
    <hyperlink ref="K6" r:id="rId1" xr:uid="{00000000-0004-0000-0D00-000000000000}"/>
    <hyperlink ref="K9" r:id="rId2" xr:uid="{00000000-0004-0000-0D00-000001000000}"/>
    <hyperlink ref="K33" r:id="rId3" display="http://energyrecoverycouncil.org/wp-content/uploads/2016/01/ERC_2014_Directory.pdf" xr:uid="{00000000-0004-0000-0D00-000002000000}"/>
    <hyperlink ref="K8" r:id="rId4" xr:uid="{00000000-0004-0000-0D00-000003000000}"/>
    <hyperlink ref="K5" r:id="rId5" xr:uid="{00000000-0004-0000-0D00-000005000000}"/>
    <hyperlink ref="K7" r:id="rId6" xr:uid="{00000000-0004-0000-0D00-000006000000}"/>
    <hyperlink ref="K4" r:id="rId7" display="http://energyrecoverycouncil.org/wp-content/uploads/2016/06/ERC-2016-directory.pdf" xr:uid="{00000000-0004-0000-0D00-000007000000}"/>
    <hyperlink ref="K21" r:id="rId8" xr:uid="{00000000-0004-0000-0D00-000010000000}"/>
    <hyperlink ref="K20:K22" r:id="rId9" display="http://www.eia.gov/electricity/annual/html/epa_05_07_a.html" xr:uid="{00000000-0004-0000-0D00-000011000000}"/>
    <hyperlink ref="K19" r:id="rId10" xr:uid="{00000000-0004-0000-0D00-000012000000}"/>
    <hyperlink ref="K18" r:id="rId11" xr:uid="{00000000-0004-0000-0D00-000013000000}"/>
    <hyperlink ref="K16" r:id="rId12" xr:uid="{6F1E3797-93F4-493D-B544-133DAC35DA2C}"/>
    <hyperlink ref="K17" r:id="rId13" xr:uid="{45695B7F-145B-4C16-A096-5C5B58306B48}"/>
    <hyperlink ref="K28" r:id="rId14" xr:uid="{974394CB-7FE0-4995-873E-E44659B4297E}"/>
    <hyperlink ref="K27:K29" r:id="rId15" display="http://www.eia.gov/electricity/annual/html/epa_05_07_a.html" xr:uid="{6384CC91-D789-4099-B8E3-4B0F9A974F40}"/>
    <hyperlink ref="K26" r:id="rId16" xr:uid="{1C5333E5-5267-4644-B957-EA7DAF1A7D27}"/>
    <hyperlink ref="K25" r:id="rId17" xr:uid="{3F3DD583-9CC2-4724-9519-B5B03F985D48}"/>
    <hyperlink ref="K23" r:id="rId18" xr:uid="{CDD5CF98-AA33-40AD-859A-3241FE2B173C}"/>
    <hyperlink ref="K24" r:id="rId19" xr:uid="{36200734-EF4B-4115-A035-EFCB1EDCD6EF}"/>
  </hyperlinks>
  <pageMargins left="0.7" right="0.7" top="0.75" bottom="0.75" header="0.3" footer="0.3"/>
  <pageSetup orientation="portrait" r:id="rId20"/>
  <drawing r:id="rId2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8306C"/>
  </sheetPr>
  <dimension ref="A1:M38"/>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73.85546875" style="40" customWidth="1"/>
    <col min="2" max="9" width="11.7109375" style="40" customWidth="1"/>
    <col min="10" max="10" width="28.7109375" style="40" bestFit="1" customWidth="1"/>
    <col min="11" max="11" width="70.85546875" style="40" bestFit="1" customWidth="1"/>
    <col min="12" max="12" width="22.140625" style="40" customWidth="1"/>
    <col min="13" max="13" width="20.5703125" style="40" customWidth="1"/>
    <col min="14" max="16384" width="8.85546875" style="40"/>
  </cols>
  <sheetData>
    <row r="1" spans="1:13" x14ac:dyDescent="0.25">
      <c r="A1" s="388" t="s">
        <v>726</v>
      </c>
    </row>
    <row r="2" spans="1:13" x14ac:dyDescent="0.25">
      <c r="A2" s="389"/>
    </row>
    <row r="3" spans="1:13" s="5" customFormat="1" x14ac:dyDescent="0.25">
      <c r="A3" s="4" t="s">
        <v>12</v>
      </c>
      <c r="B3" s="4">
        <v>2010</v>
      </c>
      <c r="C3" s="4">
        <v>2011</v>
      </c>
      <c r="D3" s="4">
        <v>2012</v>
      </c>
      <c r="E3" s="4">
        <v>2013</v>
      </c>
      <c r="F3" s="4">
        <v>2014</v>
      </c>
      <c r="G3" s="4">
        <v>2015</v>
      </c>
      <c r="H3" s="4">
        <v>2016</v>
      </c>
      <c r="I3" s="74">
        <v>2017</v>
      </c>
      <c r="J3" s="28" t="s">
        <v>800</v>
      </c>
      <c r="K3" s="28" t="s">
        <v>801</v>
      </c>
      <c r="L3" s="74" t="s">
        <v>58</v>
      </c>
    </row>
    <row r="4" spans="1:13" x14ac:dyDescent="0.25">
      <c r="A4" s="37" t="s">
        <v>920</v>
      </c>
      <c r="B4" s="9">
        <v>154</v>
      </c>
      <c r="C4" s="9">
        <v>181</v>
      </c>
      <c r="D4" s="9">
        <v>211</v>
      </c>
      <c r="E4" s="9">
        <v>234</v>
      </c>
      <c r="F4" s="9">
        <v>242</v>
      </c>
      <c r="G4" s="9">
        <v>246</v>
      </c>
      <c r="H4" s="9">
        <v>248</v>
      </c>
      <c r="I4" s="83">
        <v>250</v>
      </c>
      <c r="J4" s="24" t="s">
        <v>18</v>
      </c>
      <c r="K4" s="81" t="s">
        <v>48</v>
      </c>
      <c r="L4" s="80" t="s">
        <v>738</v>
      </c>
      <c r="M4" s="55"/>
    </row>
    <row r="5" spans="1:13" x14ac:dyDescent="0.25">
      <c r="A5" s="24" t="s">
        <v>1200</v>
      </c>
      <c r="B5" s="9">
        <v>45</v>
      </c>
      <c r="C5" s="9">
        <v>58</v>
      </c>
      <c r="D5" s="9">
        <v>76</v>
      </c>
      <c r="E5" s="9">
        <v>90</v>
      </c>
      <c r="F5" s="9">
        <v>95</v>
      </c>
      <c r="G5" s="9">
        <v>97</v>
      </c>
      <c r="H5" s="9">
        <v>99</v>
      </c>
      <c r="I5" s="83">
        <v>101</v>
      </c>
      <c r="J5" s="24" t="s">
        <v>18</v>
      </c>
      <c r="K5" s="44" t="s">
        <v>48</v>
      </c>
      <c r="L5" s="80" t="s">
        <v>738</v>
      </c>
    </row>
    <row r="6" spans="1:13" x14ac:dyDescent="0.25">
      <c r="A6" s="24" t="s">
        <v>1201</v>
      </c>
      <c r="B6" s="9">
        <v>25</v>
      </c>
      <c r="C6" s="9">
        <v>25</v>
      </c>
      <c r="D6" s="9">
        <v>27</v>
      </c>
      <c r="E6" s="9">
        <v>27</v>
      </c>
      <c r="F6" s="9">
        <v>28</v>
      </c>
      <c r="G6" s="9">
        <v>28</v>
      </c>
      <c r="H6" s="9">
        <v>28</v>
      </c>
      <c r="I6" s="83">
        <v>28</v>
      </c>
      <c r="J6" s="24" t="s">
        <v>18</v>
      </c>
      <c r="K6" s="44" t="s">
        <v>48</v>
      </c>
      <c r="L6" s="80" t="s">
        <v>738</v>
      </c>
    </row>
    <row r="7" spans="1:13" x14ac:dyDescent="0.25">
      <c r="A7" s="24" t="s">
        <v>1202</v>
      </c>
      <c r="B7" s="9">
        <v>13</v>
      </c>
      <c r="C7" s="9">
        <v>14</v>
      </c>
      <c r="D7" s="9">
        <v>14</v>
      </c>
      <c r="E7" s="9">
        <v>14</v>
      </c>
      <c r="F7" s="9">
        <v>15</v>
      </c>
      <c r="G7" s="9">
        <v>14</v>
      </c>
      <c r="H7" s="9">
        <v>14</v>
      </c>
      <c r="I7" s="83">
        <v>14</v>
      </c>
      <c r="J7" s="24" t="s">
        <v>18</v>
      </c>
      <c r="K7" s="44" t="s">
        <v>48</v>
      </c>
      <c r="L7" s="80" t="s">
        <v>738</v>
      </c>
    </row>
    <row r="8" spans="1:13" x14ac:dyDescent="0.25">
      <c r="A8" s="24" t="s">
        <v>1203</v>
      </c>
      <c r="B8" s="83">
        <v>84</v>
      </c>
      <c r="C8" s="83">
        <v>96</v>
      </c>
      <c r="D8" s="83">
        <v>109</v>
      </c>
      <c r="E8" s="83">
        <v>121</v>
      </c>
      <c r="F8" s="83">
        <v>124</v>
      </c>
      <c r="G8" s="83">
        <v>126</v>
      </c>
      <c r="H8" s="83">
        <v>125</v>
      </c>
      <c r="I8" s="83">
        <v>125</v>
      </c>
      <c r="J8" s="24" t="s">
        <v>18</v>
      </c>
      <c r="K8" s="44" t="s">
        <v>48</v>
      </c>
      <c r="L8" s="80" t="s">
        <v>738</v>
      </c>
    </row>
    <row r="9" spans="1:13" x14ac:dyDescent="0.25">
      <c r="A9" s="37" t="s">
        <v>1204</v>
      </c>
      <c r="B9" s="9">
        <v>0</v>
      </c>
      <c r="C9" s="9">
        <v>1</v>
      </c>
      <c r="D9" s="9">
        <v>4</v>
      </c>
      <c r="E9" s="9">
        <v>1</v>
      </c>
      <c r="F9" s="9">
        <v>0</v>
      </c>
      <c r="G9" s="9">
        <v>2</v>
      </c>
      <c r="H9" s="9">
        <v>2</v>
      </c>
      <c r="I9" s="83">
        <v>3</v>
      </c>
      <c r="J9" s="24" t="s">
        <v>18</v>
      </c>
      <c r="K9" s="44" t="s">
        <v>48</v>
      </c>
      <c r="L9" s="80" t="s">
        <v>738</v>
      </c>
    </row>
    <row r="10" spans="1:13" x14ac:dyDescent="0.25">
      <c r="A10" s="37" t="s">
        <v>1205</v>
      </c>
      <c r="B10" s="9">
        <v>19</v>
      </c>
      <c r="C10" s="9">
        <v>27</v>
      </c>
      <c r="D10" s="9">
        <v>30</v>
      </c>
      <c r="E10" s="9">
        <v>23</v>
      </c>
      <c r="F10" s="9">
        <v>8</v>
      </c>
      <c r="G10" s="9">
        <v>4</v>
      </c>
      <c r="H10" s="9">
        <v>2</v>
      </c>
      <c r="I10" s="83">
        <v>2</v>
      </c>
      <c r="J10" s="24" t="s">
        <v>18</v>
      </c>
      <c r="K10" s="44" t="s">
        <v>48</v>
      </c>
      <c r="L10" s="80" t="s">
        <v>738</v>
      </c>
    </row>
    <row r="11" spans="1:13" x14ac:dyDescent="0.25">
      <c r="A11" s="37" t="s">
        <v>1206</v>
      </c>
      <c r="B11" s="142">
        <v>3</v>
      </c>
      <c r="C11" s="142">
        <v>6</v>
      </c>
      <c r="D11" s="142">
        <v>1</v>
      </c>
      <c r="E11" s="142">
        <v>2</v>
      </c>
      <c r="F11" s="142">
        <v>3</v>
      </c>
      <c r="G11" s="142">
        <v>8</v>
      </c>
      <c r="H11" s="9">
        <v>2</v>
      </c>
      <c r="I11" s="83">
        <v>0</v>
      </c>
      <c r="J11" s="24" t="s">
        <v>18</v>
      </c>
      <c r="K11" s="44" t="s">
        <v>48</v>
      </c>
      <c r="L11" s="80" t="s">
        <v>738</v>
      </c>
    </row>
    <row r="12" spans="1:13" x14ac:dyDescent="0.25">
      <c r="A12" s="37" t="s">
        <v>921</v>
      </c>
      <c r="B12" s="142">
        <v>30</v>
      </c>
      <c r="C12" s="142">
        <v>35</v>
      </c>
      <c r="D12" s="142">
        <v>36</v>
      </c>
      <c r="E12" s="142">
        <v>37</v>
      </c>
      <c r="F12" s="142">
        <v>38</v>
      </c>
      <c r="G12" s="142">
        <v>38</v>
      </c>
      <c r="H12" s="142">
        <v>38</v>
      </c>
      <c r="I12" s="83">
        <v>38</v>
      </c>
      <c r="J12" s="24" t="s">
        <v>18</v>
      </c>
      <c r="K12" s="44" t="s">
        <v>48</v>
      </c>
      <c r="L12" s="80" t="s">
        <v>738</v>
      </c>
    </row>
    <row r="13" spans="1:13" x14ac:dyDescent="0.25">
      <c r="A13" s="37" t="s">
        <v>1207</v>
      </c>
      <c r="B13" s="142">
        <v>583</v>
      </c>
      <c r="C13" s="142">
        <v>648</v>
      </c>
      <c r="D13" s="142">
        <v>706</v>
      </c>
      <c r="E13" s="142">
        <v>763</v>
      </c>
      <c r="F13" s="142">
        <v>804</v>
      </c>
      <c r="G13" s="142">
        <v>819</v>
      </c>
      <c r="H13" s="142">
        <v>836</v>
      </c>
      <c r="I13" s="142">
        <v>849</v>
      </c>
      <c r="J13" s="203" t="s">
        <v>18</v>
      </c>
      <c r="K13" s="297" t="s">
        <v>1210</v>
      </c>
      <c r="L13" s="203" t="s">
        <v>1163</v>
      </c>
    </row>
    <row r="14" spans="1:13" x14ac:dyDescent="0.25">
      <c r="A14" s="37" t="s">
        <v>1208</v>
      </c>
      <c r="B14" s="142">
        <v>46</v>
      </c>
      <c r="C14" s="142">
        <v>46</v>
      </c>
      <c r="D14" s="142">
        <v>49</v>
      </c>
      <c r="E14" s="142">
        <v>49</v>
      </c>
      <c r="F14" s="142">
        <v>49</v>
      </c>
      <c r="G14" s="142">
        <v>49</v>
      </c>
      <c r="H14" s="142">
        <v>49</v>
      </c>
      <c r="I14" s="142">
        <v>49</v>
      </c>
      <c r="J14" s="203" t="s">
        <v>18</v>
      </c>
      <c r="K14" s="297" t="s">
        <v>1210</v>
      </c>
      <c r="L14" s="203" t="s">
        <v>1163</v>
      </c>
    </row>
    <row r="15" spans="1:13" x14ac:dyDescent="0.25">
      <c r="A15" s="45"/>
      <c r="B15" s="143"/>
      <c r="C15" s="143"/>
      <c r="D15" s="143"/>
      <c r="E15" s="143"/>
      <c r="F15" s="143"/>
      <c r="G15" s="143"/>
      <c r="H15" s="143"/>
      <c r="I15" s="143"/>
      <c r="J15" s="47"/>
      <c r="K15" s="47"/>
      <c r="L15" s="48"/>
    </row>
    <row r="16" spans="1:13" s="5" customFormat="1" x14ac:dyDescent="0.25">
      <c r="A16" s="4" t="s">
        <v>49</v>
      </c>
      <c r="B16" s="4">
        <v>2010</v>
      </c>
      <c r="C16" s="4">
        <v>2011</v>
      </c>
      <c r="D16" s="4">
        <v>2012</v>
      </c>
      <c r="E16" s="4">
        <v>2013</v>
      </c>
      <c r="F16" s="4">
        <v>2014</v>
      </c>
      <c r="G16" s="4">
        <v>2015</v>
      </c>
      <c r="H16" s="4">
        <v>2016</v>
      </c>
      <c r="I16" s="74">
        <v>2017</v>
      </c>
      <c r="J16" s="28" t="s">
        <v>800</v>
      </c>
      <c r="K16" s="28" t="s">
        <v>801</v>
      </c>
      <c r="L16" s="74" t="s">
        <v>58</v>
      </c>
    </row>
    <row r="17" spans="1:12" x14ac:dyDescent="0.25">
      <c r="A17" s="61" t="s">
        <v>922</v>
      </c>
      <c r="B17" s="145"/>
      <c r="C17" s="145"/>
      <c r="D17" s="145"/>
      <c r="E17" s="145"/>
      <c r="F17" s="144">
        <v>2.4550000000000001</v>
      </c>
      <c r="G17" s="146"/>
      <c r="H17" s="146"/>
      <c r="I17" s="149"/>
      <c r="J17" s="24" t="s">
        <v>50</v>
      </c>
      <c r="K17" s="81" t="s">
        <v>51</v>
      </c>
      <c r="L17" s="80" t="s">
        <v>738</v>
      </c>
    </row>
    <row r="18" spans="1:12" x14ac:dyDescent="0.25">
      <c r="A18" s="61" t="s">
        <v>923</v>
      </c>
      <c r="B18" s="145"/>
      <c r="C18" s="145"/>
      <c r="D18" s="145"/>
      <c r="E18" s="145"/>
      <c r="F18" s="144">
        <v>2.339</v>
      </c>
      <c r="G18" s="146"/>
      <c r="H18" s="146"/>
      <c r="I18" s="149"/>
      <c r="J18" s="24" t="s">
        <v>50</v>
      </c>
      <c r="K18" s="81" t="s">
        <v>51</v>
      </c>
      <c r="L18" s="80" t="s">
        <v>738</v>
      </c>
    </row>
    <row r="19" spans="1:12" x14ac:dyDescent="0.25">
      <c r="A19" s="61" t="s">
        <v>924</v>
      </c>
      <c r="B19" s="145"/>
      <c r="C19" s="145"/>
      <c r="D19" s="145"/>
      <c r="E19" s="145"/>
      <c r="F19" s="144">
        <v>1.905</v>
      </c>
      <c r="G19" s="146"/>
      <c r="H19" s="146"/>
      <c r="I19" s="149"/>
      <c r="J19" s="24" t="s">
        <v>50</v>
      </c>
      <c r="K19" s="81" t="s">
        <v>51</v>
      </c>
      <c r="L19" s="80" t="s">
        <v>738</v>
      </c>
    </row>
    <row r="20" spans="1:12" x14ac:dyDescent="0.25">
      <c r="A20" s="61" t="s">
        <v>925</v>
      </c>
      <c r="B20" s="145"/>
      <c r="C20" s="145"/>
      <c r="D20" s="145"/>
      <c r="E20" s="145"/>
      <c r="F20" s="144">
        <v>1.1579999999999999</v>
      </c>
      <c r="G20" s="146"/>
      <c r="H20" s="146"/>
      <c r="I20" s="149"/>
      <c r="J20" s="24" t="s">
        <v>50</v>
      </c>
      <c r="K20" s="81" t="s">
        <v>51</v>
      </c>
      <c r="L20" s="80" t="s">
        <v>738</v>
      </c>
    </row>
    <row r="21" spans="1:12" ht="30" x14ac:dyDescent="0.25">
      <c r="A21" s="260" t="s">
        <v>1196</v>
      </c>
      <c r="B21" s="228">
        <v>1.5007690871199999</v>
      </c>
      <c r="C21" s="228">
        <v>2.1536735174360002</v>
      </c>
      <c r="D21" s="228">
        <v>2.8289595765944004</v>
      </c>
      <c r="E21" s="228">
        <v>3.1898447864544006</v>
      </c>
      <c r="F21" s="228">
        <v>3.2540013048544005</v>
      </c>
      <c r="G21" s="228">
        <v>3.2540013048544005</v>
      </c>
      <c r="H21" s="228">
        <v>3.3017693048544006</v>
      </c>
      <c r="I21" s="228">
        <v>3.3174645048544003</v>
      </c>
      <c r="J21" s="80" t="s">
        <v>18</v>
      </c>
      <c r="K21" s="44" t="s">
        <v>48</v>
      </c>
      <c r="L21" s="84" t="s">
        <v>785</v>
      </c>
    </row>
    <row r="22" spans="1:12" x14ac:dyDescent="0.25">
      <c r="A22" s="260" t="s">
        <v>1195</v>
      </c>
      <c r="B22" s="118">
        <v>4761.1220499999999</v>
      </c>
      <c r="C22" s="118">
        <v>5261.6520250000003</v>
      </c>
      <c r="D22" s="118">
        <v>6531.9958350000006</v>
      </c>
      <c r="E22" s="118">
        <v>7481.5093899999993</v>
      </c>
      <c r="F22" s="118">
        <v>7526.3313900000003</v>
      </c>
      <c r="G22" s="118">
        <v>7857.45939</v>
      </c>
      <c r="H22" s="118">
        <v>7857.45939</v>
      </c>
      <c r="I22" s="118">
        <v>7857.45939</v>
      </c>
      <c r="J22" s="24" t="s">
        <v>18</v>
      </c>
      <c r="K22" s="57" t="s">
        <v>48</v>
      </c>
      <c r="L22" s="64" t="s">
        <v>1163</v>
      </c>
    </row>
    <row r="23" spans="1:12" x14ac:dyDescent="0.25">
      <c r="A23" s="37" t="s">
        <v>1198</v>
      </c>
      <c r="B23" s="144">
        <v>1.4244193400000007</v>
      </c>
      <c r="C23" s="144">
        <v>1.6239672099999991</v>
      </c>
      <c r="D23" s="144">
        <v>2.079268659999999</v>
      </c>
      <c r="E23" s="144">
        <v>2.6209886599999992</v>
      </c>
      <c r="F23" s="189">
        <v>2.9980130900000002</v>
      </c>
      <c r="G23" s="144">
        <v>3.1023333399999999</v>
      </c>
      <c r="H23" s="161">
        <v>3.12800323</v>
      </c>
      <c r="I23" s="161">
        <v>3.1886742300000002</v>
      </c>
      <c r="J23" s="24" t="s">
        <v>18</v>
      </c>
      <c r="K23" s="57" t="s">
        <v>48</v>
      </c>
      <c r="L23" s="80" t="s">
        <v>738</v>
      </c>
    </row>
    <row r="24" spans="1:12" ht="30" x14ac:dyDescent="0.25">
      <c r="A24" s="203" t="s">
        <v>2766</v>
      </c>
      <c r="B24" s="205">
        <v>249.53452315832499</v>
      </c>
      <c r="C24" s="205">
        <v>246.27775554512999</v>
      </c>
      <c r="D24" s="205">
        <v>243.989469086295</v>
      </c>
      <c r="E24" s="205">
        <v>240.565534508947</v>
      </c>
      <c r="F24" s="205">
        <v>240.054295778495</v>
      </c>
      <c r="G24" s="205">
        <v>245.40556105131199</v>
      </c>
      <c r="H24" s="205">
        <v>251.828534047445</v>
      </c>
      <c r="I24" s="149"/>
      <c r="J24" s="206" t="s">
        <v>18</v>
      </c>
      <c r="K24" s="295" t="s">
        <v>2768</v>
      </c>
      <c r="L24" s="206" t="s">
        <v>2767</v>
      </c>
    </row>
    <row r="25" spans="1:12" x14ac:dyDescent="0.25">
      <c r="A25" s="203" t="s">
        <v>1199</v>
      </c>
      <c r="B25" s="205">
        <v>106.681</v>
      </c>
      <c r="C25" s="205">
        <v>114.173</v>
      </c>
      <c r="D25" s="205">
        <v>125.92700000000001</v>
      </c>
      <c r="E25" s="205">
        <v>133.18</v>
      </c>
      <c r="F25" s="296">
        <v>141.63200000000001</v>
      </c>
      <c r="G25" s="205">
        <v>138.84100000000001</v>
      </c>
      <c r="H25" s="205">
        <v>137.6</v>
      </c>
      <c r="I25" s="205">
        <v>139.83099999999999</v>
      </c>
      <c r="J25" s="206" t="s">
        <v>14</v>
      </c>
      <c r="K25" s="295" t="s">
        <v>1197</v>
      </c>
      <c r="L25" s="64" t="s">
        <v>2788</v>
      </c>
    </row>
    <row r="26" spans="1:12" x14ac:dyDescent="0.25">
      <c r="A26" s="203" t="s">
        <v>1194</v>
      </c>
      <c r="B26" s="205">
        <v>219954</v>
      </c>
      <c r="C26" s="205">
        <v>235990</v>
      </c>
      <c r="D26" s="205">
        <v>259564</v>
      </c>
      <c r="E26" s="205">
        <v>272798</v>
      </c>
      <c r="F26" s="296">
        <v>287692</v>
      </c>
      <c r="G26" s="205">
        <v>284052</v>
      </c>
      <c r="H26" s="205">
        <v>277720</v>
      </c>
      <c r="I26" s="205">
        <v>282051</v>
      </c>
      <c r="J26" s="206" t="s">
        <v>14</v>
      </c>
      <c r="K26" s="295" t="s">
        <v>1197</v>
      </c>
      <c r="L26" s="64" t="s">
        <v>2788</v>
      </c>
    </row>
    <row r="27" spans="1:12" x14ac:dyDescent="0.25">
      <c r="A27" s="37" t="s">
        <v>1209</v>
      </c>
      <c r="B27" s="118">
        <v>83.899940000000143</v>
      </c>
      <c r="C27" s="118">
        <v>91.965610000000183</v>
      </c>
      <c r="D27" s="118">
        <v>99.652080000000268</v>
      </c>
      <c r="E27" s="118">
        <v>107.74365000000024</v>
      </c>
      <c r="F27" s="118">
        <v>114.94529000000021</v>
      </c>
      <c r="G27" s="118">
        <v>116.47309000000023</v>
      </c>
      <c r="H27" s="118">
        <v>120.82829000000019</v>
      </c>
      <c r="I27" s="118">
        <v>122.66627000000021</v>
      </c>
      <c r="J27" s="24" t="s">
        <v>18</v>
      </c>
      <c r="K27" s="55" t="s">
        <v>1210</v>
      </c>
      <c r="L27" s="64" t="s">
        <v>1163</v>
      </c>
    </row>
    <row r="28" spans="1:12" x14ac:dyDescent="0.25">
      <c r="A28" s="203" t="s">
        <v>2769</v>
      </c>
      <c r="B28" s="205">
        <v>142.09846855534701</v>
      </c>
      <c r="C28" s="205">
        <v>133.02217232584701</v>
      </c>
      <c r="D28" s="205">
        <v>134.03739622368701</v>
      </c>
      <c r="E28" s="205">
        <v>130.20841120125499</v>
      </c>
      <c r="F28" s="205">
        <v>129.75822609420001</v>
      </c>
      <c r="G28" s="205">
        <v>128.88486263028199</v>
      </c>
      <c r="H28" s="205">
        <v>124.60689596118</v>
      </c>
      <c r="I28" s="149"/>
      <c r="J28" s="206" t="s">
        <v>18</v>
      </c>
      <c r="K28" s="367" t="s">
        <v>2768</v>
      </c>
      <c r="L28" s="206" t="s">
        <v>2767</v>
      </c>
    </row>
    <row r="29" spans="1:12" x14ac:dyDescent="0.25">
      <c r="A29" s="45"/>
      <c r="B29" s="143"/>
      <c r="C29" s="143"/>
      <c r="D29" s="143"/>
      <c r="E29" s="143"/>
      <c r="F29" s="143"/>
      <c r="G29" s="143"/>
      <c r="H29" s="143"/>
      <c r="I29" s="143"/>
      <c r="J29" s="47"/>
      <c r="K29" s="47"/>
      <c r="L29" s="48"/>
    </row>
    <row r="30" spans="1:12" s="5" customFormat="1" x14ac:dyDescent="0.25">
      <c r="A30" s="4" t="s">
        <v>52</v>
      </c>
      <c r="B30" s="4">
        <v>2010</v>
      </c>
      <c r="C30" s="4">
        <v>2011</v>
      </c>
      <c r="D30" s="4">
        <v>2012</v>
      </c>
      <c r="E30" s="4">
        <v>2013</v>
      </c>
      <c r="F30" s="4">
        <v>2014</v>
      </c>
      <c r="G30" s="4">
        <v>2015</v>
      </c>
      <c r="H30" s="4">
        <v>2016</v>
      </c>
      <c r="I30" s="74">
        <v>2107</v>
      </c>
      <c r="J30" s="28" t="s">
        <v>800</v>
      </c>
      <c r="K30" s="28" t="s">
        <v>801</v>
      </c>
      <c r="L30" s="74" t="s">
        <v>58</v>
      </c>
    </row>
    <row r="31" spans="1:12" x14ac:dyDescent="0.25">
      <c r="A31" s="61" t="s">
        <v>53</v>
      </c>
      <c r="B31" s="299"/>
      <c r="C31" s="131"/>
      <c r="D31" s="131"/>
      <c r="E31" s="131"/>
      <c r="F31" s="131"/>
      <c r="G31" s="131"/>
      <c r="H31" s="298"/>
      <c r="I31" s="121"/>
      <c r="J31" s="24" t="s">
        <v>18</v>
      </c>
      <c r="K31" s="57"/>
      <c r="L31" s="64"/>
    </row>
    <row r="32" spans="1:12" ht="30" x14ac:dyDescent="0.25">
      <c r="A32" s="61" t="s">
        <v>55</v>
      </c>
      <c r="B32" s="131"/>
      <c r="C32" s="131"/>
      <c r="D32" s="131"/>
      <c r="E32" s="259">
        <v>275000</v>
      </c>
      <c r="F32" s="131"/>
      <c r="G32" s="131"/>
      <c r="H32" s="158"/>
      <c r="I32" s="158"/>
      <c r="J32" s="24" t="s">
        <v>18</v>
      </c>
      <c r="K32" s="57" t="s">
        <v>54</v>
      </c>
      <c r="L32" s="64" t="s">
        <v>1063</v>
      </c>
    </row>
    <row r="33" spans="1:12" ht="30" x14ac:dyDescent="0.25">
      <c r="A33" s="61" t="s">
        <v>56</v>
      </c>
      <c r="B33" s="131"/>
      <c r="C33" s="131"/>
      <c r="D33" s="131"/>
      <c r="E33" s="139">
        <v>18000</v>
      </c>
      <c r="F33" s="131"/>
      <c r="G33" s="131"/>
      <c r="H33" s="131"/>
      <c r="I33" s="121"/>
      <c r="J33" s="24" t="s">
        <v>18</v>
      </c>
      <c r="K33" s="57" t="s">
        <v>54</v>
      </c>
      <c r="L33" s="64" t="s">
        <v>1063</v>
      </c>
    </row>
    <row r="34" spans="1:12" ht="30" x14ac:dyDescent="0.25">
      <c r="A34" s="262" t="s">
        <v>926</v>
      </c>
      <c r="B34" s="131"/>
      <c r="C34" s="131"/>
      <c r="D34" s="131"/>
      <c r="E34" s="139">
        <v>2.9</v>
      </c>
      <c r="F34" s="131"/>
      <c r="G34" s="131"/>
      <c r="H34" s="131"/>
      <c r="I34" s="121"/>
      <c r="J34" s="24" t="s">
        <v>18</v>
      </c>
      <c r="K34" s="57" t="s">
        <v>54</v>
      </c>
      <c r="L34" s="64" t="s">
        <v>1063</v>
      </c>
    </row>
    <row r="35" spans="1:12" x14ac:dyDescent="0.25">
      <c r="A35" s="261" t="s">
        <v>1067</v>
      </c>
    </row>
    <row r="36" spans="1:12" x14ac:dyDescent="0.25">
      <c r="A36" s="261" t="s">
        <v>1068</v>
      </c>
    </row>
    <row r="37" spans="1:12" x14ac:dyDescent="0.25">
      <c r="A37" s="261" t="s">
        <v>1069</v>
      </c>
    </row>
    <row r="38" spans="1:12" x14ac:dyDescent="0.25">
      <c r="A38" s="261" t="s">
        <v>1070</v>
      </c>
    </row>
  </sheetData>
  <mergeCells count="1">
    <mergeCell ref="A1:A2"/>
  </mergeCells>
  <hyperlinks>
    <hyperlink ref="K9" r:id="rId1" xr:uid="{00000000-0004-0000-0E00-000000000000}"/>
    <hyperlink ref="K22" r:id="rId2" xr:uid="{00000000-0004-0000-0E00-000001000000}"/>
    <hyperlink ref="K23" r:id="rId3" xr:uid="{00000000-0004-0000-0E00-000002000000}"/>
    <hyperlink ref="K11" r:id="rId4" xr:uid="{00000000-0004-0000-0E00-000003000000}"/>
    <hyperlink ref="K32" r:id="rId5" xr:uid="{00000000-0004-0000-0E00-000004000000}"/>
    <hyperlink ref="K33" r:id="rId6" xr:uid="{00000000-0004-0000-0E00-000005000000}"/>
    <hyperlink ref="K34" r:id="rId7" xr:uid="{00000000-0004-0000-0E00-000006000000}"/>
    <hyperlink ref="K4" r:id="rId8" xr:uid="{00000000-0004-0000-0E00-000007000000}"/>
    <hyperlink ref="K12" r:id="rId9" xr:uid="{00000000-0004-0000-0E00-000008000000}"/>
    <hyperlink ref="K10" r:id="rId10" xr:uid="{00000000-0004-0000-0E00-000009000000}"/>
    <hyperlink ref="K17" r:id="rId11" xr:uid="{00000000-0004-0000-0E00-00000A000000}"/>
    <hyperlink ref="K18:K20" r:id="rId12" display="http://www.nrel.gov/docs/fy14osti/60283.pdf" xr:uid="{00000000-0004-0000-0E00-00000B000000}"/>
    <hyperlink ref="K8" r:id="rId13" xr:uid="{00000000-0004-0000-0E00-00000C000000}"/>
    <hyperlink ref="K5" r:id="rId14" xr:uid="{00000000-0004-0000-0E00-00000D000000}"/>
    <hyperlink ref="K6" r:id="rId15" xr:uid="{00000000-0004-0000-0E00-00000E000000}"/>
    <hyperlink ref="K7" r:id="rId16" xr:uid="{00000000-0004-0000-0E00-00000F000000}"/>
    <hyperlink ref="K21" r:id="rId17" xr:uid="{00000000-0004-0000-0E00-000010000000}"/>
    <hyperlink ref="K13" r:id="rId18" xr:uid="{00000000-0004-0000-0E00-000011000000}"/>
    <hyperlink ref="K14" r:id="rId19" xr:uid="{00000000-0004-0000-0E00-000012000000}"/>
    <hyperlink ref="K27" r:id="rId20" xr:uid="{00000000-0004-0000-0E00-000013000000}"/>
    <hyperlink ref="K25" r:id="rId21" xr:uid="{BFDF1F7B-B158-4781-9035-5A931892B2B3}"/>
  </hyperlinks>
  <pageMargins left="0.7" right="0.7" top="0.75" bottom="0.75" header="0.3" footer="0.3"/>
  <pageSetup orientation="portrait" r:id="rId22"/>
  <drawing r:id="rId2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93404"/>
  </sheetPr>
  <dimension ref="A1:N90"/>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115.28515625" style="40" bestFit="1" customWidth="1"/>
    <col min="2" max="11" width="11.7109375" style="5" customWidth="1"/>
    <col min="12" max="12" width="24.42578125" style="40" customWidth="1"/>
    <col min="13" max="13" width="96.140625" style="40" bestFit="1" customWidth="1"/>
    <col min="14" max="14" width="73.5703125" style="40" customWidth="1"/>
    <col min="15" max="15" width="12.85546875" style="40" customWidth="1"/>
    <col min="16" max="16384" width="8.85546875" style="40"/>
  </cols>
  <sheetData>
    <row r="1" spans="1:14" x14ac:dyDescent="0.25">
      <c r="A1" s="390" t="s">
        <v>94</v>
      </c>
    </row>
    <row r="2" spans="1:14" x14ac:dyDescent="0.25">
      <c r="A2" s="391"/>
    </row>
    <row r="3" spans="1:14" s="5" customFormat="1" x14ac:dyDescent="0.25">
      <c r="A3" s="4" t="s">
        <v>95</v>
      </c>
      <c r="B3" s="4">
        <v>2008</v>
      </c>
      <c r="C3" s="4">
        <v>2009</v>
      </c>
      <c r="D3" s="4">
        <v>2010</v>
      </c>
      <c r="E3" s="4">
        <v>2011</v>
      </c>
      <c r="F3" s="4">
        <v>2012</v>
      </c>
      <c r="G3" s="4">
        <v>2013</v>
      </c>
      <c r="H3" s="4">
        <v>2014</v>
      </c>
      <c r="I3" s="4">
        <v>2015</v>
      </c>
      <c r="J3" s="4">
        <v>2016</v>
      </c>
      <c r="K3" s="74">
        <v>2017</v>
      </c>
      <c r="L3" s="4" t="s">
        <v>765</v>
      </c>
      <c r="M3" s="28" t="s">
        <v>766</v>
      </c>
      <c r="N3" s="28" t="s">
        <v>58</v>
      </c>
    </row>
    <row r="4" spans="1:14" ht="30" x14ac:dyDescent="0.25">
      <c r="A4" s="61" t="s">
        <v>96</v>
      </c>
      <c r="B4" s="244"/>
      <c r="C4" s="233">
        <v>13.343999999999999</v>
      </c>
      <c r="D4" s="233">
        <v>19.021999999999998</v>
      </c>
      <c r="E4" s="233">
        <v>19.978000000000002</v>
      </c>
      <c r="F4" s="233">
        <v>22.617999999999999</v>
      </c>
      <c r="G4" s="233">
        <v>25.568000000000001</v>
      </c>
      <c r="H4" s="233">
        <v>26.794</v>
      </c>
      <c r="I4" s="233">
        <v>26.045999999999999</v>
      </c>
      <c r="J4" s="244"/>
      <c r="K4" s="244"/>
      <c r="L4" s="206" t="s">
        <v>1013</v>
      </c>
      <c r="M4" s="209" t="s">
        <v>1014</v>
      </c>
      <c r="N4" s="24" t="s">
        <v>738</v>
      </c>
    </row>
    <row r="5" spans="1:14" ht="30" x14ac:dyDescent="0.25">
      <c r="A5" s="61" t="s">
        <v>1015</v>
      </c>
      <c r="B5" s="244"/>
      <c r="C5" s="233">
        <v>33.427</v>
      </c>
      <c r="D5" s="233">
        <v>35.694000000000003</v>
      </c>
      <c r="E5" s="233">
        <v>38.137999999999998</v>
      </c>
      <c r="F5" s="233">
        <v>38.066000000000003</v>
      </c>
      <c r="G5" s="233">
        <v>38.454000000000001</v>
      </c>
      <c r="H5" s="233">
        <v>38.874000000000002</v>
      </c>
      <c r="I5" s="245"/>
      <c r="J5" s="244"/>
      <c r="K5" s="244"/>
      <c r="L5" s="206" t="s">
        <v>1013</v>
      </c>
      <c r="M5" s="209" t="s">
        <v>1014</v>
      </c>
      <c r="N5" s="24" t="s">
        <v>738</v>
      </c>
    </row>
    <row r="6" spans="1:14" ht="30" x14ac:dyDescent="0.25">
      <c r="A6" s="62" t="s">
        <v>1016</v>
      </c>
      <c r="B6" s="244"/>
      <c r="C6" s="233">
        <v>8.4030000000000005</v>
      </c>
      <c r="D6" s="233">
        <v>9.109</v>
      </c>
      <c r="E6" s="233">
        <v>11.792</v>
      </c>
      <c r="F6" s="233">
        <v>10.012</v>
      </c>
      <c r="G6" s="233">
        <v>9.9290000000000003</v>
      </c>
      <c r="H6" s="233">
        <v>13.94</v>
      </c>
      <c r="I6" s="233">
        <v>24.861000000000001</v>
      </c>
      <c r="J6" s="244"/>
      <c r="K6" s="244"/>
      <c r="L6" s="206" t="s">
        <v>1013</v>
      </c>
      <c r="M6" s="209" t="s">
        <v>1014</v>
      </c>
      <c r="N6" s="24" t="s">
        <v>738</v>
      </c>
    </row>
    <row r="7" spans="1:14" x14ac:dyDescent="0.25">
      <c r="A7" s="50"/>
      <c r="B7" s="124"/>
      <c r="C7" s="124"/>
      <c r="D7" s="124"/>
      <c r="E7" s="124"/>
      <c r="F7" s="124"/>
      <c r="G7" s="124"/>
      <c r="H7" s="124"/>
      <c r="I7" s="124"/>
      <c r="J7" s="124"/>
      <c r="K7" s="120"/>
      <c r="L7" s="52"/>
      <c r="M7" s="52"/>
      <c r="N7" s="53"/>
    </row>
    <row r="8" spans="1:14" s="5" customFormat="1" x14ac:dyDescent="0.25">
      <c r="A8" s="35" t="s">
        <v>97</v>
      </c>
      <c r="B8" s="35">
        <v>2008</v>
      </c>
      <c r="C8" s="35">
        <v>2009</v>
      </c>
      <c r="D8" s="35">
        <v>2010</v>
      </c>
      <c r="E8" s="35">
        <v>2011</v>
      </c>
      <c r="F8" s="35">
        <v>2012</v>
      </c>
      <c r="G8" s="35">
        <v>2013</v>
      </c>
      <c r="H8" s="35">
        <v>2014</v>
      </c>
      <c r="I8" s="35">
        <v>2015</v>
      </c>
      <c r="J8" s="35">
        <v>2016</v>
      </c>
      <c r="K8" s="74">
        <v>2017</v>
      </c>
      <c r="L8" s="4" t="s">
        <v>765</v>
      </c>
      <c r="M8" s="28" t="s">
        <v>766</v>
      </c>
      <c r="N8" s="11"/>
    </row>
    <row r="9" spans="1:14" ht="30" x14ac:dyDescent="0.25">
      <c r="A9" s="61" t="s">
        <v>1024</v>
      </c>
      <c r="B9" s="129"/>
      <c r="C9" s="129"/>
      <c r="D9" s="129"/>
      <c r="E9" s="129"/>
      <c r="F9" s="129"/>
      <c r="G9" s="144">
        <v>1.52</v>
      </c>
      <c r="H9" s="144">
        <v>1.528</v>
      </c>
      <c r="I9" s="129"/>
      <c r="J9" s="129"/>
      <c r="K9" s="122"/>
      <c r="L9" s="24" t="s">
        <v>1017</v>
      </c>
      <c r="M9" s="44" t="s">
        <v>1018</v>
      </c>
      <c r="N9" s="24" t="s">
        <v>738</v>
      </c>
    </row>
    <row r="10" spans="1:14" ht="30" x14ac:dyDescent="0.25">
      <c r="A10" s="61" t="s">
        <v>1025</v>
      </c>
      <c r="B10" s="129"/>
      <c r="C10" s="129"/>
      <c r="D10" s="129"/>
      <c r="E10" s="129"/>
      <c r="F10" s="129"/>
      <c r="G10" s="144">
        <v>2.5</v>
      </c>
      <c r="H10" s="144">
        <v>2.6949999999999998</v>
      </c>
      <c r="I10" s="129"/>
      <c r="J10" s="129"/>
      <c r="K10" s="122"/>
      <c r="L10" s="24" t="s">
        <v>1017</v>
      </c>
      <c r="M10" s="44" t="s">
        <v>1018</v>
      </c>
      <c r="N10" s="24" t="s">
        <v>738</v>
      </c>
    </row>
    <row r="11" spans="1:14" ht="30" x14ac:dyDescent="0.25">
      <c r="A11" s="61" t="s">
        <v>1026</v>
      </c>
      <c r="B11" s="129"/>
      <c r="C11" s="129"/>
      <c r="D11" s="129"/>
      <c r="E11" s="129"/>
      <c r="F11" s="129"/>
      <c r="G11" s="144">
        <v>4.0199999999999996</v>
      </c>
      <c r="H11" s="144">
        <v>4.2229999999999999</v>
      </c>
      <c r="I11" s="129"/>
      <c r="J11" s="129"/>
      <c r="K11" s="122"/>
      <c r="L11" s="24" t="s">
        <v>1017</v>
      </c>
      <c r="M11" s="44" t="s">
        <v>1018</v>
      </c>
      <c r="N11" s="24" t="s">
        <v>738</v>
      </c>
    </row>
    <row r="12" spans="1:14" ht="30" x14ac:dyDescent="0.25">
      <c r="A12" s="61" t="s">
        <v>1021</v>
      </c>
      <c r="B12" s="129"/>
      <c r="C12" s="129"/>
      <c r="D12" s="129"/>
      <c r="E12" s="129"/>
      <c r="F12" s="129"/>
      <c r="G12" s="134">
        <v>125.75</v>
      </c>
      <c r="H12" s="9">
        <v>127</v>
      </c>
      <c r="I12" s="129"/>
      <c r="J12" s="129"/>
      <c r="K12" s="122"/>
      <c r="L12" s="24" t="s">
        <v>1017</v>
      </c>
      <c r="M12" s="44" t="s">
        <v>1018</v>
      </c>
      <c r="N12" s="24" t="s">
        <v>738</v>
      </c>
    </row>
    <row r="13" spans="1:14" ht="30" x14ac:dyDescent="0.25">
      <c r="A13" s="61" t="s">
        <v>1022</v>
      </c>
      <c r="B13" s="129"/>
      <c r="C13" s="129"/>
      <c r="D13" s="129"/>
      <c r="E13" s="129"/>
      <c r="F13" s="129"/>
      <c r="G13" s="129"/>
      <c r="H13" s="9">
        <v>266</v>
      </c>
      <c r="I13" s="129"/>
      <c r="J13" s="129"/>
      <c r="K13" s="122"/>
      <c r="L13" s="24" t="s">
        <v>1017</v>
      </c>
      <c r="M13" s="44" t="s">
        <v>1018</v>
      </c>
      <c r="N13" s="24" t="s">
        <v>738</v>
      </c>
    </row>
    <row r="14" spans="1:14" ht="30" x14ac:dyDescent="0.25">
      <c r="A14" s="61" t="s">
        <v>1023</v>
      </c>
      <c r="B14" s="129"/>
      <c r="C14" s="129"/>
      <c r="D14" s="129"/>
      <c r="E14" s="129"/>
      <c r="F14" s="9">
        <v>353</v>
      </c>
      <c r="G14" s="9">
        <v>369</v>
      </c>
      <c r="H14" s="9">
        <v>393</v>
      </c>
      <c r="I14" s="129"/>
      <c r="J14" s="129"/>
      <c r="K14" s="122"/>
      <c r="L14" s="24" t="s">
        <v>1017</v>
      </c>
      <c r="M14" s="44" t="s">
        <v>1019</v>
      </c>
      <c r="N14" s="24" t="s">
        <v>738</v>
      </c>
    </row>
    <row r="15" spans="1:14" ht="30" x14ac:dyDescent="0.25">
      <c r="A15" s="270" t="s">
        <v>1102</v>
      </c>
      <c r="B15" s="154"/>
      <c r="C15" s="154"/>
      <c r="D15" s="154"/>
      <c r="E15" s="154"/>
      <c r="F15" s="154"/>
      <c r="G15" s="6">
        <v>2.64</v>
      </c>
      <c r="H15" s="6">
        <v>2.76</v>
      </c>
      <c r="I15" s="154"/>
      <c r="J15" s="154"/>
      <c r="K15" s="119"/>
      <c r="L15" s="24" t="s">
        <v>1017</v>
      </c>
      <c r="M15" s="44" t="s">
        <v>1018</v>
      </c>
      <c r="N15" s="24" t="s">
        <v>738</v>
      </c>
    </row>
    <row r="16" spans="1:14" x14ac:dyDescent="0.25">
      <c r="A16" s="50"/>
      <c r="B16" s="124"/>
      <c r="C16" s="124"/>
      <c r="D16" s="124"/>
      <c r="E16" s="124"/>
      <c r="F16" s="124"/>
      <c r="G16" s="124"/>
      <c r="H16" s="124"/>
      <c r="I16" s="124"/>
      <c r="J16" s="124"/>
      <c r="K16" s="120"/>
      <c r="L16" s="52"/>
      <c r="M16" s="52"/>
      <c r="N16" s="53"/>
    </row>
    <row r="17" spans="1:14" s="5" customFormat="1" x14ac:dyDescent="0.25">
      <c r="A17" s="35" t="s">
        <v>100</v>
      </c>
      <c r="B17" s="35">
        <v>2008</v>
      </c>
      <c r="C17" s="35">
        <v>2009</v>
      </c>
      <c r="D17" s="35">
        <v>2010</v>
      </c>
      <c r="E17" s="35">
        <v>2011</v>
      </c>
      <c r="F17" s="35">
        <v>2012</v>
      </c>
      <c r="G17" s="35">
        <v>2013</v>
      </c>
      <c r="H17" s="35">
        <v>2014</v>
      </c>
      <c r="I17" s="35">
        <v>2015</v>
      </c>
      <c r="J17" s="35">
        <v>2016</v>
      </c>
      <c r="K17" s="74">
        <v>2017</v>
      </c>
      <c r="L17" s="4" t="s">
        <v>765</v>
      </c>
      <c r="M17" s="28" t="s">
        <v>766</v>
      </c>
      <c r="N17" s="29" t="s">
        <v>58</v>
      </c>
    </row>
    <row r="18" spans="1:14" x14ac:dyDescent="0.25">
      <c r="A18" s="62" t="s">
        <v>101</v>
      </c>
      <c r="B18" s="154"/>
      <c r="C18" s="154"/>
      <c r="D18" s="154"/>
      <c r="E18" s="154"/>
      <c r="F18" s="154"/>
      <c r="G18" s="154"/>
      <c r="H18" s="6">
        <v>150</v>
      </c>
      <c r="I18" s="154"/>
      <c r="J18" s="138"/>
      <c r="K18" s="246"/>
      <c r="L18" s="206" t="s">
        <v>1020</v>
      </c>
      <c r="M18" s="43" t="s">
        <v>98</v>
      </c>
      <c r="N18" s="24" t="s">
        <v>738</v>
      </c>
    </row>
    <row r="19" spans="1:14" x14ac:dyDescent="0.25">
      <c r="A19" s="50"/>
      <c r="B19" s="124"/>
      <c r="C19" s="124"/>
      <c r="D19" s="124"/>
      <c r="E19" s="124"/>
      <c r="F19" s="124"/>
      <c r="G19" s="124"/>
      <c r="H19" s="124"/>
      <c r="I19" s="124"/>
      <c r="J19" s="124"/>
      <c r="K19" s="120"/>
      <c r="L19" s="241"/>
      <c r="M19" s="112"/>
      <c r="N19" s="53"/>
    </row>
    <row r="20" spans="1:14" s="5" customFormat="1" x14ac:dyDescent="0.25">
      <c r="A20" s="198" t="s">
        <v>102</v>
      </c>
      <c r="B20" s="35">
        <v>2008</v>
      </c>
      <c r="C20" s="35">
        <v>2009</v>
      </c>
      <c r="D20" s="35">
        <v>2010</v>
      </c>
      <c r="E20" s="35">
        <v>2011</v>
      </c>
      <c r="F20" s="35">
        <v>2012</v>
      </c>
      <c r="G20" s="35">
        <v>2013</v>
      </c>
      <c r="H20" s="35">
        <v>2014</v>
      </c>
      <c r="I20" s="35">
        <v>2015</v>
      </c>
      <c r="J20" s="35">
        <v>2016</v>
      </c>
      <c r="K20" s="239">
        <v>2017</v>
      </c>
      <c r="L20" s="242" t="s">
        <v>765</v>
      </c>
      <c r="M20" s="240" t="s">
        <v>766</v>
      </c>
      <c r="N20" s="29" t="s">
        <v>58</v>
      </c>
    </row>
    <row r="21" spans="1:14" ht="30" x14ac:dyDescent="0.25">
      <c r="A21" s="61" t="s">
        <v>104</v>
      </c>
      <c r="B21" s="128">
        <v>32</v>
      </c>
      <c r="C21" s="128">
        <v>42</v>
      </c>
      <c r="D21" s="128">
        <v>50</v>
      </c>
      <c r="E21" s="128">
        <v>64</v>
      </c>
      <c r="F21" s="128">
        <v>89</v>
      </c>
      <c r="G21" s="128">
        <v>97</v>
      </c>
      <c r="H21" s="128">
        <v>97</v>
      </c>
      <c r="I21" s="9">
        <v>97</v>
      </c>
      <c r="J21" s="9">
        <v>97</v>
      </c>
      <c r="K21" s="130">
        <v>109</v>
      </c>
      <c r="L21" s="206" t="s">
        <v>2771</v>
      </c>
      <c r="M21" s="160" t="s">
        <v>2772</v>
      </c>
      <c r="N21" s="24" t="s">
        <v>2765</v>
      </c>
    </row>
    <row r="22" spans="1:14" ht="30" x14ac:dyDescent="0.25">
      <c r="A22" s="61" t="s">
        <v>105</v>
      </c>
      <c r="B22" s="138"/>
      <c r="C22" s="138"/>
      <c r="D22" s="138"/>
      <c r="E22" s="128">
        <v>50</v>
      </c>
      <c r="F22" s="128">
        <v>75</v>
      </c>
      <c r="G22" s="128">
        <v>97</v>
      </c>
      <c r="H22" s="128">
        <v>98</v>
      </c>
      <c r="I22" s="9">
        <v>99</v>
      </c>
      <c r="J22" s="9">
        <v>100</v>
      </c>
      <c r="K22" s="246"/>
      <c r="L22" s="206" t="s">
        <v>2771</v>
      </c>
      <c r="M22" s="160" t="s">
        <v>2773</v>
      </c>
      <c r="N22" s="24" t="s">
        <v>1037</v>
      </c>
    </row>
    <row r="23" spans="1:14" ht="30" x14ac:dyDescent="0.25">
      <c r="A23" s="61" t="s">
        <v>106</v>
      </c>
      <c r="B23" s="128">
        <v>32</v>
      </c>
      <c r="C23" s="128">
        <v>42</v>
      </c>
      <c r="D23" s="128">
        <v>50</v>
      </c>
      <c r="E23" s="128">
        <v>114</v>
      </c>
      <c r="F23" s="128">
        <v>164</v>
      </c>
      <c r="G23" s="128">
        <v>194</v>
      </c>
      <c r="H23" s="128">
        <v>195</v>
      </c>
      <c r="I23" s="9">
        <v>196</v>
      </c>
      <c r="J23" s="9">
        <v>197</v>
      </c>
      <c r="K23" s="246"/>
      <c r="L23" s="206" t="s">
        <v>2771</v>
      </c>
      <c r="M23" s="160" t="s">
        <v>2773</v>
      </c>
      <c r="N23" s="24" t="s">
        <v>1037</v>
      </c>
    </row>
    <row r="24" spans="1:14" ht="45" x14ac:dyDescent="0.25">
      <c r="A24" s="61" t="s">
        <v>103</v>
      </c>
      <c r="B24" s="128">
        <v>17197</v>
      </c>
      <c r="C24" s="128">
        <v>24361</v>
      </c>
      <c r="D24" s="128">
        <v>30334</v>
      </c>
      <c r="E24" s="128">
        <v>36053</v>
      </c>
      <c r="F24" s="128">
        <v>38978</v>
      </c>
      <c r="G24" s="128">
        <v>39626</v>
      </c>
      <c r="H24" s="128">
        <v>40424</v>
      </c>
      <c r="I24" s="157"/>
      <c r="J24" s="157"/>
      <c r="K24" s="247"/>
      <c r="L24" s="206" t="s">
        <v>2771</v>
      </c>
      <c r="M24" s="160" t="s">
        <v>2773</v>
      </c>
      <c r="N24" s="24" t="s">
        <v>1038</v>
      </c>
    </row>
    <row r="25" spans="1:14" ht="30" x14ac:dyDescent="0.25">
      <c r="A25" s="61" t="s">
        <v>107</v>
      </c>
      <c r="B25" s="129"/>
      <c r="C25" s="129"/>
      <c r="D25" s="129"/>
      <c r="E25" s="129"/>
      <c r="F25" s="129"/>
      <c r="G25" s="129"/>
      <c r="H25" s="128">
        <v>14200</v>
      </c>
      <c r="I25" s="9" t="s">
        <v>108</v>
      </c>
      <c r="J25" s="131"/>
      <c r="K25" s="248"/>
      <c r="L25" s="24" t="s">
        <v>2775</v>
      </c>
      <c r="M25" s="43" t="s">
        <v>2774</v>
      </c>
      <c r="N25" s="24" t="s">
        <v>1039</v>
      </c>
    </row>
    <row r="26" spans="1:14" x14ac:dyDescent="0.25">
      <c r="A26" s="61" t="s">
        <v>110</v>
      </c>
      <c r="B26" s="129"/>
      <c r="C26" s="129"/>
      <c r="D26" s="129"/>
      <c r="E26" s="129"/>
      <c r="F26" s="129"/>
      <c r="G26" s="129"/>
      <c r="H26" s="9" t="s">
        <v>111</v>
      </c>
      <c r="I26" s="9" t="s">
        <v>111</v>
      </c>
      <c r="J26" s="131"/>
      <c r="K26" s="248"/>
      <c r="L26" s="24" t="s">
        <v>1017</v>
      </c>
      <c r="M26" s="43" t="s">
        <v>99</v>
      </c>
      <c r="N26" s="24" t="s">
        <v>738</v>
      </c>
    </row>
    <row r="27" spans="1:14" x14ac:dyDescent="0.25">
      <c r="A27" s="69" t="s">
        <v>112</v>
      </c>
      <c r="B27" s="138"/>
      <c r="C27" s="138"/>
      <c r="D27" s="138"/>
      <c r="E27" s="138"/>
      <c r="F27" s="138"/>
      <c r="G27" s="138"/>
      <c r="H27" s="128">
        <v>1800</v>
      </c>
      <c r="I27" s="128">
        <v>2500</v>
      </c>
      <c r="J27" s="128">
        <v>2900</v>
      </c>
      <c r="K27" s="246"/>
      <c r="L27" s="206" t="s">
        <v>28</v>
      </c>
      <c r="M27" s="44" t="s">
        <v>2773</v>
      </c>
      <c r="N27" s="24" t="s">
        <v>1037</v>
      </c>
    </row>
    <row r="28" spans="1:14" x14ac:dyDescent="0.25">
      <c r="A28" s="61" t="s">
        <v>113</v>
      </c>
      <c r="B28" s="138"/>
      <c r="C28" s="138"/>
      <c r="D28" s="138"/>
      <c r="E28" s="138"/>
      <c r="F28" s="138"/>
      <c r="G28" s="138"/>
      <c r="H28" s="138"/>
      <c r="I28" s="138"/>
      <c r="J28" s="9">
        <v>500</v>
      </c>
      <c r="K28" s="368"/>
      <c r="L28" s="206" t="s">
        <v>28</v>
      </c>
      <c r="M28" s="44" t="s">
        <v>2773</v>
      </c>
      <c r="N28" s="24" t="s">
        <v>1037</v>
      </c>
    </row>
    <row r="29" spans="1:14" x14ac:dyDescent="0.25">
      <c r="A29" s="61" t="s">
        <v>114</v>
      </c>
      <c r="B29" s="138"/>
      <c r="C29" s="138"/>
      <c r="D29" s="138"/>
      <c r="E29" s="138"/>
      <c r="F29" s="138"/>
      <c r="G29" s="138"/>
      <c r="H29" s="138"/>
      <c r="I29" s="142">
        <v>90</v>
      </c>
      <c r="J29" s="9">
        <v>125</v>
      </c>
      <c r="K29" s="368"/>
      <c r="L29" s="206" t="s">
        <v>28</v>
      </c>
      <c r="M29" s="44" t="s">
        <v>2773</v>
      </c>
      <c r="N29" s="24" t="s">
        <v>1037</v>
      </c>
    </row>
    <row r="30" spans="1:14" x14ac:dyDescent="0.25">
      <c r="A30" s="61" t="s">
        <v>115</v>
      </c>
      <c r="B30" s="138"/>
      <c r="C30" s="138"/>
      <c r="D30" s="138"/>
      <c r="E30" s="138"/>
      <c r="F30" s="138"/>
      <c r="G30" s="138"/>
      <c r="H30" s="138"/>
      <c r="I30" s="9">
        <v>200</v>
      </c>
      <c r="J30" s="9">
        <v>300</v>
      </c>
      <c r="K30" s="368"/>
      <c r="L30" s="206" t="s">
        <v>28</v>
      </c>
      <c r="M30" s="44" t="s">
        <v>2773</v>
      </c>
      <c r="N30" s="24" t="s">
        <v>1037</v>
      </c>
    </row>
    <row r="31" spans="1:14" x14ac:dyDescent="0.25">
      <c r="A31" s="61" t="s">
        <v>116</v>
      </c>
      <c r="B31" s="138"/>
      <c r="C31" s="138"/>
      <c r="D31" s="138"/>
      <c r="E31" s="138"/>
      <c r="F31" s="138"/>
      <c r="G31" s="138"/>
      <c r="H31" s="138"/>
      <c r="I31" s="138"/>
      <c r="J31" s="9">
        <v>250</v>
      </c>
      <c r="K31" s="368"/>
      <c r="L31" s="206" t="s">
        <v>28</v>
      </c>
      <c r="M31" s="44" t="s">
        <v>2773</v>
      </c>
      <c r="N31" s="24" t="s">
        <v>1037</v>
      </c>
    </row>
    <row r="32" spans="1:14" x14ac:dyDescent="0.25">
      <c r="A32" s="260" t="s">
        <v>1103</v>
      </c>
      <c r="B32" s="138"/>
      <c r="C32" s="138"/>
      <c r="D32" s="138"/>
      <c r="E32" s="138"/>
      <c r="F32" s="138"/>
      <c r="G32" s="138"/>
      <c r="H32" s="138"/>
      <c r="I32" s="138"/>
      <c r="J32" s="9">
        <v>2250</v>
      </c>
      <c r="K32" s="368"/>
      <c r="L32" s="206" t="s">
        <v>28</v>
      </c>
      <c r="M32" s="44" t="s">
        <v>2773</v>
      </c>
      <c r="N32" s="24" t="s">
        <v>1037</v>
      </c>
    </row>
    <row r="33" spans="1:14" x14ac:dyDescent="0.25">
      <c r="A33" s="41" t="s">
        <v>117</v>
      </c>
      <c r="B33" s="9"/>
      <c r="C33" s="9"/>
      <c r="D33" s="9"/>
      <c r="E33" s="9"/>
      <c r="F33" s="9"/>
      <c r="G33" s="9"/>
      <c r="H33" s="128"/>
      <c r="I33" s="9"/>
      <c r="J33" s="9"/>
      <c r="K33" s="130"/>
      <c r="L33" s="206"/>
      <c r="M33" s="43"/>
      <c r="N33" s="24"/>
    </row>
    <row r="34" spans="1:14" x14ac:dyDescent="0.25">
      <c r="A34" s="61" t="s">
        <v>113</v>
      </c>
      <c r="B34" s="138"/>
      <c r="C34" s="138"/>
      <c r="D34" s="138"/>
      <c r="E34" s="138"/>
      <c r="F34" s="138"/>
      <c r="G34" s="138"/>
      <c r="H34" s="138"/>
      <c r="I34" s="138"/>
      <c r="J34" s="138"/>
      <c r="K34" s="248"/>
      <c r="L34" s="206" t="s">
        <v>28</v>
      </c>
      <c r="M34" s="44" t="s">
        <v>2773</v>
      </c>
      <c r="N34" s="24" t="s">
        <v>1040</v>
      </c>
    </row>
    <row r="35" spans="1:14" x14ac:dyDescent="0.25">
      <c r="A35" s="61" t="s">
        <v>114</v>
      </c>
      <c r="B35" s="138"/>
      <c r="C35" s="138"/>
      <c r="D35" s="138"/>
      <c r="E35" s="138"/>
      <c r="F35" s="138"/>
      <c r="G35" s="138"/>
      <c r="H35" s="138"/>
      <c r="I35" s="9">
        <v>90</v>
      </c>
      <c r="J35" s="9">
        <v>125</v>
      </c>
      <c r="K35" s="246"/>
      <c r="L35" s="206" t="s">
        <v>28</v>
      </c>
      <c r="M35" s="44" t="s">
        <v>2773</v>
      </c>
      <c r="N35" s="24" t="s">
        <v>1040</v>
      </c>
    </row>
    <row r="36" spans="1:14" x14ac:dyDescent="0.25">
      <c r="A36" s="61" t="s">
        <v>115</v>
      </c>
      <c r="B36" s="138"/>
      <c r="C36" s="138"/>
      <c r="D36" s="138"/>
      <c r="E36" s="138"/>
      <c r="F36" s="138"/>
      <c r="G36" s="138"/>
      <c r="H36" s="138"/>
      <c r="I36" s="9">
        <v>120</v>
      </c>
      <c r="J36" s="9">
        <v>235</v>
      </c>
      <c r="K36" s="138"/>
      <c r="L36" s="206" t="s">
        <v>28</v>
      </c>
      <c r="M36" s="44" t="s">
        <v>2773</v>
      </c>
      <c r="N36" s="24" t="s">
        <v>1040</v>
      </c>
    </row>
    <row r="37" spans="1:14" x14ac:dyDescent="0.25">
      <c r="A37" s="61" t="s">
        <v>116</v>
      </c>
      <c r="B37" s="138"/>
      <c r="C37" s="138"/>
      <c r="D37" s="138"/>
      <c r="E37" s="138"/>
      <c r="F37" s="138"/>
      <c r="G37" s="138"/>
      <c r="H37" s="138"/>
      <c r="I37" s="9">
        <v>55</v>
      </c>
      <c r="J37" s="9">
        <v>70</v>
      </c>
      <c r="K37" s="138"/>
      <c r="L37" s="206" t="s">
        <v>28</v>
      </c>
      <c r="M37" s="44" t="s">
        <v>2773</v>
      </c>
      <c r="N37" s="24" t="s">
        <v>1040</v>
      </c>
    </row>
    <row r="38" spans="1:14" x14ac:dyDescent="0.25">
      <c r="A38" s="260" t="s">
        <v>1103</v>
      </c>
      <c r="B38" s="138"/>
      <c r="C38" s="138"/>
      <c r="D38" s="138"/>
      <c r="E38" s="138"/>
      <c r="F38" s="138"/>
      <c r="G38" s="138"/>
      <c r="H38" s="138"/>
      <c r="I38" s="138"/>
      <c r="J38" s="9">
        <v>725</v>
      </c>
      <c r="K38" s="138"/>
      <c r="L38" s="206" t="s">
        <v>28</v>
      </c>
      <c r="M38" s="44" t="s">
        <v>2773</v>
      </c>
      <c r="N38" s="24" t="s">
        <v>1040</v>
      </c>
    </row>
    <row r="39" spans="1:14" x14ac:dyDescent="0.25">
      <c r="A39" s="69" t="s">
        <v>118</v>
      </c>
      <c r="B39" s="9"/>
      <c r="C39" s="9"/>
      <c r="D39" s="9"/>
      <c r="E39" s="9"/>
      <c r="F39" s="9"/>
      <c r="G39" s="9"/>
      <c r="H39" s="9"/>
      <c r="I39" s="9"/>
      <c r="J39" s="9"/>
      <c r="K39" s="83"/>
      <c r="L39" s="206"/>
      <c r="M39" s="44"/>
      <c r="N39" s="24"/>
    </row>
    <row r="40" spans="1:14" x14ac:dyDescent="0.25">
      <c r="A40" s="61" t="s">
        <v>113</v>
      </c>
      <c r="B40" s="138"/>
      <c r="C40" s="138"/>
      <c r="D40" s="138"/>
      <c r="E40" s="138"/>
      <c r="F40" s="138"/>
      <c r="G40" s="138"/>
      <c r="H40" s="138"/>
      <c r="I40" s="138"/>
      <c r="J40" s="138"/>
      <c r="K40" s="121"/>
      <c r="L40" s="206" t="s">
        <v>28</v>
      </c>
      <c r="M40" s="44" t="s">
        <v>2773</v>
      </c>
      <c r="N40" s="24" t="s">
        <v>1040</v>
      </c>
    </row>
    <row r="41" spans="1:14" x14ac:dyDescent="0.25">
      <c r="A41" s="61" t="s">
        <v>114</v>
      </c>
      <c r="B41" s="138"/>
      <c r="C41" s="138"/>
      <c r="D41" s="138"/>
      <c r="E41" s="138"/>
      <c r="F41" s="138"/>
      <c r="G41" s="138"/>
      <c r="H41" s="138"/>
      <c r="I41" s="9">
        <v>0</v>
      </c>
      <c r="J41" s="9">
        <v>0</v>
      </c>
      <c r="K41" s="154"/>
      <c r="L41" s="206" t="s">
        <v>28</v>
      </c>
      <c r="M41" s="44" t="s">
        <v>2773</v>
      </c>
      <c r="N41" s="24" t="s">
        <v>1040</v>
      </c>
    </row>
    <row r="42" spans="1:14" x14ac:dyDescent="0.25">
      <c r="A42" s="61" t="s">
        <v>115</v>
      </c>
      <c r="B42" s="138"/>
      <c r="C42" s="138"/>
      <c r="D42" s="138"/>
      <c r="E42" s="138"/>
      <c r="F42" s="138"/>
      <c r="G42" s="138"/>
      <c r="H42" s="138"/>
      <c r="I42" s="9">
        <v>80</v>
      </c>
      <c r="J42" s="9">
        <f>J30-J36</f>
        <v>65</v>
      </c>
      <c r="K42" s="154"/>
      <c r="L42" s="206" t="s">
        <v>28</v>
      </c>
      <c r="M42" s="44" t="s">
        <v>2773</v>
      </c>
      <c r="N42" s="24" t="s">
        <v>1040</v>
      </c>
    </row>
    <row r="43" spans="1:14" x14ac:dyDescent="0.25">
      <c r="A43" s="61" t="s">
        <v>116</v>
      </c>
      <c r="B43" s="138"/>
      <c r="C43" s="138"/>
      <c r="D43" s="138"/>
      <c r="E43" s="138"/>
      <c r="F43" s="138"/>
      <c r="G43" s="138"/>
      <c r="H43" s="138"/>
      <c r="I43" s="138"/>
      <c r="J43" s="9">
        <f>J31-J37</f>
        <v>180</v>
      </c>
      <c r="K43" s="154"/>
      <c r="L43" s="206" t="s">
        <v>28</v>
      </c>
      <c r="M43" s="44" t="s">
        <v>2773</v>
      </c>
      <c r="N43" s="24" t="s">
        <v>1040</v>
      </c>
    </row>
    <row r="44" spans="1:14" x14ac:dyDescent="0.25">
      <c r="A44" s="260" t="s">
        <v>1103</v>
      </c>
      <c r="B44" s="138"/>
      <c r="C44" s="138"/>
      <c r="D44" s="138"/>
      <c r="E44" s="138"/>
      <c r="F44" s="138"/>
      <c r="G44" s="138"/>
      <c r="H44" s="138"/>
      <c r="I44" s="138"/>
      <c r="J44" s="9">
        <f>J32-J38</f>
        <v>1525</v>
      </c>
      <c r="K44" s="154"/>
      <c r="L44" s="206" t="s">
        <v>28</v>
      </c>
      <c r="M44" s="44" t="s">
        <v>2773</v>
      </c>
      <c r="N44" s="24" t="s">
        <v>1040</v>
      </c>
    </row>
    <row r="45" spans="1:14" x14ac:dyDescent="0.25">
      <c r="A45" s="61" t="s">
        <v>1028</v>
      </c>
      <c r="B45" s="129"/>
      <c r="C45" s="129"/>
      <c r="D45" s="129"/>
      <c r="E45" s="129"/>
      <c r="F45" s="129"/>
      <c r="G45" s="129"/>
      <c r="H45" s="9">
        <v>2.7</v>
      </c>
      <c r="I45" s="138"/>
      <c r="J45" s="138"/>
      <c r="K45" s="121"/>
      <c r="L45" s="206" t="s">
        <v>1020</v>
      </c>
      <c r="M45" s="43" t="s">
        <v>98</v>
      </c>
      <c r="N45" s="24" t="s">
        <v>738</v>
      </c>
    </row>
    <row r="46" spans="1:14" ht="45" x14ac:dyDescent="0.25">
      <c r="A46" s="238" t="s">
        <v>1029</v>
      </c>
      <c r="B46" s="154"/>
      <c r="C46" s="154"/>
      <c r="D46" s="154"/>
      <c r="E46" s="6">
        <v>575</v>
      </c>
      <c r="F46" s="6">
        <v>425</v>
      </c>
      <c r="G46" s="6">
        <v>125</v>
      </c>
      <c r="H46" s="6">
        <v>300</v>
      </c>
      <c r="I46" s="6">
        <v>450</v>
      </c>
      <c r="J46" s="6">
        <v>375</v>
      </c>
      <c r="K46" s="154"/>
      <c r="L46" s="203" t="s">
        <v>1027</v>
      </c>
      <c r="M46" s="39" t="s">
        <v>109</v>
      </c>
      <c r="N46" s="24" t="s">
        <v>1038</v>
      </c>
    </row>
    <row r="47" spans="1:14" x14ac:dyDescent="0.25">
      <c r="A47" s="50"/>
      <c r="B47" s="124"/>
      <c r="C47" s="124"/>
      <c r="D47" s="124"/>
      <c r="E47" s="124"/>
      <c r="F47" s="124"/>
      <c r="G47" s="124"/>
      <c r="H47" s="124"/>
      <c r="I47" s="124"/>
      <c r="J47" s="124"/>
      <c r="K47" s="120"/>
      <c r="L47" s="52"/>
      <c r="M47" s="52"/>
      <c r="N47" s="53"/>
    </row>
    <row r="48" spans="1:14" s="5" customFormat="1" x14ac:dyDescent="0.25">
      <c r="A48" s="35" t="s">
        <v>119</v>
      </c>
      <c r="B48" s="35">
        <v>2008</v>
      </c>
      <c r="C48" s="35">
        <v>2009</v>
      </c>
      <c r="D48" s="35">
        <v>2010</v>
      </c>
      <c r="E48" s="35">
        <v>2011</v>
      </c>
      <c r="F48" s="35">
        <v>2012</v>
      </c>
      <c r="G48" s="35">
        <v>2013</v>
      </c>
      <c r="H48" s="35">
        <v>2014</v>
      </c>
      <c r="I48" s="35">
        <v>2015</v>
      </c>
      <c r="J48" s="35">
        <v>2016</v>
      </c>
      <c r="K48" s="74">
        <v>2017</v>
      </c>
      <c r="L48" s="4" t="s">
        <v>765</v>
      </c>
      <c r="M48" s="28" t="s">
        <v>766</v>
      </c>
      <c r="N48" s="29" t="s">
        <v>58</v>
      </c>
    </row>
    <row r="49" spans="1:14" x14ac:dyDescent="0.25">
      <c r="A49" s="61" t="s">
        <v>1030</v>
      </c>
      <c r="B49" s="129"/>
      <c r="C49" s="129"/>
      <c r="D49" s="129"/>
      <c r="E49" s="129"/>
      <c r="F49" s="129"/>
      <c r="G49" s="129"/>
      <c r="H49" s="9">
        <v>6.8</v>
      </c>
      <c r="I49" s="129"/>
      <c r="J49" s="129"/>
      <c r="K49" s="122"/>
      <c r="L49" s="206" t="s">
        <v>1020</v>
      </c>
      <c r="M49" s="43" t="s">
        <v>98</v>
      </c>
      <c r="N49" s="24" t="s">
        <v>738</v>
      </c>
    </row>
    <row r="50" spans="1:14" x14ac:dyDescent="0.25">
      <c r="A50" s="62" t="s">
        <v>1031</v>
      </c>
      <c r="B50" s="154"/>
      <c r="C50" s="154"/>
      <c r="D50" s="154"/>
      <c r="E50" s="154"/>
      <c r="F50" s="154"/>
      <c r="G50" s="154"/>
      <c r="H50" s="6">
        <v>10</v>
      </c>
      <c r="I50" s="154"/>
      <c r="J50" s="154"/>
      <c r="K50" s="119"/>
      <c r="L50" s="206" t="s">
        <v>1020</v>
      </c>
      <c r="M50" s="43" t="s">
        <v>98</v>
      </c>
      <c r="N50" s="24" t="s">
        <v>738</v>
      </c>
    </row>
    <row r="51" spans="1:14" x14ac:dyDescent="0.25">
      <c r="A51" s="50"/>
      <c r="B51" s="124"/>
      <c r="C51" s="124"/>
      <c r="D51" s="124"/>
      <c r="E51" s="124"/>
      <c r="F51" s="124"/>
      <c r="G51" s="124"/>
      <c r="H51" s="124"/>
      <c r="I51" s="124"/>
      <c r="J51" s="124"/>
      <c r="K51" s="120"/>
      <c r="L51" s="52"/>
      <c r="M51" s="52"/>
      <c r="N51" s="53"/>
    </row>
    <row r="52" spans="1:14" s="5" customFormat="1" x14ac:dyDescent="0.25">
      <c r="A52" s="35" t="s">
        <v>120</v>
      </c>
      <c r="B52" s="35">
        <v>2008</v>
      </c>
      <c r="C52" s="35">
        <v>2009</v>
      </c>
      <c r="D52" s="35">
        <v>2010</v>
      </c>
      <c r="E52" s="35">
        <v>2011</v>
      </c>
      <c r="F52" s="35">
        <v>2012</v>
      </c>
      <c r="G52" s="35">
        <v>2013</v>
      </c>
      <c r="H52" s="35">
        <v>2014</v>
      </c>
      <c r="I52" s="35">
        <v>2015</v>
      </c>
      <c r="J52" s="35">
        <v>2016</v>
      </c>
      <c r="K52" s="74">
        <v>2017</v>
      </c>
      <c r="L52" s="4" t="s">
        <v>765</v>
      </c>
      <c r="M52" s="28" t="s">
        <v>766</v>
      </c>
      <c r="N52" s="29" t="s">
        <v>58</v>
      </c>
    </row>
    <row r="53" spans="1:14" x14ac:dyDescent="0.25">
      <c r="A53" s="61" t="s">
        <v>121</v>
      </c>
      <c r="B53" s="129"/>
      <c r="C53" s="129"/>
      <c r="D53" s="129"/>
      <c r="E53" s="129"/>
      <c r="F53" s="9">
        <v>316</v>
      </c>
      <c r="G53" s="9">
        <v>345</v>
      </c>
      <c r="H53" s="9">
        <v>409</v>
      </c>
      <c r="I53" s="9">
        <v>442</v>
      </c>
      <c r="J53" s="9">
        <v>449</v>
      </c>
      <c r="K53" s="122"/>
      <c r="L53" s="203" t="s">
        <v>1101</v>
      </c>
      <c r="M53" s="44" t="s">
        <v>1032</v>
      </c>
      <c r="N53" s="24" t="s">
        <v>738</v>
      </c>
    </row>
    <row r="54" spans="1:14" x14ac:dyDescent="0.25">
      <c r="A54" s="61" t="s">
        <v>122</v>
      </c>
      <c r="B54" s="129"/>
      <c r="C54" s="129"/>
      <c r="D54" s="129"/>
      <c r="E54" s="129"/>
      <c r="F54" s="128">
        <v>2061</v>
      </c>
      <c r="G54" s="128">
        <v>2010</v>
      </c>
      <c r="H54" s="128">
        <v>2116</v>
      </c>
      <c r="I54" s="128">
        <v>2336</v>
      </c>
      <c r="J54" s="129"/>
      <c r="K54" s="122"/>
      <c r="L54" s="203" t="s">
        <v>1101</v>
      </c>
      <c r="M54" s="44" t="s">
        <v>1032</v>
      </c>
      <c r="N54" s="24" t="s">
        <v>738</v>
      </c>
    </row>
    <row r="55" spans="1:14" x14ac:dyDescent="0.25">
      <c r="A55" s="61" t="s">
        <v>123</v>
      </c>
      <c r="B55" s="129"/>
      <c r="C55" s="129"/>
      <c r="D55" s="129"/>
      <c r="E55" s="129"/>
      <c r="F55" s="128">
        <v>2377</v>
      </c>
      <c r="G55" s="128">
        <v>2355</v>
      </c>
      <c r="H55" s="128">
        <v>2763</v>
      </c>
      <c r="I55" s="128">
        <v>2772</v>
      </c>
      <c r="J55" s="129"/>
      <c r="K55" s="122"/>
      <c r="L55" s="203" t="s">
        <v>1101</v>
      </c>
      <c r="M55" s="44" t="s">
        <v>1032</v>
      </c>
      <c r="N55" s="24" t="s">
        <v>738</v>
      </c>
    </row>
    <row r="56" spans="1:14" x14ac:dyDescent="0.25">
      <c r="A56" s="79" t="s">
        <v>1035</v>
      </c>
      <c r="B56" s="118">
        <v>133.1</v>
      </c>
      <c r="C56" s="118">
        <v>188.7</v>
      </c>
      <c r="D56" s="118">
        <v>152.19999999999999</v>
      </c>
      <c r="E56" s="118">
        <v>201.7</v>
      </c>
      <c r="F56" s="118">
        <v>323.8</v>
      </c>
      <c r="G56" s="122"/>
      <c r="H56" s="122"/>
      <c r="I56" s="122"/>
      <c r="J56" s="122"/>
      <c r="K56" s="122"/>
      <c r="L56" s="64" t="s">
        <v>1033</v>
      </c>
      <c r="M56" s="81" t="s">
        <v>1034</v>
      </c>
      <c r="N56" s="80" t="s">
        <v>738</v>
      </c>
    </row>
    <row r="57" spans="1:14" x14ac:dyDescent="0.25">
      <c r="A57" s="79" t="s">
        <v>1036</v>
      </c>
      <c r="B57" s="118">
        <v>14.75</v>
      </c>
      <c r="C57" s="118">
        <v>21.87</v>
      </c>
      <c r="D57" s="118">
        <v>43.33</v>
      </c>
      <c r="E57" s="118">
        <v>34.67</v>
      </c>
      <c r="F57" s="118">
        <v>35.229999999999997</v>
      </c>
      <c r="G57" s="122"/>
      <c r="H57" s="122"/>
      <c r="I57" s="122"/>
      <c r="J57" s="122"/>
      <c r="K57" s="122"/>
      <c r="L57" s="64" t="s">
        <v>1033</v>
      </c>
      <c r="M57" s="81" t="s">
        <v>1034</v>
      </c>
      <c r="N57" s="80" t="s">
        <v>738</v>
      </c>
    </row>
    <row r="58" spans="1:14" x14ac:dyDescent="0.25">
      <c r="A58" s="216" t="s">
        <v>126</v>
      </c>
    </row>
    <row r="59" spans="1:14" x14ac:dyDescent="0.25">
      <c r="A59" s="40" t="s">
        <v>127</v>
      </c>
    </row>
    <row r="60" spans="1:14" x14ac:dyDescent="0.25">
      <c r="A60" s="40" t="s">
        <v>126</v>
      </c>
    </row>
    <row r="61" spans="1:14" x14ac:dyDescent="0.25">
      <c r="A61" s="40" t="s">
        <v>128</v>
      </c>
    </row>
    <row r="62" spans="1:14" x14ac:dyDescent="0.25">
      <c r="A62" s="40" t="s">
        <v>125</v>
      </c>
    </row>
    <row r="63" spans="1:14" x14ac:dyDescent="0.25">
      <c r="A63" s="40" t="s">
        <v>126</v>
      </c>
    </row>
    <row r="64" spans="1:14" x14ac:dyDescent="0.25">
      <c r="A64" s="40" t="s">
        <v>128</v>
      </c>
    </row>
    <row r="65" spans="1:1" x14ac:dyDescent="0.25">
      <c r="A65" s="40" t="s">
        <v>129</v>
      </c>
    </row>
    <row r="66" spans="1:1" x14ac:dyDescent="0.25">
      <c r="A66" s="40" t="s">
        <v>125</v>
      </c>
    </row>
    <row r="67" spans="1:1" x14ac:dyDescent="0.25">
      <c r="A67" s="40" t="s">
        <v>125</v>
      </c>
    </row>
    <row r="68" spans="1:1" x14ac:dyDescent="0.25">
      <c r="A68" s="40" t="s">
        <v>126</v>
      </c>
    </row>
    <row r="69" spans="1:1" x14ac:dyDescent="0.25">
      <c r="A69" s="40" t="s">
        <v>128</v>
      </c>
    </row>
    <row r="70" spans="1:1" x14ac:dyDescent="0.25">
      <c r="A70" s="40" t="s">
        <v>126</v>
      </c>
    </row>
    <row r="71" spans="1:1" x14ac:dyDescent="0.25">
      <c r="A71" s="40" t="s">
        <v>127</v>
      </c>
    </row>
    <row r="72" spans="1:1" x14ac:dyDescent="0.25">
      <c r="A72" s="40" t="s">
        <v>128</v>
      </c>
    </row>
    <row r="73" spans="1:1" x14ac:dyDescent="0.25">
      <c r="A73" s="40" t="s">
        <v>130</v>
      </c>
    </row>
    <row r="74" spans="1:1" x14ac:dyDescent="0.25">
      <c r="A74" s="40" t="s">
        <v>127</v>
      </c>
    </row>
    <row r="90" spans="11:11" x14ac:dyDescent="0.25">
      <c r="K90" s="5">
        <f>66+15+9+7+4</f>
        <v>101</v>
      </c>
    </row>
  </sheetData>
  <mergeCells count="1">
    <mergeCell ref="A1:A2"/>
  </mergeCells>
  <hyperlinks>
    <hyperlink ref="M18" r:id="rId1" xr:uid="{00000000-0004-0000-0F00-000000000000}"/>
    <hyperlink ref="M26" r:id="rId2" xr:uid="{00000000-0004-0000-0F00-000001000000}"/>
    <hyperlink ref="M45" r:id="rId3" xr:uid="{00000000-0004-0000-0F00-000002000000}"/>
    <hyperlink ref="M49" r:id="rId4" xr:uid="{00000000-0004-0000-0F00-000003000000}"/>
    <hyperlink ref="M50" r:id="rId5" xr:uid="{00000000-0004-0000-0F00-000004000000}"/>
    <hyperlink ref="M53" r:id="rId6" xr:uid="{00000000-0004-0000-0F00-000005000000}"/>
    <hyperlink ref="M54" r:id="rId7" xr:uid="{00000000-0004-0000-0F00-000006000000}"/>
    <hyperlink ref="M55" r:id="rId8" xr:uid="{00000000-0004-0000-0F00-000007000000}"/>
    <hyperlink ref="M57" r:id="rId9" xr:uid="{00000000-0004-0000-0F00-000008000000}"/>
    <hyperlink ref="M56" r:id="rId10" xr:uid="{00000000-0004-0000-0F00-000009000000}"/>
    <hyperlink ref="M27" r:id="rId11" xr:uid="{7777DE80-79E9-4947-9F25-7912CB853BD9}"/>
    <hyperlink ref="M28" r:id="rId12" xr:uid="{9BC30E84-F115-4AAB-AA69-E760A739E324}"/>
    <hyperlink ref="M29" r:id="rId13" xr:uid="{80AAEECC-DAF7-4086-ACD8-559ABC155582}"/>
    <hyperlink ref="M30" r:id="rId14" xr:uid="{BC3F2787-514E-4ADB-B201-CFD2E7E8769D}"/>
    <hyperlink ref="M31" r:id="rId15" xr:uid="{9EC9CF55-C598-4A1F-89FD-FC5E80C49ED5}"/>
    <hyperlink ref="M32" r:id="rId16" xr:uid="{44F5FF28-2FF2-4C79-AC31-D81C181FBB14}"/>
    <hyperlink ref="M34" r:id="rId17" xr:uid="{1EB23D04-6AD4-4108-88EA-BD0794BC5D79}"/>
    <hyperlink ref="M35" r:id="rId18" xr:uid="{D3FC848A-5E87-4B11-9E7B-D00B427A3934}"/>
    <hyperlink ref="M36" r:id="rId19" xr:uid="{688701E7-ED75-4693-A60D-39F87349FA4D}"/>
    <hyperlink ref="M37" r:id="rId20" xr:uid="{06781CE2-52F3-4D2C-89B3-5A3C79D7ACB6}"/>
    <hyperlink ref="M38" r:id="rId21" xr:uid="{47AACF06-F105-41CF-A17A-F4F71A2695F5}"/>
    <hyperlink ref="M40" r:id="rId22" xr:uid="{4B379B3D-4F7E-4E7C-A29E-82D29F0F3E50}"/>
    <hyperlink ref="M41" r:id="rId23" xr:uid="{F9721BD8-58BD-4953-87F1-703BBE83C7FE}"/>
    <hyperlink ref="M42" r:id="rId24" xr:uid="{463F6190-FC19-4455-B713-76B3BBA9B688}"/>
    <hyperlink ref="M43" r:id="rId25" xr:uid="{9DE96B0F-ACEF-4481-9F0B-0A113C8B09BC}"/>
    <hyperlink ref="M44" r:id="rId26" xr:uid="{94D3EACF-E9E4-43BC-9A7B-1D1015623A89}"/>
  </hyperlinks>
  <pageMargins left="0.7" right="0.7" top="0.75" bottom="0.75" header="0.3" footer="0.3"/>
  <pageSetup orientation="portrait" r:id="rId27"/>
  <drawing r:id="rId28"/>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3404"/>
  </sheetPr>
  <dimension ref="A1:N63"/>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98.28515625" style="40" customWidth="1"/>
    <col min="2" max="11" width="11.7109375" style="5" customWidth="1"/>
    <col min="12" max="12" width="41.42578125" style="40" customWidth="1"/>
    <col min="13" max="13" width="140.140625" style="40" customWidth="1"/>
    <col min="14" max="14" width="21.42578125" style="40" bestFit="1" customWidth="1"/>
    <col min="15" max="16384" width="8.85546875" style="40"/>
  </cols>
  <sheetData>
    <row r="1" spans="1:14" x14ac:dyDescent="0.25">
      <c r="A1" s="390" t="s">
        <v>131</v>
      </c>
    </row>
    <row r="2" spans="1:14" x14ac:dyDescent="0.25">
      <c r="A2" s="390"/>
    </row>
    <row r="3" spans="1:14" s="5" customFormat="1" x14ac:dyDescent="0.25">
      <c r="A3" s="4" t="s">
        <v>132</v>
      </c>
      <c r="B3" s="4">
        <v>2008</v>
      </c>
      <c r="C3" s="4">
        <v>2009</v>
      </c>
      <c r="D3" s="4">
        <v>2010</v>
      </c>
      <c r="E3" s="4">
        <v>2011</v>
      </c>
      <c r="F3" s="4">
        <v>2012</v>
      </c>
      <c r="G3" s="4">
        <v>2013</v>
      </c>
      <c r="H3" s="4">
        <v>2014</v>
      </c>
      <c r="I3" s="4">
        <v>2015</v>
      </c>
      <c r="J3" s="4">
        <v>2016</v>
      </c>
      <c r="K3" s="74">
        <v>2017</v>
      </c>
      <c r="L3" s="4" t="s">
        <v>765</v>
      </c>
      <c r="M3" s="28" t="s">
        <v>766</v>
      </c>
      <c r="N3" s="28" t="s">
        <v>58</v>
      </c>
    </row>
    <row r="4" spans="1:14" x14ac:dyDescent="0.25">
      <c r="A4" s="61" t="s">
        <v>991</v>
      </c>
      <c r="B4" s="128">
        <v>56.3</v>
      </c>
      <c r="C4" s="128">
        <v>61.5</v>
      </c>
      <c r="D4" s="128">
        <v>63.3</v>
      </c>
      <c r="E4" s="128">
        <v>64.599999999999994</v>
      </c>
      <c r="F4" s="128">
        <v>70.099999999999994</v>
      </c>
      <c r="G4" s="128">
        <v>70.8</v>
      </c>
      <c r="H4" s="128">
        <v>69</v>
      </c>
      <c r="I4" s="128">
        <v>80.400000000000006</v>
      </c>
      <c r="J4" s="128">
        <v>82.7</v>
      </c>
      <c r="K4" s="128">
        <v>84.1</v>
      </c>
      <c r="L4" s="24" t="s">
        <v>133</v>
      </c>
      <c r="M4" s="44" t="s">
        <v>992</v>
      </c>
      <c r="N4" s="24" t="s">
        <v>738</v>
      </c>
    </row>
    <row r="5" spans="1:14" x14ac:dyDescent="0.25">
      <c r="A5" s="61" t="s">
        <v>135</v>
      </c>
      <c r="B5" s="127">
        <v>0.4</v>
      </c>
      <c r="C5" s="127">
        <v>0.4</v>
      </c>
      <c r="D5" s="127">
        <v>0.4</v>
      </c>
      <c r="E5" s="127">
        <v>0.4</v>
      </c>
      <c r="F5" s="127">
        <v>0.4</v>
      </c>
      <c r="G5" s="9">
        <v>0.4</v>
      </c>
      <c r="H5" s="9">
        <v>0.4</v>
      </c>
      <c r="I5" s="9">
        <v>0.4</v>
      </c>
      <c r="J5" s="9">
        <v>0.4</v>
      </c>
      <c r="K5" s="9">
        <v>0.4</v>
      </c>
      <c r="L5" s="24" t="s">
        <v>133</v>
      </c>
      <c r="M5" s="44" t="s">
        <v>993</v>
      </c>
      <c r="N5" s="24" t="s">
        <v>738</v>
      </c>
    </row>
    <row r="6" spans="1:14" x14ac:dyDescent="0.25">
      <c r="A6" s="61" t="s">
        <v>994</v>
      </c>
      <c r="B6" s="128">
        <v>197.4</v>
      </c>
      <c r="C6" s="128">
        <v>166.2</v>
      </c>
      <c r="D6" s="128">
        <v>185.1</v>
      </c>
      <c r="E6" s="128">
        <v>199.1</v>
      </c>
      <c r="F6" s="128">
        <v>215.2</v>
      </c>
      <c r="G6" s="128">
        <v>222.4</v>
      </c>
      <c r="H6" s="128">
        <v>230.3</v>
      </c>
      <c r="I6" s="128">
        <v>232.1</v>
      </c>
      <c r="J6" s="128">
        <v>235.5</v>
      </c>
      <c r="K6" s="128">
        <v>235.5</v>
      </c>
      <c r="L6" s="24" t="s">
        <v>133</v>
      </c>
      <c r="M6" s="44" t="s">
        <v>993</v>
      </c>
      <c r="N6" s="24" t="s">
        <v>738</v>
      </c>
    </row>
    <row r="7" spans="1:14" x14ac:dyDescent="0.25">
      <c r="A7" s="61" t="s">
        <v>995</v>
      </c>
      <c r="B7" s="128">
        <v>40</v>
      </c>
      <c r="C7" s="128">
        <v>34.5</v>
      </c>
      <c r="D7" s="128">
        <v>36.1</v>
      </c>
      <c r="E7" s="128">
        <v>37.700000000000003</v>
      </c>
      <c r="F7" s="128">
        <v>39</v>
      </c>
      <c r="G7" s="128">
        <v>40</v>
      </c>
      <c r="H7" s="128">
        <v>42.1</v>
      </c>
      <c r="I7" s="128">
        <v>43.5</v>
      </c>
      <c r="J7" s="128">
        <v>45</v>
      </c>
      <c r="K7" s="122"/>
      <c r="L7" s="24" t="s">
        <v>133</v>
      </c>
      <c r="M7" s="44" t="s">
        <v>993</v>
      </c>
      <c r="N7" s="24" t="s">
        <v>738</v>
      </c>
    </row>
    <row r="8" spans="1:14" x14ac:dyDescent="0.25">
      <c r="A8" s="61" t="s">
        <v>996</v>
      </c>
      <c r="B8" s="127">
        <v>1.8</v>
      </c>
      <c r="C8" s="127">
        <v>1.8</v>
      </c>
      <c r="D8" s="127">
        <v>1.8</v>
      </c>
      <c r="E8" s="127">
        <v>2</v>
      </c>
      <c r="F8" s="127">
        <v>1.8</v>
      </c>
      <c r="G8" s="127">
        <v>1.9</v>
      </c>
      <c r="H8" s="127">
        <v>2.1</v>
      </c>
      <c r="I8" s="127">
        <v>2.2000000000000002</v>
      </c>
      <c r="J8" s="127">
        <v>2.2000000000000002</v>
      </c>
      <c r="K8" s="122"/>
      <c r="L8" s="24" t="s">
        <v>133</v>
      </c>
      <c r="M8" s="44" t="s">
        <v>993</v>
      </c>
      <c r="N8" s="24" t="s">
        <v>738</v>
      </c>
    </row>
    <row r="9" spans="1:14" x14ac:dyDescent="0.25">
      <c r="A9" s="61" t="s">
        <v>997</v>
      </c>
      <c r="B9" s="128">
        <v>14.5</v>
      </c>
      <c r="C9" s="128">
        <v>25.2</v>
      </c>
      <c r="D9" s="128">
        <v>25.4</v>
      </c>
      <c r="E9" s="128">
        <v>24.9</v>
      </c>
      <c r="F9" s="128">
        <v>29.2</v>
      </c>
      <c r="G9" s="128">
        <v>28.9</v>
      </c>
      <c r="H9" s="128">
        <v>24.8</v>
      </c>
      <c r="I9" s="128">
        <v>34.6</v>
      </c>
      <c r="J9" s="128">
        <v>35.5</v>
      </c>
      <c r="K9" s="122"/>
      <c r="L9" s="24" t="s">
        <v>133</v>
      </c>
      <c r="M9" s="44" t="s">
        <v>993</v>
      </c>
      <c r="N9" s="24" t="s">
        <v>738</v>
      </c>
    </row>
    <row r="10" spans="1:14" x14ac:dyDescent="0.25">
      <c r="A10" s="61" t="s">
        <v>136</v>
      </c>
      <c r="B10" s="128">
        <v>727</v>
      </c>
      <c r="C10" s="128">
        <v>627</v>
      </c>
      <c r="D10" s="128">
        <v>624</v>
      </c>
      <c r="E10" s="128">
        <v>634</v>
      </c>
      <c r="F10" s="128">
        <v>646</v>
      </c>
      <c r="G10" s="129"/>
      <c r="H10" s="129"/>
      <c r="I10" s="129"/>
      <c r="J10" s="129"/>
      <c r="K10" s="122"/>
      <c r="L10" s="39" t="s">
        <v>133</v>
      </c>
      <c r="M10" s="44" t="s">
        <v>134</v>
      </c>
      <c r="N10" s="24" t="s">
        <v>738</v>
      </c>
    </row>
    <row r="11" spans="1:14" x14ac:dyDescent="0.25">
      <c r="A11" s="62" t="s">
        <v>1000</v>
      </c>
      <c r="B11" s="128">
        <v>245</v>
      </c>
      <c r="C11" s="128">
        <v>250</v>
      </c>
      <c r="D11" s="128">
        <v>265</v>
      </c>
      <c r="E11" s="128">
        <v>279</v>
      </c>
      <c r="F11" s="128">
        <v>288</v>
      </c>
      <c r="G11" s="170">
        <v>299</v>
      </c>
      <c r="H11" s="170">
        <v>311</v>
      </c>
      <c r="I11" s="170">
        <v>322</v>
      </c>
      <c r="J11" s="6">
        <v>335</v>
      </c>
      <c r="K11" s="119"/>
      <c r="L11" s="39" t="s">
        <v>998</v>
      </c>
      <c r="M11" s="49" t="s">
        <v>999</v>
      </c>
      <c r="N11" s="24" t="s">
        <v>738</v>
      </c>
    </row>
    <row r="12" spans="1:14" x14ac:dyDescent="0.25">
      <c r="A12" s="50"/>
      <c r="B12" s="124"/>
      <c r="C12" s="124"/>
      <c r="D12" s="124"/>
      <c r="E12" s="124"/>
      <c r="F12" s="124"/>
      <c r="G12" s="124"/>
      <c r="H12" s="124"/>
      <c r="I12" s="124"/>
      <c r="J12" s="124"/>
      <c r="K12" s="120"/>
      <c r="L12" s="52"/>
      <c r="M12" s="52"/>
      <c r="N12" s="48"/>
    </row>
    <row r="13" spans="1:14" s="5" customFormat="1" x14ac:dyDescent="0.25">
      <c r="A13" s="35" t="s">
        <v>137</v>
      </c>
      <c r="B13" s="35">
        <v>2008</v>
      </c>
      <c r="C13" s="35">
        <v>2009</v>
      </c>
      <c r="D13" s="35">
        <v>2010</v>
      </c>
      <c r="E13" s="35">
        <v>2011</v>
      </c>
      <c r="F13" s="35">
        <v>2012</v>
      </c>
      <c r="G13" s="35">
        <v>2013</v>
      </c>
      <c r="H13" s="35">
        <v>2014</v>
      </c>
      <c r="I13" s="35">
        <v>2015</v>
      </c>
      <c r="J13" s="35">
        <v>2016</v>
      </c>
      <c r="K13" s="74">
        <v>2017</v>
      </c>
      <c r="L13" s="4" t="s">
        <v>765</v>
      </c>
      <c r="M13" s="28" t="s">
        <v>766</v>
      </c>
      <c r="N13" s="28" t="s">
        <v>58</v>
      </c>
    </row>
    <row r="14" spans="1:14" ht="45" x14ac:dyDescent="0.25">
      <c r="A14" s="232" t="s">
        <v>1001</v>
      </c>
      <c r="B14" s="171">
        <v>0.17799999999999999</v>
      </c>
      <c r="C14" s="171">
        <v>0.29499999999999998</v>
      </c>
      <c r="D14" s="171">
        <v>0.34200000000000003</v>
      </c>
      <c r="E14" s="171">
        <v>0.48599999999999999</v>
      </c>
      <c r="F14" s="171">
        <v>0.57099999999999995</v>
      </c>
      <c r="G14" s="171">
        <v>0.61</v>
      </c>
      <c r="H14" s="171">
        <v>0.64300000000000002</v>
      </c>
      <c r="I14" s="171">
        <v>0.75900000000000001</v>
      </c>
      <c r="J14" s="171">
        <v>0.86199999999999999</v>
      </c>
      <c r="K14" s="171">
        <v>0.88</v>
      </c>
      <c r="L14" s="231" t="s">
        <v>1104</v>
      </c>
      <c r="M14" s="44" t="s">
        <v>1004</v>
      </c>
      <c r="N14" s="24" t="s">
        <v>738</v>
      </c>
    </row>
    <row r="15" spans="1:14" ht="45" x14ac:dyDescent="0.25">
      <c r="A15" s="232" t="s">
        <v>1002</v>
      </c>
      <c r="B15" s="171">
        <v>6.0000000000000001E-3</v>
      </c>
      <c r="C15" s="171">
        <v>2.3E-2</v>
      </c>
      <c r="D15" s="171">
        <v>0.67400000000000004</v>
      </c>
      <c r="E15" s="171">
        <v>0.67500000000000004</v>
      </c>
      <c r="F15" s="171">
        <v>0.92100000000000004</v>
      </c>
      <c r="G15" s="171">
        <v>1.0109999999999999</v>
      </c>
      <c r="H15" s="171">
        <v>1.028</v>
      </c>
      <c r="I15" s="171">
        <v>1.177</v>
      </c>
      <c r="J15" s="171">
        <v>1.177</v>
      </c>
      <c r="K15" s="171">
        <v>1.1739999999999999</v>
      </c>
      <c r="L15" s="231" t="s">
        <v>1104</v>
      </c>
      <c r="M15" s="44" t="s">
        <v>1004</v>
      </c>
      <c r="N15" s="24" t="s">
        <v>738</v>
      </c>
    </row>
    <row r="16" spans="1:14" ht="45" x14ac:dyDescent="0.25">
      <c r="A16" s="188" t="s">
        <v>1003</v>
      </c>
      <c r="B16" s="171">
        <v>0.184</v>
      </c>
      <c r="C16" s="171">
        <v>0.318</v>
      </c>
      <c r="D16" s="171">
        <v>1.016</v>
      </c>
      <c r="E16" s="171">
        <v>1.161</v>
      </c>
      <c r="F16" s="171">
        <v>1.492</v>
      </c>
      <c r="G16" s="171">
        <v>1.621</v>
      </c>
      <c r="H16" s="171">
        <v>1.671</v>
      </c>
      <c r="I16" s="171">
        <v>1.9359999999999999</v>
      </c>
      <c r="J16" s="171">
        <v>2.0390000000000001</v>
      </c>
      <c r="K16" s="171">
        <v>2.0539999999999998</v>
      </c>
      <c r="L16" s="231" t="s">
        <v>1104</v>
      </c>
      <c r="M16" s="44" t="s">
        <v>1004</v>
      </c>
      <c r="N16" s="24" t="s">
        <v>738</v>
      </c>
    </row>
    <row r="17" spans="1:14" ht="60" x14ac:dyDescent="0.25">
      <c r="A17" s="61" t="s">
        <v>138</v>
      </c>
      <c r="B17" s="306"/>
      <c r="C17" s="218"/>
      <c r="D17" s="218"/>
      <c r="E17" s="306"/>
      <c r="F17" s="218"/>
      <c r="G17" s="234">
        <v>0.76300000000000001</v>
      </c>
      <c r="H17" s="171">
        <v>0.79</v>
      </c>
      <c r="I17" s="151"/>
      <c r="J17" s="234">
        <v>1.0329999999999999</v>
      </c>
      <c r="K17" s="234">
        <v>0.69059999999999999</v>
      </c>
      <c r="L17" s="231" t="s">
        <v>1104</v>
      </c>
      <c r="M17" s="49" t="s">
        <v>1005</v>
      </c>
      <c r="N17" s="24" t="s">
        <v>738</v>
      </c>
    </row>
    <row r="18" spans="1:14" ht="60" x14ac:dyDescent="0.25">
      <c r="A18" s="61" t="s">
        <v>139</v>
      </c>
      <c r="B18" s="218"/>
      <c r="C18" s="218"/>
      <c r="D18" s="218"/>
      <c r="E18" s="218"/>
      <c r="F18" s="218"/>
      <c r="G18" s="234">
        <v>0.32900000000000001</v>
      </c>
      <c r="H18" s="171">
        <v>0.35899999999999999</v>
      </c>
      <c r="I18" s="135"/>
      <c r="J18" s="234">
        <v>0.39700000000000002</v>
      </c>
      <c r="K18" s="234">
        <v>0.50739999999999996</v>
      </c>
      <c r="L18" s="231" t="s">
        <v>1104</v>
      </c>
      <c r="M18" s="49" t="s">
        <v>1005</v>
      </c>
      <c r="N18" s="24" t="s">
        <v>738</v>
      </c>
    </row>
    <row r="19" spans="1:14" ht="60" x14ac:dyDescent="0.25">
      <c r="A19" s="61" t="s">
        <v>116</v>
      </c>
      <c r="B19" s="218"/>
      <c r="C19" s="218"/>
      <c r="D19" s="218"/>
      <c r="E19" s="218"/>
      <c r="F19" s="218"/>
      <c r="G19" s="234">
        <v>0.16700000000000001</v>
      </c>
      <c r="H19" s="171">
        <v>0.186</v>
      </c>
      <c r="I19" s="135"/>
      <c r="J19" s="234">
        <v>0.20200000000000001</v>
      </c>
      <c r="K19" s="234">
        <v>0.21769999999999998</v>
      </c>
      <c r="L19" s="231" t="s">
        <v>1104</v>
      </c>
      <c r="M19" s="49" t="s">
        <v>1005</v>
      </c>
      <c r="N19" s="24" t="s">
        <v>738</v>
      </c>
    </row>
    <row r="20" spans="1:14" ht="60" x14ac:dyDescent="0.25">
      <c r="A20" s="61" t="s">
        <v>140</v>
      </c>
      <c r="B20" s="218"/>
      <c r="C20" s="218"/>
      <c r="D20" s="218"/>
      <c r="E20" s="218"/>
      <c r="F20" s="218"/>
      <c r="G20" s="234">
        <v>0.10299999999999999</v>
      </c>
      <c r="H20" s="171">
        <v>0.126</v>
      </c>
      <c r="I20" s="135"/>
      <c r="J20" s="234">
        <v>0.13900000000000001</v>
      </c>
      <c r="K20" s="234">
        <v>0.1449</v>
      </c>
      <c r="L20" s="231" t="s">
        <v>1104</v>
      </c>
      <c r="M20" s="49" t="s">
        <v>1005</v>
      </c>
      <c r="N20" s="24" t="s">
        <v>738</v>
      </c>
    </row>
    <row r="21" spans="1:14" ht="60" x14ac:dyDescent="0.25">
      <c r="A21" s="61" t="s">
        <v>141</v>
      </c>
      <c r="B21" s="218"/>
      <c r="C21" s="218"/>
      <c r="D21" s="218"/>
      <c r="E21" s="218"/>
      <c r="F21" s="218"/>
      <c r="G21" s="234">
        <v>8.8999999999999996E-2</v>
      </c>
      <c r="H21" s="171">
        <v>0.107</v>
      </c>
      <c r="I21" s="135"/>
      <c r="J21" s="234">
        <v>0.114</v>
      </c>
      <c r="K21" s="234">
        <v>0.1095</v>
      </c>
      <c r="L21" s="231" t="s">
        <v>1104</v>
      </c>
      <c r="M21" s="49" t="s">
        <v>1005</v>
      </c>
      <c r="N21" s="24" t="s">
        <v>738</v>
      </c>
    </row>
    <row r="22" spans="1:14" ht="60" x14ac:dyDescent="0.25">
      <c r="A22" s="61" t="s">
        <v>142</v>
      </c>
      <c r="B22" s="218"/>
      <c r="C22" s="218"/>
      <c r="D22" s="218"/>
      <c r="E22" s="218"/>
      <c r="F22" s="218"/>
      <c r="G22" s="234">
        <v>8.5000000000000006E-2</v>
      </c>
      <c r="H22" s="171">
        <v>9.4E-2</v>
      </c>
      <c r="I22" s="135"/>
      <c r="J22" s="234">
        <v>0.11600000000000001</v>
      </c>
      <c r="K22" s="234">
        <v>0.15209999999999999</v>
      </c>
      <c r="L22" s="231" t="s">
        <v>1104</v>
      </c>
      <c r="M22" s="49" t="s">
        <v>1005</v>
      </c>
      <c r="N22" s="24" t="s">
        <v>738</v>
      </c>
    </row>
    <row r="23" spans="1:14" ht="60" x14ac:dyDescent="0.25">
      <c r="A23" s="61" t="s">
        <v>143</v>
      </c>
      <c r="B23" s="218"/>
      <c r="C23" s="218"/>
      <c r="D23" s="218"/>
      <c r="E23" s="218"/>
      <c r="F23" s="218"/>
      <c r="G23" s="234">
        <v>1.6E-2</v>
      </c>
      <c r="H23" s="171">
        <v>0.02</v>
      </c>
      <c r="I23" s="135"/>
      <c r="J23" s="234">
        <v>2.1000000000000001E-2</v>
      </c>
      <c r="K23" s="234">
        <v>7.6499999999999999E-2</v>
      </c>
      <c r="L23" s="231" t="s">
        <v>1104</v>
      </c>
      <c r="M23" s="49" t="s">
        <v>1005</v>
      </c>
      <c r="N23" s="24" t="s">
        <v>738</v>
      </c>
    </row>
    <row r="24" spans="1:14" ht="60" x14ac:dyDescent="0.25">
      <c r="A24" s="61" t="s">
        <v>145</v>
      </c>
      <c r="B24" s="218"/>
      <c r="C24" s="218"/>
      <c r="D24" s="218"/>
      <c r="E24" s="218"/>
      <c r="F24" s="218"/>
      <c r="G24" s="234">
        <v>5.0000000000000001E-3</v>
      </c>
      <c r="H24" s="171">
        <v>6.7000000000000002E-3</v>
      </c>
      <c r="I24" s="135"/>
      <c r="J24" s="234">
        <v>1.7999999999999999E-2</v>
      </c>
      <c r="K24" s="234">
        <v>3.5000000000000003E-2</v>
      </c>
      <c r="L24" s="231" t="s">
        <v>1104</v>
      </c>
      <c r="M24" s="49" t="s">
        <v>1005</v>
      </c>
      <c r="N24" s="24" t="s">
        <v>738</v>
      </c>
    </row>
    <row r="25" spans="1:14" ht="60" x14ac:dyDescent="0.25">
      <c r="A25" s="61" t="s">
        <v>144</v>
      </c>
      <c r="B25" s="218"/>
      <c r="C25" s="218"/>
      <c r="D25" s="218"/>
      <c r="E25" s="218"/>
      <c r="F25" s="218"/>
      <c r="G25" s="234">
        <v>6.4000000000000001E-2</v>
      </c>
      <c r="H25" s="171">
        <v>7.6E-3</v>
      </c>
      <c r="I25" s="135"/>
      <c r="J25" s="234">
        <v>8.0000000000000002E-3</v>
      </c>
      <c r="K25" s="234">
        <v>0.12079999999999999</v>
      </c>
      <c r="L25" s="231" t="s">
        <v>1104</v>
      </c>
      <c r="M25" s="49" t="s">
        <v>1005</v>
      </c>
      <c r="N25" s="24" t="s">
        <v>738</v>
      </c>
    </row>
    <row r="26" spans="1:14" x14ac:dyDescent="0.25">
      <c r="A26" s="61" t="s">
        <v>1006</v>
      </c>
      <c r="B26" s="234">
        <v>7.5102040816326501E-2</v>
      </c>
      <c r="C26" s="234">
        <v>0.12720000000000001</v>
      </c>
      <c r="D26" s="234">
        <v>0.38339622641509435</v>
      </c>
      <c r="E26" s="234">
        <v>0.41612903225806452</v>
      </c>
      <c r="F26" s="234">
        <v>0.51805555555555549</v>
      </c>
      <c r="G26" s="234">
        <v>0.54214046822742479</v>
      </c>
      <c r="H26" s="234">
        <v>0.53729903536977497</v>
      </c>
      <c r="I26" s="234">
        <v>0.60124223602484472</v>
      </c>
      <c r="J26" s="234">
        <v>0.60865671641791042</v>
      </c>
      <c r="K26" s="172"/>
      <c r="L26" s="24" t="s">
        <v>79</v>
      </c>
      <c r="M26" s="24"/>
      <c r="N26" s="64"/>
    </row>
    <row r="27" spans="1:14" x14ac:dyDescent="0.25">
      <c r="A27" s="61" t="s">
        <v>146</v>
      </c>
      <c r="B27" s="129"/>
      <c r="C27" s="129"/>
      <c r="D27" s="129"/>
      <c r="E27" s="129"/>
      <c r="F27" s="129"/>
      <c r="G27" s="236">
        <v>0.55400000000000005</v>
      </c>
      <c r="H27" s="236">
        <v>0.68300000000000005</v>
      </c>
      <c r="I27" s="236">
        <v>0.749</v>
      </c>
      <c r="J27" s="236">
        <v>0.751</v>
      </c>
      <c r="K27" s="237">
        <v>0.89800000000000002</v>
      </c>
      <c r="L27" s="24" t="s">
        <v>1008</v>
      </c>
      <c r="M27" s="44" t="s">
        <v>1007</v>
      </c>
      <c r="N27" s="24" t="s">
        <v>738</v>
      </c>
    </row>
    <row r="28" spans="1:14" x14ac:dyDescent="0.25">
      <c r="A28" s="61" t="s">
        <v>147</v>
      </c>
      <c r="B28" s="129"/>
      <c r="C28" s="129"/>
      <c r="D28" s="129"/>
      <c r="E28" s="129"/>
      <c r="F28" s="129"/>
      <c r="G28" s="171">
        <v>3.9571428571428577E-2</v>
      </c>
      <c r="H28" s="171">
        <v>4.8785714285714293E-2</v>
      </c>
      <c r="I28" s="171">
        <v>5.3499999999999999E-2</v>
      </c>
      <c r="J28" s="171">
        <v>5.3642857142857138E-2</v>
      </c>
      <c r="K28" s="171">
        <v>6.414285714285714E-2</v>
      </c>
      <c r="L28" s="24" t="s">
        <v>79</v>
      </c>
      <c r="M28" s="24"/>
      <c r="N28" s="64"/>
    </row>
    <row r="29" spans="1:14" x14ac:dyDescent="0.25">
      <c r="A29" s="62" t="s">
        <v>148</v>
      </c>
      <c r="B29" s="154"/>
      <c r="C29" s="154"/>
      <c r="D29" s="154"/>
      <c r="E29" s="154"/>
      <c r="F29" s="154"/>
      <c r="G29" s="235"/>
      <c r="H29" s="235"/>
      <c r="I29" s="173"/>
      <c r="J29" s="173"/>
      <c r="K29" s="174"/>
      <c r="L29" s="39"/>
      <c r="M29" s="39"/>
      <c r="N29" s="64"/>
    </row>
    <row r="30" spans="1:14" x14ac:dyDescent="0.25">
      <c r="A30" s="50"/>
      <c r="B30" s="124"/>
      <c r="C30" s="124"/>
      <c r="D30" s="124"/>
      <c r="E30" s="124"/>
      <c r="F30" s="124"/>
      <c r="G30" s="124"/>
      <c r="H30" s="124"/>
      <c r="I30" s="124"/>
      <c r="J30" s="124"/>
      <c r="K30" s="120"/>
      <c r="L30" s="52"/>
      <c r="M30" s="52"/>
      <c r="N30" s="48"/>
    </row>
    <row r="31" spans="1:14" s="5" customFormat="1" x14ac:dyDescent="0.25">
      <c r="A31" s="35" t="s">
        <v>149</v>
      </c>
      <c r="B31" s="35">
        <v>2008</v>
      </c>
      <c r="C31" s="35">
        <v>2009</v>
      </c>
      <c r="D31" s="35">
        <v>2010</v>
      </c>
      <c r="E31" s="35">
        <v>2011</v>
      </c>
      <c r="F31" s="35">
        <v>2012</v>
      </c>
      <c r="G31" s="35">
        <v>2013</v>
      </c>
      <c r="H31" s="35">
        <v>2014</v>
      </c>
      <c r="I31" s="35">
        <v>2015</v>
      </c>
      <c r="J31" s="35">
        <v>2016</v>
      </c>
      <c r="K31" s="74">
        <v>2017</v>
      </c>
      <c r="L31" s="4" t="s">
        <v>765</v>
      </c>
      <c r="M31" s="28" t="s">
        <v>766</v>
      </c>
      <c r="N31" s="28" t="s">
        <v>58</v>
      </c>
    </row>
    <row r="32" spans="1:14" ht="30" x14ac:dyDescent="0.25">
      <c r="A32" s="61" t="s">
        <v>150</v>
      </c>
      <c r="B32" s="138"/>
      <c r="C32" s="138"/>
      <c r="D32" s="138"/>
      <c r="E32" s="138"/>
      <c r="F32" s="128">
        <v>4920000</v>
      </c>
      <c r="G32" s="128">
        <v>5132000</v>
      </c>
      <c r="H32" s="128">
        <v>6080000</v>
      </c>
      <c r="I32" s="138"/>
      <c r="J32" s="138"/>
      <c r="K32" s="147"/>
      <c r="L32" s="231" t="s">
        <v>1105</v>
      </c>
      <c r="M32" s="44" t="s">
        <v>1009</v>
      </c>
      <c r="N32" s="24" t="s">
        <v>738</v>
      </c>
    </row>
    <row r="33" spans="1:14" ht="30" x14ac:dyDescent="0.25">
      <c r="A33" s="271" t="s">
        <v>1106</v>
      </c>
      <c r="B33" s="135"/>
      <c r="C33" s="135"/>
      <c r="D33" s="135"/>
      <c r="E33" s="135"/>
      <c r="F33" s="128">
        <v>835000</v>
      </c>
      <c r="G33" s="128">
        <v>850000</v>
      </c>
      <c r="H33" s="128">
        <v>860000</v>
      </c>
      <c r="I33" s="135"/>
      <c r="J33" s="129"/>
      <c r="K33" s="122"/>
      <c r="L33" s="231" t="s">
        <v>1105</v>
      </c>
      <c r="M33" s="44" t="s">
        <v>1009</v>
      </c>
      <c r="N33" s="24" t="s">
        <v>738</v>
      </c>
    </row>
    <row r="34" spans="1:14" ht="30" x14ac:dyDescent="0.25">
      <c r="A34" s="260" t="s">
        <v>1107</v>
      </c>
      <c r="B34" s="138"/>
      <c r="C34" s="138"/>
      <c r="D34" s="138"/>
      <c r="E34" s="138"/>
      <c r="F34" s="128">
        <v>1000000</v>
      </c>
      <c r="G34" s="128">
        <v>1210000</v>
      </c>
      <c r="H34" s="128">
        <v>1500000</v>
      </c>
      <c r="I34" s="138"/>
      <c r="J34" s="138"/>
      <c r="K34" s="147"/>
      <c r="L34" s="231" t="s">
        <v>1105</v>
      </c>
      <c r="M34" s="44" t="s">
        <v>1009</v>
      </c>
      <c r="N34" s="24" t="s">
        <v>738</v>
      </c>
    </row>
    <row r="35" spans="1:14" ht="30" x14ac:dyDescent="0.25">
      <c r="A35" s="260" t="s">
        <v>1108</v>
      </c>
      <c r="B35" s="138"/>
      <c r="C35" s="138"/>
      <c r="D35" s="138"/>
      <c r="E35" s="138"/>
      <c r="F35" s="128">
        <v>45000</v>
      </c>
      <c r="G35" s="128">
        <v>45000</v>
      </c>
      <c r="H35" s="128">
        <v>45000</v>
      </c>
      <c r="I35" s="138"/>
      <c r="J35" s="138"/>
      <c r="K35" s="147"/>
      <c r="L35" s="231" t="s">
        <v>1105</v>
      </c>
      <c r="M35" s="44" t="s">
        <v>1009</v>
      </c>
      <c r="N35" s="24" t="s">
        <v>738</v>
      </c>
    </row>
    <row r="36" spans="1:14" ht="30" x14ac:dyDescent="0.25">
      <c r="A36" s="260" t="s">
        <v>1109</v>
      </c>
      <c r="B36" s="138"/>
      <c r="C36" s="138"/>
      <c r="D36" s="138"/>
      <c r="E36" s="138"/>
      <c r="F36" s="128">
        <v>75000</v>
      </c>
      <c r="G36" s="128">
        <v>85000</v>
      </c>
      <c r="H36" s="128">
        <v>105000</v>
      </c>
      <c r="I36" s="138"/>
      <c r="J36" s="138"/>
      <c r="K36" s="147"/>
      <c r="L36" s="231" t="s">
        <v>1105</v>
      </c>
      <c r="M36" s="44" t="s">
        <v>1009</v>
      </c>
      <c r="N36" s="24" t="s">
        <v>738</v>
      </c>
    </row>
    <row r="37" spans="1:14" ht="30" x14ac:dyDescent="0.25">
      <c r="A37" s="260" t="s">
        <v>1110</v>
      </c>
      <c r="B37" s="138"/>
      <c r="C37" s="138"/>
      <c r="D37" s="138"/>
      <c r="E37" s="138"/>
      <c r="F37" s="128">
        <v>75000</v>
      </c>
      <c r="G37" s="128">
        <v>75000</v>
      </c>
      <c r="H37" s="128">
        <v>100000</v>
      </c>
      <c r="I37" s="138"/>
      <c r="J37" s="138"/>
      <c r="K37" s="147"/>
      <c r="L37" s="231" t="s">
        <v>1105</v>
      </c>
      <c r="M37" s="44" t="s">
        <v>1009</v>
      </c>
      <c r="N37" s="24" t="s">
        <v>738</v>
      </c>
    </row>
    <row r="38" spans="1:14" ht="30" x14ac:dyDescent="0.25">
      <c r="A38" s="260" t="s">
        <v>1111</v>
      </c>
      <c r="B38" s="138"/>
      <c r="C38" s="138"/>
      <c r="D38" s="138"/>
      <c r="E38" s="138"/>
      <c r="F38" s="128">
        <v>125000</v>
      </c>
      <c r="G38" s="128">
        <v>100000</v>
      </c>
      <c r="H38" s="128">
        <v>125000</v>
      </c>
      <c r="I38" s="138"/>
      <c r="J38" s="138"/>
      <c r="K38" s="147"/>
      <c r="L38" s="231" t="s">
        <v>1105</v>
      </c>
      <c r="M38" s="44" t="s">
        <v>1009</v>
      </c>
      <c r="N38" s="24" t="s">
        <v>738</v>
      </c>
    </row>
    <row r="39" spans="1:14" ht="30" x14ac:dyDescent="0.25">
      <c r="A39" s="260" t="s">
        <v>1112</v>
      </c>
      <c r="B39" s="138"/>
      <c r="C39" s="138"/>
      <c r="D39" s="138"/>
      <c r="E39" s="138"/>
      <c r="F39" s="128">
        <v>200000</v>
      </c>
      <c r="G39" s="128">
        <v>200000</v>
      </c>
      <c r="H39" s="128">
        <v>200000</v>
      </c>
      <c r="I39" s="138"/>
      <c r="J39" s="138"/>
      <c r="K39" s="147"/>
      <c r="L39" s="231" t="s">
        <v>1105</v>
      </c>
      <c r="M39" s="44" t="s">
        <v>1009</v>
      </c>
      <c r="N39" s="24" t="s">
        <v>738</v>
      </c>
    </row>
    <row r="40" spans="1:14" ht="30" x14ac:dyDescent="0.25">
      <c r="A40" s="260" t="s">
        <v>1113</v>
      </c>
      <c r="B40" s="129"/>
      <c r="C40" s="129"/>
      <c r="D40" s="129"/>
      <c r="E40" s="129"/>
      <c r="F40" s="128">
        <v>800000</v>
      </c>
      <c r="G40" s="128">
        <v>600000</v>
      </c>
      <c r="H40" s="128">
        <v>100000</v>
      </c>
      <c r="I40" s="129"/>
      <c r="J40" s="129"/>
      <c r="K40" s="122"/>
      <c r="L40" s="231" t="s">
        <v>1105</v>
      </c>
      <c r="M40" s="44" t="s">
        <v>1009</v>
      </c>
      <c r="N40" s="24" t="s">
        <v>738</v>
      </c>
    </row>
    <row r="41" spans="1:14" ht="30" x14ac:dyDescent="0.25">
      <c r="A41" s="260" t="s">
        <v>1114</v>
      </c>
      <c r="B41" s="129"/>
      <c r="C41" s="129"/>
      <c r="D41" s="129"/>
      <c r="E41" s="129"/>
      <c r="F41" s="128">
        <v>30000</v>
      </c>
      <c r="G41" s="128">
        <v>32000</v>
      </c>
      <c r="H41" s="128">
        <v>35000</v>
      </c>
      <c r="I41" s="129"/>
      <c r="J41" s="129"/>
      <c r="K41" s="122"/>
      <c r="L41" s="231" t="s">
        <v>1105</v>
      </c>
      <c r="M41" s="44" t="s">
        <v>1009</v>
      </c>
      <c r="N41" s="24" t="s">
        <v>738</v>
      </c>
    </row>
    <row r="42" spans="1:14" ht="30" x14ac:dyDescent="0.25">
      <c r="A42" s="260" t="s">
        <v>1115</v>
      </c>
      <c r="B42" s="129"/>
      <c r="C42" s="129"/>
      <c r="D42" s="129"/>
      <c r="E42" s="129"/>
      <c r="F42" s="128">
        <v>180000</v>
      </c>
      <c r="G42" s="128">
        <v>195000</v>
      </c>
      <c r="H42" s="128">
        <v>195000</v>
      </c>
      <c r="I42" s="129"/>
      <c r="J42" s="129"/>
      <c r="K42" s="122"/>
      <c r="L42" s="231" t="s">
        <v>1105</v>
      </c>
      <c r="M42" s="44" t="s">
        <v>1009</v>
      </c>
      <c r="N42" s="24" t="s">
        <v>738</v>
      </c>
    </row>
    <row r="43" spans="1:14" ht="30" x14ac:dyDescent="0.25">
      <c r="A43" s="260" t="s">
        <v>1116</v>
      </c>
      <c r="B43" s="129"/>
      <c r="C43" s="129"/>
      <c r="D43" s="129"/>
      <c r="E43" s="129"/>
      <c r="F43" s="128">
        <v>90000</v>
      </c>
      <c r="G43" s="128">
        <v>110000</v>
      </c>
      <c r="H43" s="128">
        <v>120000</v>
      </c>
      <c r="I43" s="129"/>
      <c r="J43" s="129"/>
      <c r="K43" s="122"/>
      <c r="L43" s="231" t="s">
        <v>1105</v>
      </c>
      <c r="M43" s="44" t="s">
        <v>1009</v>
      </c>
      <c r="N43" s="24" t="s">
        <v>738</v>
      </c>
    </row>
    <row r="44" spans="1:14" ht="30" x14ac:dyDescent="0.25">
      <c r="A44" s="260" t="s">
        <v>1117</v>
      </c>
      <c r="B44" s="129"/>
      <c r="C44" s="129"/>
      <c r="D44" s="129"/>
      <c r="E44" s="129"/>
      <c r="F44" s="128">
        <v>1100000</v>
      </c>
      <c r="G44" s="128">
        <v>1200000</v>
      </c>
      <c r="H44" s="128">
        <v>1400000</v>
      </c>
      <c r="I44" s="129"/>
      <c r="J44" s="129"/>
      <c r="K44" s="122"/>
      <c r="L44" s="231" t="s">
        <v>1105</v>
      </c>
      <c r="M44" s="44" t="s">
        <v>1009</v>
      </c>
      <c r="N44" s="24" t="s">
        <v>738</v>
      </c>
    </row>
    <row r="45" spans="1:14" ht="30" x14ac:dyDescent="0.25">
      <c r="A45" s="270" t="s">
        <v>1118</v>
      </c>
      <c r="B45" s="154"/>
      <c r="C45" s="154"/>
      <c r="D45" s="154"/>
      <c r="E45" s="154"/>
      <c r="F45" s="170">
        <v>365000</v>
      </c>
      <c r="G45" s="170">
        <v>430000</v>
      </c>
      <c r="H45" s="170">
        <v>395000</v>
      </c>
      <c r="I45" s="154"/>
      <c r="J45" s="154"/>
      <c r="K45" s="119"/>
      <c r="L45" s="231" t="s">
        <v>1105</v>
      </c>
      <c r="M45" s="44" t="s">
        <v>1009</v>
      </c>
      <c r="N45" s="24" t="s">
        <v>738</v>
      </c>
    </row>
    <row r="46" spans="1:14" x14ac:dyDescent="0.25">
      <c r="G46" s="125"/>
      <c r="H46" s="125"/>
      <c r="I46" s="125"/>
    </row>
    <row r="47" spans="1:14" x14ac:dyDescent="0.25">
      <c r="A47" s="260" t="s">
        <v>1226</v>
      </c>
      <c r="B47" s="234">
        <v>1.198</v>
      </c>
      <c r="C47"/>
      <c r="D47"/>
      <c r="E47"/>
      <c r="F47"/>
      <c r="G47"/>
      <c r="H47"/>
      <c r="I47"/>
      <c r="J47"/>
      <c r="K47"/>
    </row>
    <row r="48" spans="1:14" x14ac:dyDescent="0.25">
      <c r="A48" s="61" t="s">
        <v>116</v>
      </c>
      <c r="B48" s="234">
        <v>0.21769999999999998</v>
      </c>
      <c r="C48"/>
      <c r="D48"/>
      <c r="E48"/>
      <c r="F48"/>
      <c r="G48"/>
      <c r="H48"/>
      <c r="I48"/>
      <c r="J48"/>
      <c r="K48"/>
    </row>
    <row r="49" spans="1:11" x14ac:dyDescent="0.25">
      <c r="A49" s="61" t="s">
        <v>140</v>
      </c>
      <c r="B49" s="234">
        <v>0.1449</v>
      </c>
      <c r="C49"/>
      <c r="D49"/>
      <c r="E49"/>
      <c r="F49"/>
      <c r="G49"/>
      <c r="H49"/>
      <c r="I49"/>
      <c r="J49"/>
      <c r="K49"/>
    </row>
    <row r="50" spans="1:11" x14ac:dyDescent="0.25">
      <c r="A50" s="61" t="s">
        <v>141</v>
      </c>
      <c r="B50" s="234">
        <v>0.1095</v>
      </c>
      <c r="C50"/>
      <c r="D50"/>
      <c r="E50"/>
      <c r="F50"/>
      <c r="G50"/>
      <c r="H50"/>
      <c r="I50"/>
      <c r="J50"/>
      <c r="K50"/>
    </row>
    <row r="51" spans="1:11" x14ac:dyDescent="0.25">
      <c r="A51" s="61" t="s">
        <v>142</v>
      </c>
      <c r="B51" s="234">
        <v>0.15209999999999999</v>
      </c>
      <c r="C51"/>
      <c r="D51"/>
      <c r="E51"/>
      <c r="F51"/>
      <c r="G51"/>
      <c r="H51"/>
      <c r="I51"/>
      <c r="J51"/>
      <c r="K51"/>
    </row>
    <row r="52" spans="1:11" x14ac:dyDescent="0.25">
      <c r="A52" s="61" t="s">
        <v>143</v>
      </c>
      <c r="B52" s="234">
        <v>7.6499999999999999E-2</v>
      </c>
      <c r="C52"/>
      <c r="D52"/>
      <c r="E52"/>
      <c r="F52"/>
      <c r="G52"/>
      <c r="H52"/>
      <c r="I52"/>
      <c r="J52"/>
      <c r="K52"/>
    </row>
    <row r="53" spans="1:11" x14ac:dyDescent="0.25">
      <c r="A53" s="61" t="s">
        <v>145</v>
      </c>
      <c r="B53" s="234">
        <v>3.5000000000000003E-2</v>
      </c>
      <c r="C53"/>
      <c r="D53"/>
      <c r="E53"/>
      <c r="F53"/>
      <c r="G53"/>
      <c r="H53"/>
      <c r="I53"/>
      <c r="J53"/>
      <c r="K53"/>
    </row>
    <row r="54" spans="1:11" x14ac:dyDescent="0.25">
      <c r="A54" s="61" t="s">
        <v>144</v>
      </c>
      <c r="B54" s="234">
        <v>0.12079999999999999</v>
      </c>
      <c r="C54"/>
      <c r="D54"/>
      <c r="E54"/>
      <c r="F54"/>
      <c r="G54"/>
      <c r="H54"/>
      <c r="I54"/>
      <c r="J54"/>
      <c r="K54"/>
    </row>
    <row r="55" spans="1:11" x14ac:dyDescent="0.25">
      <c r="C55"/>
      <c r="D55"/>
      <c r="E55"/>
      <c r="F55"/>
      <c r="G55"/>
      <c r="H55"/>
      <c r="I55"/>
      <c r="J55"/>
      <c r="K55"/>
    </row>
    <row r="56" spans="1:11" x14ac:dyDescent="0.25">
      <c r="A56" s="203" t="s">
        <v>1227</v>
      </c>
      <c r="B56" s="210">
        <v>56</v>
      </c>
      <c r="C56"/>
      <c r="D56"/>
      <c r="E56"/>
      <c r="F56"/>
      <c r="G56"/>
      <c r="H56"/>
      <c r="I56"/>
      <c r="J56"/>
      <c r="K56"/>
    </row>
    <row r="57" spans="1:11" x14ac:dyDescent="0.25">
      <c r="A57" s="203" t="s">
        <v>1230</v>
      </c>
      <c r="B57" s="210">
        <v>18</v>
      </c>
      <c r="C57"/>
      <c r="D57"/>
      <c r="E57"/>
      <c r="F57"/>
      <c r="G57"/>
      <c r="H57"/>
      <c r="I57"/>
      <c r="J57"/>
      <c r="K57"/>
    </row>
    <row r="58" spans="1:11" x14ac:dyDescent="0.25">
      <c r="A58" s="203" t="s">
        <v>1229</v>
      </c>
      <c r="B58" s="307">
        <v>16</v>
      </c>
      <c r="C58"/>
      <c r="D58"/>
      <c r="E58"/>
      <c r="F58"/>
      <c r="G58"/>
      <c r="H58"/>
      <c r="I58"/>
      <c r="J58"/>
      <c r="K58"/>
    </row>
    <row r="59" spans="1:11" x14ac:dyDescent="0.25">
      <c r="A59" s="203" t="s">
        <v>1228</v>
      </c>
      <c r="B59" s="210">
        <v>10</v>
      </c>
      <c r="C59"/>
      <c r="D59"/>
      <c r="E59"/>
      <c r="F59"/>
      <c r="G59"/>
      <c r="H59"/>
      <c r="I59"/>
      <c r="J59"/>
      <c r="K59"/>
    </row>
    <row r="60" spans="1:11" x14ac:dyDescent="0.25">
      <c r="C60"/>
      <c r="D60"/>
      <c r="E60"/>
      <c r="F60"/>
      <c r="G60"/>
      <c r="H60"/>
      <c r="I60"/>
      <c r="J60"/>
      <c r="K60"/>
    </row>
    <row r="61" spans="1:11" x14ac:dyDescent="0.25">
      <c r="C61"/>
      <c r="D61"/>
      <c r="E61"/>
      <c r="F61"/>
      <c r="G61"/>
      <c r="H61"/>
      <c r="I61"/>
      <c r="J61"/>
      <c r="K61"/>
    </row>
    <row r="62" spans="1:11" x14ac:dyDescent="0.25">
      <c r="B62" s="305"/>
      <c r="C62"/>
      <c r="D62"/>
      <c r="E62"/>
      <c r="F62"/>
      <c r="G62"/>
      <c r="H62"/>
      <c r="I62"/>
      <c r="J62"/>
      <c r="K62"/>
    </row>
    <row r="63" spans="1:11" x14ac:dyDescent="0.25">
      <c r="B63" s="305"/>
      <c r="C63"/>
      <c r="D63"/>
      <c r="E63"/>
      <c r="F63"/>
      <c r="G63"/>
      <c r="H63"/>
      <c r="I63"/>
      <c r="J63"/>
      <c r="K63"/>
    </row>
  </sheetData>
  <mergeCells count="1">
    <mergeCell ref="A1:A2"/>
  </mergeCells>
  <hyperlinks>
    <hyperlink ref="M10" r:id="rId1" xr:uid="{00000000-0004-0000-1000-000002000000}"/>
    <hyperlink ref="M11" r:id="rId2" xr:uid="{00000000-0004-0000-1000-000003000000}"/>
    <hyperlink ref="M27" r:id="rId3" xr:uid="{00000000-0004-0000-1000-000004000000}"/>
  </hyperlinks>
  <pageMargins left="0.7" right="0.7" top="0.75" bottom="0.75" header="0.3" footer="0.3"/>
  <pageSetup orientation="portrait" r:id="rId4"/>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93404"/>
  </sheetPr>
  <dimension ref="A1:N23"/>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85" style="40" bestFit="1" customWidth="1"/>
    <col min="2" max="11" width="11.7109375" style="5" customWidth="1"/>
    <col min="12" max="12" width="29.42578125" style="40" customWidth="1"/>
    <col min="13" max="13" width="69.28515625" style="40" customWidth="1"/>
    <col min="14" max="14" width="20" style="40" customWidth="1"/>
    <col min="15" max="16384" width="8.85546875" style="40"/>
  </cols>
  <sheetData>
    <row r="1" spans="1:14" x14ac:dyDescent="0.25">
      <c r="A1" s="390" t="s">
        <v>151</v>
      </c>
    </row>
    <row r="2" spans="1:14" x14ac:dyDescent="0.25">
      <c r="A2" s="390"/>
    </row>
    <row r="3" spans="1:14" s="5" customFormat="1" x14ac:dyDescent="0.25">
      <c r="A3" s="4" t="s">
        <v>152</v>
      </c>
      <c r="B3" s="4">
        <v>2008</v>
      </c>
      <c r="C3" s="4">
        <v>2009</v>
      </c>
      <c r="D3" s="4">
        <v>2010</v>
      </c>
      <c r="E3" s="4">
        <v>2011</v>
      </c>
      <c r="F3" s="4">
        <v>2012</v>
      </c>
      <c r="G3" s="4">
        <v>2013</v>
      </c>
      <c r="H3" s="4">
        <v>2014</v>
      </c>
      <c r="I3" s="4">
        <v>2015</v>
      </c>
      <c r="J3" s="4">
        <v>2016</v>
      </c>
      <c r="K3" s="74">
        <v>2017</v>
      </c>
      <c r="L3" s="4" t="s">
        <v>765</v>
      </c>
      <c r="M3" s="28" t="s">
        <v>766</v>
      </c>
      <c r="N3" s="28" t="s">
        <v>58</v>
      </c>
    </row>
    <row r="4" spans="1:14" ht="30" x14ac:dyDescent="0.25">
      <c r="A4" s="61" t="s">
        <v>979</v>
      </c>
      <c r="B4" s="128">
        <v>280.10000000000002</v>
      </c>
      <c r="C4" s="128">
        <v>310.3</v>
      </c>
      <c r="D4" s="128">
        <v>330.8</v>
      </c>
      <c r="E4" s="128">
        <v>337.2</v>
      </c>
      <c r="F4" s="128">
        <v>341.9</v>
      </c>
      <c r="G4" s="128">
        <v>355.1</v>
      </c>
      <c r="H4" s="128">
        <v>368.7</v>
      </c>
      <c r="I4" s="128">
        <v>379.5</v>
      </c>
      <c r="J4" s="128">
        <v>387.9</v>
      </c>
      <c r="K4" s="128">
        <v>397.1</v>
      </c>
      <c r="L4" s="24" t="s">
        <v>133</v>
      </c>
      <c r="M4" s="43" t="s">
        <v>823</v>
      </c>
      <c r="N4" s="24" t="s">
        <v>738</v>
      </c>
    </row>
    <row r="5" spans="1:14" ht="30" x14ac:dyDescent="0.25">
      <c r="A5" s="62" t="s">
        <v>153</v>
      </c>
      <c r="B5" s="175">
        <v>1.9</v>
      </c>
      <c r="C5" s="175">
        <v>2.2000000000000002</v>
      </c>
      <c r="D5" s="175">
        <v>2.2000000000000002</v>
      </c>
      <c r="E5" s="175">
        <v>2.2000000000000002</v>
      </c>
      <c r="F5" s="175">
        <v>2.1</v>
      </c>
      <c r="G5" s="175">
        <v>2.1</v>
      </c>
      <c r="H5" s="175">
        <v>2.1</v>
      </c>
      <c r="I5" s="175">
        <v>2.1</v>
      </c>
      <c r="J5" s="6">
        <v>2.1</v>
      </c>
      <c r="K5" s="230">
        <v>2</v>
      </c>
      <c r="L5" s="24" t="s">
        <v>133</v>
      </c>
      <c r="M5" s="43" t="s">
        <v>823</v>
      </c>
      <c r="N5" s="24" t="s">
        <v>738</v>
      </c>
    </row>
    <row r="6" spans="1:14" ht="30" x14ac:dyDescent="0.25">
      <c r="A6" s="61" t="s">
        <v>980</v>
      </c>
      <c r="B6" s="269">
        <v>735.6</v>
      </c>
      <c r="C6" s="269">
        <v>622.6</v>
      </c>
      <c r="D6" s="269">
        <v>714.9</v>
      </c>
      <c r="E6" s="269">
        <v>779.7</v>
      </c>
      <c r="F6" s="269">
        <v>805.2</v>
      </c>
      <c r="G6" s="269">
        <v>814</v>
      </c>
      <c r="H6" s="269">
        <v>830.8</v>
      </c>
      <c r="I6" s="269">
        <v>791</v>
      </c>
      <c r="J6" s="269">
        <v>809.6</v>
      </c>
      <c r="K6" s="269">
        <v>837.3</v>
      </c>
      <c r="L6" s="24" t="s">
        <v>133</v>
      </c>
      <c r="M6" s="43" t="s">
        <v>823</v>
      </c>
      <c r="N6" s="24" t="s">
        <v>738</v>
      </c>
    </row>
    <row r="7" spans="1:14" ht="30" x14ac:dyDescent="0.25">
      <c r="A7" s="73" t="s">
        <v>981</v>
      </c>
      <c r="B7" s="128">
        <v>86.6</v>
      </c>
      <c r="C7" s="128">
        <v>84.3</v>
      </c>
      <c r="D7" s="128">
        <v>85.9</v>
      </c>
      <c r="E7" s="128">
        <v>86.7</v>
      </c>
      <c r="F7" s="128">
        <v>89.7</v>
      </c>
      <c r="G7" s="128">
        <v>92</v>
      </c>
      <c r="H7" s="128">
        <v>96.9</v>
      </c>
      <c r="I7" s="128">
        <v>100.2</v>
      </c>
      <c r="J7" s="128">
        <v>98.6</v>
      </c>
      <c r="K7" s="169"/>
      <c r="L7" s="24" t="s">
        <v>133</v>
      </c>
      <c r="M7" s="43" t="s">
        <v>823</v>
      </c>
      <c r="N7" s="24" t="s">
        <v>738</v>
      </c>
    </row>
    <row r="8" spans="1:14" ht="30" x14ac:dyDescent="0.25">
      <c r="A8" s="61" t="s">
        <v>982</v>
      </c>
      <c r="B8" s="128">
        <v>10.5</v>
      </c>
      <c r="C8" s="128">
        <v>11.6</v>
      </c>
      <c r="D8" s="128">
        <v>11.9</v>
      </c>
      <c r="E8" s="128">
        <v>14.8</v>
      </c>
      <c r="F8" s="128">
        <v>15.3</v>
      </c>
      <c r="G8" s="128">
        <v>15.8</v>
      </c>
      <c r="H8" s="128">
        <v>16.8</v>
      </c>
      <c r="I8" s="128">
        <v>17.8</v>
      </c>
      <c r="J8" s="128">
        <v>18.100000000000001</v>
      </c>
      <c r="K8" s="122"/>
      <c r="L8" s="24" t="s">
        <v>133</v>
      </c>
      <c r="M8" s="43" t="s">
        <v>823</v>
      </c>
      <c r="N8" s="24" t="s">
        <v>738</v>
      </c>
    </row>
    <row r="9" spans="1:14" ht="30" x14ac:dyDescent="0.25">
      <c r="A9" s="61" t="s">
        <v>983</v>
      </c>
      <c r="B9" s="128">
        <v>183</v>
      </c>
      <c r="C9" s="128">
        <v>214.4</v>
      </c>
      <c r="D9" s="128">
        <v>233</v>
      </c>
      <c r="E9" s="128">
        <v>235.6</v>
      </c>
      <c r="F9" s="128">
        <v>236.9</v>
      </c>
      <c r="G9" s="128">
        <v>247.3</v>
      </c>
      <c r="H9" s="128">
        <v>255</v>
      </c>
      <c r="I9" s="128">
        <v>261.5</v>
      </c>
      <c r="J9" s="128">
        <v>271.10000000000002</v>
      </c>
      <c r="K9" s="122"/>
      <c r="L9" s="24" t="s">
        <v>133</v>
      </c>
      <c r="M9" s="43" t="s">
        <v>823</v>
      </c>
      <c r="N9" s="24" t="s">
        <v>738</v>
      </c>
    </row>
    <row r="10" spans="1:14" ht="48.75" customHeight="1" x14ac:dyDescent="0.25">
      <c r="A10" s="61" t="s">
        <v>136</v>
      </c>
      <c r="B10" s="128">
        <v>848</v>
      </c>
      <c r="C10" s="128">
        <v>800</v>
      </c>
      <c r="D10" s="128">
        <v>788</v>
      </c>
      <c r="E10" s="128">
        <v>785</v>
      </c>
      <c r="F10" s="128">
        <v>788</v>
      </c>
      <c r="G10" s="128">
        <v>793</v>
      </c>
      <c r="H10" s="128">
        <v>803</v>
      </c>
      <c r="I10" s="128">
        <v>807</v>
      </c>
      <c r="J10" s="128">
        <v>811</v>
      </c>
      <c r="K10" s="122"/>
      <c r="L10" s="24" t="s">
        <v>827</v>
      </c>
      <c r="M10" s="43" t="s">
        <v>826</v>
      </c>
      <c r="N10" s="24" t="s">
        <v>738</v>
      </c>
    </row>
    <row r="11" spans="1:14" ht="30" x14ac:dyDescent="0.25">
      <c r="A11" s="62" t="s">
        <v>984</v>
      </c>
      <c r="B11" s="128">
        <v>743.7</v>
      </c>
      <c r="C11" s="128">
        <v>624.5</v>
      </c>
      <c r="D11" s="128">
        <v>693.2</v>
      </c>
      <c r="E11" s="128">
        <v>781</v>
      </c>
      <c r="F11" s="128">
        <v>794.6</v>
      </c>
      <c r="G11" s="128">
        <v>782.1</v>
      </c>
      <c r="H11" s="128">
        <v>793.9</v>
      </c>
      <c r="I11" s="128">
        <v>818.2</v>
      </c>
      <c r="J11" s="128">
        <v>800.5</v>
      </c>
      <c r="K11" s="119"/>
      <c r="L11" s="39" t="s">
        <v>154</v>
      </c>
      <c r="M11" s="49" t="s">
        <v>825</v>
      </c>
      <c r="N11" s="24" t="s">
        <v>738</v>
      </c>
    </row>
    <row r="12" spans="1:14" ht="30" x14ac:dyDescent="0.25">
      <c r="A12" s="62" t="s">
        <v>985</v>
      </c>
      <c r="B12" s="128">
        <v>738.62000000000012</v>
      </c>
      <c r="C12" s="128">
        <v>624.36200000000008</v>
      </c>
      <c r="D12" s="128">
        <v>697.79099999999994</v>
      </c>
      <c r="E12" s="128">
        <v>777</v>
      </c>
      <c r="F12" s="128">
        <v>794.7</v>
      </c>
      <c r="G12" s="128">
        <v>785.6</v>
      </c>
      <c r="H12" s="128">
        <v>787.4</v>
      </c>
      <c r="I12" s="128">
        <v>751.6</v>
      </c>
      <c r="J12" s="128">
        <v>767.8</v>
      </c>
      <c r="K12" s="119"/>
      <c r="L12" s="39" t="s">
        <v>154</v>
      </c>
      <c r="M12" s="49" t="s">
        <v>825</v>
      </c>
      <c r="N12" s="24" t="s">
        <v>738</v>
      </c>
    </row>
    <row r="13" spans="1:14" ht="30" x14ac:dyDescent="0.25">
      <c r="A13" s="62" t="s">
        <v>986</v>
      </c>
      <c r="B13" s="128">
        <v>170.88499999999999</v>
      </c>
      <c r="C13" s="128">
        <v>145.66399999999999</v>
      </c>
      <c r="D13" s="128">
        <v>166.40100000000001</v>
      </c>
      <c r="E13" s="128">
        <v>191.28299999999999</v>
      </c>
      <c r="F13" s="128">
        <v>188.04400000000001</v>
      </c>
      <c r="G13" s="128">
        <v>185.67400000000001</v>
      </c>
      <c r="H13" s="128">
        <v>196.55099999999999</v>
      </c>
      <c r="I13" s="128">
        <v>204.99700000000001</v>
      </c>
      <c r="J13" s="128">
        <v>206.5</v>
      </c>
      <c r="K13" s="119"/>
      <c r="L13" s="39" t="s">
        <v>154</v>
      </c>
      <c r="M13" s="49" t="s">
        <v>825</v>
      </c>
      <c r="N13" s="24" t="s">
        <v>738</v>
      </c>
    </row>
    <row r="14" spans="1:14" ht="30" x14ac:dyDescent="0.25">
      <c r="A14" s="62" t="s">
        <v>987</v>
      </c>
      <c r="B14" s="128">
        <v>165.80500000000001</v>
      </c>
      <c r="C14" s="128">
        <v>145.52600000000001</v>
      </c>
      <c r="D14" s="128">
        <v>170.99199999999999</v>
      </c>
      <c r="E14" s="128">
        <v>187.13800000000001</v>
      </c>
      <c r="F14" s="128">
        <v>188.107</v>
      </c>
      <c r="G14" s="128">
        <v>189.214</v>
      </c>
      <c r="H14" s="128">
        <v>191.44399999999999</v>
      </c>
      <c r="I14" s="128">
        <v>183.70500000000001</v>
      </c>
      <c r="J14" s="128">
        <v>173.761</v>
      </c>
      <c r="K14" s="197"/>
      <c r="L14" s="39" t="s">
        <v>154</v>
      </c>
      <c r="M14" s="49" t="s">
        <v>828</v>
      </c>
      <c r="N14" s="24" t="s">
        <v>738</v>
      </c>
    </row>
    <row r="15" spans="1:14" x14ac:dyDescent="0.25">
      <c r="A15" s="194"/>
      <c r="B15" s="124"/>
      <c r="C15" s="124"/>
      <c r="D15" s="124"/>
      <c r="E15" s="124"/>
      <c r="F15" s="124"/>
      <c r="G15" s="124"/>
      <c r="H15" s="124"/>
      <c r="I15" s="124"/>
      <c r="J15" s="124"/>
      <c r="K15" s="120"/>
      <c r="L15" s="52"/>
      <c r="M15" s="52"/>
      <c r="N15" s="163"/>
    </row>
    <row r="16" spans="1:14" s="5" customFormat="1" x14ac:dyDescent="0.25">
      <c r="A16" s="196" t="s">
        <v>155</v>
      </c>
      <c r="B16" s="7">
        <v>2008</v>
      </c>
      <c r="C16" s="7">
        <v>2009</v>
      </c>
      <c r="D16" s="7">
        <v>2010</v>
      </c>
      <c r="E16" s="7">
        <v>2011</v>
      </c>
      <c r="F16" s="7">
        <v>2012</v>
      </c>
      <c r="G16" s="7">
        <v>2013</v>
      </c>
      <c r="H16" s="7">
        <v>2014</v>
      </c>
      <c r="I16" s="7">
        <v>2015</v>
      </c>
      <c r="J16" s="7">
        <v>2016</v>
      </c>
      <c r="K16" s="74">
        <v>2017</v>
      </c>
      <c r="L16" s="4" t="s">
        <v>765</v>
      </c>
      <c r="M16" s="28" t="s">
        <v>766</v>
      </c>
      <c r="N16" s="28" t="s">
        <v>58</v>
      </c>
    </row>
    <row r="17" spans="1:14" ht="30" x14ac:dyDescent="0.25">
      <c r="A17" s="61" t="s">
        <v>989</v>
      </c>
      <c r="B17" s="135"/>
      <c r="C17" s="135"/>
      <c r="D17" s="128">
        <v>4.4000000000000004</v>
      </c>
      <c r="E17" s="128">
        <v>4.7430000000000003</v>
      </c>
      <c r="F17" s="128">
        <v>5.04</v>
      </c>
      <c r="G17" s="128">
        <v>5.9</v>
      </c>
      <c r="H17" s="128">
        <v>6.2</v>
      </c>
      <c r="I17" s="128">
        <v>6.1</v>
      </c>
      <c r="J17" s="191">
        <v>6.4</v>
      </c>
      <c r="K17" s="169"/>
      <c r="L17" s="24" t="s">
        <v>1011</v>
      </c>
      <c r="M17" s="24" t="s">
        <v>1012</v>
      </c>
      <c r="N17" s="24" t="s">
        <v>738</v>
      </c>
    </row>
    <row r="18" spans="1:14" ht="30" x14ac:dyDescent="0.25">
      <c r="A18" s="61" t="s">
        <v>990</v>
      </c>
      <c r="B18" s="129"/>
      <c r="C18" s="129"/>
      <c r="D18" s="128">
        <v>45.2</v>
      </c>
      <c r="E18" s="128">
        <v>47.957000000000001</v>
      </c>
      <c r="F18" s="128">
        <v>50.96</v>
      </c>
      <c r="G18" s="128">
        <v>54.4</v>
      </c>
      <c r="H18" s="128">
        <v>57.1</v>
      </c>
      <c r="I18" s="128">
        <v>60.7</v>
      </c>
      <c r="J18" s="9">
        <v>64.8</v>
      </c>
      <c r="K18" s="122"/>
      <c r="L18" s="24" t="s">
        <v>1011</v>
      </c>
      <c r="M18" s="24" t="s">
        <v>1012</v>
      </c>
      <c r="N18" s="24" t="s">
        <v>738</v>
      </c>
    </row>
    <row r="19" spans="1:14" x14ac:dyDescent="0.25">
      <c r="A19" s="195"/>
      <c r="B19" s="143"/>
      <c r="C19" s="143"/>
      <c r="D19" s="143"/>
      <c r="E19" s="143"/>
      <c r="F19" s="143"/>
      <c r="G19" s="143"/>
      <c r="H19" s="143"/>
      <c r="I19" s="143"/>
      <c r="J19" s="143"/>
      <c r="K19" s="143"/>
      <c r="L19" s="47"/>
      <c r="M19" s="47"/>
      <c r="N19" s="48"/>
    </row>
    <row r="20" spans="1:14" s="5" customFormat="1" x14ac:dyDescent="0.25">
      <c r="A20" s="193" t="s">
        <v>156</v>
      </c>
      <c r="B20" s="4">
        <v>2008</v>
      </c>
      <c r="C20" s="4">
        <v>2009</v>
      </c>
      <c r="D20" s="4">
        <v>2010</v>
      </c>
      <c r="E20" s="4">
        <v>2011</v>
      </c>
      <c r="F20" s="4">
        <v>2012</v>
      </c>
      <c r="G20" s="4">
        <v>2013</v>
      </c>
      <c r="H20" s="4">
        <v>2014</v>
      </c>
      <c r="I20" s="4">
        <v>2015</v>
      </c>
      <c r="J20" s="4">
        <v>2016</v>
      </c>
      <c r="K20" s="74">
        <v>2017</v>
      </c>
      <c r="L20" s="4" t="s">
        <v>765</v>
      </c>
      <c r="M20" s="28" t="s">
        <v>766</v>
      </c>
      <c r="N20" s="28" t="s">
        <v>58</v>
      </c>
    </row>
    <row r="21" spans="1:14" ht="30" x14ac:dyDescent="0.25">
      <c r="A21" s="61" t="s">
        <v>988</v>
      </c>
      <c r="B21" s="129"/>
      <c r="C21" s="129"/>
      <c r="D21" s="129"/>
      <c r="E21" s="129"/>
      <c r="F21" s="9">
        <v>66</v>
      </c>
      <c r="G21" s="129"/>
      <c r="H21" s="129"/>
      <c r="I21" s="129"/>
      <c r="J21" s="129"/>
      <c r="K21" s="176"/>
      <c r="L21" s="54" t="s">
        <v>842</v>
      </c>
      <c r="M21" s="24" t="s">
        <v>124</v>
      </c>
      <c r="N21" s="24" t="s">
        <v>738</v>
      </c>
    </row>
    <row r="23" spans="1:14" x14ac:dyDescent="0.25">
      <c r="G23" s="125"/>
    </row>
  </sheetData>
  <mergeCells count="1">
    <mergeCell ref="A1:A2"/>
  </mergeCells>
  <hyperlinks>
    <hyperlink ref="M10" r:id="rId1" display="www.bea.gov/industry/xls/GDPbyInd_VA_NAICS_1997-2012.xlsx_x000a_[2013-2016] " xr:uid="{00000000-0004-0000-1100-000000000000}"/>
    <hyperlink ref="M13" r:id="rId2" xr:uid="{00000000-0004-0000-1100-000001000000}"/>
    <hyperlink ref="M12" r:id="rId3" xr:uid="{00000000-0004-0000-1100-000002000000}"/>
    <hyperlink ref="M11" r:id="rId4" xr:uid="{00000000-0004-0000-1100-000003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93404"/>
  </sheetPr>
  <dimension ref="A1:N8"/>
  <sheetViews>
    <sheetView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51.28515625" style="40" bestFit="1" customWidth="1"/>
    <col min="2" max="11" width="11.7109375" style="5" customWidth="1"/>
    <col min="12" max="12" width="20.140625" style="40" customWidth="1"/>
    <col min="13" max="13" width="66.5703125" style="40" customWidth="1"/>
    <col min="14" max="14" width="19.42578125" style="40" customWidth="1"/>
    <col min="15" max="15" width="15.28515625" style="40" customWidth="1"/>
    <col min="16" max="16384" width="8.85546875" style="40"/>
  </cols>
  <sheetData>
    <row r="1" spans="1:14" x14ac:dyDescent="0.25">
      <c r="A1" s="390" t="s">
        <v>157</v>
      </c>
    </row>
    <row r="2" spans="1:14" x14ac:dyDescent="0.25">
      <c r="A2" s="391"/>
    </row>
    <row r="3" spans="1:14" s="5" customFormat="1" x14ac:dyDescent="0.25">
      <c r="A3" s="4" t="s">
        <v>158</v>
      </c>
      <c r="B3" s="4">
        <v>2008</v>
      </c>
      <c r="C3" s="4">
        <v>2009</v>
      </c>
      <c r="D3" s="4">
        <v>2010</v>
      </c>
      <c r="E3" s="4">
        <v>2011</v>
      </c>
      <c r="F3" s="4">
        <v>2012</v>
      </c>
      <c r="G3" s="4">
        <v>2013</v>
      </c>
      <c r="H3" s="4">
        <v>2014</v>
      </c>
      <c r="I3" s="4">
        <v>2015</v>
      </c>
      <c r="J3" s="4">
        <v>2016</v>
      </c>
      <c r="K3" s="74">
        <v>2017</v>
      </c>
      <c r="L3" s="4" t="s">
        <v>765</v>
      </c>
      <c r="M3" s="28" t="s">
        <v>766</v>
      </c>
      <c r="N3" s="28" t="s">
        <v>58</v>
      </c>
    </row>
    <row r="4" spans="1:14" ht="30" x14ac:dyDescent="0.25">
      <c r="A4" s="188" t="s">
        <v>974</v>
      </c>
      <c r="B4" s="127">
        <v>2.93</v>
      </c>
      <c r="C4" s="127">
        <v>3.16</v>
      </c>
      <c r="D4" s="127">
        <v>3.63</v>
      </c>
      <c r="E4" s="127">
        <v>4.03</v>
      </c>
      <c r="F4" s="127">
        <v>4.49</v>
      </c>
      <c r="G4" s="229">
        <v>4.7699999999999996</v>
      </c>
      <c r="H4" s="127">
        <v>4.5999999999999996</v>
      </c>
      <c r="I4" s="127">
        <v>4.9000000000000004</v>
      </c>
      <c r="J4" s="127">
        <v>5</v>
      </c>
      <c r="K4" s="122"/>
      <c r="L4" s="40" t="s">
        <v>1010</v>
      </c>
      <c r="M4" s="24" t="s">
        <v>159</v>
      </c>
      <c r="N4" s="24" t="s">
        <v>738</v>
      </c>
    </row>
    <row r="5" spans="1:14" ht="30" x14ac:dyDescent="0.25">
      <c r="A5" s="61" t="s">
        <v>975</v>
      </c>
      <c r="B5" s="129"/>
      <c r="C5" s="129"/>
      <c r="D5" s="129"/>
      <c r="E5" s="127">
        <v>1.2047999999999999</v>
      </c>
      <c r="F5" s="127">
        <v>1.3472</v>
      </c>
      <c r="G5" s="127">
        <v>1.3472</v>
      </c>
      <c r="H5" s="129"/>
      <c r="I5" s="129"/>
      <c r="J5" s="9">
        <v>1.5</v>
      </c>
      <c r="K5" s="122"/>
      <c r="L5" s="203" t="s">
        <v>1010</v>
      </c>
      <c r="M5" s="24" t="s">
        <v>160</v>
      </c>
      <c r="N5" s="24" t="s">
        <v>738</v>
      </c>
    </row>
    <row r="6" spans="1:14" ht="30" x14ac:dyDescent="0.25">
      <c r="A6" s="61" t="s">
        <v>976</v>
      </c>
      <c r="B6" s="129"/>
      <c r="C6" s="129"/>
      <c r="D6" s="129"/>
      <c r="E6" s="127">
        <v>1.0028999999999999</v>
      </c>
      <c r="F6" s="127">
        <v>1.1002000000000001</v>
      </c>
      <c r="G6" s="127">
        <v>1.2149000000000001</v>
      </c>
      <c r="H6" s="151"/>
      <c r="I6" s="129"/>
      <c r="J6" s="9">
        <v>1.2</v>
      </c>
      <c r="K6" s="122"/>
      <c r="L6" s="203" t="s">
        <v>1010</v>
      </c>
      <c r="M6" s="24" t="s">
        <v>160</v>
      </c>
      <c r="N6" s="24" t="s">
        <v>738</v>
      </c>
    </row>
    <row r="7" spans="1:14" ht="30" x14ac:dyDescent="0.25">
      <c r="A7" s="61" t="s">
        <v>977</v>
      </c>
      <c r="B7" s="129"/>
      <c r="C7" s="129"/>
      <c r="D7" s="129"/>
      <c r="E7" s="127">
        <v>0.96839999999999993</v>
      </c>
      <c r="F7" s="127">
        <v>1.1052</v>
      </c>
      <c r="G7" s="127">
        <v>1.1517999999999999</v>
      </c>
      <c r="H7" s="129"/>
      <c r="I7" s="129"/>
      <c r="J7" s="9">
        <v>1.2</v>
      </c>
      <c r="K7" s="122"/>
      <c r="L7" s="203" t="s">
        <v>1010</v>
      </c>
      <c r="M7" s="24" t="s">
        <v>160</v>
      </c>
      <c r="N7" s="24" t="s">
        <v>738</v>
      </c>
    </row>
    <row r="8" spans="1:14" ht="30" x14ac:dyDescent="0.25">
      <c r="A8" s="61" t="s">
        <v>978</v>
      </c>
      <c r="B8" s="129"/>
      <c r="C8" s="129"/>
      <c r="D8" s="129"/>
      <c r="E8" s="127">
        <v>0.83189999999999997</v>
      </c>
      <c r="F8" s="127">
        <v>0.96689999999999998</v>
      </c>
      <c r="G8" s="127">
        <v>1.0535000000000001</v>
      </c>
      <c r="H8" s="129"/>
      <c r="I8" s="129"/>
      <c r="J8" s="9">
        <v>1.1000000000000001</v>
      </c>
      <c r="K8" s="122"/>
      <c r="L8" s="203" t="s">
        <v>1010</v>
      </c>
      <c r="M8" s="24" t="s">
        <v>160</v>
      </c>
      <c r="N8" s="24" t="s">
        <v>738</v>
      </c>
    </row>
  </sheetData>
  <mergeCells count="1">
    <mergeCell ref="A1:A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93404"/>
  </sheetPr>
  <dimension ref="A1:N33"/>
  <sheetViews>
    <sheetView zoomScaleNormal="10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81.85546875" style="40" bestFit="1" customWidth="1"/>
    <col min="2" max="11" width="11.7109375" style="5" customWidth="1"/>
    <col min="12" max="12" width="18.7109375" style="40" customWidth="1"/>
    <col min="13" max="13" width="51.85546875" style="40" customWidth="1"/>
    <col min="14" max="14" width="29.5703125" style="40" customWidth="1"/>
    <col min="15" max="16384" width="8.85546875" style="40"/>
  </cols>
  <sheetData>
    <row r="1" spans="1:14" x14ac:dyDescent="0.25">
      <c r="A1" s="390" t="s">
        <v>161</v>
      </c>
    </row>
    <row r="2" spans="1:14" x14ac:dyDescent="0.25">
      <c r="A2" s="390"/>
    </row>
    <row r="3" spans="1:14" s="5" customFormat="1" x14ac:dyDescent="0.25">
      <c r="A3" s="4" t="s">
        <v>162</v>
      </c>
      <c r="B3" s="4">
        <v>2008</v>
      </c>
      <c r="C3" s="4">
        <v>2009</v>
      </c>
      <c r="D3" s="4">
        <v>2010</v>
      </c>
      <c r="E3" s="4">
        <v>2011</v>
      </c>
      <c r="F3" s="4">
        <v>2012</v>
      </c>
      <c r="G3" s="7">
        <v>2013</v>
      </c>
      <c r="H3" s="7">
        <v>2014</v>
      </c>
      <c r="I3" s="4">
        <v>2015</v>
      </c>
      <c r="J3" s="4">
        <v>2016</v>
      </c>
      <c r="K3" s="74">
        <v>2017</v>
      </c>
      <c r="L3" s="4" t="s">
        <v>765</v>
      </c>
      <c r="M3" s="28" t="s">
        <v>766</v>
      </c>
      <c r="N3" s="75" t="s">
        <v>58</v>
      </c>
    </row>
    <row r="4" spans="1:14" ht="30" x14ac:dyDescent="0.25">
      <c r="A4" s="61" t="s">
        <v>965</v>
      </c>
      <c r="B4" s="128">
        <v>25.3</v>
      </c>
      <c r="C4" s="128">
        <v>20.7</v>
      </c>
      <c r="D4" s="128">
        <v>22.1</v>
      </c>
      <c r="E4" s="128">
        <v>22.1</v>
      </c>
      <c r="F4" s="128">
        <v>23.5</v>
      </c>
      <c r="G4" s="128">
        <v>26.5</v>
      </c>
      <c r="H4" s="128">
        <v>27.6</v>
      </c>
      <c r="I4" s="128">
        <v>29.1</v>
      </c>
      <c r="J4" s="128">
        <v>30.3</v>
      </c>
      <c r="K4" s="128">
        <v>32</v>
      </c>
      <c r="L4" s="24" t="s">
        <v>133</v>
      </c>
      <c r="M4" s="43" t="s">
        <v>823</v>
      </c>
      <c r="N4" s="24" t="s">
        <v>738</v>
      </c>
    </row>
    <row r="5" spans="1:14" ht="30" x14ac:dyDescent="0.25">
      <c r="A5" s="61" t="s">
        <v>163</v>
      </c>
      <c r="B5" s="127">
        <v>0.2</v>
      </c>
      <c r="C5" s="127">
        <v>0.1</v>
      </c>
      <c r="D5" s="127">
        <v>0.1</v>
      </c>
      <c r="E5" s="127">
        <v>0.1</v>
      </c>
      <c r="F5" s="127">
        <v>0.1</v>
      </c>
      <c r="G5" s="127">
        <v>0.2</v>
      </c>
      <c r="H5" s="127">
        <v>0.2</v>
      </c>
      <c r="I5" s="127">
        <v>0.2</v>
      </c>
      <c r="J5" s="127">
        <v>0.2</v>
      </c>
      <c r="K5" s="128">
        <v>0.2</v>
      </c>
      <c r="L5" s="24" t="s">
        <v>133</v>
      </c>
      <c r="M5" s="43" t="s">
        <v>823</v>
      </c>
      <c r="N5" s="24" t="s">
        <v>738</v>
      </c>
    </row>
    <row r="6" spans="1:14" ht="30" x14ac:dyDescent="0.25">
      <c r="A6" s="61" t="s">
        <v>966</v>
      </c>
      <c r="B6" s="128">
        <v>87.5</v>
      </c>
      <c r="C6" s="128">
        <v>64.400000000000006</v>
      </c>
      <c r="D6" s="128">
        <v>70.3</v>
      </c>
      <c r="E6" s="128">
        <v>70.900000000000006</v>
      </c>
      <c r="F6" s="128">
        <v>78.8</v>
      </c>
      <c r="G6" s="128">
        <v>89.3</v>
      </c>
      <c r="H6" s="128">
        <v>96</v>
      </c>
      <c r="I6" s="128">
        <v>98.9</v>
      </c>
      <c r="J6" s="128">
        <v>104.3</v>
      </c>
      <c r="K6" s="128">
        <v>112.8</v>
      </c>
      <c r="L6" s="24" t="s">
        <v>133</v>
      </c>
      <c r="M6" s="43" t="s">
        <v>823</v>
      </c>
      <c r="N6" s="24" t="s">
        <v>738</v>
      </c>
    </row>
    <row r="7" spans="1:14" ht="30" x14ac:dyDescent="0.25">
      <c r="A7" s="61" t="s">
        <v>967</v>
      </c>
      <c r="B7" s="128">
        <v>21.2</v>
      </c>
      <c r="C7" s="128">
        <v>16.3</v>
      </c>
      <c r="D7" s="128">
        <v>15.9</v>
      </c>
      <c r="E7" s="128">
        <v>16.3</v>
      </c>
      <c r="F7" s="128">
        <v>16.600000000000001</v>
      </c>
      <c r="G7" s="128">
        <v>17.7</v>
      </c>
      <c r="H7" s="128">
        <v>19.399999999999999</v>
      </c>
      <c r="I7" s="128">
        <v>20.399999999999999</v>
      </c>
      <c r="J7" s="128">
        <v>21</v>
      </c>
      <c r="K7" s="162"/>
      <c r="L7" s="24" t="s">
        <v>133</v>
      </c>
      <c r="M7" s="43" t="s">
        <v>823</v>
      </c>
      <c r="N7" s="24" t="s">
        <v>738</v>
      </c>
    </row>
    <row r="8" spans="1:14" ht="30" x14ac:dyDescent="0.25">
      <c r="A8" s="62" t="s">
        <v>968</v>
      </c>
      <c r="B8" s="128">
        <v>0.7</v>
      </c>
      <c r="C8" s="128">
        <v>0.7</v>
      </c>
      <c r="D8" s="128">
        <v>0.7</v>
      </c>
      <c r="E8" s="128">
        <v>0.7</v>
      </c>
      <c r="F8" s="128">
        <v>0.7</v>
      </c>
      <c r="G8" s="128">
        <v>0.7</v>
      </c>
      <c r="H8" s="128">
        <v>0.7</v>
      </c>
      <c r="I8" s="128">
        <v>0.8</v>
      </c>
      <c r="J8" s="128">
        <v>0.8</v>
      </c>
      <c r="K8" s="177"/>
      <c r="L8" s="24" t="s">
        <v>133</v>
      </c>
      <c r="M8" s="43" t="s">
        <v>823</v>
      </c>
      <c r="N8" s="24" t="s">
        <v>738</v>
      </c>
    </row>
    <row r="9" spans="1:14" ht="30" x14ac:dyDescent="0.25">
      <c r="A9" s="61" t="s">
        <v>969</v>
      </c>
      <c r="B9" s="128">
        <v>3.4</v>
      </c>
      <c r="C9" s="128">
        <v>3.7</v>
      </c>
      <c r="D9" s="128">
        <v>5.5</v>
      </c>
      <c r="E9" s="128">
        <v>5.2</v>
      </c>
      <c r="F9" s="128">
        <v>6.2</v>
      </c>
      <c r="G9" s="128">
        <v>8.1</v>
      </c>
      <c r="H9" s="128">
        <v>7.5</v>
      </c>
      <c r="I9" s="128">
        <v>7.9</v>
      </c>
      <c r="J9" s="128">
        <v>8.5</v>
      </c>
      <c r="K9" s="162"/>
      <c r="L9" s="24" t="s">
        <v>133</v>
      </c>
      <c r="M9" s="43" t="s">
        <v>823</v>
      </c>
      <c r="N9" s="24" t="s">
        <v>738</v>
      </c>
    </row>
    <row r="10" spans="1:14" ht="30" x14ac:dyDescent="0.25">
      <c r="A10" s="61" t="s">
        <v>136</v>
      </c>
      <c r="B10" s="128">
        <v>444</v>
      </c>
      <c r="C10" s="128">
        <v>348</v>
      </c>
      <c r="D10" s="128">
        <v>334</v>
      </c>
      <c r="E10" s="128">
        <v>327</v>
      </c>
      <c r="F10" s="128">
        <v>331</v>
      </c>
      <c r="G10" s="146"/>
      <c r="H10" s="146"/>
      <c r="I10" s="146"/>
      <c r="J10" s="150"/>
      <c r="K10" s="162"/>
      <c r="L10" s="24" t="s">
        <v>133</v>
      </c>
      <c r="M10" s="43" t="s">
        <v>134</v>
      </c>
      <c r="N10" s="24" t="s">
        <v>738</v>
      </c>
    </row>
    <row r="11" spans="1:14" x14ac:dyDescent="0.25">
      <c r="A11" s="192"/>
      <c r="B11" s="143"/>
      <c r="C11" s="143"/>
      <c r="D11" s="143"/>
      <c r="E11" s="143"/>
      <c r="F11" s="143"/>
      <c r="G11" s="143"/>
      <c r="H11" s="143"/>
      <c r="I11" s="143"/>
      <c r="J11" s="143"/>
      <c r="K11" s="143"/>
      <c r="L11" s="47"/>
      <c r="M11" s="47"/>
      <c r="N11" s="48"/>
    </row>
    <row r="12" spans="1:14" s="5" customFormat="1" x14ac:dyDescent="0.25">
      <c r="A12" s="193" t="s">
        <v>164</v>
      </c>
      <c r="B12" s="4">
        <v>2008</v>
      </c>
      <c r="C12" s="4">
        <v>2009</v>
      </c>
      <c r="D12" s="4">
        <v>2010</v>
      </c>
      <c r="E12" s="4">
        <v>2011</v>
      </c>
      <c r="F12" s="4">
        <v>2012</v>
      </c>
      <c r="G12" s="4">
        <v>2013</v>
      </c>
      <c r="H12" s="4">
        <v>2014</v>
      </c>
      <c r="I12" s="4">
        <v>2015</v>
      </c>
      <c r="J12" s="4">
        <v>2016</v>
      </c>
      <c r="K12" s="74">
        <v>2017</v>
      </c>
      <c r="L12" s="4" t="s">
        <v>765</v>
      </c>
      <c r="M12" s="28" t="s">
        <v>766</v>
      </c>
      <c r="N12" s="75" t="s">
        <v>58</v>
      </c>
    </row>
    <row r="13" spans="1:14" ht="30" x14ac:dyDescent="0.25">
      <c r="A13" s="61" t="s">
        <v>970</v>
      </c>
      <c r="B13" s="128">
        <v>51.1</v>
      </c>
      <c r="C13" s="128">
        <v>58.5</v>
      </c>
      <c r="D13" s="128">
        <v>55.3</v>
      </c>
      <c r="E13" s="128">
        <v>52.5</v>
      </c>
      <c r="F13" s="128">
        <v>51.7</v>
      </c>
      <c r="G13" s="128">
        <v>55.7</v>
      </c>
      <c r="H13" s="128">
        <v>56.8</v>
      </c>
      <c r="I13" s="128">
        <v>58.1</v>
      </c>
      <c r="J13" s="128">
        <v>58.6</v>
      </c>
      <c r="K13" s="128">
        <v>59.2</v>
      </c>
      <c r="L13" s="24" t="s">
        <v>133</v>
      </c>
      <c r="M13" s="43" t="s">
        <v>823</v>
      </c>
      <c r="N13" s="24" t="s">
        <v>738</v>
      </c>
    </row>
    <row r="14" spans="1:14" ht="30" x14ac:dyDescent="0.25">
      <c r="A14" s="61" t="s">
        <v>165</v>
      </c>
      <c r="B14" s="127">
        <v>0.3</v>
      </c>
      <c r="C14" s="127">
        <v>0.4</v>
      </c>
      <c r="D14" s="127">
        <v>0.4</v>
      </c>
      <c r="E14" s="127">
        <v>0.3</v>
      </c>
      <c r="F14" s="127">
        <v>0.3</v>
      </c>
      <c r="G14" s="127">
        <v>0.3</v>
      </c>
      <c r="H14" s="127">
        <v>0.3</v>
      </c>
      <c r="I14" s="127">
        <v>0.3</v>
      </c>
      <c r="J14" s="127">
        <v>0.3</v>
      </c>
      <c r="K14" s="127">
        <v>0.3</v>
      </c>
      <c r="L14" s="24" t="s">
        <v>133</v>
      </c>
      <c r="M14" s="43" t="s">
        <v>823</v>
      </c>
      <c r="N14" s="24" t="s">
        <v>738</v>
      </c>
    </row>
    <row r="15" spans="1:14" ht="30" x14ac:dyDescent="0.25">
      <c r="A15" s="260" t="s">
        <v>1119</v>
      </c>
      <c r="B15" s="233">
        <v>177.1</v>
      </c>
      <c r="C15" s="233">
        <v>160</v>
      </c>
      <c r="D15" s="233">
        <v>168.7</v>
      </c>
      <c r="E15" s="233">
        <v>174.6</v>
      </c>
      <c r="F15" s="233">
        <v>179.6</v>
      </c>
      <c r="G15" s="233">
        <v>184.6</v>
      </c>
      <c r="H15" s="233">
        <v>186.2</v>
      </c>
      <c r="I15" s="233">
        <v>184.7</v>
      </c>
      <c r="J15" s="233">
        <v>184.7</v>
      </c>
      <c r="K15" s="233">
        <v>190.3</v>
      </c>
      <c r="L15" s="24" t="s">
        <v>133</v>
      </c>
      <c r="M15" s="43" t="s">
        <v>823</v>
      </c>
      <c r="N15" s="24" t="s">
        <v>738</v>
      </c>
    </row>
    <row r="16" spans="1:14" ht="30" x14ac:dyDescent="0.25">
      <c r="A16" s="62" t="s">
        <v>971</v>
      </c>
      <c r="B16" s="128">
        <v>31.2</v>
      </c>
      <c r="C16" s="128">
        <v>28.5</v>
      </c>
      <c r="D16" s="128">
        <v>28.9</v>
      </c>
      <c r="E16" s="128">
        <v>29.2</v>
      </c>
      <c r="F16" s="128">
        <v>29.1</v>
      </c>
      <c r="G16" s="128">
        <v>29.3</v>
      </c>
      <c r="H16" s="128">
        <v>29.7</v>
      </c>
      <c r="I16" s="128">
        <v>30.2</v>
      </c>
      <c r="J16" s="128">
        <v>29.9</v>
      </c>
      <c r="K16" s="119"/>
      <c r="L16" s="24" t="s">
        <v>133</v>
      </c>
      <c r="M16" s="43" t="s">
        <v>823</v>
      </c>
      <c r="N16" s="24" t="s">
        <v>738</v>
      </c>
    </row>
    <row r="17" spans="1:14" ht="30" x14ac:dyDescent="0.25">
      <c r="A17" s="61" t="s">
        <v>972</v>
      </c>
      <c r="B17" s="128">
        <v>1.8</v>
      </c>
      <c r="C17" s="128">
        <v>1.9</v>
      </c>
      <c r="D17" s="128">
        <v>1.8</v>
      </c>
      <c r="E17" s="128">
        <v>1.8</v>
      </c>
      <c r="F17" s="128">
        <v>1.8</v>
      </c>
      <c r="G17" s="128">
        <v>1.8</v>
      </c>
      <c r="H17" s="128">
        <v>1.8</v>
      </c>
      <c r="I17" s="128">
        <v>1.9</v>
      </c>
      <c r="J17" s="128">
        <v>1.9</v>
      </c>
      <c r="K17" s="147"/>
      <c r="L17" s="24" t="s">
        <v>133</v>
      </c>
      <c r="M17" s="43" t="s">
        <v>823</v>
      </c>
      <c r="N17" s="24" t="s">
        <v>738</v>
      </c>
    </row>
    <row r="18" spans="1:14" ht="30" x14ac:dyDescent="0.25">
      <c r="A18" s="61" t="s">
        <v>973</v>
      </c>
      <c r="B18" s="128">
        <v>18</v>
      </c>
      <c r="C18" s="128">
        <v>28.2</v>
      </c>
      <c r="D18" s="128">
        <v>24.6</v>
      </c>
      <c r="E18" s="128">
        <v>21.5</v>
      </c>
      <c r="F18" s="128">
        <v>20.8</v>
      </c>
      <c r="G18" s="128">
        <v>24.7</v>
      </c>
      <c r="H18" s="128">
        <v>25.3</v>
      </c>
      <c r="I18" s="128">
        <v>26.1</v>
      </c>
      <c r="J18" s="128">
        <v>26.8</v>
      </c>
      <c r="K18" s="122"/>
      <c r="L18" s="24" t="s">
        <v>133</v>
      </c>
      <c r="M18" s="43" t="s">
        <v>823</v>
      </c>
      <c r="N18" s="24" t="s">
        <v>738</v>
      </c>
    </row>
    <row r="19" spans="1:14" ht="30" x14ac:dyDescent="0.25">
      <c r="A19" s="37" t="s">
        <v>136</v>
      </c>
      <c r="B19" s="128">
        <v>430</v>
      </c>
      <c r="C19" s="128">
        <v>393</v>
      </c>
      <c r="D19" s="128">
        <v>382</v>
      </c>
      <c r="E19" s="128">
        <v>378</v>
      </c>
      <c r="F19" s="128">
        <v>369</v>
      </c>
      <c r="G19" s="129"/>
      <c r="H19" s="129"/>
      <c r="I19" s="129"/>
      <c r="J19" s="129"/>
      <c r="K19" s="122"/>
      <c r="L19" s="24" t="s">
        <v>133</v>
      </c>
      <c r="M19" s="43" t="s">
        <v>134</v>
      </c>
      <c r="N19" s="24" t="s">
        <v>738</v>
      </c>
    </row>
    <row r="20" spans="1:14" x14ac:dyDescent="0.25">
      <c r="A20" s="192"/>
      <c r="B20" s="143"/>
      <c r="C20" s="143"/>
      <c r="D20" s="143"/>
      <c r="E20" s="143"/>
      <c r="F20" s="143"/>
      <c r="G20" s="143"/>
      <c r="H20" s="143"/>
      <c r="I20" s="143"/>
      <c r="J20" s="143"/>
      <c r="K20" s="143"/>
      <c r="L20" s="47"/>
      <c r="M20" s="47"/>
      <c r="N20" s="48"/>
    </row>
    <row r="21" spans="1:14" s="5" customFormat="1" x14ac:dyDescent="0.25">
      <c r="A21" s="193" t="s">
        <v>8</v>
      </c>
      <c r="B21" s="4">
        <v>2008</v>
      </c>
      <c r="C21" s="4">
        <v>2009</v>
      </c>
      <c r="D21" s="4">
        <v>2010</v>
      </c>
      <c r="E21" s="4">
        <v>2011</v>
      </c>
      <c r="F21" s="4">
        <v>2012</v>
      </c>
      <c r="G21" s="4">
        <v>2013</v>
      </c>
      <c r="H21" s="4">
        <v>2014</v>
      </c>
      <c r="I21" s="4">
        <v>2015</v>
      </c>
      <c r="J21" s="4">
        <v>2016</v>
      </c>
      <c r="K21" s="74">
        <v>2017</v>
      </c>
      <c r="L21" s="4" t="s">
        <v>765</v>
      </c>
      <c r="M21" s="28" t="s">
        <v>766</v>
      </c>
      <c r="N21" s="75" t="s">
        <v>58</v>
      </c>
    </row>
    <row r="22" spans="1:14" x14ac:dyDescent="0.25">
      <c r="A22" s="61" t="s">
        <v>2776</v>
      </c>
      <c r="B22" s="128">
        <v>0.91652400000000001</v>
      </c>
      <c r="C22" s="128">
        <v>0.92350699999999997</v>
      </c>
      <c r="D22" s="128">
        <v>1.07</v>
      </c>
      <c r="E22" s="128">
        <v>1.038</v>
      </c>
      <c r="F22" s="128">
        <v>1.0389999999999999</v>
      </c>
      <c r="G22" s="128">
        <v>0.98226000000000002</v>
      </c>
      <c r="H22" s="128">
        <v>0.98226000000000002</v>
      </c>
      <c r="I22" s="128">
        <v>0.98226000000000002</v>
      </c>
      <c r="J22" s="128">
        <v>0.85199999999999998</v>
      </c>
      <c r="K22" s="128">
        <v>0.85199999999999998</v>
      </c>
      <c r="L22" s="292" t="s">
        <v>1180</v>
      </c>
      <c r="M22" s="291" t="s">
        <v>1181</v>
      </c>
      <c r="N22" s="292" t="s">
        <v>1163</v>
      </c>
    </row>
    <row r="23" spans="1:14" x14ac:dyDescent="0.25">
      <c r="A23" s="61" t="s">
        <v>2777</v>
      </c>
      <c r="B23" s="128">
        <v>65.522999999999996</v>
      </c>
      <c r="C23" s="128">
        <v>48.027000000000001</v>
      </c>
      <c r="D23" s="128">
        <v>53.747999999999998</v>
      </c>
      <c r="E23" s="128">
        <v>55.345999999999997</v>
      </c>
      <c r="F23" s="128">
        <v>58.530999999999999</v>
      </c>
      <c r="G23" s="128">
        <v>61.612000000000002</v>
      </c>
      <c r="H23" s="128">
        <v>64.063999999999993</v>
      </c>
      <c r="I23" s="128">
        <v>64.063999999999993</v>
      </c>
      <c r="J23" s="128">
        <v>64.063999999999993</v>
      </c>
      <c r="K23" s="128">
        <v>64.063999999999993</v>
      </c>
      <c r="L23" s="292" t="s">
        <v>1180</v>
      </c>
      <c r="M23" s="291" t="s">
        <v>1181</v>
      </c>
      <c r="N23" s="292" t="s">
        <v>1163</v>
      </c>
    </row>
    <row r="24" spans="1:14" x14ac:dyDescent="0.25">
      <c r="A24" s="61" t="s">
        <v>2778</v>
      </c>
      <c r="B24" s="128">
        <v>8.2119999999999997</v>
      </c>
      <c r="C24" s="128">
        <v>8.3109999999999999</v>
      </c>
      <c r="D24" s="128">
        <v>8.3109999999999999</v>
      </c>
      <c r="E24" s="128">
        <v>12.217000000000001</v>
      </c>
      <c r="F24" s="128">
        <v>12.404999999999999</v>
      </c>
      <c r="G24" s="128">
        <v>15.224</v>
      </c>
      <c r="H24" s="128">
        <v>15.224</v>
      </c>
      <c r="I24" s="128">
        <v>14.904</v>
      </c>
      <c r="J24" s="128">
        <v>13.4</v>
      </c>
      <c r="K24" s="128">
        <v>8.5909999999999993</v>
      </c>
      <c r="L24" s="292" t="s">
        <v>1180</v>
      </c>
      <c r="M24" s="291" t="s">
        <v>1181</v>
      </c>
      <c r="N24" s="292" t="s">
        <v>1163</v>
      </c>
    </row>
    <row r="25" spans="1:14" x14ac:dyDescent="0.25">
      <c r="A25" s="61" t="s">
        <v>2779</v>
      </c>
      <c r="B25" s="129"/>
      <c r="C25" s="129"/>
      <c r="D25" s="129"/>
      <c r="E25" s="129"/>
      <c r="F25" s="128">
        <v>3.4740000000000002</v>
      </c>
      <c r="G25" s="128">
        <v>4.7039999999999997</v>
      </c>
      <c r="H25" s="128">
        <v>5.9470000000000001</v>
      </c>
      <c r="I25" s="128">
        <v>6.5170000000000003</v>
      </c>
      <c r="J25" s="128">
        <v>6.3929999999999998</v>
      </c>
      <c r="K25" s="128">
        <v>6.9</v>
      </c>
      <c r="L25" s="292" t="s">
        <v>1180</v>
      </c>
      <c r="M25" s="291" t="s">
        <v>1181</v>
      </c>
      <c r="N25" s="292" t="s">
        <v>1163</v>
      </c>
    </row>
    <row r="26" spans="1:14" x14ac:dyDescent="0.25">
      <c r="A26" s="61" t="s">
        <v>2780</v>
      </c>
      <c r="B26" s="128">
        <v>72.869280000000003</v>
      </c>
      <c r="C26" s="128">
        <v>54.276000000000003</v>
      </c>
      <c r="D26" s="128">
        <v>60.013399999999997</v>
      </c>
      <c r="E26" s="128">
        <v>63.1738</v>
      </c>
      <c r="F26" s="128">
        <v>67.474000000000004</v>
      </c>
      <c r="G26" s="128">
        <v>71.114999999999995</v>
      </c>
      <c r="H26" s="128">
        <v>75.833299999999994</v>
      </c>
      <c r="I26" s="128">
        <v>76.361999999999995</v>
      </c>
      <c r="J26" s="128">
        <v>78.165000000000006</v>
      </c>
      <c r="K26" s="128">
        <v>80.373999999999995</v>
      </c>
      <c r="L26" s="292" t="s">
        <v>1180</v>
      </c>
      <c r="M26" s="291" t="s">
        <v>1181</v>
      </c>
      <c r="N26" s="292" t="s">
        <v>1163</v>
      </c>
    </row>
    <row r="27" spans="1:14" x14ac:dyDescent="0.25">
      <c r="A27" s="61" t="s">
        <v>2781</v>
      </c>
      <c r="B27" s="128">
        <v>224.77545000000001</v>
      </c>
      <c r="C27" s="128">
        <v>181.59378899999999</v>
      </c>
      <c r="D27" s="128">
        <v>180.71127999999999</v>
      </c>
      <c r="E27" s="128">
        <v>190.715823</v>
      </c>
      <c r="F27" s="128">
        <v>181.68199999999999</v>
      </c>
      <c r="G27" s="128">
        <v>186.78539000000001</v>
      </c>
      <c r="H27" s="128">
        <v>190.54456500000001</v>
      </c>
      <c r="I27" s="128">
        <v>194.40253999999999</v>
      </c>
      <c r="J27" s="128">
        <v>200.94472999999999</v>
      </c>
      <c r="K27" s="128">
        <v>206.84778800000001</v>
      </c>
      <c r="L27" s="292" t="s">
        <v>1180</v>
      </c>
      <c r="M27" s="291" t="s">
        <v>1181</v>
      </c>
      <c r="N27" s="292" t="s">
        <v>1163</v>
      </c>
    </row>
    <row r="28" spans="1:14" x14ac:dyDescent="0.25">
      <c r="A28" s="61" t="s">
        <v>2782</v>
      </c>
      <c r="B28" s="128">
        <v>97.528875999999997</v>
      </c>
      <c r="C28" s="128">
        <v>90.370024999999998</v>
      </c>
      <c r="D28" s="128">
        <v>93.952157999999997</v>
      </c>
      <c r="E28" s="128">
        <v>94.212686000000005</v>
      </c>
      <c r="F28" s="128">
        <v>92.260570000000001</v>
      </c>
      <c r="G28" s="128">
        <v>89.995199999999997</v>
      </c>
      <c r="H28" s="128">
        <v>92.440640000000002</v>
      </c>
      <c r="I28" s="128">
        <v>91.478210000000004</v>
      </c>
      <c r="J28" s="128">
        <v>91.996429000000006</v>
      </c>
      <c r="K28" s="128">
        <v>91.772818000000001</v>
      </c>
      <c r="L28" s="292" t="s">
        <v>1180</v>
      </c>
      <c r="M28" s="291" t="s">
        <v>1181</v>
      </c>
      <c r="N28" s="292" t="s">
        <v>1163</v>
      </c>
    </row>
    <row r="29" spans="1:14" x14ac:dyDescent="0.25">
      <c r="A29" s="260" t="s">
        <v>2785</v>
      </c>
      <c r="B29" s="128">
        <v>0.245</v>
      </c>
      <c r="C29" s="128">
        <v>0.245</v>
      </c>
      <c r="D29" s="128">
        <v>0.245</v>
      </c>
      <c r="E29" s="128">
        <v>0.245</v>
      </c>
      <c r="F29" s="128">
        <v>0.245</v>
      </c>
      <c r="G29" s="128">
        <v>0.245</v>
      </c>
      <c r="H29" s="128">
        <v>0.31977</v>
      </c>
      <c r="I29" s="128">
        <v>0.31977</v>
      </c>
      <c r="J29" s="128">
        <v>0.31977</v>
      </c>
      <c r="K29" s="128">
        <v>0.32</v>
      </c>
      <c r="L29" s="292" t="s">
        <v>1180</v>
      </c>
      <c r="M29" s="291" t="s">
        <v>1181</v>
      </c>
      <c r="N29" s="292" t="s">
        <v>1163</v>
      </c>
    </row>
    <row r="30" spans="1:14" x14ac:dyDescent="0.25">
      <c r="A30" s="61" t="s">
        <v>2783</v>
      </c>
      <c r="B30" s="128">
        <v>248.47749300000001</v>
      </c>
      <c r="C30" s="128">
        <v>226.84045</v>
      </c>
      <c r="D30" s="128">
        <v>239.027635</v>
      </c>
      <c r="E30" s="128">
        <v>243.709507</v>
      </c>
      <c r="F30" s="128">
        <v>238.3553</v>
      </c>
      <c r="G30" s="128">
        <v>230.37697600000001</v>
      </c>
      <c r="H30" s="128">
        <v>238.01830799999999</v>
      </c>
      <c r="I30" s="128">
        <v>237.95964699999999</v>
      </c>
      <c r="J30" s="128">
        <v>237.32083</v>
      </c>
      <c r="K30" s="128">
        <v>239.13180199999999</v>
      </c>
      <c r="L30" s="292" t="s">
        <v>1180</v>
      </c>
      <c r="M30" s="291" t="s">
        <v>1181</v>
      </c>
      <c r="N30" s="292" t="s">
        <v>1163</v>
      </c>
    </row>
    <row r="31" spans="1:14" x14ac:dyDescent="0.25">
      <c r="A31" s="61" t="s">
        <v>2784</v>
      </c>
      <c r="B31" s="128">
        <v>24.326145</v>
      </c>
      <c r="C31" s="128">
        <v>17.122207</v>
      </c>
      <c r="D31" s="128">
        <v>19.540624000000001</v>
      </c>
      <c r="E31" s="128">
        <v>19.524853</v>
      </c>
      <c r="F31" s="128">
        <v>20.750095999999999</v>
      </c>
      <c r="G31" s="128">
        <v>22.951174999999999</v>
      </c>
      <c r="H31" s="128">
        <v>24.613015999999998</v>
      </c>
      <c r="I31" s="128">
        <v>23.684847000000001</v>
      </c>
      <c r="J31" s="128">
        <v>24.078119000000001</v>
      </c>
      <c r="K31" s="128">
        <v>24.944213999999999</v>
      </c>
      <c r="L31" s="292" t="s">
        <v>1180</v>
      </c>
      <c r="M31" s="291" t="s">
        <v>1181</v>
      </c>
      <c r="N31" s="292" t="s">
        <v>1163</v>
      </c>
    </row>
    <row r="32" spans="1:14" x14ac:dyDescent="0.25">
      <c r="A32" s="61" t="s">
        <v>1130</v>
      </c>
      <c r="B32" s="128">
        <v>21.257016</v>
      </c>
      <c r="C32" s="128">
        <v>19.115033</v>
      </c>
      <c r="D32" s="128">
        <v>22.862099000000001</v>
      </c>
      <c r="E32" s="128">
        <v>25.208741</v>
      </c>
      <c r="F32" s="128">
        <v>25.527652</v>
      </c>
      <c r="G32" s="128">
        <v>26.509537000000002</v>
      </c>
      <c r="H32" s="128">
        <v>27.151489999999999</v>
      </c>
      <c r="I32" s="128">
        <v>25.083577999999999</v>
      </c>
      <c r="J32" s="128">
        <v>24.606137</v>
      </c>
      <c r="K32" s="128">
        <v>26.910592000000001</v>
      </c>
      <c r="L32" s="292" t="s">
        <v>1180</v>
      </c>
      <c r="M32" s="291" t="s">
        <v>1181</v>
      </c>
      <c r="N32" s="292" t="s">
        <v>1163</v>
      </c>
    </row>
    <row r="33" spans="1:14" ht="30" x14ac:dyDescent="0.25">
      <c r="A33" s="72" t="s">
        <v>930</v>
      </c>
      <c r="B33" s="153">
        <v>11521.556397168</v>
      </c>
      <c r="C33" s="153">
        <v>10682.237572272001</v>
      </c>
      <c r="D33" s="153">
        <v>10682.237572272001</v>
      </c>
      <c r="E33" s="153">
        <v>10682.237572272001</v>
      </c>
      <c r="F33" s="153">
        <v>10682.058992</v>
      </c>
      <c r="G33" s="153">
        <v>11063.746056996</v>
      </c>
      <c r="H33" s="153">
        <v>11063.746056996</v>
      </c>
      <c r="I33" s="153">
        <v>11714.707340000001</v>
      </c>
      <c r="J33" s="153">
        <v>12006.617400000003</v>
      </c>
      <c r="K33" s="154"/>
      <c r="L33" s="38" t="s">
        <v>1180</v>
      </c>
      <c r="M33" s="49" t="s">
        <v>67</v>
      </c>
      <c r="N33" s="24" t="s">
        <v>936</v>
      </c>
    </row>
  </sheetData>
  <mergeCells count="1">
    <mergeCell ref="A1:A2"/>
  </mergeCells>
  <hyperlinks>
    <hyperlink ref="M10" r:id="rId1" xr:uid="{00000000-0004-0000-1300-000000000000}"/>
    <hyperlink ref="M19" r:id="rId2" xr:uid="{00000000-0004-0000-1300-000001000000}"/>
    <hyperlink ref="M4" r:id="rId3" location="reqid=51&amp;step=2&amp;isuri=1" xr:uid="{00000000-0004-0000-1300-000002000000}"/>
    <hyperlink ref="M6" r:id="rId4" location="reqid=51&amp;step=2&amp;isuri=1" xr:uid="{00000000-0004-0000-1300-000003000000}"/>
    <hyperlink ref="M15" r:id="rId5" location="reqid=51&amp;step=2&amp;isuri=1" xr:uid="{00000000-0004-0000-1300-000004000000}"/>
    <hyperlink ref="M22" r:id="rId6" location="data/FO" xr:uid="{DA0FCCB3-7D51-4C0D-A7A9-7245BEE2FBAC}"/>
    <hyperlink ref="M23" r:id="rId7" location="data/FO" xr:uid="{54BCD306-28DE-4908-9CAE-ADE65B190062}"/>
    <hyperlink ref="M24" r:id="rId8" location="data/FO" xr:uid="{AE31D949-4B05-4891-A507-D8FC02C4A5FF}"/>
    <hyperlink ref="M25" r:id="rId9" location="data/FO" xr:uid="{6DDB4837-C9D3-4DFF-A78A-CEC3F14322B8}"/>
    <hyperlink ref="M26" r:id="rId10" location="data/FO" xr:uid="{F6D180F3-7056-429D-B91D-B52D0877E94F}"/>
    <hyperlink ref="M27" r:id="rId11" location="data/FO" xr:uid="{BD272613-29E1-42F5-BB20-44F58FA07AE5}"/>
    <hyperlink ref="M28" r:id="rId12" location="data/FO" xr:uid="{47318EA6-44FD-4F5A-885F-8D6D05AF752A}"/>
    <hyperlink ref="M29" r:id="rId13" location="data/FO" xr:uid="{0896234A-28FF-4B5A-A84C-172D2A530022}"/>
    <hyperlink ref="M30" r:id="rId14" location="data/FO" xr:uid="{24CE57A4-8F39-4E0B-9821-BEAE4A13B131}"/>
    <hyperlink ref="M31" r:id="rId15" location="data/FO" xr:uid="{1C7B42E6-0643-4AAB-88F1-AC7EBB8BB253}"/>
    <hyperlink ref="M32" r:id="rId16" location="data/FO" xr:uid="{7CDB9B10-2DD2-48D8-B2DC-4BBEA9B68497}"/>
    <hyperlink ref="M33" r:id="rId17" location="data/FO/visualize" xr:uid="{6400C1F3-5229-4D7F-8E13-E002CB363AE0}"/>
  </hyperlinks>
  <pageMargins left="0.7" right="0.7" top="0.75" bottom="0.75" header="0.3" footer="0.3"/>
  <pageSetup orientation="portrait" r:id="rId18"/>
  <drawing r:id="rId19"/>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3404"/>
  </sheetPr>
  <dimension ref="A1:N32"/>
  <sheetViews>
    <sheetView zoomScale="70" zoomScaleNormal="70"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x14ac:dyDescent="0.25"/>
  <cols>
    <col min="1" max="1" width="104.28515625" style="40" customWidth="1"/>
    <col min="2" max="11" width="11.7109375" style="5" customWidth="1"/>
    <col min="12" max="12" width="31.140625" style="40" customWidth="1"/>
    <col min="13" max="13" width="72.140625" style="40" customWidth="1"/>
    <col min="14" max="14" width="20" style="40" bestFit="1" customWidth="1"/>
    <col min="15" max="16384" width="8.85546875" style="40"/>
  </cols>
  <sheetData>
    <row r="1" spans="1:14" x14ac:dyDescent="0.25">
      <c r="A1" s="390" t="s">
        <v>166</v>
      </c>
    </row>
    <row r="2" spans="1:14" x14ac:dyDescent="0.25">
      <c r="A2" s="390"/>
    </row>
    <row r="3" spans="1:14" s="5" customFormat="1" x14ac:dyDescent="0.25">
      <c r="A3" s="4" t="s">
        <v>167</v>
      </c>
      <c r="B3" s="4">
        <v>2008</v>
      </c>
      <c r="C3" s="4">
        <v>2009</v>
      </c>
      <c r="D3" s="4">
        <v>2010</v>
      </c>
      <c r="E3" s="4">
        <v>2011</v>
      </c>
      <c r="F3" s="4">
        <v>2012</v>
      </c>
      <c r="G3" s="4">
        <v>2013</v>
      </c>
      <c r="H3" s="4">
        <v>2014</v>
      </c>
      <c r="I3" s="4">
        <v>2015</v>
      </c>
      <c r="J3" s="4">
        <v>2016</v>
      </c>
      <c r="K3" s="74">
        <v>2017</v>
      </c>
      <c r="L3" s="4" t="s">
        <v>765</v>
      </c>
      <c r="M3" s="28" t="s">
        <v>766</v>
      </c>
      <c r="N3" s="75" t="s">
        <v>58</v>
      </c>
    </row>
    <row r="4" spans="1:14" ht="30" x14ac:dyDescent="0.25">
      <c r="A4" s="37" t="s">
        <v>955</v>
      </c>
      <c r="B4" s="128">
        <v>17.8</v>
      </c>
      <c r="C4" s="128">
        <v>15.1</v>
      </c>
      <c r="D4" s="128">
        <v>15.6</v>
      </c>
      <c r="E4" s="128">
        <v>15.1</v>
      </c>
      <c r="F4" s="128">
        <v>16</v>
      </c>
      <c r="G4" s="128">
        <v>16.600000000000001</v>
      </c>
      <c r="H4" s="128">
        <v>18</v>
      </c>
      <c r="I4" s="128">
        <v>17.899999999999999</v>
      </c>
      <c r="J4" s="128">
        <v>18.2</v>
      </c>
      <c r="K4" s="128">
        <v>18.899999999999999</v>
      </c>
      <c r="L4" s="24" t="s">
        <v>133</v>
      </c>
      <c r="M4" s="43" t="s">
        <v>823</v>
      </c>
      <c r="N4" s="24" t="s">
        <v>738</v>
      </c>
    </row>
    <row r="5" spans="1:14" ht="30" x14ac:dyDescent="0.25">
      <c r="A5" s="37" t="s">
        <v>168</v>
      </c>
      <c r="B5" s="127">
        <v>0.1</v>
      </c>
      <c r="C5" s="127">
        <v>0.1</v>
      </c>
      <c r="D5" s="127">
        <v>0.1</v>
      </c>
      <c r="E5" s="127">
        <v>0.1</v>
      </c>
      <c r="F5" s="127">
        <v>0.1</v>
      </c>
      <c r="G5" s="127">
        <v>0.1</v>
      </c>
      <c r="H5" s="127">
        <v>0.1</v>
      </c>
      <c r="I5" s="127">
        <v>0.1</v>
      </c>
      <c r="J5" s="9">
        <v>0.1</v>
      </c>
      <c r="K5" s="83">
        <v>0.1</v>
      </c>
      <c r="L5" s="24" t="s">
        <v>133</v>
      </c>
      <c r="M5" s="43" t="s">
        <v>823</v>
      </c>
      <c r="N5" s="24" t="s">
        <v>738</v>
      </c>
    </row>
    <row r="6" spans="1:14" ht="30" x14ac:dyDescent="0.25">
      <c r="A6" s="62" t="s">
        <v>956</v>
      </c>
      <c r="B6" s="128">
        <v>57.4</v>
      </c>
      <c r="C6" s="128">
        <v>46.1</v>
      </c>
      <c r="D6" s="128">
        <v>49.9</v>
      </c>
      <c r="E6" s="128">
        <v>52.4</v>
      </c>
      <c r="F6" s="128">
        <v>51.7</v>
      </c>
      <c r="G6" s="128">
        <v>53.9</v>
      </c>
      <c r="H6" s="128">
        <v>56.2</v>
      </c>
      <c r="I6" s="128">
        <v>55.6</v>
      </c>
      <c r="J6" s="128">
        <v>57.5</v>
      </c>
      <c r="K6" s="128">
        <v>60.1</v>
      </c>
      <c r="L6" s="39" t="s">
        <v>133</v>
      </c>
      <c r="M6" s="43" t="s">
        <v>823</v>
      </c>
      <c r="N6" s="24" t="s">
        <v>738</v>
      </c>
    </row>
    <row r="7" spans="1:14" ht="30" x14ac:dyDescent="0.25">
      <c r="A7" s="61" t="s">
        <v>957</v>
      </c>
      <c r="B7" s="128">
        <v>13.5</v>
      </c>
      <c r="C7" s="128">
        <v>10.9</v>
      </c>
      <c r="D7" s="128">
        <v>10.9</v>
      </c>
      <c r="E7" s="128">
        <v>11</v>
      </c>
      <c r="F7" s="128">
        <v>11.2</v>
      </c>
      <c r="G7" s="128">
        <v>11.5</v>
      </c>
      <c r="H7" s="128">
        <v>12.1</v>
      </c>
      <c r="I7" s="128">
        <v>12</v>
      </c>
      <c r="J7" s="128">
        <v>12.1</v>
      </c>
      <c r="K7" s="178"/>
      <c r="L7" s="24" t="s">
        <v>133</v>
      </c>
      <c r="M7" s="43" t="s">
        <v>823</v>
      </c>
      <c r="N7" s="24" t="s">
        <v>738</v>
      </c>
    </row>
    <row r="8" spans="1:14" ht="30" x14ac:dyDescent="0.25">
      <c r="A8" s="62" t="s">
        <v>959</v>
      </c>
      <c r="B8" s="128">
        <v>0.7</v>
      </c>
      <c r="C8" s="128">
        <v>0.7</v>
      </c>
      <c r="D8" s="128">
        <v>0.7</v>
      </c>
      <c r="E8" s="128">
        <v>0.6</v>
      </c>
      <c r="F8" s="128">
        <v>0.6</v>
      </c>
      <c r="G8" s="128">
        <v>0.6</v>
      </c>
      <c r="H8" s="128">
        <v>0.6</v>
      </c>
      <c r="I8" s="128">
        <v>0.6</v>
      </c>
      <c r="J8" s="128">
        <v>0.7</v>
      </c>
      <c r="K8" s="180"/>
      <c r="L8" s="24" t="s">
        <v>133</v>
      </c>
      <c r="M8" s="43" t="s">
        <v>823</v>
      </c>
      <c r="N8" s="24" t="s">
        <v>738</v>
      </c>
    </row>
    <row r="9" spans="1:14" ht="30" x14ac:dyDescent="0.25">
      <c r="A9" s="61" t="s">
        <v>958</v>
      </c>
      <c r="B9" s="128">
        <v>3.7</v>
      </c>
      <c r="C9" s="128">
        <v>3.6</v>
      </c>
      <c r="D9" s="128">
        <v>4</v>
      </c>
      <c r="E9" s="128">
        <v>3.4</v>
      </c>
      <c r="F9" s="128">
        <v>4.2</v>
      </c>
      <c r="G9" s="128">
        <v>4.5</v>
      </c>
      <c r="H9" s="128">
        <v>5.3</v>
      </c>
      <c r="I9" s="128">
        <v>5.3</v>
      </c>
      <c r="J9" s="128">
        <v>5.4</v>
      </c>
      <c r="K9" s="178"/>
      <c r="L9" s="24" t="s">
        <v>133</v>
      </c>
      <c r="M9" s="43" t="s">
        <v>823</v>
      </c>
      <c r="N9" s="24" t="s">
        <v>738</v>
      </c>
    </row>
    <row r="10" spans="1:14" x14ac:dyDescent="0.25">
      <c r="A10" s="62" t="s">
        <v>136</v>
      </c>
      <c r="B10" s="128">
        <v>304</v>
      </c>
      <c r="C10" s="128">
        <v>252</v>
      </c>
      <c r="D10" s="128">
        <v>240</v>
      </c>
      <c r="E10" s="128">
        <v>240</v>
      </c>
      <c r="F10" s="128">
        <v>235</v>
      </c>
      <c r="G10" s="179"/>
      <c r="H10" s="179"/>
      <c r="I10" s="179"/>
      <c r="J10" s="179"/>
      <c r="K10" s="180"/>
      <c r="L10" s="39" t="s">
        <v>133</v>
      </c>
      <c r="M10" s="44" t="s">
        <v>134</v>
      </c>
      <c r="N10" s="24" t="s">
        <v>738</v>
      </c>
    </row>
    <row r="11" spans="1:14" x14ac:dyDescent="0.25">
      <c r="A11" s="45"/>
      <c r="B11" s="143"/>
      <c r="C11" s="143"/>
      <c r="D11" s="143"/>
      <c r="E11" s="143"/>
      <c r="F11" s="143"/>
      <c r="G11" s="143"/>
      <c r="H11" s="143"/>
      <c r="I11" s="143"/>
      <c r="J11" s="143"/>
      <c r="K11" s="143"/>
      <c r="L11" s="47"/>
      <c r="M11" s="47"/>
      <c r="N11" s="48"/>
    </row>
    <row r="12" spans="1:14" s="5" customFormat="1" x14ac:dyDescent="0.25">
      <c r="A12" s="4" t="s">
        <v>169</v>
      </c>
      <c r="B12" s="4">
        <v>2008</v>
      </c>
      <c r="C12" s="4">
        <v>2009</v>
      </c>
      <c r="D12" s="4">
        <v>2010</v>
      </c>
      <c r="E12" s="4">
        <v>2011</v>
      </c>
      <c r="F12" s="4">
        <v>2012</v>
      </c>
      <c r="G12" s="4">
        <v>2013</v>
      </c>
      <c r="H12" s="4">
        <v>2014</v>
      </c>
      <c r="I12" s="4">
        <v>2015</v>
      </c>
      <c r="J12" s="4">
        <v>2016</v>
      </c>
      <c r="K12" s="74">
        <v>2017</v>
      </c>
      <c r="L12" s="4" t="s">
        <v>765</v>
      </c>
      <c r="M12" s="28" t="s">
        <v>766</v>
      </c>
      <c r="N12" s="75" t="s">
        <v>58</v>
      </c>
    </row>
    <row r="13" spans="1:14" ht="30" x14ac:dyDescent="0.25">
      <c r="A13" s="61" t="s">
        <v>960</v>
      </c>
      <c r="B13" s="128">
        <v>11.6</v>
      </c>
      <c r="C13" s="128">
        <v>9.9</v>
      </c>
      <c r="D13" s="128">
        <v>10.5</v>
      </c>
      <c r="E13" s="128">
        <v>10.3</v>
      </c>
      <c r="F13" s="128">
        <v>10.199999999999999</v>
      </c>
      <c r="G13" s="128">
        <v>10.4</v>
      </c>
      <c r="H13" s="128">
        <v>10.1</v>
      </c>
      <c r="I13" s="128">
        <v>9.6999999999999993</v>
      </c>
      <c r="J13" s="128">
        <v>9.6999999999999993</v>
      </c>
      <c r="K13" s="128">
        <v>9.6</v>
      </c>
      <c r="L13" s="24" t="s">
        <v>133</v>
      </c>
      <c r="M13" s="43" t="s">
        <v>823</v>
      </c>
      <c r="N13" s="24" t="s">
        <v>738</v>
      </c>
    </row>
    <row r="14" spans="1:14" ht="30" x14ac:dyDescent="0.25">
      <c r="A14" s="61" t="s">
        <v>824</v>
      </c>
      <c r="B14" s="9">
        <v>0.1</v>
      </c>
      <c r="C14" s="9">
        <v>0.1</v>
      </c>
      <c r="D14" s="9">
        <v>0.1</v>
      </c>
      <c r="E14" s="9">
        <v>0.1</v>
      </c>
      <c r="F14" s="9">
        <v>0.1</v>
      </c>
      <c r="G14" s="9">
        <v>0.1</v>
      </c>
      <c r="H14" s="9">
        <v>0.1</v>
      </c>
      <c r="I14" s="9">
        <v>0.1</v>
      </c>
      <c r="J14" s="9">
        <v>0.1</v>
      </c>
      <c r="K14" s="83">
        <v>0</v>
      </c>
      <c r="L14" s="24" t="s">
        <v>133</v>
      </c>
      <c r="M14" s="43" t="s">
        <v>823</v>
      </c>
      <c r="N14" s="24" t="s">
        <v>738</v>
      </c>
    </row>
    <row r="15" spans="1:14" ht="30" x14ac:dyDescent="0.25">
      <c r="A15" s="61" t="s">
        <v>961</v>
      </c>
      <c r="B15" s="233">
        <v>21.7</v>
      </c>
      <c r="C15" s="233">
        <v>17.7</v>
      </c>
      <c r="D15" s="233">
        <v>18.600000000000001</v>
      </c>
      <c r="E15" s="233">
        <v>25.8</v>
      </c>
      <c r="F15" s="233">
        <v>32.1</v>
      </c>
      <c r="G15" s="233">
        <v>32.5</v>
      </c>
      <c r="H15" s="233">
        <v>35.6</v>
      </c>
      <c r="I15" s="233">
        <v>31.7</v>
      </c>
      <c r="J15" s="233">
        <v>39.1</v>
      </c>
      <c r="K15" s="233">
        <v>43.2</v>
      </c>
      <c r="L15" s="24" t="s">
        <v>133</v>
      </c>
      <c r="M15" s="43" t="s">
        <v>823</v>
      </c>
      <c r="N15" s="24" t="s">
        <v>738</v>
      </c>
    </row>
    <row r="16" spans="1:14" ht="30" x14ac:dyDescent="0.25">
      <c r="A16" s="73" t="s">
        <v>962</v>
      </c>
      <c r="B16" s="128">
        <v>10.5</v>
      </c>
      <c r="C16" s="128">
        <v>8.6</v>
      </c>
      <c r="D16" s="128">
        <v>8.4</v>
      </c>
      <c r="E16" s="128">
        <v>8.1999999999999993</v>
      </c>
      <c r="F16" s="128">
        <v>8.1999999999999993</v>
      </c>
      <c r="G16" s="128">
        <v>8.1999999999999993</v>
      </c>
      <c r="H16" s="128">
        <v>8.4</v>
      </c>
      <c r="I16" s="128">
        <v>8.1999999999999993</v>
      </c>
      <c r="J16" s="191">
        <v>8</v>
      </c>
      <c r="K16" s="169"/>
      <c r="L16" s="24" t="s">
        <v>133</v>
      </c>
      <c r="M16" s="43" t="s">
        <v>823</v>
      </c>
      <c r="N16" s="24" t="s">
        <v>738</v>
      </c>
    </row>
    <row r="17" spans="1:14" ht="30" x14ac:dyDescent="0.25">
      <c r="A17" s="62" t="s">
        <v>963</v>
      </c>
      <c r="B17" s="128">
        <v>0.3</v>
      </c>
      <c r="C17" s="128">
        <v>0.3</v>
      </c>
      <c r="D17" s="128">
        <v>0.3</v>
      </c>
      <c r="E17" s="128">
        <v>0.3</v>
      </c>
      <c r="F17" s="128">
        <v>0.3</v>
      </c>
      <c r="G17" s="128">
        <v>0.3</v>
      </c>
      <c r="H17" s="128">
        <v>0.3</v>
      </c>
      <c r="I17" s="128">
        <v>0.3</v>
      </c>
      <c r="J17" s="6">
        <v>0.3</v>
      </c>
      <c r="K17" s="119"/>
      <c r="L17" s="24" t="s">
        <v>133</v>
      </c>
      <c r="M17" s="43" t="s">
        <v>823</v>
      </c>
      <c r="N17" s="24" t="s">
        <v>738</v>
      </c>
    </row>
    <row r="18" spans="1:14" ht="30" x14ac:dyDescent="0.25">
      <c r="A18" s="61" t="s">
        <v>964</v>
      </c>
      <c r="B18" s="128">
        <v>0.8</v>
      </c>
      <c r="C18" s="128">
        <v>1</v>
      </c>
      <c r="D18" s="128">
        <v>1.8</v>
      </c>
      <c r="E18" s="128">
        <v>1.9</v>
      </c>
      <c r="F18" s="128">
        <v>1.8</v>
      </c>
      <c r="G18" s="128">
        <v>1.9</v>
      </c>
      <c r="H18" s="128">
        <v>1.4</v>
      </c>
      <c r="I18" s="128">
        <v>1.3</v>
      </c>
      <c r="J18" s="9">
        <v>1.3</v>
      </c>
      <c r="K18" s="122"/>
      <c r="L18" s="24" t="s">
        <v>133</v>
      </c>
      <c r="M18" s="43" t="s">
        <v>823</v>
      </c>
      <c r="N18" s="24" t="s">
        <v>738</v>
      </c>
    </row>
    <row r="19" spans="1:14" x14ac:dyDescent="0.25">
      <c r="A19" s="61" t="s">
        <v>136</v>
      </c>
      <c r="B19" s="128">
        <v>233</v>
      </c>
      <c r="C19" s="128">
        <v>198</v>
      </c>
      <c r="D19" s="128">
        <v>187</v>
      </c>
      <c r="E19" s="128">
        <v>182</v>
      </c>
      <c r="F19" s="128">
        <v>179</v>
      </c>
      <c r="G19" s="146"/>
      <c r="H19" s="129"/>
      <c r="I19" s="129"/>
      <c r="J19" s="129"/>
      <c r="K19" s="122"/>
      <c r="L19" s="24" t="s">
        <v>133</v>
      </c>
      <c r="M19" s="44" t="s">
        <v>134</v>
      </c>
      <c r="N19" s="24" t="s">
        <v>738</v>
      </c>
    </row>
    <row r="21" spans="1:14" x14ac:dyDescent="0.25">
      <c r="K21"/>
      <c r="L21"/>
      <c r="M21"/>
      <c r="N21"/>
    </row>
    <row r="22" spans="1:14" x14ac:dyDescent="0.25">
      <c r="K22"/>
      <c r="L22"/>
      <c r="M22"/>
      <c r="N22"/>
    </row>
    <row r="23" spans="1:14" x14ac:dyDescent="0.25">
      <c r="K23"/>
      <c r="L23"/>
      <c r="M23"/>
      <c r="N23"/>
    </row>
    <row r="24" spans="1:14" x14ac:dyDescent="0.25">
      <c r="K24"/>
      <c r="L24"/>
      <c r="M24"/>
      <c r="N24"/>
    </row>
    <row r="25" spans="1:14" x14ac:dyDescent="0.25">
      <c r="K25"/>
      <c r="L25"/>
      <c r="M25"/>
      <c r="N25"/>
    </row>
    <row r="26" spans="1:14" x14ac:dyDescent="0.25">
      <c r="K26"/>
      <c r="L26"/>
      <c r="M26"/>
      <c r="N26"/>
    </row>
    <row r="27" spans="1:14" x14ac:dyDescent="0.25">
      <c r="K27"/>
      <c r="L27"/>
      <c r="M27"/>
      <c r="N27"/>
    </row>
    <row r="28" spans="1:14" x14ac:dyDescent="0.25">
      <c r="K28"/>
      <c r="L28"/>
      <c r="M28"/>
      <c r="N28"/>
    </row>
    <row r="29" spans="1:14" x14ac:dyDescent="0.25">
      <c r="K29"/>
      <c r="L29"/>
      <c r="M29"/>
      <c r="N29"/>
    </row>
    <row r="30" spans="1:14" x14ac:dyDescent="0.25">
      <c r="K30"/>
      <c r="L30"/>
      <c r="M30"/>
      <c r="N30"/>
    </row>
    <row r="31" spans="1:14" x14ac:dyDescent="0.25">
      <c r="K31"/>
      <c r="L31"/>
      <c r="M31"/>
      <c r="N31"/>
    </row>
    <row r="32" spans="1:14" x14ac:dyDescent="0.25">
      <c r="K32"/>
      <c r="L32"/>
      <c r="M32"/>
      <c r="N32"/>
    </row>
  </sheetData>
  <mergeCells count="1">
    <mergeCell ref="A1:A2"/>
  </mergeCells>
  <hyperlinks>
    <hyperlink ref="M19" r:id="rId1" xr:uid="{00000000-0004-0000-1400-000000000000}"/>
    <hyperlink ref="M10" r:id="rId2" xr:uid="{00000000-0004-0000-1400-000001000000}"/>
    <hyperlink ref="M5" r:id="rId3" location="reqid=51&amp;step=2&amp;isuri=1" xr:uid="{00000000-0004-0000-1400-000002000000}"/>
  </hyperlinks>
  <pageMargins left="0.7" right="0.7" top="0.75" bottom="0.75" header="0.3" footer="0.3"/>
  <pageSetup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BN95"/>
  <sheetViews>
    <sheetView zoomScale="55" zoomScaleNormal="55" workbookViewId="0">
      <selection activeCell="B37" sqref="B37"/>
    </sheetView>
  </sheetViews>
  <sheetFormatPr defaultColWidth="11.42578125" defaultRowHeight="15" x14ac:dyDescent="0.25"/>
  <cols>
    <col min="1" max="1" width="30" style="27" customWidth="1"/>
    <col min="2" max="2" width="21.5703125" style="19" bestFit="1" customWidth="1"/>
    <col min="3" max="3" width="143.42578125" style="19" customWidth="1"/>
    <col min="4" max="4" width="58.5703125" style="19" bestFit="1" customWidth="1"/>
    <col min="5" max="5" width="38" style="19" customWidth="1"/>
    <col min="6" max="6" width="62.28515625" style="14" bestFit="1" customWidth="1"/>
    <col min="7" max="7" width="20.85546875" style="19" customWidth="1"/>
    <col min="8" max="16384" width="11.42578125" style="14"/>
  </cols>
  <sheetData>
    <row r="1" spans="1:7" ht="18.75" x14ac:dyDescent="0.25">
      <c r="A1" s="392" t="s">
        <v>170</v>
      </c>
      <c r="B1" s="182"/>
      <c r="C1" s="182"/>
      <c r="D1" s="181"/>
      <c r="E1" s="182"/>
      <c r="F1" s="182"/>
      <c r="G1" s="182"/>
    </row>
    <row r="2" spans="1:7" ht="18.75" x14ac:dyDescent="0.25">
      <c r="A2" s="393"/>
      <c r="B2" s="323"/>
      <c r="C2" s="323"/>
      <c r="D2" s="324"/>
      <c r="E2" s="323"/>
      <c r="F2" s="323"/>
      <c r="G2" s="323"/>
    </row>
    <row r="3" spans="1:7" x14ac:dyDescent="0.25">
      <c r="A3" s="319" t="s">
        <v>1123</v>
      </c>
      <c r="B3" s="320"/>
      <c r="C3" s="320"/>
      <c r="D3" s="320"/>
      <c r="E3" s="320"/>
      <c r="F3" s="321"/>
      <c r="G3" s="322"/>
    </row>
    <row r="4" spans="1:7" x14ac:dyDescent="0.25">
      <c r="A4" s="26" t="s">
        <v>171</v>
      </c>
      <c r="B4" s="56" t="s">
        <v>172</v>
      </c>
      <c r="C4" s="56" t="s">
        <v>173</v>
      </c>
      <c r="D4" s="56" t="s">
        <v>174</v>
      </c>
      <c r="E4" s="35" t="s">
        <v>765</v>
      </c>
      <c r="F4" s="29" t="s">
        <v>766</v>
      </c>
      <c r="G4" s="29" t="s">
        <v>58</v>
      </c>
    </row>
    <row r="5" spans="1:7" s="17" customFormat="1" ht="45" x14ac:dyDescent="0.25">
      <c r="A5" s="312" t="s">
        <v>175</v>
      </c>
      <c r="B5" s="214">
        <v>1975</v>
      </c>
      <c r="C5" s="308" t="s">
        <v>1231</v>
      </c>
      <c r="D5" s="308" t="s">
        <v>1233</v>
      </c>
      <c r="E5" s="308" t="s">
        <v>1232</v>
      </c>
      <c r="F5" s="309" t="s">
        <v>176</v>
      </c>
      <c r="G5" s="214" t="s">
        <v>1163</v>
      </c>
    </row>
    <row r="6" spans="1:7" ht="60" x14ac:dyDescent="0.25">
      <c r="A6" s="312" t="s">
        <v>177</v>
      </c>
      <c r="B6" s="214">
        <v>1978</v>
      </c>
      <c r="C6" s="308" t="s">
        <v>1234</v>
      </c>
      <c r="D6" s="308" t="s">
        <v>178</v>
      </c>
      <c r="E6" s="308" t="s">
        <v>215</v>
      </c>
      <c r="F6" s="309" t="s">
        <v>1235</v>
      </c>
      <c r="G6" s="214" t="s">
        <v>1163</v>
      </c>
    </row>
    <row r="7" spans="1:7" ht="45" x14ac:dyDescent="0.25">
      <c r="A7" s="312" t="s">
        <v>179</v>
      </c>
      <c r="B7" s="214">
        <v>1988</v>
      </c>
      <c r="C7" s="308" t="s">
        <v>180</v>
      </c>
      <c r="D7" s="308" t="s">
        <v>1236</v>
      </c>
      <c r="E7" s="308" t="s">
        <v>1232</v>
      </c>
      <c r="F7" s="309" t="s">
        <v>176</v>
      </c>
      <c r="G7" s="214" t="s">
        <v>1163</v>
      </c>
    </row>
    <row r="8" spans="1:7" ht="120" x14ac:dyDescent="0.25">
      <c r="A8" s="312" t="s">
        <v>181</v>
      </c>
      <c r="B8" s="214">
        <v>1992</v>
      </c>
      <c r="C8" s="308" t="s">
        <v>1237</v>
      </c>
      <c r="D8" s="308" t="s">
        <v>1238</v>
      </c>
      <c r="E8" s="308" t="s">
        <v>1232</v>
      </c>
      <c r="F8" s="309" t="s">
        <v>176</v>
      </c>
      <c r="G8" s="214" t="s">
        <v>1163</v>
      </c>
    </row>
    <row r="9" spans="1:7" ht="30" x14ac:dyDescent="0.25">
      <c r="A9" s="312" t="s">
        <v>182</v>
      </c>
      <c r="B9" s="214">
        <v>2000</v>
      </c>
      <c r="C9" s="308" t="s">
        <v>183</v>
      </c>
      <c r="D9" s="308" t="s">
        <v>184</v>
      </c>
      <c r="E9" s="308" t="s">
        <v>1239</v>
      </c>
      <c r="F9" s="309" t="s">
        <v>185</v>
      </c>
      <c r="G9" s="214" t="s">
        <v>1163</v>
      </c>
    </row>
    <row r="10" spans="1:7" ht="60" x14ac:dyDescent="0.25">
      <c r="A10" s="312" t="s">
        <v>186</v>
      </c>
      <c r="B10" s="214">
        <v>2002</v>
      </c>
      <c r="C10" s="308" t="s">
        <v>1240</v>
      </c>
      <c r="D10" s="308" t="s">
        <v>187</v>
      </c>
      <c r="E10" s="308" t="s">
        <v>1239</v>
      </c>
      <c r="F10" s="309" t="s">
        <v>1241</v>
      </c>
      <c r="G10" s="214" t="s">
        <v>1163</v>
      </c>
    </row>
    <row r="11" spans="1:7" ht="30" x14ac:dyDescent="0.25">
      <c r="A11" s="312" t="s">
        <v>188</v>
      </c>
      <c r="B11" s="214">
        <v>2002</v>
      </c>
      <c r="C11" s="308" t="s">
        <v>1242</v>
      </c>
      <c r="D11" s="308" t="s">
        <v>1243</v>
      </c>
      <c r="E11" s="308" t="s">
        <v>18</v>
      </c>
      <c r="F11" s="309" t="s">
        <v>189</v>
      </c>
      <c r="G11" s="214" t="s">
        <v>1163</v>
      </c>
    </row>
    <row r="12" spans="1:7" ht="45" x14ac:dyDescent="0.25">
      <c r="A12" s="312" t="s">
        <v>1244</v>
      </c>
      <c r="B12" s="214">
        <v>2004</v>
      </c>
      <c r="C12" s="308" t="s">
        <v>1245</v>
      </c>
      <c r="D12" s="308" t="s">
        <v>190</v>
      </c>
      <c r="E12" s="308" t="s">
        <v>215</v>
      </c>
      <c r="F12" s="309" t="s">
        <v>1246</v>
      </c>
      <c r="G12" s="214" t="s">
        <v>1163</v>
      </c>
    </row>
    <row r="13" spans="1:7" ht="90" x14ac:dyDescent="0.25">
      <c r="A13" s="312" t="s">
        <v>181</v>
      </c>
      <c r="B13" s="214">
        <v>2005</v>
      </c>
      <c r="C13" s="313" t="s">
        <v>1250</v>
      </c>
      <c r="D13" s="308" t="s">
        <v>1249</v>
      </c>
      <c r="E13" s="308" t="s">
        <v>1247</v>
      </c>
      <c r="F13" s="309" t="s">
        <v>1248</v>
      </c>
      <c r="G13" s="214" t="s">
        <v>1163</v>
      </c>
    </row>
    <row r="14" spans="1:7" ht="60" x14ac:dyDescent="0.25">
      <c r="A14" s="312" t="s">
        <v>191</v>
      </c>
      <c r="B14" s="214">
        <v>2007</v>
      </c>
      <c r="C14" s="308" t="s">
        <v>1251</v>
      </c>
      <c r="D14" s="308" t="s">
        <v>1252</v>
      </c>
      <c r="E14" s="308" t="s">
        <v>1253</v>
      </c>
      <c r="F14" s="309" t="s">
        <v>1254</v>
      </c>
      <c r="G14" s="214" t="s">
        <v>1163</v>
      </c>
    </row>
    <row r="15" spans="1:7" ht="90" x14ac:dyDescent="0.25">
      <c r="A15" s="312" t="s">
        <v>192</v>
      </c>
      <c r="B15" s="214">
        <v>2007</v>
      </c>
      <c r="C15" s="308" t="s">
        <v>1255</v>
      </c>
      <c r="D15" s="308" t="s">
        <v>1256</v>
      </c>
      <c r="E15" s="308" t="s">
        <v>1232</v>
      </c>
      <c r="F15" s="309" t="s">
        <v>1257</v>
      </c>
      <c r="G15" s="214" t="s">
        <v>1163</v>
      </c>
    </row>
    <row r="16" spans="1:7" ht="47.25" x14ac:dyDescent="0.25">
      <c r="A16" s="312" t="s">
        <v>186</v>
      </c>
      <c r="B16" s="214">
        <v>2008</v>
      </c>
      <c r="C16" s="314" t="s">
        <v>1258</v>
      </c>
      <c r="D16" s="315" t="s">
        <v>193</v>
      </c>
      <c r="E16" s="308" t="s">
        <v>219</v>
      </c>
      <c r="F16" s="309" t="s">
        <v>1259</v>
      </c>
      <c r="G16" s="214" t="s">
        <v>1163</v>
      </c>
    </row>
    <row r="17" spans="1:7" ht="30" x14ac:dyDescent="0.25">
      <c r="A17" s="312" t="s">
        <v>194</v>
      </c>
      <c r="B17" s="365">
        <v>2008</v>
      </c>
      <c r="C17" s="308" t="s">
        <v>1260</v>
      </c>
      <c r="D17" s="308" t="s">
        <v>195</v>
      </c>
      <c r="E17" s="308" t="s">
        <v>219</v>
      </c>
      <c r="F17" s="309" t="s">
        <v>1261</v>
      </c>
      <c r="G17" s="214" t="s">
        <v>1163</v>
      </c>
    </row>
    <row r="18" spans="1:7" ht="30" x14ac:dyDescent="0.25">
      <c r="A18" s="312" t="s">
        <v>196</v>
      </c>
      <c r="B18" s="214">
        <v>2008</v>
      </c>
      <c r="C18" s="308" t="s">
        <v>197</v>
      </c>
      <c r="D18" s="308" t="s">
        <v>198</v>
      </c>
      <c r="E18" s="308" t="s">
        <v>18</v>
      </c>
      <c r="F18" s="309" t="s">
        <v>189</v>
      </c>
      <c r="G18" s="214" t="s">
        <v>1163</v>
      </c>
    </row>
    <row r="19" spans="1:7" ht="30" x14ac:dyDescent="0.25">
      <c r="A19" s="312" t="s">
        <v>199</v>
      </c>
      <c r="B19" s="214">
        <v>2008</v>
      </c>
      <c r="C19" s="308" t="s">
        <v>200</v>
      </c>
      <c r="D19" s="308" t="s">
        <v>202</v>
      </c>
      <c r="E19" s="308" t="s">
        <v>18</v>
      </c>
      <c r="F19" s="309" t="s">
        <v>189</v>
      </c>
      <c r="G19" s="214" t="s">
        <v>1163</v>
      </c>
    </row>
    <row r="20" spans="1:7" ht="60" x14ac:dyDescent="0.25">
      <c r="A20" s="312" t="s">
        <v>201</v>
      </c>
      <c r="B20" s="214">
        <v>2008</v>
      </c>
      <c r="C20" s="308" t="s">
        <v>1262</v>
      </c>
      <c r="D20" s="308" t="s">
        <v>202</v>
      </c>
      <c r="E20" s="308" t="s">
        <v>1263</v>
      </c>
      <c r="F20" s="309" t="s">
        <v>1264</v>
      </c>
      <c r="G20" s="214" t="s">
        <v>1163</v>
      </c>
    </row>
    <row r="21" spans="1:7" ht="60" x14ac:dyDescent="0.25">
      <c r="A21" s="312" t="s">
        <v>203</v>
      </c>
      <c r="B21" s="313" t="s">
        <v>204</v>
      </c>
      <c r="C21" s="308" t="s">
        <v>1265</v>
      </c>
      <c r="D21" s="214" t="s">
        <v>205</v>
      </c>
      <c r="E21" s="313" t="s">
        <v>206</v>
      </c>
      <c r="F21" s="309" t="s">
        <v>1266</v>
      </c>
      <c r="G21" s="214" t="s">
        <v>1163</v>
      </c>
    </row>
    <row r="22" spans="1:7" ht="45" x14ac:dyDescent="0.25">
      <c r="A22" s="312" t="s">
        <v>208</v>
      </c>
      <c r="B22" s="214">
        <v>2009</v>
      </c>
      <c r="C22" s="308" t="s">
        <v>1267</v>
      </c>
      <c r="D22" s="308" t="s">
        <v>209</v>
      </c>
      <c r="E22" s="308" t="s">
        <v>1232</v>
      </c>
      <c r="F22" s="309" t="s">
        <v>176</v>
      </c>
      <c r="G22" s="214" t="s">
        <v>1163</v>
      </c>
    </row>
    <row r="23" spans="1:7" ht="60" x14ac:dyDescent="0.25">
      <c r="A23" s="312" t="s">
        <v>210</v>
      </c>
      <c r="B23" s="214">
        <v>2009</v>
      </c>
      <c r="C23" s="308" t="s">
        <v>1268</v>
      </c>
      <c r="D23" s="308" t="s">
        <v>1269</v>
      </c>
      <c r="E23" s="308" t="s">
        <v>211</v>
      </c>
      <c r="F23" s="309" t="s">
        <v>212</v>
      </c>
      <c r="G23" s="214" t="s">
        <v>1163</v>
      </c>
    </row>
    <row r="24" spans="1:7" ht="180" x14ac:dyDescent="0.25">
      <c r="A24" s="312" t="s">
        <v>213</v>
      </c>
      <c r="B24" s="214">
        <v>2011</v>
      </c>
      <c r="C24" s="308" t="s">
        <v>1270</v>
      </c>
      <c r="D24" s="313" t="s">
        <v>214</v>
      </c>
      <c r="E24" s="214" t="s">
        <v>215</v>
      </c>
      <c r="F24" s="309" t="s">
        <v>216</v>
      </c>
      <c r="G24" s="214" t="s">
        <v>1163</v>
      </c>
    </row>
    <row r="25" spans="1:7" ht="210" x14ac:dyDescent="0.25">
      <c r="A25" s="312" t="s">
        <v>217</v>
      </c>
      <c r="B25" s="214">
        <v>2011</v>
      </c>
      <c r="C25" s="308" t="s">
        <v>1271</v>
      </c>
      <c r="D25" s="308" t="s">
        <v>218</v>
      </c>
      <c r="E25" s="308" t="s">
        <v>219</v>
      </c>
      <c r="F25" s="309" t="s">
        <v>220</v>
      </c>
      <c r="G25" s="214" t="s">
        <v>1163</v>
      </c>
    </row>
    <row r="26" spans="1:7" ht="30" x14ac:dyDescent="0.25">
      <c r="A26" s="312" t="s">
        <v>221</v>
      </c>
      <c r="B26" s="214">
        <v>2011</v>
      </c>
      <c r="C26" s="308" t="s">
        <v>222</v>
      </c>
      <c r="D26" s="308" t="s">
        <v>223</v>
      </c>
      <c r="E26" s="308" t="s">
        <v>215</v>
      </c>
      <c r="F26" s="309" t="s">
        <v>224</v>
      </c>
      <c r="G26" s="214" t="s">
        <v>1163</v>
      </c>
    </row>
    <row r="27" spans="1:7" ht="45" x14ac:dyDescent="0.25">
      <c r="A27" s="312" t="s">
        <v>225</v>
      </c>
      <c r="B27" s="214">
        <v>2011</v>
      </c>
      <c r="C27" s="308" t="s">
        <v>1272</v>
      </c>
      <c r="D27" s="308" t="s">
        <v>1273</v>
      </c>
      <c r="E27" s="308" t="s">
        <v>1274</v>
      </c>
      <c r="F27" s="309" t="s">
        <v>1275</v>
      </c>
      <c r="G27" s="214" t="s">
        <v>1163</v>
      </c>
    </row>
    <row r="28" spans="1:7" ht="90" x14ac:dyDescent="0.25">
      <c r="A28" s="312" t="s">
        <v>226</v>
      </c>
      <c r="B28" s="214">
        <v>2012</v>
      </c>
      <c r="C28" s="308" t="s">
        <v>1276</v>
      </c>
      <c r="D28" s="308" t="s">
        <v>227</v>
      </c>
      <c r="E28" s="308" t="s">
        <v>1232</v>
      </c>
      <c r="F28" s="309" t="s">
        <v>176</v>
      </c>
      <c r="G28" s="214" t="s">
        <v>1163</v>
      </c>
    </row>
    <row r="29" spans="1:7" ht="60" x14ac:dyDescent="0.25">
      <c r="A29" s="312" t="s">
        <v>228</v>
      </c>
      <c r="B29" s="214">
        <v>2013</v>
      </c>
      <c r="C29" s="308" t="s">
        <v>1277</v>
      </c>
      <c r="D29" s="308" t="s">
        <v>1278</v>
      </c>
      <c r="E29" s="308" t="s">
        <v>215</v>
      </c>
      <c r="F29" s="309" t="s">
        <v>229</v>
      </c>
      <c r="G29" s="214" t="s">
        <v>1163</v>
      </c>
    </row>
    <row r="30" spans="1:7" ht="60" x14ac:dyDescent="0.25">
      <c r="A30" s="312" t="s">
        <v>186</v>
      </c>
      <c r="B30" s="214">
        <v>2014</v>
      </c>
      <c r="C30" s="308" t="s">
        <v>1279</v>
      </c>
      <c r="D30" s="308" t="s">
        <v>1280</v>
      </c>
      <c r="E30" s="308" t="s">
        <v>1281</v>
      </c>
      <c r="F30" s="309" t="s">
        <v>1282</v>
      </c>
      <c r="G30" s="214" t="s">
        <v>1163</v>
      </c>
    </row>
    <row r="31" spans="1:7" ht="45" x14ac:dyDescent="0.25">
      <c r="A31" s="312" t="s">
        <v>230</v>
      </c>
      <c r="B31" s="214">
        <v>2014</v>
      </c>
      <c r="C31" s="308" t="s">
        <v>1283</v>
      </c>
      <c r="D31" s="308" t="s">
        <v>1284</v>
      </c>
      <c r="E31" s="308" t="s">
        <v>1285</v>
      </c>
      <c r="F31" s="309" t="s">
        <v>1286</v>
      </c>
      <c r="G31" s="214" t="s">
        <v>1163</v>
      </c>
    </row>
    <row r="32" spans="1:7" ht="60" x14ac:dyDescent="0.25">
      <c r="A32" s="312" t="s">
        <v>231</v>
      </c>
      <c r="B32" s="214">
        <v>2016</v>
      </c>
      <c r="C32" s="308" t="s">
        <v>1287</v>
      </c>
      <c r="D32" s="308" t="s">
        <v>1288</v>
      </c>
      <c r="E32" s="308" t="s">
        <v>1289</v>
      </c>
      <c r="F32" s="309" t="s">
        <v>1290</v>
      </c>
      <c r="G32" s="214" t="s">
        <v>1163</v>
      </c>
    </row>
    <row r="33" spans="1:66" s="18" customFormat="1" ht="60" x14ac:dyDescent="0.25">
      <c r="A33" s="312" t="s">
        <v>232</v>
      </c>
      <c r="B33" s="214" t="s">
        <v>1291</v>
      </c>
      <c r="C33" s="308" t="s">
        <v>1294</v>
      </c>
      <c r="D33" s="308" t="s">
        <v>1295</v>
      </c>
      <c r="E33" s="308" t="s">
        <v>1296</v>
      </c>
      <c r="F33" s="309" t="s">
        <v>1297</v>
      </c>
      <c r="G33" s="214" t="s">
        <v>1163</v>
      </c>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21"/>
    </row>
    <row r="34" spans="1:66" s="12" customFormat="1" ht="45" x14ac:dyDescent="0.25">
      <c r="A34" s="317" t="s">
        <v>233</v>
      </c>
      <c r="B34" s="318">
        <v>2011</v>
      </c>
      <c r="C34" s="310" t="s">
        <v>1292</v>
      </c>
      <c r="D34" s="310" t="s">
        <v>1293</v>
      </c>
      <c r="E34" s="310" t="s">
        <v>234</v>
      </c>
      <c r="F34" s="309" t="s">
        <v>235</v>
      </c>
      <c r="G34" s="318" t="s">
        <v>1163</v>
      </c>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22"/>
    </row>
    <row r="35" spans="1:66" x14ac:dyDescent="0.25">
      <c r="A35" s="319" t="s">
        <v>236</v>
      </c>
      <c r="B35" s="320"/>
      <c r="C35" s="320"/>
      <c r="D35" s="320"/>
      <c r="E35" s="320"/>
      <c r="F35" s="320"/>
      <c r="G35" s="322"/>
    </row>
    <row r="36" spans="1:66" x14ac:dyDescent="0.25">
      <c r="A36" s="26" t="s">
        <v>171</v>
      </c>
      <c r="B36" s="56" t="s">
        <v>172</v>
      </c>
      <c r="C36" s="56" t="s">
        <v>173</v>
      </c>
      <c r="D36" s="56" t="s">
        <v>174</v>
      </c>
      <c r="E36" s="35" t="s">
        <v>765</v>
      </c>
      <c r="F36" s="35" t="s">
        <v>766</v>
      </c>
      <c r="G36" s="29" t="s">
        <v>58</v>
      </c>
    </row>
    <row r="37" spans="1:66" ht="90" x14ac:dyDescent="0.25">
      <c r="A37" s="312" t="s">
        <v>237</v>
      </c>
      <c r="B37" s="214">
        <v>1998</v>
      </c>
      <c r="C37" s="308" t="s">
        <v>1298</v>
      </c>
      <c r="D37" s="308" t="s">
        <v>1299</v>
      </c>
      <c r="E37" s="308" t="s">
        <v>18</v>
      </c>
      <c r="F37" s="309" t="s">
        <v>238</v>
      </c>
      <c r="G37" s="214" t="s">
        <v>1163</v>
      </c>
    </row>
    <row r="38" spans="1:66" ht="30" x14ac:dyDescent="0.25">
      <c r="A38" s="312" t="s">
        <v>239</v>
      </c>
      <c r="B38" s="214">
        <v>1999</v>
      </c>
      <c r="C38" s="308" t="s">
        <v>1300</v>
      </c>
      <c r="D38" s="308" t="s">
        <v>240</v>
      </c>
      <c r="E38" s="308" t="s">
        <v>241</v>
      </c>
      <c r="F38" s="309" t="s">
        <v>242</v>
      </c>
      <c r="G38" s="214" t="s">
        <v>1163</v>
      </c>
    </row>
    <row r="39" spans="1:66" ht="75" x14ac:dyDescent="0.25">
      <c r="A39" s="312" t="s">
        <v>243</v>
      </c>
      <c r="B39" s="313" t="s">
        <v>244</v>
      </c>
      <c r="C39" s="308" t="s">
        <v>245</v>
      </c>
      <c r="D39" s="308" t="s">
        <v>1301</v>
      </c>
      <c r="E39" s="308" t="s">
        <v>1302</v>
      </c>
      <c r="F39" s="309" t="s">
        <v>1303</v>
      </c>
      <c r="G39" s="214" t="s">
        <v>1163</v>
      </c>
    </row>
    <row r="40" spans="1:66" ht="60" x14ac:dyDescent="0.25">
      <c r="A40" s="312" t="s">
        <v>246</v>
      </c>
      <c r="B40" s="214">
        <v>2014</v>
      </c>
      <c r="C40" s="308" t="s">
        <v>1304</v>
      </c>
      <c r="D40" s="308" t="s">
        <v>1305</v>
      </c>
      <c r="E40" s="308" t="s">
        <v>1306</v>
      </c>
      <c r="F40" s="309" t="s">
        <v>1307</v>
      </c>
      <c r="G40" s="214" t="s">
        <v>1163</v>
      </c>
    </row>
    <row r="41" spans="1:66" ht="45" x14ac:dyDescent="0.25">
      <c r="A41" s="312" t="s">
        <v>247</v>
      </c>
      <c r="B41" s="214">
        <v>2015</v>
      </c>
      <c r="C41" s="308" t="s">
        <v>1308</v>
      </c>
      <c r="D41" s="308" t="s">
        <v>1309</v>
      </c>
      <c r="E41" s="308" t="s">
        <v>1310</v>
      </c>
      <c r="F41" s="309" t="s">
        <v>1311</v>
      </c>
      <c r="G41" s="214" t="s">
        <v>1163</v>
      </c>
    </row>
    <row r="42" spans="1:66" ht="75" x14ac:dyDescent="0.25">
      <c r="A42" s="312" t="s">
        <v>248</v>
      </c>
      <c r="B42" s="214">
        <v>2015</v>
      </c>
      <c r="C42" s="308" t="s">
        <v>1312</v>
      </c>
      <c r="D42" s="308" t="s">
        <v>1313</v>
      </c>
      <c r="E42" s="308" t="s">
        <v>1314</v>
      </c>
      <c r="F42" s="309" t="s">
        <v>1315</v>
      </c>
      <c r="G42" s="214" t="s">
        <v>1163</v>
      </c>
    </row>
    <row r="43" spans="1:66" x14ac:dyDescent="0.25">
      <c r="A43" s="327" t="s">
        <v>1120</v>
      </c>
      <c r="B43" s="325"/>
      <c r="C43" s="325"/>
      <c r="D43" s="325"/>
      <c r="E43" s="325"/>
      <c r="F43" s="320"/>
      <c r="G43" s="326"/>
    </row>
    <row r="44" spans="1:66" x14ac:dyDescent="0.25">
      <c r="A44" s="26" t="s">
        <v>171</v>
      </c>
      <c r="B44" s="56" t="s">
        <v>172</v>
      </c>
      <c r="C44" s="56" t="s">
        <v>173</v>
      </c>
      <c r="D44" s="56" t="s">
        <v>174</v>
      </c>
      <c r="E44" s="35" t="s">
        <v>765</v>
      </c>
      <c r="F44" s="35" t="s">
        <v>766</v>
      </c>
      <c r="G44" s="29" t="s">
        <v>58</v>
      </c>
    </row>
    <row r="45" spans="1:66" ht="45" x14ac:dyDescent="0.25">
      <c r="A45" s="328" t="s">
        <v>249</v>
      </c>
      <c r="B45" s="16"/>
      <c r="C45" s="308" t="s">
        <v>250</v>
      </c>
      <c r="D45" s="308" t="s">
        <v>1316</v>
      </c>
      <c r="E45" s="308" t="s">
        <v>1317</v>
      </c>
      <c r="F45" s="309" t="s">
        <v>1318</v>
      </c>
      <c r="G45" s="214" t="s">
        <v>1163</v>
      </c>
    </row>
    <row r="46" spans="1:66" ht="60" x14ac:dyDescent="0.25">
      <c r="A46" s="328" t="s">
        <v>251</v>
      </c>
      <c r="B46" s="16"/>
      <c r="C46" s="308" t="s">
        <v>252</v>
      </c>
      <c r="D46" s="308" t="s">
        <v>1319</v>
      </c>
      <c r="E46" s="308" t="s">
        <v>1317</v>
      </c>
      <c r="F46" s="309" t="s">
        <v>1320</v>
      </c>
      <c r="G46" s="214" t="s">
        <v>1163</v>
      </c>
    </row>
    <row r="47" spans="1:66" ht="75" x14ac:dyDescent="0.25">
      <c r="A47" s="28" t="s">
        <v>1121</v>
      </c>
      <c r="B47" s="16"/>
      <c r="C47" s="308" t="s">
        <v>1321</v>
      </c>
      <c r="D47" s="308" t="s">
        <v>1322</v>
      </c>
      <c r="E47" s="308" t="s">
        <v>1317</v>
      </c>
      <c r="F47" s="309" t="s">
        <v>1323</v>
      </c>
      <c r="G47" s="214" t="s">
        <v>1163</v>
      </c>
    </row>
    <row r="48" spans="1:66" ht="90" x14ac:dyDescent="0.25">
      <c r="A48" s="28" t="s">
        <v>253</v>
      </c>
      <c r="B48" s="16"/>
      <c r="C48" s="308" t="s">
        <v>1324</v>
      </c>
      <c r="D48" s="308" t="s">
        <v>1325</v>
      </c>
      <c r="E48" s="308" t="s">
        <v>1326</v>
      </c>
      <c r="F48" s="309" t="s">
        <v>1327</v>
      </c>
      <c r="G48" s="214" t="s">
        <v>1163</v>
      </c>
    </row>
    <row r="49" spans="1:7" ht="75" x14ac:dyDescent="0.25">
      <c r="A49" s="28" t="s">
        <v>254</v>
      </c>
      <c r="B49" s="16">
        <v>2017</v>
      </c>
      <c r="C49" s="308" t="s">
        <v>1328</v>
      </c>
      <c r="D49" s="308" t="s">
        <v>1329</v>
      </c>
      <c r="E49" s="308" t="s">
        <v>1317</v>
      </c>
      <c r="F49" s="309" t="s">
        <v>1323</v>
      </c>
      <c r="G49" s="214" t="s">
        <v>1163</v>
      </c>
    </row>
    <row r="50" spans="1:7" ht="60" x14ac:dyDescent="0.25">
      <c r="A50" s="28" t="s">
        <v>255</v>
      </c>
      <c r="B50" s="16"/>
      <c r="C50" s="308" t="s">
        <v>1330</v>
      </c>
      <c r="D50" s="308" t="s">
        <v>1331</v>
      </c>
      <c r="E50" s="308" t="s">
        <v>1317</v>
      </c>
      <c r="F50" s="309" t="s">
        <v>1332</v>
      </c>
      <c r="G50" s="214" t="s">
        <v>1163</v>
      </c>
    </row>
    <row r="51" spans="1:7" ht="75" x14ac:dyDescent="0.25">
      <c r="A51" s="28" t="s">
        <v>256</v>
      </c>
      <c r="B51" s="16"/>
      <c r="C51" s="308" t="s">
        <v>1333</v>
      </c>
      <c r="D51" s="308" t="s">
        <v>1334</v>
      </c>
      <c r="E51" s="308" t="s">
        <v>1317</v>
      </c>
      <c r="F51" s="309" t="s">
        <v>1335</v>
      </c>
      <c r="G51" s="214" t="s">
        <v>1163</v>
      </c>
    </row>
    <row r="52" spans="1:7" ht="90" x14ac:dyDescent="0.25">
      <c r="A52" s="28" t="s">
        <v>257</v>
      </c>
      <c r="B52" s="16"/>
      <c r="C52" s="308" t="s">
        <v>1336</v>
      </c>
      <c r="D52" s="308" t="s">
        <v>1337</v>
      </c>
      <c r="E52" s="308" t="s">
        <v>1306</v>
      </c>
      <c r="F52" s="309" t="s">
        <v>1338</v>
      </c>
      <c r="G52" s="214" t="s">
        <v>1163</v>
      </c>
    </row>
    <row r="53" spans="1:7" ht="75" x14ac:dyDescent="0.25">
      <c r="A53" s="28" t="s">
        <v>258</v>
      </c>
      <c r="B53" s="16"/>
      <c r="C53" s="308" t="s">
        <v>1339</v>
      </c>
      <c r="D53" s="308" t="s">
        <v>1340</v>
      </c>
      <c r="E53" s="308" t="s">
        <v>1341</v>
      </c>
      <c r="F53" s="309" t="s">
        <v>1342</v>
      </c>
      <c r="G53" s="214" t="s">
        <v>1163</v>
      </c>
    </row>
    <row r="54" spans="1:7" ht="90" x14ac:dyDescent="0.25">
      <c r="A54" s="28" t="s">
        <v>259</v>
      </c>
      <c r="B54" s="16" t="s">
        <v>1347</v>
      </c>
      <c r="C54" s="308" t="s">
        <v>1343</v>
      </c>
      <c r="D54" s="308" t="s">
        <v>1344</v>
      </c>
      <c r="E54" s="308" t="s">
        <v>1345</v>
      </c>
      <c r="F54" s="309" t="s">
        <v>1346</v>
      </c>
      <c r="G54" s="214" t="s">
        <v>1163</v>
      </c>
    </row>
    <row r="55" spans="1:7" ht="60" x14ac:dyDescent="0.25">
      <c r="A55" s="28" t="s">
        <v>184</v>
      </c>
      <c r="B55" s="16"/>
      <c r="C55" s="308" t="s">
        <v>260</v>
      </c>
      <c r="D55" s="308" t="s">
        <v>1348</v>
      </c>
      <c r="E55" s="308" t="s">
        <v>1349</v>
      </c>
      <c r="F55" s="309" t="s">
        <v>207</v>
      </c>
      <c r="G55" s="214" t="s">
        <v>1163</v>
      </c>
    </row>
    <row r="56" spans="1:7" ht="150" x14ac:dyDescent="0.25">
      <c r="A56" s="25" t="s">
        <v>261</v>
      </c>
      <c r="B56" s="16"/>
      <c r="C56" s="308" t="s">
        <v>1350</v>
      </c>
      <c r="D56" s="308" t="s">
        <v>1351</v>
      </c>
      <c r="E56" s="308" t="s">
        <v>1317</v>
      </c>
      <c r="F56" s="309" t="s">
        <v>1323</v>
      </c>
      <c r="G56" s="214" t="s">
        <v>1163</v>
      </c>
    </row>
    <row r="57" spans="1:7" ht="60" x14ac:dyDescent="0.25">
      <c r="A57" s="25" t="s">
        <v>262</v>
      </c>
      <c r="B57" s="16"/>
      <c r="C57" s="308" t="s">
        <v>1352</v>
      </c>
      <c r="D57" s="308" t="s">
        <v>1353</v>
      </c>
      <c r="E57" s="308" t="s">
        <v>1354</v>
      </c>
      <c r="F57" s="309" t="s">
        <v>1355</v>
      </c>
      <c r="G57" s="214" t="s">
        <v>1163</v>
      </c>
    </row>
    <row r="58" spans="1:7" ht="105" x14ac:dyDescent="0.25">
      <c r="A58" s="25" t="s">
        <v>263</v>
      </c>
      <c r="B58" s="16"/>
      <c r="C58" s="308" t="s">
        <v>1356</v>
      </c>
      <c r="D58" s="308" t="s">
        <v>1357</v>
      </c>
      <c r="E58" s="308" t="s">
        <v>1354</v>
      </c>
      <c r="F58" s="309" t="s">
        <v>1358</v>
      </c>
      <c r="G58" s="214" t="s">
        <v>1163</v>
      </c>
    </row>
    <row r="59" spans="1:7" ht="60" x14ac:dyDescent="0.25">
      <c r="A59" s="25" t="s">
        <v>264</v>
      </c>
      <c r="B59" s="16"/>
      <c r="C59" s="308" t="s">
        <v>1359</v>
      </c>
      <c r="D59" s="308" t="s">
        <v>1360</v>
      </c>
      <c r="E59" s="308" t="s">
        <v>1361</v>
      </c>
      <c r="F59" s="309" t="s">
        <v>1362</v>
      </c>
      <c r="G59" s="214" t="s">
        <v>1163</v>
      </c>
    </row>
    <row r="60" spans="1:7" ht="75" x14ac:dyDescent="0.25">
      <c r="A60" s="25" t="s">
        <v>265</v>
      </c>
      <c r="B60" s="15"/>
      <c r="C60" s="308" t="s">
        <v>1363</v>
      </c>
      <c r="D60" s="308" t="s">
        <v>1364</v>
      </c>
      <c r="E60" s="308" t="s">
        <v>1354</v>
      </c>
      <c r="F60" s="309" t="s">
        <v>1365</v>
      </c>
      <c r="G60" s="214" t="s">
        <v>1163</v>
      </c>
    </row>
    <row r="61" spans="1:7" ht="75" x14ac:dyDescent="0.25">
      <c r="A61" s="25" t="s">
        <v>266</v>
      </c>
      <c r="B61" s="16"/>
      <c r="C61" s="308" t="s">
        <v>1366</v>
      </c>
      <c r="D61" s="308" t="s">
        <v>1367</v>
      </c>
      <c r="E61" s="308" t="s">
        <v>1317</v>
      </c>
      <c r="F61" s="309" t="s">
        <v>1368</v>
      </c>
      <c r="G61" s="214" t="s">
        <v>1163</v>
      </c>
    </row>
    <row r="62" spans="1:7" ht="45" x14ac:dyDescent="0.25">
      <c r="A62" s="25" t="s">
        <v>267</v>
      </c>
      <c r="B62" s="16"/>
      <c r="C62" s="308" t="s">
        <v>268</v>
      </c>
      <c r="D62" s="308" t="s">
        <v>1369</v>
      </c>
      <c r="E62" s="308" t="s">
        <v>1317</v>
      </c>
      <c r="F62" s="309" t="s">
        <v>1370</v>
      </c>
      <c r="G62" s="214" t="s">
        <v>1163</v>
      </c>
    </row>
    <row r="63" spans="1:7" ht="45" x14ac:dyDescent="0.25">
      <c r="A63" s="25" t="s">
        <v>269</v>
      </c>
      <c r="B63" s="16"/>
      <c r="C63" s="308" t="s">
        <v>1371</v>
      </c>
      <c r="D63" s="308" t="s">
        <v>1372</v>
      </c>
      <c r="E63" s="308" t="s">
        <v>1373</v>
      </c>
      <c r="F63" s="309" t="s">
        <v>1374</v>
      </c>
      <c r="G63" s="214" t="s">
        <v>1163</v>
      </c>
    </row>
    <row r="64" spans="1:7" ht="45" x14ac:dyDescent="0.25">
      <c r="A64" s="25" t="s">
        <v>270</v>
      </c>
      <c r="B64" s="16"/>
      <c r="C64" s="308" t="s">
        <v>271</v>
      </c>
      <c r="D64" s="308" t="s">
        <v>1375</v>
      </c>
      <c r="E64" s="308" t="s">
        <v>1317</v>
      </c>
      <c r="F64" s="309" t="s">
        <v>1376</v>
      </c>
      <c r="G64" s="214" t="s">
        <v>1163</v>
      </c>
    </row>
    <row r="65" spans="1:7" ht="75" x14ac:dyDescent="0.25">
      <c r="A65" s="25" t="s">
        <v>272</v>
      </c>
      <c r="B65" s="16"/>
      <c r="C65" s="308" t="s">
        <v>1377</v>
      </c>
      <c r="D65" s="308" t="s">
        <v>1378</v>
      </c>
      <c r="E65" s="308" t="s">
        <v>1317</v>
      </c>
      <c r="F65" s="309" t="s">
        <v>1379</v>
      </c>
      <c r="G65" s="214" t="s">
        <v>1163</v>
      </c>
    </row>
    <row r="66" spans="1:7" ht="75" x14ac:dyDescent="0.25">
      <c r="A66" s="25" t="s">
        <v>273</v>
      </c>
      <c r="B66" s="16"/>
      <c r="C66" s="308" t="s">
        <v>274</v>
      </c>
      <c r="D66" s="308" t="s">
        <v>1380</v>
      </c>
      <c r="E66" s="308" t="s">
        <v>1317</v>
      </c>
      <c r="F66" s="309" t="s">
        <v>1381</v>
      </c>
      <c r="G66" s="214" t="s">
        <v>1163</v>
      </c>
    </row>
    <row r="67" spans="1:7" ht="45" x14ac:dyDescent="0.25">
      <c r="A67" s="25" t="s">
        <v>275</v>
      </c>
      <c r="B67" s="16"/>
      <c r="C67" s="308" t="s">
        <v>1382</v>
      </c>
      <c r="D67" s="308" t="s">
        <v>1383</v>
      </c>
      <c r="E67" s="308" t="s">
        <v>1384</v>
      </c>
      <c r="F67" s="309" t="s">
        <v>1385</v>
      </c>
      <c r="G67" s="214" t="s">
        <v>1163</v>
      </c>
    </row>
    <row r="68" spans="1:7" ht="210" x14ac:dyDescent="0.25">
      <c r="A68" s="25" t="s">
        <v>1122</v>
      </c>
      <c r="B68" s="16"/>
      <c r="C68" s="308" t="s">
        <v>1386</v>
      </c>
      <c r="D68" s="308" t="s">
        <v>1387</v>
      </c>
      <c r="E68" s="308" t="s">
        <v>1317</v>
      </c>
      <c r="F68" s="309" t="s">
        <v>1388</v>
      </c>
      <c r="G68" s="214" t="s">
        <v>1163</v>
      </c>
    </row>
    <row r="69" spans="1:7" ht="180" x14ac:dyDescent="0.25">
      <c r="A69" s="25" t="s">
        <v>276</v>
      </c>
      <c r="B69" s="16"/>
      <c r="C69" s="308" t="s">
        <v>1389</v>
      </c>
      <c r="D69" s="308" t="s">
        <v>1390</v>
      </c>
      <c r="E69" s="308" t="s">
        <v>1317</v>
      </c>
      <c r="F69" s="309" t="s">
        <v>1391</v>
      </c>
      <c r="G69" s="214" t="s">
        <v>1163</v>
      </c>
    </row>
    <row r="70" spans="1:7" ht="90" x14ac:dyDescent="0.25">
      <c r="A70" s="25" t="s">
        <v>277</v>
      </c>
      <c r="B70" s="16"/>
      <c r="C70" s="308" t="s">
        <v>1392</v>
      </c>
      <c r="D70" s="308" t="s">
        <v>1393</v>
      </c>
      <c r="E70" s="308" t="s">
        <v>1317</v>
      </c>
      <c r="F70" s="309" t="s">
        <v>1394</v>
      </c>
      <c r="G70" s="214" t="s">
        <v>1163</v>
      </c>
    </row>
    <row r="71" spans="1:7" ht="45" x14ac:dyDescent="0.25">
      <c r="A71" s="25" t="s">
        <v>278</v>
      </c>
      <c r="B71" s="16"/>
      <c r="C71" s="308" t="s">
        <v>1395</v>
      </c>
      <c r="D71" s="308" t="s">
        <v>1396</v>
      </c>
      <c r="E71" s="308" t="s">
        <v>1397</v>
      </c>
      <c r="F71" s="309" t="s">
        <v>1398</v>
      </c>
      <c r="G71" s="214" t="s">
        <v>1163</v>
      </c>
    </row>
    <row r="72" spans="1:7" ht="75" x14ac:dyDescent="0.25">
      <c r="A72" s="25" t="s">
        <v>279</v>
      </c>
      <c r="B72" s="16"/>
      <c r="C72" s="308" t="s">
        <v>280</v>
      </c>
      <c r="D72" s="308" t="s">
        <v>1399</v>
      </c>
      <c r="E72" s="308" t="s">
        <v>1400</v>
      </c>
      <c r="F72" s="309" t="s">
        <v>1401</v>
      </c>
      <c r="G72" s="214" t="s">
        <v>1163</v>
      </c>
    </row>
    <row r="73" spans="1:7" ht="60" x14ac:dyDescent="0.25">
      <c r="A73" s="25" t="s">
        <v>288</v>
      </c>
      <c r="B73" s="214"/>
      <c r="C73" s="308" t="s">
        <v>1402</v>
      </c>
      <c r="D73" s="308" t="s">
        <v>1403</v>
      </c>
      <c r="E73" s="308" t="s">
        <v>1404</v>
      </c>
      <c r="F73" s="309" t="s">
        <v>1405</v>
      </c>
      <c r="G73" s="214" t="s">
        <v>1163</v>
      </c>
    </row>
    <row r="74" spans="1:7" ht="45" x14ac:dyDescent="0.25">
      <c r="A74" s="25" t="s">
        <v>281</v>
      </c>
      <c r="B74" s="214"/>
      <c r="C74" s="308" t="s">
        <v>1406</v>
      </c>
      <c r="D74" s="308" t="s">
        <v>1407</v>
      </c>
      <c r="E74" s="308" t="s">
        <v>1317</v>
      </c>
      <c r="F74" s="309" t="s">
        <v>1408</v>
      </c>
      <c r="G74" s="214" t="s">
        <v>1163</v>
      </c>
    </row>
    <row r="75" spans="1:7" ht="45" x14ac:dyDescent="0.25">
      <c r="A75" s="25" t="s">
        <v>282</v>
      </c>
      <c r="B75" s="214">
        <v>2004</v>
      </c>
      <c r="C75" s="308" t="s">
        <v>1409</v>
      </c>
      <c r="D75" s="308" t="s">
        <v>1410</v>
      </c>
      <c r="E75" s="308" t="s">
        <v>1411</v>
      </c>
      <c r="F75" s="309" t="s">
        <v>1412</v>
      </c>
      <c r="G75" s="214" t="s">
        <v>1163</v>
      </c>
    </row>
    <row r="76" spans="1:7" ht="75" x14ac:dyDescent="0.25">
      <c r="A76" s="25" t="s">
        <v>283</v>
      </c>
      <c r="B76" s="214"/>
      <c r="C76" s="308" t="s">
        <v>284</v>
      </c>
      <c r="D76" s="308" t="s">
        <v>1413</v>
      </c>
      <c r="E76" s="308" t="s">
        <v>1414</v>
      </c>
      <c r="F76" s="309" t="s">
        <v>1415</v>
      </c>
      <c r="G76" s="214" t="s">
        <v>1163</v>
      </c>
    </row>
    <row r="77" spans="1:7" ht="60" x14ac:dyDescent="0.25">
      <c r="A77" s="25" t="s">
        <v>285</v>
      </c>
      <c r="B77" s="214"/>
      <c r="C77" s="308" t="s">
        <v>1416</v>
      </c>
      <c r="D77" s="308" t="s">
        <v>1417</v>
      </c>
      <c r="E77" s="308" t="s">
        <v>18</v>
      </c>
      <c r="F77" s="309" t="s">
        <v>1418</v>
      </c>
      <c r="G77" s="214" t="s">
        <v>1163</v>
      </c>
    </row>
    <row r="78" spans="1:7" ht="270" x14ac:dyDescent="0.25">
      <c r="A78" s="25" t="s">
        <v>286</v>
      </c>
      <c r="B78" s="214"/>
      <c r="C78" s="308" t="s">
        <v>1423</v>
      </c>
      <c r="D78" s="308" t="s">
        <v>1424</v>
      </c>
      <c r="E78" s="308" t="s">
        <v>18</v>
      </c>
      <c r="F78" s="309" t="s">
        <v>1425</v>
      </c>
      <c r="G78" s="214" t="s">
        <v>1163</v>
      </c>
    </row>
    <row r="79" spans="1:7" ht="180" x14ac:dyDescent="0.25">
      <c r="A79" s="25" t="s">
        <v>287</v>
      </c>
      <c r="B79" s="214"/>
      <c r="C79" s="308" t="s">
        <v>1419</v>
      </c>
      <c r="D79" s="308" t="s">
        <v>1420</v>
      </c>
      <c r="E79" s="308" t="s">
        <v>1421</v>
      </c>
      <c r="F79" s="309" t="s">
        <v>1422</v>
      </c>
      <c r="G79" s="214" t="s">
        <v>1163</v>
      </c>
    </row>
    <row r="80" spans="1:7" ht="120" x14ac:dyDescent="0.25">
      <c r="A80" s="25" t="s">
        <v>288</v>
      </c>
      <c r="B80" s="214"/>
      <c r="C80" s="308" t="s">
        <v>1426</v>
      </c>
      <c r="D80" s="308" t="s">
        <v>1427</v>
      </c>
      <c r="E80" s="308" t="s">
        <v>28</v>
      </c>
      <c r="F80" s="309" t="s">
        <v>1428</v>
      </c>
      <c r="G80" s="214" t="s">
        <v>1163</v>
      </c>
    </row>
    <row r="81" spans="1:7" ht="75" x14ac:dyDescent="0.25">
      <c r="A81" s="25" t="s">
        <v>289</v>
      </c>
      <c r="B81" s="214"/>
      <c r="C81" s="308" t="s">
        <v>1429</v>
      </c>
      <c r="D81" s="308" t="s">
        <v>1430</v>
      </c>
      <c r="E81" s="308" t="s">
        <v>1431</v>
      </c>
      <c r="F81" s="309" t="s">
        <v>1432</v>
      </c>
      <c r="G81" s="214" t="s">
        <v>1163</v>
      </c>
    </row>
    <row r="82" spans="1:7" ht="120" x14ac:dyDescent="0.25">
      <c r="A82" s="312" t="s">
        <v>1433</v>
      </c>
      <c r="B82" s="214">
        <v>2012</v>
      </c>
      <c r="C82" s="308" t="s">
        <v>1434</v>
      </c>
      <c r="D82" s="308" t="s">
        <v>1435</v>
      </c>
      <c r="E82" s="308" t="s">
        <v>1436</v>
      </c>
      <c r="F82" s="309" t="s">
        <v>1437</v>
      </c>
      <c r="G82" s="214" t="s">
        <v>1163</v>
      </c>
    </row>
    <row r="83" spans="1:7" ht="105" x14ac:dyDescent="0.25">
      <c r="A83" s="312" t="s">
        <v>1438</v>
      </c>
      <c r="B83" s="214">
        <v>2014</v>
      </c>
      <c r="C83" s="308" t="s">
        <v>1439</v>
      </c>
      <c r="D83" s="308" t="s">
        <v>1440</v>
      </c>
      <c r="E83" s="308" t="s">
        <v>1441</v>
      </c>
      <c r="F83" s="309" t="s">
        <v>1442</v>
      </c>
      <c r="G83" s="214" t="s">
        <v>1163</v>
      </c>
    </row>
    <row r="84" spans="1:7" ht="45" x14ac:dyDescent="0.25">
      <c r="A84" s="312" t="s">
        <v>290</v>
      </c>
      <c r="B84" s="214">
        <v>2013</v>
      </c>
      <c r="C84" s="308" t="s">
        <v>1443</v>
      </c>
      <c r="D84" s="308" t="s">
        <v>1444</v>
      </c>
      <c r="E84" s="308" t="s">
        <v>1436</v>
      </c>
      <c r="F84" s="309" t="s">
        <v>1445</v>
      </c>
      <c r="G84" s="214" t="s">
        <v>1163</v>
      </c>
    </row>
    <row r="85" spans="1:7" ht="75" x14ac:dyDescent="0.25">
      <c r="A85" s="312" t="s">
        <v>291</v>
      </c>
      <c r="B85" s="214"/>
      <c r="C85" s="308" t="s">
        <v>1446</v>
      </c>
      <c r="D85" s="308" t="s">
        <v>1447</v>
      </c>
      <c r="E85" s="308" t="s">
        <v>1448</v>
      </c>
      <c r="F85" s="309" t="s">
        <v>1449</v>
      </c>
      <c r="G85" s="214" t="s">
        <v>1163</v>
      </c>
    </row>
    <row r="86" spans="1:7" ht="135" x14ac:dyDescent="0.25">
      <c r="A86" s="312" t="s">
        <v>1450</v>
      </c>
      <c r="B86" s="214">
        <v>2014</v>
      </c>
      <c r="C86" s="308" t="s">
        <v>1451</v>
      </c>
      <c r="D86" s="308" t="s">
        <v>1452</v>
      </c>
      <c r="E86" s="308" t="s">
        <v>1436</v>
      </c>
      <c r="F86" s="309" t="s">
        <v>1453</v>
      </c>
      <c r="G86" s="214" t="s">
        <v>1163</v>
      </c>
    </row>
    <row r="87" spans="1:7" ht="60" x14ac:dyDescent="0.25">
      <c r="A87" s="312" t="s">
        <v>1454</v>
      </c>
      <c r="B87" s="214">
        <v>2012</v>
      </c>
      <c r="C87" s="308" t="s">
        <v>1455</v>
      </c>
      <c r="D87" s="308" t="s">
        <v>1456</v>
      </c>
      <c r="E87" s="308" t="s">
        <v>1436</v>
      </c>
      <c r="F87" s="309" t="s">
        <v>1457</v>
      </c>
      <c r="G87" s="214" t="s">
        <v>1163</v>
      </c>
    </row>
    <row r="88" spans="1:7" ht="105" x14ac:dyDescent="0.25">
      <c r="A88" s="312" t="s">
        <v>292</v>
      </c>
      <c r="B88" s="214">
        <v>2013</v>
      </c>
      <c r="C88" s="308" t="s">
        <v>1458</v>
      </c>
      <c r="D88" s="308" t="s">
        <v>1459</v>
      </c>
      <c r="E88" s="308" t="s">
        <v>1436</v>
      </c>
      <c r="F88" s="309" t="s">
        <v>1460</v>
      </c>
      <c r="G88" s="214" t="s">
        <v>1163</v>
      </c>
    </row>
    <row r="89" spans="1:7" ht="105" x14ac:dyDescent="0.25">
      <c r="A89" s="312" t="s">
        <v>293</v>
      </c>
      <c r="B89" s="214">
        <v>2015</v>
      </c>
      <c r="C89" s="308" t="s">
        <v>1461</v>
      </c>
      <c r="D89" s="308" t="s">
        <v>1462</v>
      </c>
      <c r="E89" s="308" t="s">
        <v>1436</v>
      </c>
      <c r="F89" s="309" t="s">
        <v>1463</v>
      </c>
      <c r="G89" s="214" t="s">
        <v>1163</v>
      </c>
    </row>
    <row r="90" spans="1:7" ht="105" x14ac:dyDescent="0.25">
      <c r="A90" s="312" t="s">
        <v>294</v>
      </c>
      <c r="B90" s="214">
        <v>2013</v>
      </c>
      <c r="C90" s="308" t="s">
        <v>1464</v>
      </c>
      <c r="D90" s="308" t="s">
        <v>1465</v>
      </c>
      <c r="E90" s="308" t="s">
        <v>1436</v>
      </c>
      <c r="F90" s="309" t="s">
        <v>1466</v>
      </c>
      <c r="G90" s="214" t="s">
        <v>1163</v>
      </c>
    </row>
    <row r="91" spans="1:7" ht="90" x14ac:dyDescent="0.25">
      <c r="A91" s="312" t="s">
        <v>1467</v>
      </c>
      <c r="B91" s="214"/>
      <c r="C91" s="308" t="s">
        <v>1468</v>
      </c>
      <c r="D91" s="308" t="s">
        <v>1387</v>
      </c>
      <c r="E91" s="308" t="s">
        <v>1436</v>
      </c>
      <c r="F91" s="309" t="s">
        <v>1469</v>
      </c>
      <c r="G91" s="214" t="s">
        <v>1163</v>
      </c>
    </row>
    <row r="92" spans="1:7" ht="60" x14ac:dyDescent="0.25">
      <c r="A92" s="312" t="s">
        <v>1470</v>
      </c>
      <c r="B92" s="214"/>
      <c r="C92" s="308" t="s">
        <v>1471</v>
      </c>
      <c r="D92" s="308" t="s">
        <v>1472</v>
      </c>
      <c r="E92" s="308" t="s">
        <v>1473</v>
      </c>
      <c r="F92" s="309" t="s">
        <v>1474</v>
      </c>
      <c r="G92" s="214" t="s">
        <v>1163</v>
      </c>
    </row>
    <row r="93" spans="1:7" ht="75" x14ac:dyDescent="0.25">
      <c r="A93" s="312" t="s">
        <v>265</v>
      </c>
      <c r="B93" s="214"/>
      <c r="C93" s="308" t="s">
        <v>1475</v>
      </c>
      <c r="D93" s="308" t="s">
        <v>1476</v>
      </c>
      <c r="E93" s="308" t="s">
        <v>1317</v>
      </c>
      <c r="F93" s="309" t="s">
        <v>1477</v>
      </c>
      <c r="G93" s="214" t="s">
        <v>1163</v>
      </c>
    </row>
    <row r="94" spans="1:7" ht="75" x14ac:dyDescent="0.25">
      <c r="A94" s="312" t="s">
        <v>1478</v>
      </c>
      <c r="B94" s="214">
        <v>2018</v>
      </c>
      <c r="C94" s="308" t="s">
        <v>1479</v>
      </c>
      <c r="D94" s="308" t="s">
        <v>1480</v>
      </c>
      <c r="E94" s="308" t="s">
        <v>1481</v>
      </c>
      <c r="F94" s="309" t="s">
        <v>1482</v>
      </c>
      <c r="G94" s="214" t="s">
        <v>1163</v>
      </c>
    </row>
    <row r="95" spans="1:7" ht="105" x14ac:dyDescent="0.25">
      <c r="A95" s="312" t="s">
        <v>1483</v>
      </c>
      <c r="B95" s="214">
        <v>2018</v>
      </c>
      <c r="C95" s="308" t="s">
        <v>1484</v>
      </c>
      <c r="D95" s="308" t="s">
        <v>1485</v>
      </c>
      <c r="E95" s="308" t="s">
        <v>1486</v>
      </c>
      <c r="F95" s="309" t="s">
        <v>1487</v>
      </c>
      <c r="G95" s="214" t="s">
        <v>1163</v>
      </c>
    </row>
  </sheetData>
  <mergeCells count="1">
    <mergeCell ref="A1:A2"/>
  </mergeCells>
  <hyperlinks>
    <hyperlink ref="F42" r:id="rId1" display="https://obamawhitehouse.archives.gov/the-press-office/2015/03/19/executive-order-planning-federal-sustainability-next-decade" xr:uid="{00000000-0004-0000-1500-000004000000}"/>
    <hyperlink ref="F21" r:id="rId2" display="https://www.usda.gov/wps/portal/usda/usdahome?contentid=2012/03/0102.xml" xr:uid="{00000000-0004-0000-1500-000012000000}"/>
    <hyperlink ref="F24" r:id="rId3" xr:uid="{00000000-0004-0000-1500-00001B000000}"/>
    <hyperlink ref="F5" r:id="rId4" xr:uid="{5C7BDE5E-A9B4-4B4C-BD92-8B7BC4D42301}"/>
    <hyperlink ref="F6" r:id="rId5" xr:uid="{263F659C-09B9-4158-9074-18169EF45725}"/>
    <hyperlink ref="F7" r:id="rId6" xr:uid="{462E3D49-1E85-46BF-9FCE-613421B3C7BC}"/>
    <hyperlink ref="F8" r:id="rId7" xr:uid="{3D5A4FD5-8D01-4583-B92F-975E1F25B7FF}"/>
    <hyperlink ref="F9" r:id="rId8" xr:uid="{586A283C-34A0-467C-B08A-080E34A851D4}"/>
    <hyperlink ref="F10" r:id="rId9" xr:uid="{2D661098-4378-4635-9C3E-F5AEA7CBD3BA}"/>
    <hyperlink ref="F11" r:id="rId10" xr:uid="{B4C83DB4-74E0-4B82-80F7-99ACF7E94E8B}"/>
    <hyperlink ref="F12" r:id="rId11" xr:uid="{EEEADBCF-E084-431F-B7F7-475B63B95153}"/>
    <hyperlink ref="F13" r:id="rId12" xr:uid="{98B96AA2-FE40-41E3-BBBF-E009EA843CFD}"/>
    <hyperlink ref="F14" r:id="rId13" xr:uid="{DBD1F2C7-3631-45E3-9F2C-0527F1C3E5A3}"/>
    <hyperlink ref="F15" r:id="rId14" xr:uid="{6B14D6C0-463F-4393-89ED-D2FEC9A969C5}"/>
    <hyperlink ref="F16" r:id="rId15" xr:uid="{96B2DD68-7A99-4B08-99B2-FC43A26D2B1E}"/>
    <hyperlink ref="F17" r:id="rId16" xr:uid="{5F5E668F-DEB0-43E1-8D7E-71D6B59CC515}"/>
    <hyperlink ref="F18" r:id="rId17" xr:uid="{3DC2806E-49BF-46AF-AAD1-CA0891CA7763}"/>
    <hyperlink ref="F19" r:id="rId18" xr:uid="{B60B4B48-976E-4159-83E6-D42CFBBE8EEA}"/>
    <hyperlink ref="F20" r:id="rId19" display="https://www.epa.gov/sites/production/files/2015-01/documents/05042010_hagy.pdf" xr:uid="{4D463583-64C7-4B23-BE02-D67E95BEFF54}"/>
    <hyperlink ref="F22" r:id="rId20" xr:uid="{4263AA38-41B3-4111-BF0E-8DAA05C79F3C}"/>
    <hyperlink ref="F23" r:id="rId21" xr:uid="{626BA540-9906-4BE6-BA1A-C2B434B66744}"/>
    <hyperlink ref="F25" r:id="rId22" xr:uid="{3F40A934-914F-4ABD-9EC2-A8391A2B9734}"/>
    <hyperlink ref="F26" r:id="rId23" xr:uid="{974DEFFE-8ABC-4D21-8BCA-0C9DD41F2E28}"/>
    <hyperlink ref="F27" r:id="rId24" display="https://www.congress.gov/bill/112th-congress/senate-bill/152" xr:uid="{4A653581-4FF5-44E8-BAC3-091BDBDAEA86}"/>
    <hyperlink ref="F28" r:id="rId25" xr:uid="{D530C83C-25CE-472B-A937-F6FB45557C8B}"/>
    <hyperlink ref="F29" r:id="rId26" xr:uid="{18714440-EB8B-4280-B2C8-FBA7F5B5C8C2}"/>
    <hyperlink ref="F30" r:id="rId27" xr:uid="{E581F672-1B5B-4335-80C8-9E206C12DF25}"/>
    <hyperlink ref="F31" r:id="rId28" location="tipa2014" xr:uid="{CAE5A996-5E68-40A2-9F0F-C00FE021F9B8}"/>
    <hyperlink ref="F32" r:id="rId29" location="conap2016" xr:uid="{668C2AF9-B5B4-4CC6-A07A-0DF4CB3BEA43}"/>
    <hyperlink ref="F34" r:id="rId30" xr:uid="{903E6611-62E6-4576-BFA0-B6BCDEE1E178}"/>
    <hyperlink ref="F33" r:id="rId31" display="http://navysustainability.dodlive.mil/energy/great-green-fleet/" xr:uid="{7ECA1683-6A2A-4415-A931-8A7DC3005244}"/>
    <hyperlink ref="F37" r:id="rId32" xr:uid="{D3D7BCF6-EC7B-4DB3-9B09-5C6F444EC2F9}"/>
    <hyperlink ref="F38" r:id="rId33" xr:uid="{6EA0D738-0F3E-45F8-8B70-F247FB40DC7D}"/>
    <hyperlink ref="F39" r:id="rId34" xr:uid="{AD22C0D3-8BC6-4EB9-9AC7-1ADCEBB7A689}"/>
    <hyperlink ref="F40" r:id="rId35" display="https://www.rd.usda.gov/programs-services/biorefinery-renewable-chemical-and-biobased-product-manufacturing-assistance" xr:uid="{1B24FB7C-EF26-4506-96D7-782B56AD9439}"/>
    <hyperlink ref="F41" r:id="rId36" xr:uid="{D987148B-8A6C-4166-BBBB-D0BE45A23E10}"/>
    <hyperlink ref="F45" r:id="rId37" xr:uid="{22B4629A-06C6-4EE9-B489-E3CDB398ED2C}"/>
    <hyperlink ref="F46" r:id="rId38" xr:uid="{5EF12CCA-B5CD-45CF-AB62-B43793955965}"/>
    <hyperlink ref="F47" r:id="rId39" xr:uid="{7FFB4E62-A9F0-4B7F-BE16-C27E03EAEEB8}"/>
    <hyperlink ref="F48" r:id="rId40" xr:uid="{FAEB9C81-EA56-4E47-A3C3-A4B976018AA3}"/>
    <hyperlink ref="F49" r:id="rId41" xr:uid="{FA873C40-FB44-4288-92C2-63B55D07C0C9}"/>
    <hyperlink ref="F50" r:id="rId42" xr:uid="{6AA65A4A-EBA2-45F6-9A32-8681C61CD2C0}"/>
    <hyperlink ref="F54" r:id="rId43" xr:uid="{BC576277-7928-46CB-A332-6C332965E4D5}"/>
    <hyperlink ref="F53" r:id="rId44" xr:uid="{B4C6B579-701D-4A81-958B-AF6444750A4C}"/>
    <hyperlink ref="F51" r:id="rId45" xr:uid="{DA274056-AE71-45D1-B684-49B30BCEBA75}"/>
    <hyperlink ref="F52" r:id="rId46" xr:uid="{19FD0F15-1280-43CA-A01C-2B7AE16E9FC3}"/>
    <hyperlink ref="F55" r:id="rId47" xr:uid="{478E0557-DE62-42FE-B2C9-739A9900598D}"/>
    <hyperlink ref="F57" r:id="rId48" xr:uid="{0AE1C299-AAC9-461D-8A36-FD27401AC80E}"/>
    <hyperlink ref="F56" r:id="rId49" xr:uid="{D41E92B2-09C3-4816-A3AF-432A5DB1207E}"/>
    <hyperlink ref="F58" r:id="rId50" xr:uid="{07BD1A60-610D-4285-AC28-CA8E17A7D436}"/>
    <hyperlink ref="F59" r:id="rId51" xr:uid="{5C2CD7B0-7E07-4802-BED3-FF597E956CE7}"/>
    <hyperlink ref="F60" r:id="rId52" xr:uid="{73FA778D-0F42-4186-8D44-B284E16952BE}"/>
    <hyperlink ref="F61" r:id="rId53" xr:uid="{23806CE2-678C-4664-9EC6-695B7FE4D9C2}"/>
    <hyperlink ref="F63" r:id="rId54" xr:uid="{44E34CC8-0CFC-4750-B11E-EDC17762F0CF}"/>
    <hyperlink ref="F64" r:id="rId55" xr:uid="{CCEF071C-C3E8-4CBD-A114-CB505938F856}"/>
    <hyperlink ref="F62" r:id="rId56" xr:uid="{BD3F3FD9-2A32-4997-B6AC-221A4A9E0763}"/>
    <hyperlink ref="F65" r:id="rId57" xr:uid="{09E6966B-B9BA-400F-9A14-3B5F535A0803}"/>
    <hyperlink ref="F66" r:id="rId58" xr:uid="{0B4C29D2-183A-400D-B88A-AED1ABBF9D84}"/>
    <hyperlink ref="F67" r:id="rId59" xr:uid="{840090A0-D942-4A06-9F0A-77D90E2EE7E7}"/>
    <hyperlink ref="F68" r:id="rId60" xr:uid="{5F47EF0B-F15F-4FFF-B44B-3DEB024B0D77}"/>
    <hyperlink ref="F69" r:id="rId61" xr:uid="{8FA3DAA1-F732-4844-830B-A02FE0C29AD1}"/>
    <hyperlink ref="F71" r:id="rId62" xr:uid="{01B3C231-2854-41AF-9125-0063A21E8129}"/>
    <hyperlink ref="F70" r:id="rId63" xr:uid="{BDE43563-452B-4F7D-B701-1AEC3C1A3FED}"/>
    <hyperlink ref="F72" r:id="rId64" xr:uid="{86EB8F2F-E70A-43A3-ADC2-C6FCE1235207}"/>
    <hyperlink ref="F73" r:id="rId65" xr:uid="{7D57C2F7-EF3D-48B9-80F3-C275581B061B}"/>
    <hyperlink ref="F74" r:id="rId66" xr:uid="{E82926F0-6E20-4A72-A9C8-4A1E4D2FBB8D}"/>
    <hyperlink ref="F75" r:id="rId67" xr:uid="{95DA0710-A05B-443B-8C7B-F6A60FAB1D74}"/>
    <hyperlink ref="F76" r:id="rId68" xr:uid="{F83BAA63-7497-4FA0-880C-6CEA7E42CBF9}"/>
    <hyperlink ref="F77" r:id="rId69" xr:uid="{7F862821-FE41-4991-8D79-16E072DA2DED}"/>
    <hyperlink ref="F79" r:id="rId70" xr:uid="{E00BE671-A1CD-428B-9D7C-372E1EB722E0}"/>
    <hyperlink ref="F78" r:id="rId71" xr:uid="{500AA11D-5BC4-4FDE-895D-9D59AF5F12DE}"/>
    <hyperlink ref="F80" r:id="rId72" xr:uid="{771C8D9C-F0A4-4C8F-A5AB-DB05C450A2F2}"/>
    <hyperlink ref="F81" r:id="rId73" xr:uid="{E486E101-75F3-441B-AF88-ED2B2036C422}"/>
    <hyperlink ref="F89" r:id="rId74" xr:uid="{CAF0D52E-CD96-4DD9-A68B-58F68A98DBB3}"/>
    <hyperlink ref="F88" r:id="rId75" xr:uid="{D7E6352B-B3C0-41AC-9A80-CBE5EF01738B}"/>
    <hyperlink ref="F87" r:id="rId76" xr:uid="{CDD1F732-CD0E-4B98-928E-568F744F23D2}"/>
    <hyperlink ref="F86" r:id="rId77" xr:uid="{A3E709E0-5224-4BE8-A786-9E8C631F9834}"/>
    <hyperlink ref="F90" r:id="rId78" xr:uid="{40A9C46B-7EFB-4699-873D-D31DB85389F9}"/>
    <hyperlink ref="F91" r:id="rId79" xr:uid="{D69F208B-719D-4E34-953E-E8473F863C43}"/>
    <hyperlink ref="F84" r:id="rId80" xr:uid="{E7758766-A3C3-4C36-A4E1-3503D3CD7CD8}"/>
    <hyperlink ref="F85" r:id="rId81" xr:uid="{D1BF86B3-A2B8-4956-8E1C-56FB2C07E278}"/>
    <hyperlink ref="F93" r:id="rId82" xr:uid="{9F09B94D-43AF-4AFA-A50B-98D5C9B42B06}"/>
    <hyperlink ref="F94" r:id="rId83" xr:uid="{23BDDA92-8746-4DF5-A051-1E80F09378A6}"/>
    <hyperlink ref="F95" r:id="rId84" xr:uid="{84D8454D-E035-4B08-BBA7-9917A83CE3C3}"/>
    <hyperlink ref="F92" r:id="rId85" xr:uid="{4BA8B2A2-FF8D-440C-9359-CC68A59A2B5B}"/>
    <hyperlink ref="F82" r:id="rId86" xr:uid="{BCDA49A6-E462-4B3A-97DB-A3C5E481695A}"/>
    <hyperlink ref="F83" r:id="rId87" xr:uid="{D358389B-0A98-4C68-83AC-D0C44FC2B353}"/>
  </hyperlinks>
  <pageMargins left="0.7" right="0.7" top="0.75" bottom="0.75" header="0.3" footer="0.3"/>
  <pageSetup orientation="portrait" r:id="rId8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BY444"/>
  <sheetViews>
    <sheetView zoomScale="85" zoomScaleNormal="85" workbookViewId="0">
      <selection sqref="A1:A2"/>
    </sheetView>
  </sheetViews>
  <sheetFormatPr defaultColWidth="8.85546875" defaultRowHeight="15" x14ac:dyDescent="0.25"/>
  <cols>
    <col min="1" max="1" width="16" style="5" bestFit="1" customWidth="1"/>
    <col min="2" max="2" width="26.5703125" style="5" bestFit="1" customWidth="1"/>
    <col min="3" max="3" width="160.140625" style="5" customWidth="1"/>
    <col min="4" max="4" width="49.140625" style="31" customWidth="1"/>
    <col min="5" max="5" width="41.42578125" bestFit="1" customWidth="1"/>
    <col min="6" max="6" width="18.5703125" bestFit="1" customWidth="1"/>
    <col min="7" max="7" width="22.140625" customWidth="1"/>
    <col min="8" max="8" width="21.28515625" customWidth="1"/>
  </cols>
  <sheetData>
    <row r="1" spans="1:8" ht="18.75" x14ac:dyDescent="0.25">
      <c r="A1" s="394" t="s">
        <v>295</v>
      </c>
      <c r="B1" s="183"/>
      <c r="C1" s="76"/>
      <c r="D1" s="183"/>
      <c r="E1" s="76"/>
      <c r="F1" s="183"/>
      <c r="H1" s="183"/>
    </row>
    <row r="2" spans="1:8" ht="18.75" x14ac:dyDescent="0.25">
      <c r="A2" s="394"/>
      <c r="B2" s="183"/>
      <c r="C2" s="76"/>
      <c r="D2" s="183"/>
      <c r="E2" s="76"/>
      <c r="F2" s="183"/>
      <c r="H2" s="183"/>
    </row>
    <row r="3" spans="1:8" ht="18.75" x14ac:dyDescent="0.25">
      <c r="A3" s="184" t="s">
        <v>2838</v>
      </c>
      <c r="B3" s="120"/>
      <c r="C3" s="120"/>
      <c r="D3" s="347"/>
      <c r="E3" s="120"/>
      <c r="F3" s="185"/>
      <c r="G3" s="5"/>
      <c r="H3" s="183"/>
    </row>
    <row r="4" spans="1:8" ht="18.75" x14ac:dyDescent="0.25">
      <c r="A4" s="33" t="s">
        <v>295</v>
      </c>
      <c r="B4" s="7" t="s">
        <v>306</v>
      </c>
      <c r="C4" s="7" t="s">
        <v>307</v>
      </c>
      <c r="D4" s="29" t="s">
        <v>766</v>
      </c>
      <c r="E4" s="35" t="s">
        <v>765</v>
      </c>
      <c r="F4" s="29" t="s">
        <v>58</v>
      </c>
      <c r="G4" s="32"/>
      <c r="H4" s="183"/>
    </row>
    <row r="5" spans="1:8" s="336" customFormat="1" ht="75" x14ac:dyDescent="0.25">
      <c r="A5" s="203" t="s">
        <v>576</v>
      </c>
      <c r="B5" s="332" t="s">
        <v>577</v>
      </c>
      <c r="C5" s="333" t="s">
        <v>1512</v>
      </c>
      <c r="D5" s="348" t="s">
        <v>1514</v>
      </c>
      <c r="E5" s="334" t="s">
        <v>1513</v>
      </c>
      <c r="F5" s="335" t="s">
        <v>1163</v>
      </c>
    </row>
    <row r="6" spans="1:8" s="336" customFormat="1" ht="60" x14ac:dyDescent="0.25">
      <c r="A6" s="203" t="s">
        <v>576</v>
      </c>
      <c r="B6" s="332" t="s">
        <v>579</v>
      </c>
      <c r="C6" s="333" t="s">
        <v>1515</v>
      </c>
      <c r="D6" s="348" t="s">
        <v>1517</v>
      </c>
      <c r="E6" s="334" t="s">
        <v>1516</v>
      </c>
      <c r="F6" s="335" t="s">
        <v>1163</v>
      </c>
    </row>
    <row r="7" spans="1:8" s="336" customFormat="1" ht="105" x14ac:dyDescent="0.25">
      <c r="A7" s="203" t="s">
        <v>576</v>
      </c>
      <c r="B7" s="332" t="s">
        <v>578</v>
      </c>
      <c r="C7" s="333" t="s">
        <v>1518</v>
      </c>
      <c r="D7" s="348" t="s">
        <v>1520</v>
      </c>
      <c r="E7" s="334" t="s">
        <v>1519</v>
      </c>
      <c r="F7" s="335" t="s">
        <v>1163</v>
      </c>
    </row>
    <row r="8" spans="1:8" s="336" customFormat="1" ht="60" x14ac:dyDescent="0.25">
      <c r="A8" s="203" t="s">
        <v>576</v>
      </c>
      <c r="B8" s="332" t="s">
        <v>580</v>
      </c>
      <c r="C8" s="333" t="s">
        <v>1521</v>
      </c>
      <c r="D8" s="348" t="s">
        <v>1523</v>
      </c>
      <c r="E8" s="334" t="s">
        <v>1522</v>
      </c>
      <c r="F8" s="335" t="s">
        <v>1163</v>
      </c>
    </row>
    <row r="9" spans="1:8" s="336" customFormat="1" ht="135" x14ac:dyDescent="0.25">
      <c r="A9" s="203" t="s">
        <v>576</v>
      </c>
      <c r="B9" s="332" t="s">
        <v>581</v>
      </c>
      <c r="C9" s="333" t="s">
        <v>1524</v>
      </c>
      <c r="D9" s="348" t="s">
        <v>1526</v>
      </c>
      <c r="E9" s="334" t="s">
        <v>1525</v>
      </c>
      <c r="F9" s="335" t="s">
        <v>1163</v>
      </c>
    </row>
    <row r="10" spans="1:8" s="336" customFormat="1" ht="45" x14ac:dyDescent="0.25">
      <c r="A10" s="332" t="s">
        <v>693</v>
      </c>
      <c r="B10" s="332" t="s">
        <v>1527</v>
      </c>
      <c r="C10" s="337" t="s">
        <v>694</v>
      </c>
      <c r="D10" s="348" t="s">
        <v>1529</v>
      </c>
      <c r="E10" s="334" t="s">
        <v>1528</v>
      </c>
      <c r="F10" s="335" t="s">
        <v>1163</v>
      </c>
    </row>
    <row r="11" spans="1:8" s="336" customFormat="1" ht="45" x14ac:dyDescent="0.25">
      <c r="A11" s="332" t="s">
        <v>693</v>
      </c>
      <c r="B11" s="332" t="s">
        <v>695</v>
      </c>
      <c r="C11" s="337" t="s">
        <v>1530</v>
      </c>
      <c r="D11" s="348" t="s">
        <v>1532</v>
      </c>
      <c r="E11" s="334" t="s">
        <v>1531</v>
      </c>
      <c r="F11" s="335" t="s">
        <v>1163</v>
      </c>
    </row>
    <row r="12" spans="1:8" s="336" customFormat="1" ht="60" x14ac:dyDescent="0.25">
      <c r="A12" s="203" t="s">
        <v>364</v>
      </c>
      <c r="B12" s="206" t="s">
        <v>368</v>
      </c>
      <c r="C12" s="338" t="s">
        <v>1533</v>
      </c>
      <c r="D12" s="348" t="s">
        <v>1535</v>
      </c>
      <c r="E12" s="334" t="s">
        <v>1534</v>
      </c>
      <c r="F12" s="335" t="s">
        <v>1163</v>
      </c>
    </row>
    <row r="13" spans="1:8" s="336" customFormat="1" ht="90" x14ac:dyDescent="0.25">
      <c r="A13" s="203" t="s">
        <v>364</v>
      </c>
      <c r="B13" s="206" t="s">
        <v>1536</v>
      </c>
      <c r="C13" s="338" t="s">
        <v>1537</v>
      </c>
      <c r="D13" s="348" t="s">
        <v>1539</v>
      </c>
      <c r="E13" s="334" t="s">
        <v>1538</v>
      </c>
      <c r="F13" s="335" t="s">
        <v>1163</v>
      </c>
    </row>
    <row r="14" spans="1:8" s="336" customFormat="1" ht="75" x14ac:dyDescent="0.25">
      <c r="A14" s="203" t="s">
        <v>364</v>
      </c>
      <c r="B14" s="206" t="s">
        <v>366</v>
      </c>
      <c r="C14" s="338" t="s">
        <v>1540</v>
      </c>
      <c r="D14" s="348" t="s">
        <v>1542</v>
      </c>
      <c r="E14" s="334" t="s">
        <v>1541</v>
      </c>
      <c r="F14" s="335" t="s">
        <v>1163</v>
      </c>
    </row>
    <row r="15" spans="1:8" s="336" customFormat="1" ht="45" x14ac:dyDescent="0.25">
      <c r="A15" s="203" t="s">
        <v>364</v>
      </c>
      <c r="B15" s="206" t="s">
        <v>365</v>
      </c>
      <c r="C15" s="338" t="s">
        <v>1543</v>
      </c>
      <c r="D15" s="348" t="s">
        <v>1545</v>
      </c>
      <c r="E15" s="334" t="s">
        <v>1544</v>
      </c>
      <c r="F15" s="335" t="s">
        <v>1163</v>
      </c>
    </row>
    <row r="16" spans="1:8" s="336" customFormat="1" ht="60" x14ac:dyDescent="0.25">
      <c r="A16" s="203" t="s">
        <v>364</v>
      </c>
      <c r="B16" s="206" t="s">
        <v>367</v>
      </c>
      <c r="C16" s="338" t="s">
        <v>1546</v>
      </c>
      <c r="D16" s="348" t="s">
        <v>1548</v>
      </c>
      <c r="E16" s="334" t="s">
        <v>1547</v>
      </c>
      <c r="F16" s="335" t="s">
        <v>1163</v>
      </c>
    </row>
    <row r="17" spans="1:6" s="336" customFormat="1" ht="60" x14ac:dyDescent="0.25">
      <c r="A17" s="203" t="s">
        <v>364</v>
      </c>
      <c r="B17" s="206" t="s">
        <v>369</v>
      </c>
      <c r="C17" s="338" t="s">
        <v>370</v>
      </c>
      <c r="D17" s="348" t="s">
        <v>1548</v>
      </c>
      <c r="E17" s="334" t="s">
        <v>1547</v>
      </c>
      <c r="F17" s="335" t="s">
        <v>1163</v>
      </c>
    </row>
    <row r="18" spans="1:6" s="336" customFormat="1" ht="120" x14ac:dyDescent="0.25">
      <c r="A18" s="203" t="s">
        <v>484</v>
      </c>
      <c r="B18" s="332" t="s">
        <v>485</v>
      </c>
      <c r="C18" s="333" t="s">
        <v>1549</v>
      </c>
      <c r="D18" s="348" t="s">
        <v>1551</v>
      </c>
      <c r="E18" s="334" t="s">
        <v>1550</v>
      </c>
      <c r="F18" s="335" t="s">
        <v>1163</v>
      </c>
    </row>
    <row r="19" spans="1:6" s="336" customFormat="1" ht="90" x14ac:dyDescent="0.25">
      <c r="A19" s="203" t="s">
        <v>484</v>
      </c>
      <c r="B19" s="339" t="s">
        <v>486</v>
      </c>
      <c r="C19" s="333" t="s">
        <v>1552</v>
      </c>
      <c r="D19" s="348" t="s">
        <v>1553</v>
      </c>
      <c r="E19" s="334" t="s">
        <v>1550</v>
      </c>
      <c r="F19" s="335" t="s">
        <v>1163</v>
      </c>
    </row>
    <row r="20" spans="1:6" s="336" customFormat="1" ht="90" x14ac:dyDescent="0.25">
      <c r="A20" s="203" t="s">
        <v>484</v>
      </c>
      <c r="B20" s="339" t="s">
        <v>487</v>
      </c>
      <c r="C20" s="333" t="s">
        <v>1554</v>
      </c>
      <c r="D20" s="348" t="s">
        <v>1553</v>
      </c>
      <c r="E20" s="334" t="s">
        <v>1550</v>
      </c>
      <c r="F20" s="335" t="s">
        <v>1163</v>
      </c>
    </row>
    <row r="21" spans="1:6" s="336" customFormat="1" ht="45" x14ac:dyDescent="0.25">
      <c r="A21" s="203" t="s">
        <v>484</v>
      </c>
      <c r="B21" s="339" t="s">
        <v>1555</v>
      </c>
      <c r="C21" s="333" t="s">
        <v>1556</v>
      </c>
      <c r="D21" s="348" t="s">
        <v>1558</v>
      </c>
      <c r="E21" s="334" t="s">
        <v>1557</v>
      </c>
      <c r="F21" s="335" t="s">
        <v>1163</v>
      </c>
    </row>
    <row r="22" spans="1:6" s="336" customFormat="1" ht="60" x14ac:dyDescent="0.25">
      <c r="A22" s="203" t="s">
        <v>484</v>
      </c>
      <c r="B22" s="339" t="s">
        <v>1559</v>
      </c>
      <c r="C22" s="333" t="s">
        <v>1560</v>
      </c>
      <c r="D22" s="348" t="s">
        <v>1562</v>
      </c>
      <c r="E22" s="334" t="s">
        <v>1561</v>
      </c>
      <c r="F22" s="335" t="s">
        <v>1163</v>
      </c>
    </row>
    <row r="23" spans="1:6" s="336" customFormat="1" ht="45" x14ac:dyDescent="0.25">
      <c r="A23" s="206" t="s">
        <v>308</v>
      </c>
      <c r="B23" s="206" t="s">
        <v>1563</v>
      </c>
      <c r="C23" s="338" t="s">
        <v>1564</v>
      </c>
      <c r="D23" s="348" t="s">
        <v>1566</v>
      </c>
      <c r="E23" s="295" t="s">
        <v>1565</v>
      </c>
      <c r="F23" s="335" t="s">
        <v>1163</v>
      </c>
    </row>
    <row r="24" spans="1:6" s="336" customFormat="1" ht="30" x14ac:dyDescent="0.25">
      <c r="A24" s="203" t="s">
        <v>308</v>
      </c>
      <c r="B24" s="206" t="s">
        <v>319</v>
      </c>
      <c r="C24" s="341" t="s">
        <v>1567</v>
      </c>
      <c r="D24" s="348" t="s">
        <v>1569</v>
      </c>
      <c r="E24" s="334" t="s">
        <v>1568</v>
      </c>
      <c r="F24" s="335" t="s">
        <v>1163</v>
      </c>
    </row>
    <row r="25" spans="1:6" s="336" customFormat="1" ht="90" x14ac:dyDescent="0.25">
      <c r="A25" s="203" t="s">
        <v>308</v>
      </c>
      <c r="B25" s="206" t="s">
        <v>314</v>
      </c>
      <c r="C25" s="338" t="s">
        <v>1570</v>
      </c>
      <c r="D25" s="348" t="s">
        <v>1572</v>
      </c>
      <c r="E25" s="334" t="s">
        <v>1571</v>
      </c>
      <c r="F25" s="335" t="s">
        <v>1163</v>
      </c>
    </row>
    <row r="26" spans="1:6" s="336" customFormat="1" ht="300" x14ac:dyDescent="0.25">
      <c r="A26" s="203" t="s">
        <v>308</v>
      </c>
      <c r="B26" s="206" t="s">
        <v>324</v>
      </c>
      <c r="C26" s="341" t="s">
        <v>1573</v>
      </c>
      <c r="D26" s="348" t="s">
        <v>1575</v>
      </c>
      <c r="E26" s="334" t="s">
        <v>1574</v>
      </c>
      <c r="F26" s="335" t="s">
        <v>1163</v>
      </c>
    </row>
    <row r="27" spans="1:6" s="336" customFormat="1" ht="30" x14ac:dyDescent="0.25">
      <c r="A27" s="203" t="s">
        <v>308</v>
      </c>
      <c r="B27" s="206" t="s">
        <v>320</v>
      </c>
      <c r="C27" s="341" t="s">
        <v>321</v>
      </c>
      <c r="D27" s="348" t="s">
        <v>1577</v>
      </c>
      <c r="E27" s="334" t="s">
        <v>1576</v>
      </c>
      <c r="F27" s="335" t="s">
        <v>1163</v>
      </c>
    </row>
    <row r="28" spans="1:6" s="336" customFormat="1" ht="45" x14ac:dyDescent="0.25">
      <c r="A28" s="203" t="s">
        <v>308</v>
      </c>
      <c r="B28" s="206" t="s">
        <v>316</v>
      </c>
      <c r="C28" s="338" t="s">
        <v>1578</v>
      </c>
      <c r="D28" s="348" t="s">
        <v>1580</v>
      </c>
      <c r="E28" s="334" t="s">
        <v>1579</v>
      </c>
      <c r="F28" s="335" t="s">
        <v>1163</v>
      </c>
    </row>
    <row r="29" spans="1:6" s="336" customFormat="1" ht="45" x14ac:dyDescent="0.25">
      <c r="A29" s="203" t="s">
        <v>308</v>
      </c>
      <c r="B29" s="206" t="s">
        <v>317</v>
      </c>
      <c r="C29" s="341" t="s">
        <v>1581</v>
      </c>
      <c r="D29" s="348" t="s">
        <v>1583</v>
      </c>
      <c r="E29" s="334" t="s">
        <v>1582</v>
      </c>
      <c r="F29" s="335" t="s">
        <v>1163</v>
      </c>
    </row>
    <row r="30" spans="1:6" s="336" customFormat="1" ht="60" x14ac:dyDescent="0.25">
      <c r="A30" s="203" t="s">
        <v>308</v>
      </c>
      <c r="B30" s="206" t="s">
        <v>318</v>
      </c>
      <c r="C30" s="341" t="s">
        <v>1584</v>
      </c>
      <c r="D30" s="348" t="s">
        <v>1586</v>
      </c>
      <c r="E30" s="334" t="s">
        <v>1585</v>
      </c>
      <c r="F30" s="335" t="s">
        <v>1163</v>
      </c>
    </row>
    <row r="31" spans="1:6" s="336" customFormat="1" ht="45" x14ac:dyDescent="0.25">
      <c r="A31" s="203" t="s">
        <v>308</v>
      </c>
      <c r="B31" s="206" t="s">
        <v>329</v>
      </c>
      <c r="C31" s="341" t="s">
        <v>330</v>
      </c>
      <c r="D31" s="348" t="s">
        <v>1588</v>
      </c>
      <c r="E31" s="334" t="s">
        <v>1587</v>
      </c>
      <c r="F31" s="335" t="s">
        <v>1163</v>
      </c>
    </row>
    <row r="32" spans="1:6" s="336" customFormat="1" ht="75" x14ac:dyDescent="0.25">
      <c r="A32" s="203" t="s">
        <v>308</v>
      </c>
      <c r="B32" s="206" t="s">
        <v>1589</v>
      </c>
      <c r="C32" s="341" t="s">
        <v>1590</v>
      </c>
      <c r="D32" s="348" t="s">
        <v>1592</v>
      </c>
      <c r="E32" s="334" t="s">
        <v>1591</v>
      </c>
      <c r="F32" s="335" t="s">
        <v>1163</v>
      </c>
    </row>
    <row r="33" spans="1:6" s="336" customFormat="1" ht="75" x14ac:dyDescent="0.25">
      <c r="A33" s="203" t="s">
        <v>308</v>
      </c>
      <c r="B33" s="206" t="s">
        <v>325</v>
      </c>
      <c r="C33" s="341" t="s">
        <v>1593</v>
      </c>
      <c r="D33" s="348" t="s">
        <v>1595</v>
      </c>
      <c r="E33" s="334" t="s">
        <v>1594</v>
      </c>
      <c r="F33" s="335" t="s">
        <v>1163</v>
      </c>
    </row>
    <row r="34" spans="1:6" s="336" customFormat="1" ht="90" x14ac:dyDescent="0.25">
      <c r="A34" s="203" t="s">
        <v>308</v>
      </c>
      <c r="B34" s="206" t="s">
        <v>313</v>
      </c>
      <c r="C34" s="338" t="s">
        <v>1596</v>
      </c>
      <c r="D34" s="348" t="s">
        <v>1598</v>
      </c>
      <c r="E34" s="334" t="s">
        <v>1597</v>
      </c>
      <c r="F34" s="335" t="s">
        <v>1163</v>
      </c>
    </row>
    <row r="35" spans="1:6" s="336" customFormat="1" ht="60" x14ac:dyDescent="0.25">
      <c r="A35" s="203" t="s">
        <v>308</v>
      </c>
      <c r="B35" s="206" t="s">
        <v>328</v>
      </c>
      <c r="C35" s="341" t="s">
        <v>1599</v>
      </c>
      <c r="D35" s="348" t="s">
        <v>1601</v>
      </c>
      <c r="E35" s="334" t="s">
        <v>1600</v>
      </c>
      <c r="F35" s="335" t="s">
        <v>1163</v>
      </c>
    </row>
    <row r="36" spans="1:6" s="336" customFormat="1" ht="90" x14ac:dyDescent="0.25">
      <c r="A36" s="203" t="s">
        <v>308</v>
      </c>
      <c r="B36" s="206" t="s">
        <v>310</v>
      </c>
      <c r="C36" s="338" t="s">
        <v>1602</v>
      </c>
      <c r="D36" s="348" t="s">
        <v>1604</v>
      </c>
      <c r="E36" s="334" t="s">
        <v>1603</v>
      </c>
      <c r="F36" s="335" t="s">
        <v>1163</v>
      </c>
    </row>
    <row r="37" spans="1:6" s="336" customFormat="1" ht="150" x14ac:dyDescent="0.25">
      <c r="A37" s="203" t="s">
        <v>308</v>
      </c>
      <c r="B37" s="206" t="s">
        <v>326</v>
      </c>
      <c r="C37" s="341" t="s">
        <v>1605</v>
      </c>
      <c r="D37" s="348" t="s">
        <v>1607</v>
      </c>
      <c r="E37" s="334" t="s">
        <v>1606</v>
      </c>
      <c r="F37" s="335" t="s">
        <v>1163</v>
      </c>
    </row>
    <row r="38" spans="1:6" s="336" customFormat="1" ht="120" x14ac:dyDescent="0.25">
      <c r="A38" s="203" t="s">
        <v>308</v>
      </c>
      <c r="B38" s="206" t="s">
        <v>1608</v>
      </c>
      <c r="C38" s="341" t="s">
        <v>1609</v>
      </c>
      <c r="D38" s="348" t="s">
        <v>1611</v>
      </c>
      <c r="E38" s="334" t="s">
        <v>1610</v>
      </c>
      <c r="F38" s="335" t="s">
        <v>1163</v>
      </c>
    </row>
    <row r="39" spans="1:6" s="336" customFormat="1" ht="120" x14ac:dyDescent="0.25">
      <c r="A39" s="203" t="s">
        <v>308</v>
      </c>
      <c r="B39" s="206" t="s">
        <v>322</v>
      </c>
      <c r="C39" s="341" t="s">
        <v>1612</v>
      </c>
      <c r="D39" s="348" t="s">
        <v>1614</v>
      </c>
      <c r="E39" s="334" t="s">
        <v>1613</v>
      </c>
      <c r="F39" s="335" t="s">
        <v>1163</v>
      </c>
    </row>
    <row r="40" spans="1:6" s="336" customFormat="1" ht="60" x14ac:dyDescent="0.25">
      <c r="A40" s="203" t="s">
        <v>308</v>
      </c>
      <c r="B40" s="206" t="s">
        <v>331</v>
      </c>
      <c r="C40" s="341" t="s">
        <v>1615</v>
      </c>
      <c r="D40" s="348" t="s">
        <v>1617</v>
      </c>
      <c r="E40" s="334" t="s">
        <v>1616</v>
      </c>
      <c r="F40" s="335" t="s">
        <v>1163</v>
      </c>
    </row>
    <row r="41" spans="1:6" s="336" customFormat="1" ht="75" x14ac:dyDescent="0.25">
      <c r="A41" s="203" t="s">
        <v>308</v>
      </c>
      <c r="B41" s="206" t="s">
        <v>323</v>
      </c>
      <c r="C41" s="341" t="s">
        <v>1618</v>
      </c>
      <c r="D41" s="348" t="s">
        <v>1620</v>
      </c>
      <c r="E41" s="334" t="s">
        <v>1619</v>
      </c>
      <c r="F41" s="335" t="s">
        <v>1163</v>
      </c>
    </row>
    <row r="42" spans="1:6" s="336" customFormat="1" ht="60" x14ac:dyDescent="0.25">
      <c r="A42" s="203" t="s">
        <v>308</v>
      </c>
      <c r="B42" s="206" t="s">
        <v>315</v>
      </c>
      <c r="C42" s="338" t="s">
        <v>1621</v>
      </c>
      <c r="D42" s="348" t="s">
        <v>1623</v>
      </c>
      <c r="E42" s="334" t="s">
        <v>1622</v>
      </c>
      <c r="F42" s="335" t="s">
        <v>1163</v>
      </c>
    </row>
    <row r="43" spans="1:6" s="336" customFormat="1" ht="90" x14ac:dyDescent="0.25">
      <c r="A43" s="203" t="s">
        <v>308</v>
      </c>
      <c r="B43" s="206" t="s">
        <v>309</v>
      </c>
      <c r="C43" s="338" t="s">
        <v>1624</v>
      </c>
      <c r="D43" s="348" t="s">
        <v>1626</v>
      </c>
      <c r="E43" s="334" t="s">
        <v>1625</v>
      </c>
      <c r="F43" s="335" t="s">
        <v>1163</v>
      </c>
    </row>
    <row r="44" spans="1:6" s="336" customFormat="1" ht="60" x14ac:dyDescent="0.25">
      <c r="A44" s="203" t="s">
        <v>308</v>
      </c>
      <c r="B44" s="206" t="s">
        <v>311</v>
      </c>
      <c r="C44" s="338" t="s">
        <v>1627</v>
      </c>
      <c r="D44" s="348" t="s">
        <v>1629</v>
      </c>
      <c r="E44" s="334" t="s">
        <v>1628</v>
      </c>
      <c r="F44" s="335" t="s">
        <v>1163</v>
      </c>
    </row>
    <row r="45" spans="1:6" s="336" customFormat="1" ht="30" x14ac:dyDescent="0.25">
      <c r="A45" s="203" t="s">
        <v>308</v>
      </c>
      <c r="B45" s="206" t="s">
        <v>1630</v>
      </c>
      <c r="C45" s="341" t="s">
        <v>327</v>
      </c>
      <c r="D45" s="348" t="s">
        <v>1632</v>
      </c>
      <c r="E45" s="334" t="s">
        <v>1631</v>
      </c>
      <c r="F45" s="335" t="s">
        <v>1163</v>
      </c>
    </row>
    <row r="46" spans="1:6" s="336" customFormat="1" ht="45" x14ac:dyDescent="0.25">
      <c r="A46" s="203" t="s">
        <v>308</v>
      </c>
      <c r="B46" s="206" t="s">
        <v>312</v>
      </c>
      <c r="C46" s="338" t="s">
        <v>1633</v>
      </c>
      <c r="D46" s="348" t="s">
        <v>1635</v>
      </c>
      <c r="E46" s="334" t="s">
        <v>1634</v>
      </c>
      <c r="F46" s="335" t="s">
        <v>1163</v>
      </c>
    </row>
    <row r="47" spans="1:6" s="336" customFormat="1" ht="30" x14ac:dyDescent="0.25">
      <c r="A47" s="203" t="s">
        <v>395</v>
      </c>
      <c r="B47" s="206" t="s">
        <v>400</v>
      </c>
      <c r="C47" s="338" t="s">
        <v>1636</v>
      </c>
      <c r="D47" s="348" t="s">
        <v>1638</v>
      </c>
      <c r="E47" s="334" t="s">
        <v>1637</v>
      </c>
      <c r="F47" s="335" t="s">
        <v>1163</v>
      </c>
    </row>
    <row r="48" spans="1:6" s="336" customFormat="1" ht="150" x14ac:dyDescent="0.25">
      <c r="A48" s="203" t="s">
        <v>395</v>
      </c>
      <c r="B48" s="206" t="s">
        <v>403</v>
      </c>
      <c r="C48" s="338" t="s">
        <v>1639</v>
      </c>
      <c r="D48" s="348" t="s">
        <v>1641</v>
      </c>
      <c r="E48" s="334" t="s">
        <v>1640</v>
      </c>
      <c r="F48" s="335" t="s">
        <v>1163</v>
      </c>
    </row>
    <row r="49" spans="1:6" s="336" customFormat="1" ht="45" x14ac:dyDescent="0.25">
      <c r="A49" s="203" t="s">
        <v>395</v>
      </c>
      <c r="B49" s="206" t="s">
        <v>404</v>
      </c>
      <c r="C49" s="338" t="s">
        <v>405</v>
      </c>
      <c r="D49" s="348" t="s">
        <v>1642</v>
      </c>
      <c r="E49" s="334" t="s">
        <v>1640</v>
      </c>
      <c r="F49" s="335" t="s">
        <v>1163</v>
      </c>
    </row>
    <row r="50" spans="1:6" s="336" customFormat="1" ht="45" x14ac:dyDescent="0.25">
      <c r="A50" s="203" t="s">
        <v>395</v>
      </c>
      <c r="B50" s="206" t="s">
        <v>406</v>
      </c>
      <c r="C50" s="338" t="s">
        <v>1643</v>
      </c>
      <c r="D50" s="348" t="s">
        <v>1642</v>
      </c>
      <c r="E50" s="334" t="s">
        <v>1640</v>
      </c>
      <c r="F50" s="335" t="s">
        <v>1163</v>
      </c>
    </row>
    <row r="51" spans="1:6" s="336" customFormat="1" ht="60" x14ac:dyDescent="0.25">
      <c r="A51" s="203" t="s">
        <v>395</v>
      </c>
      <c r="B51" s="206" t="s">
        <v>273</v>
      </c>
      <c r="C51" s="338" t="s">
        <v>1644</v>
      </c>
      <c r="D51" s="348" t="s">
        <v>1642</v>
      </c>
      <c r="E51" s="334" t="s">
        <v>1640</v>
      </c>
      <c r="F51" s="335" t="s">
        <v>1163</v>
      </c>
    </row>
    <row r="52" spans="1:6" s="336" customFormat="1" ht="45" x14ac:dyDescent="0.25">
      <c r="A52" s="203" t="s">
        <v>395</v>
      </c>
      <c r="B52" s="206" t="s">
        <v>396</v>
      </c>
      <c r="C52" s="338" t="s">
        <v>1645</v>
      </c>
      <c r="D52" s="348" t="s">
        <v>1647</v>
      </c>
      <c r="E52" s="334" t="s">
        <v>1646</v>
      </c>
      <c r="F52" s="335" t="s">
        <v>1163</v>
      </c>
    </row>
    <row r="53" spans="1:6" s="336" customFormat="1" ht="45" x14ac:dyDescent="0.25">
      <c r="A53" s="203" t="s">
        <v>395</v>
      </c>
      <c r="B53" s="206" t="s">
        <v>399</v>
      </c>
      <c r="C53" s="338" t="s">
        <v>1648</v>
      </c>
      <c r="D53" s="348" t="s">
        <v>1650</v>
      </c>
      <c r="E53" s="334" t="s">
        <v>1649</v>
      </c>
      <c r="F53" s="335" t="s">
        <v>1163</v>
      </c>
    </row>
    <row r="54" spans="1:6" s="336" customFormat="1" ht="45" x14ac:dyDescent="0.25">
      <c r="A54" s="203" t="s">
        <v>395</v>
      </c>
      <c r="B54" s="206" t="s">
        <v>1651</v>
      </c>
      <c r="C54" s="338" t="s">
        <v>1652</v>
      </c>
      <c r="D54" s="348" t="s">
        <v>1654</v>
      </c>
      <c r="E54" s="334" t="s">
        <v>1653</v>
      </c>
      <c r="F54" s="335" t="s">
        <v>1163</v>
      </c>
    </row>
    <row r="55" spans="1:6" s="336" customFormat="1" ht="75" x14ac:dyDescent="0.25">
      <c r="A55" s="203" t="s">
        <v>395</v>
      </c>
      <c r="B55" s="206" t="s">
        <v>397</v>
      </c>
      <c r="C55" s="338" t="s">
        <v>1655</v>
      </c>
      <c r="D55" s="348" t="s">
        <v>1657</v>
      </c>
      <c r="E55" s="334" t="s">
        <v>1656</v>
      </c>
      <c r="F55" s="335" t="s">
        <v>1163</v>
      </c>
    </row>
    <row r="56" spans="1:6" s="336" customFormat="1" ht="75" x14ac:dyDescent="0.25">
      <c r="A56" s="203" t="s">
        <v>395</v>
      </c>
      <c r="B56" s="206" t="s">
        <v>398</v>
      </c>
      <c r="C56" s="338" t="s">
        <v>1658</v>
      </c>
      <c r="D56" s="348" t="s">
        <v>1660</v>
      </c>
      <c r="E56" s="334" t="s">
        <v>1659</v>
      </c>
      <c r="F56" s="335" t="s">
        <v>1163</v>
      </c>
    </row>
    <row r="57" spans="1:6" s="336" customFormat="1" ht="45" x14ac:dyDescent="0.25">
      <c r="A57" s="203" t="s">
        <v>395</v>
      </c>
      <c r="B57" s="206" t="s">
        <v>401</v>
      </c>
      <c r="C57" s="338" t="s">
        <v>1661</v>
      </c>
      <c r="D57" s="348" t="s">
        <v>1663</v>
      </c>
      <c r="E57" s="334" t="s">
        <v>1662</v>
      </c>
      <c r="F57" s="335" t="s">
        <v>1163</v>
      </c>
    </row>
    <row r="58" spans="1:6" s="336" customFormat="1" ht="150" x14ac:dyDescent="0.25">
      <c r="A58" s="203" t="s">
        <v>395</v>
      </c>
      <c r="B58" s="206" t="s">
        <v>1664</v>
      </c>
      <c r="C58" s="338" t="s">
        <v>1665</v>
      </c>
      <c r="D58" s="348" t="s">
        <v>1667</v>
      </c>
      <c r="E58" s="334" t="s">
        <v>1666</v>
      </c>
      <c r="F58" s="335" t="s">
        <v>1163</v>
      </c>
    </row>
    <row r="59" spans="1:6" s="336" customFormat="1" ht="60" x14ac:dyDescent="0.25">
      <c r="A59" s="203" t="s">
        <v>395</v>
      </c>
      <c r="B59" s="206" t="s">
        <v>402</v>
      </c>
      <c r="C59" s="338" t="s">
        <v>1668</v>
      </c>
      <c r="D59" s="348" t="s">
        <v>1670</v>
      </c>
      <c r="E59" s="334" t="s">
        <v>1669</v>
      </c>
      <c r="F59" s="335" t="s">
        <v>1163</v>
      </c>
    </row>
    <row r="60" spans="1:6" s="336" customFormat="1" ht="45" x14ac:dyDescent="0.25">
      <c r="A60" s="203" t="s">
        <v>659</v>
      </c>
      <c r="B60" s="332" t="s">
        <v>660</v>
      </c>
      <c r="C60" s="333" t="s">
        <v>661</v>
      </c>
      <c r="D60" s="348" t="s">
        <v>1672</v>
      </c>
      <c r="E60" s="334" t="s">
        <v>1671</v>
      </c>
      <c r="F60" s="335" t="s">
        <v>1163</v>
      </c>
    </row>
    <row r="61" spans="1:6" s="336" customFormat="1" ht="60" x14ac:dyDescent="0.25">
      <c r="A61" s="203" t="s">
        <v>659</v>
      </c>
      <c r="B61" s="332" t="s">
        <v>665</v>
      </c>
      <c r="C61" s="333" t="s">
        <v>1673</v>
      </c>
      <c r="D61" s="348" t="s">
        <v>1672</v>
      </c>
      <c r="E61" s="334" t="s">
        <v>1671</v>
      </c>
      <c r="F61" s="335" t="s">
        <v>1163</v>
      </c>
    </row>
    <row r="62" spans="1:6" s="336" customFormat="1" ht="60" x14ac:dyDescent="0.25">
      <c r="A62" s="203" t="s">
        <v>659</v>
      </c>
      <c r="B62" s="332" t="s">
        <v>646</v>
      </c>
      <c r="C62" s="333" t="s">
        <v>1674</v>
      </c>
      <c r="D62" s="348" t="s">
        <v>1676</v>
      </c>
      <c r="E62" s="334" t="s">
        <v>1675</v>
      </c>
      <c r="F62" s="335" t="s">
        <v>1163</v>
      </c>
    </row>
    <row r="63" spans="1:6" s="336" customFormat="1" ht="45" x14ac:dyDescent="0.25">
      <c r="A63" s="203" t="s">
        <v>659</v>
      </c>
      <c r="B63" s="332" t="s">
        <v>468</v>
      </c>
      <c r="C63" s="333" t="s">
        <v>1677</v>
      </c>
      <c r="D63" s="348" t="s">
        <v>1679</v>
      </c>
      <c r="E63" s="334" t="s">
        <v>1678</v>
      </c>
      <c r="F63" s="335" t="s">
        <v>1163</v>
      </c>
    </row>
    <row r="64" spans="1:6" s="336" customFormat="1" ht="60" x14ac:dyDescent="0.25">
      <c r="A64" s="203" t="s">
        <v>659</v>
      </c>
      <c r="B64" s="332" t="s">
        <v>662</v>
      </c>
      <c r="C64" s="333" t="s">
        <v>663</v>
      </c>
      <c r="D64" s="348" t="s">
        <v>1681</v>
      </c>
      <c r="E64" s="334" t="s">
        <v>1680</v>
      </c>
      <c r="F64" s="335" t="s">
        <v>1163</v>
      </c>
    </row>
    <row r="65" spans="1:6" s="336" customFormat="1" ht="45" x14ac:dyDescent="0.25">
      <c r="A65" s="203" t="s">
        <v>659</v>
      </c>
      <c r="B65" s="332" t="s">
        <v>664</v>
      </c>
      <c r="C65" s="333" t="s">
        <v>1682</v>
      </c>
      <c r="D65" s="348" t="s">
        <v>1681</v>
      </c>
      <c r="E65" s="334" t="s">
        <v>1680</v>
      </c>
      <c r="F65" s="335" t="s">
        <v>1163</v>
      </c>
    </row>
    <row r="66" spans="1:6" s="336" customFormat="1" ht="45" x14ac:dyDescent="0.25">
      <c r="A66" s="203" t="s">
        <v>659</v>
      </c>
      <c r="B66" s="332" t="s">
        <v>666</v>
      </c>
      <c r="C66" s="333" t="s">
        <v>1683</v>
      </c>
      <c r="D66" s="348" t="s">
        <v>1681</v>
      </c>
      <c r="E66" s="334" t="s">
        <v>1680</v>
      </c>
      <c r="F66" s="335" t="s">
        <v>1163</v>
      </c>
    </row>
    <row r="67" spans="1:6" s="336" customFormat="1" ht="60" x14ac:dyDescent="0.25">
      <c r="A67" s="203" t="s">
        <v>640</v>
      </c>
      <c r="B67" s="332" t="s">
        <v>1684</v>
      </c>
      <c r="C67" s="333" t="s">
        <v>1685</v>
      </c>
      <c r="D67" s="348" t="s">
        <v>1687</v>
      </c>
      <c r="E67" s="334" t="s">
        <v>1686</v>
      </c>
      <c r="F67" s="335" t="s">
        <v>1163</v>
      </c>
    </row>
    <row r="68" spans="1:6" s="336" customFormat="1" ht="60" x14ac:dyDescent="0.25">
      <c r="A68" s="203" t="s">
        <v>640</v>
      </c>
      <c r="B68" s="332" t="s">
        <v>641</v>
      </c>
      <c r="C68" s="333" t="s">
        <v>1688</v>
      </c>
      <c r="D68" s="348" t="s">
        <v>1690</v>
      </c>
      <c r="E68" s="334" t="s">
        <v>1689</v>
      </c>
      <c r="F68" s="335" t="s">
        <v>1163</v>
      </c>
    </row>
    <row r="69" spans="1:6" s="336" customFormat="1" ht="60" x14ac:dyDescent="0.25">
      <c r="A69" s="203" t="s">
        <v>640</v>
      </c>
      <c r="B69" s="332" t="s">
        <v>508</v>
      </c>
      <c r="C69" s="333" t="s">
        <v>1691</v>
      </c>
      <c r="D69" s="348" t="s">
        <v>1692</v>
      </c>
      <c r="E69" s="334" t="s">
        <v>1689</v>
      </c>
      <c r="F69" s="335" t="s">
        <v>1163</v>
      </c>
    </row>
    <row r="70" spans="1:6" s="336" customFormat="1" ht="45" x14ac:dyDescent="0.25">
      <c r="A70" s="203" t="s">
        <v>1693</v>
      </c>
      <c r="B70" s="332" t="s">
        <v>387</v>
      </c>
      <c r="C70" s="333" t="s">
        <v>649</v>
      </c>
      <c r="D70" s="348" t="s">
        <v>1695</v>
      </c>
      <c r="E70" s="334" t="s">
        <v>1694</v>
      </c>
      <c r="F70" s="335" t="s">
        <v>1163</v>
      </c>
    </row>
    <row r="71" spans="1:6" s="336" customFormat="1" ht="45" x14ac:dyDescent="0.25">
      <c r="A71" s="203" t="s">
        <v>1693</v>
      </c>
      <c r="B71" s="332" t="s">
        <v>381</v>
      </c>
      <c r="C71" s="333" t="s">
        <v>1696</v>
      </c>
      <c r="D71" s="348" t="s">
        <v>1697</v>
      </c>
      <c r="E71" s="334" t="s">
        <v>1694</v>
      </c>
      <c r="F71" s="335" t="s">
        <v>1163</v>
      </c>
    </row>
    <row r="72" spans="1:6" s="336" customFormat="1" ht="165" x14ac:dyDescent="0.25">
      <c r="A72" s="203" t="s">
        <v>1693</v>
      </c>
      <c r="B72" s="332" t="s">
        <v>650</v>
      </c>
      <c r="C72" s="333" t="s">
        <v>1698</v>
      </c>
      <c r="D72" s="348" t="s">
        <v>1695</v>
      </c>
      <c r="E72" s="334" t="s">
        <v>1699</v>
      </c>
      <c r="F72" s="335" t="s">
        <v>1163</v>
      </c>
    </row>
    <row r="73" spans="1:6" s="336" customFormat="1" ht="60" x14ac:dyDescent="0.25">
      <c r="A73" s="203" t="s">
        <v>588</v>
      </c>
      <c r="B73" s="332" t="s">
        <v>593</v>
      </c>
      <c r="C73" s="333" t="s">
        <v>1700</v>
      </c>
      <c r="D73" s="348" t="s">
        <v>1702</v>
      </c>
      <c r="E73" s="334" t="s">
        <v>1701</v>
      </c>
      <c r="F73" s="335" t="s">
        <v>1163</v>
      </c>
    </row>
    <row r="74" spans="1:6" s="336" customFormat="1" ht="45" x14ac:dyDescent="0.25">
      <c r="A74" s="203" t="s">
        <v>588</v>
      </c>
      <c r="B74" s="332" t="s">
        <v>594</v>
      </c>
      <c r="C74" s="333" t="s">
        <v>1703</v>
      </c>
      <c r="D74" s="348" t="s">
        <v>1704</v>
      </c>
      <c r="E74" s="334" t="s">
        <v>1701</v>
      </c>
      <c r="F74" s="335" t="s">
        <v>1163</v>
      </c>
    </row>
    <row r="75" spans="1:6" s="336" customFormat="1" ht="45" x14ac:dyDescent="0.25">
      <c r="A75" s="203" t="s">
        <v>588</v>
      </c>
      <c r="B75" s="332" t="s">
        <v>595</v>
      </c>
      <c r="C75" s="333" t="s">
        <v>1705</v>
      </c>
      <c r="D75" s="348" t="s">
        <v>1704</v>
      </c>
      <c r="E75" s="334" t="s">
        <v>1701</v>
      </c>
      <c r="F75" s="335" t="s">
        <v>1163</v>
      </c>
    </row>
    <row r="76" spans="1:6" s="336" customFormat="1" ht="45" x14ac:dyDescent="0.25">
      <c r="A76" s="203" t="s">
        <v>588</v>
      </c>
      <c r="B76" s="332" t="s">
        <v>596</v>
      </c>
      <c r="C76" s="333" t="s">
        <v>1706</v>
      </c>
      <c r="D76" s="348" t="s">
        <v>1704</v>
      </c>
      <c r="E76" s="334" t="s">
        <v>1701</v>
      </c>
      <c r="F76" s="335" t="s">
        <v>1163</v>
      </c>
    </row>
    <row r="77" spans="1:6" s="336" customFormat="1" ht="60" x14ac:dyDescent="0.25">
      <c r="A77" s="203" t="s">
        <v>588</v>
      </c>
      <c r="B77" s="332" t="s">
        <v>597</v>
      </c>
      <c r="C77" s="333" t="s">
        <v>1707</v>
      </c>
      <c r="D77" s="348" t="s">
        <v>1704</v>
      </c>
      <c r="E77" s="334" t="s">
        <v>1701</v>
      </c>
      <c r="F77" s="335" t="s">
        <v>1163</v>
      </c>
    </row>
    <row r="78" spans="1:6" s="336" customFormat="1" ht="60" x14ac:dyDescent="0.25">
      <c r="A78" s="203" t="s">
        <v>588</v>
      </c>
      <c r="B78" s="332" t="s">
        <v>589</v>
      </c>
      <c r="C78" s="333" t="s">
        <v>1708</v>
      </c>
      <c r="D78" s="348" t="s">
        <v>1710</v>
      </c>
      <c r="E78" s="334" t="s">
        <v>1709</v>
      </c>
      <c r="F78" s="335" t="s">
        <v>1163</v>
      </c>
    </row>
    <row r="79" spans="1:6" s="336" customFormat="1" ht="60" x14ac:dyDescent="0.25">
      <c r="A79" s="203" t="s">
        <v>588</v>
      </c>
      <c r="B79" s="332" t="s">
        <v>590</v>
      </c>
      <c r="C79" s="333" t="s">
        <v>1711</v>
      </c>
      <c r="D79" s="348" t="s">
        <v>1713</v>
      </c>
      <c r="E79" s="334" t="s">
        <v>1712</v>
      </c>
      <c r="F79" s="335" t="s">
        <v>1163</v>
      </c>
    </row>
    <row r="80" spans="1:6" s="336" customFormat="1" ht="60" x14ac:dyDescent="0.25">
      <c r="A80" s="203" t="s">
        <v>588</v>
      </c>
      <c r="B80" s="332" t="s">
        <v>1714</v>
      </c>
      <c r="C80" s="333" t="s">
        <v>1715</v>
      </c>
      <c r="D80" s="348" t="s">
        <v>1717</v>
      </c>
      <c r="E80" s="334" t="s">
        <v>1716</v>
      </c>
      <c r="F80" s="335" t="s">
        <v>1163</v>
      </c>
    </row>
    <row r="81" spans="1:6" s="336" customFormat="1" ht="45" x14ac:dyDescent="0.25">
      <c r="A81" s="203" t="s">
        <v>588</v>
      </c>
      <c r="B81" s="332" t="s">
        <v>591</v>
      </c>
      <c r="C81" s="333" t="s">
        <v>1718</v>
      </c>
      <c r="D81" s="348" t="s">
        <v>1720</v>
      </c>
      <c r="E81" s="334" t="s">
        <v>1719</v>
      </c>
      <c r="F81" s="335" t="s">
        <v>1163</v>
      </c>
    </row>
    <row r="82" spans="1:6" s="336" customFormat="1" ht="90" x14ac:dyDescent="0.25">
      <c r="A82" s="203" t="s">
        <v>588</v>
      </c>
      <c r="B82" s="332" t="s">
        <v>592</v>
      </c>
      <c r="C82" s="333" t="s">
        <v>1721</v>
      </c>
      <c r="D82" s="348" t="s">
        <v>1723</v>
      </c>
      <c r="E82" s="334" t="s">
        <v>1722</v>
      </c>
      <c r="F82" s="335" t="s">
        <v>1163</v>
      </c>
    </row>
    <row r="83" spans="1:6" s="336" customFormat="1" ht="60" x14ac:dyDescent="0.25">
      <c r="A83" s="203" t="s">
        <v>582</v>
      </c>
      <c r="B83" s="332" t="s">
        <v>584</v>
      </c>
      <c r="C83" s="333" t="s">
        <v>1724</v>
      </c>
      <c r="D83" s="348" t="s">
        <v>1726</v>
      </c>
      <c r="E83" s="334" t="s">
        <v>1725</v>
      </c>
      <c r="F83" s="335" t="s">
        <v>1163</v>
      </c>
    </row>
    <row r="84" spans="1:6" s="336" customFormat="1" ht="60" x14ac:dyDescent="0.25">
      <c r="A84" s="203" t="s">
        <v>582</v>
      </c>
      <c r="B84" s="332" t="s">
        <v>585</v>
      </c>
      <c r="C84" s="333" t="s">
        <v>1727</v>
      </c>
      <c r="D84" s="348" t="s">
        <v>1729</v>
      </c>
      <c r="E84" s="334" t="s">
        <v>1728</v>
      </c>
      <c r="F84" s="335" t="s">
        <v>1163</v>
      </c>
    </row>
    <row r="85" spans="1:6" s="336" customFormat="1" ht="105" x14ac:dyDescent="0.25">
      <c r="A85" s="203" t="s">
        <v>582</v>
      </c>
      <c r="B85" s="332" t="s">
        <v>586</v>
      </c>
      <c r="C85" s="333" t="s">
        <v>1730</v>
      </c>
      <c r="D85" s="348" t="s">
        <v>1732</v>
      </c>
      <c r="E85" s="334" t="s">
        <v>1731</v>
      </c>
      <c r="F85" s="335" t="s">
        <v>1163</v>
      </c>
    </row>
    <row r="86" spans="1:6" s="336" customFormat="1" ht="60" x14ac:dyDescent="0.25">
      <c r="A86" s="203" t="s">
        <v>582</v>
      </c>
      <c r="B86" s="332" t="s">
        <v>583</v>
      </c>
      <c r="C86" s="333" t="s">
        <v>1733</v>
      </c>
      <c r="D86" s="348" t="s">
        <v>1735</v>
      </c>
      <c r="E86" s="334" t="s">
        <v>1734</v>
      </c>
      <c r="F86" s="335" t="s">
        <v>1163</v>
      </c>
    </row>
    <row r="87" spans="1:6" s="336" customFormat="1" ht="45" x14ac:dyDescent="0.25">
      <c r="A87" s="203" t="s">
        <v>582</v>
      </c>
      <c r="B87" s="332" t="s">
        <v>587</v>
      </c>
      <c r="C87" s="333" t="s">
        <v>1736</v>
      </c>
      <c r="D87" s="348" t="s">
        <v>1738</v>
      </c>
      <c r="E87" s="334" t="s">
        <v>1737</v>
      </c>
      <c r="F87" s="335" t="s">
        <v>1163</v>
      </c>
    </row>
    <row r="88" spans="1:6" s="336" customFormat="1" ht="150" x14ac:dyDescent="0.25">
      <c r="A88" s="203" t="s">
        <v>375</v>
      </c>
      <c r="B88" s="206" t="s">
        <v>381</v>
      </c>
      <c r="C88" s="338" t="s">
        <v>1739</v>
      </c>
      <c r="D88" s="348" t="s">
        <v>1741</v>
      </c>
      <c r="E88" s="334" t="s">
        <v>1740</v>
      </c>
      <c r="F88" s="335" t="s">
        <v>1163</v>
      </c>
    </row>
    <row r="89" spans="1:6" s="336" customFormat="1" ht="135" x14ac:dyDescent="0.25">
      <c r="A89" s="203" t="s">
        <v>375</v>
      </c>
      <c r="B89" s="206" t="s">
        <v>376</v>
      </c>
      <c r="C89" s="338" t="s">
        <v>1742</v>
      </c>
      <c r="D89" s="348" t="s">
        <v>1744</v>
      </c>
      <c r="E89" s="334" t="s">
        <v>1743</v>
      </c>
      <c r="F89" s="335" t="s">
        <v>1163</v>
      </c>
    </row>
    <row r="90" spans="1:6" s="336" customFormat="1" ht="135" x14ac:dyDescent="0.25">
      <c r="A90" s="203" t="s">
        <v>375</v>
      </c>
      <c r="B90" s="206" t="s">
        <v>377</v>
      </c>
      <c r="C90" s="338" t="s">
        <v>1745</v>
      </c>
      <c r="D90" s="348" t="s">
        <v>1747</v>
      </c>
      <c r="E90" s="334" t="s">
        <v>1746</v>
      </c>
      <c r="F90" s="335" t="s">
        <v>1163</v>
      </c>
    </row>
    <row r="91" spans="1:6" s="336" customFormat="1" ht="60" x14ac:dyDescent="0.25">
      <c r="A91" s="203" t="s">
        <v>375</v>
      </c>
      <c r="B91" s="206" t="s">
        <v>378</v>
      </c>
      <c r="C91" s="338" t="s">
        <v>1748</v>
      </c>
      <c r="D91" s="348" t="s">
        <v>1750</v>
      </c>
      <c r="E91" s="334" t="s">
        <v>1749</v>
      </c>
      <c r="F91" s="335" t="s">
        <v>1163</v>
      </c>
    </row>
    <row r="92" spans="1:6" s="336" customFormat="1" ht="45" x14ac:dyDescent="0.25">
      <c r="A92" s="203" t="s">
        <v>375</v>
      </c>
      <c r="B92" s="206" t="s">
        <v>379</v>
      </c>
      <c r="C92" s="338" t="s">
        <v>1751</v>
      </c>
      <c r="D92" s="348" t="s">
        <v>1753</v>
      </c>
      <c r="E92" s="334" t="s">
        <v>1752</v>
      </c>
      <c r="F92" s="335" t="s">
        <v>1163</v>
      </c>
    </row>
    <row r="93" spans="1:6" s="336" customFormat="1" ht="45" x14ac:dyDescent="0.25">
      <c r="A93" s="203" t="s">
        <v>375</v>
      </c>
      <c r="B93" s="206" t="s">
        <v>382</v>
      </c>
      <c r="C93" s="338" t="s">
        <v>383</v>
      </c>
      <c r="D93" s="348" t="s">
        <v>1755</v>
      </c>
      <c r="E93" s="334" t="s">
        <v>1754</v>
      </c>
      <c r="F93" s="335" t="s">
        <v>1163</v>
      </c>
    </row>
    <row r="94" spans="1:6" s="336" customFormat="1" ht="90" x14ac:dyDescent="0.25">
      <c r="A94" s="203" t="s">
        <v>375</v>
      </c>
      <c r="B94" s="206" t="s">
        <v>380</v>
      </c>
      <c r="C94" s="338" t="s">
        <v>1756</v>
      </c>
      <c r="D94" s="348" t="s">
        <v>1758</v>
      </c>
      <c r="E94" s="334" t="s">
        <v>1757</v>
      </c>
      <c r="F94" s="335" t="s">
        <v>1163</v>
      </c>
    </row>
    <row r="95" spans="1:6" s="336" customFormat="1" ht="75" x14ac:dyDescent="0.25">
      <c r="A95" s="203" t="s">
        <v>375</v>
      </c>
      <c r="B95" s="206" t="s">
        <v>1759</v>
      </c>
      <c r="C95" s="338" t="s">
        <v>1760</v>
      </c>
      <c r="D95" s="348" t="s">
        <v>1762</v>
      </c>
      <c r="E95" s="334" t="s">
        <v>1761</v>
      </c>
      <c r="F95" s="335" t="s">
        <v>1163</v>
      </c>
    </row>
    <row r="96" spans="1:6" s="336" customFormat="1" ht="45" x14ac:dyDescent="0.25">
      <c r="A96" s="206" t="s">
        <v>356</v>
      </c>
      <c r="B96" s="206" t="s">
        <v>350</v>
      </c>
      <c r="C96" s="338" t="s">
        <v>1763</v>
      </c>
      <c r="D96" s="348" t="s">
        <v>1765</v>
      </c>
      <c r="E96" s="334" t="s">
        <v>1764</v>
      </c>
      <c r="F96" s="335" t="s">
        <v>1163</v>
      </c>
    </row>
    <row r="97" spans="1:6" s="336" customFormat="1" ht="60" x14ac:dyDescent="0.25">
      <c r="A97" s="206" t="s">
        <v>356</v>
      </c>
      <c r="B97" s="206" t="s">
        <v>357</v>
      </c>
      <c r="C97" s="338" t="s">
        <v>1766</v>
      </c>
      <c r="D97" s="348" t="s">
        <v>1768</v>
      </c>
      <c r="E97" s="334" t="s">
        <v>1767</v>
      </c>
      <c r="F97" s="335" t="s">
        <v>1163</v>
      </c>
    </row>
    <row r="98" spans="1:6" s="336" customFormat="1" ht="45" x14ac:dyDescent="0.25">
      <c r="A98" s="206" t="s">
        <v>356</v>
      </c>
      <c r="B98" s="206" t="s">
        <v>358</v>
      </c>
      <c r="C98" s="338" t="s">
        <v>1769</v>
      </c>
      <c r="D98" s="348" t="s">
        <v>1771</v>
      </c>
      <c r="E98" s="334" t="s">
        <v>1770</v>
      </c>
      <c r="F98" s="335" t="s">
        <v>1163</v>
      </c>
    </row>
    <row r="99" spans="1:6" s="336" customFormat="1" ht="45" x14ac:dyDescent="0.25">
      <c r="A99" s="206" t="s">
        <v>356</v>
      </c>
      <c r="B99" s="206" t="s">
        <v>1772</v>
      </c>
      <c r="C99" s="338" t="s">
        <v>1773</v>
      </c>
      <c r="D99" s="348" t="s">
        <v>1775</v>
      </c>
      <c r="E99" s="334" t="s">
        <v>1774</v>
      </c>
      <c r="F99" s="335" t="s">
        <v>1163</v>
      </c>
    </row>
    <row r="100" spans="1:6" s="336" customFormat="1" ht="45" x14ac:dyDescent="0.25">
      <c r="A100" s="203" t="s">
        <v>523</v>
      </c>
      <c r="B100" s="332" t="s">
        <v>525</v>
      </c>
      <c r="C100" s="333" t="s">
        <v>1776</v>
      </c>
      <c r="D100" s="348" t="s">
        <v>1778</v>
      </c>
      <c r="E100" s="334" t="s">
        <v>1777</v>
      </c>
      <c r="F100" s="335" t="s">
        <v>1163</v>
      </c>
    </row>
    <row r="101" spans="1:6" s="336" customFormat="1" ht="75" x14ac:dyDescent="0.25">
      <c r="A101" s="203" t="s">
        <v>523</v>
      </c>
      <c r="B101" s="332" t="s">
        <v>532</v>
      </c>
      <c r="C101" s="333" t="s">
        <v>1779</v>
      </c>
      <c r="D101" s="348" t="s">
        <v>1778</v>
      </c>
      <c r="E101" s="334" t="s">
        <v>1777</v>
      </c>
      <c r="F101" s="335" t="s">
        <v>1163</v>
      </c>
    </row>
    <row r="102" spans="1:6" s="336" customFormat="1" ht="45" x14ac:dyDescent="0.25">
      <c r="A102" s="203" t="s">
        <v>523</v>
      </c>
      <c r="B102" s="332" t="s">
        <v>529</v>
      </c>
      <c r="C102" s="333" t="s">
        <v>1780</v>
      </c>
      <c r="D102" s="348" t="s">
        <v>1782</v>
      </c>
      <c r="E102" s="334" t="s">
        <v>1781</v>
      </c>
      <c r="F102" s="335" t="s">
        <v>1163</v>
      </c>
    </row>
    <row r="103" spans="1:6" s="336" customFormat="1" ht="75" x14ac:dyDescent="0.25">
      <c r="A103" s="203" t="s">
        <v>523</v>
      </c>
      <c r="B103" s="332" t="s">
        <v>461</v>
      </c>
      <c r="C103" s="333" t="s">
        <v>1783</v>
      </c>
      <c r="D103" s="348" t="s">
        <v>1785</v>
      </c>
      <c r="E103" s="334" t="s">
        <v>1784</v>
      </c>
      <c r="F103" s="335" t="s">
        <v>1163</v>
      </c>
    </row>
    <row r="104" spans="1:6" s="336" customFormat="1" ht="45" x14ac:dyDescent="0.25">
      <c r="A104" s="203" t="s">
        <v>523</v>
      </c>
      <c r="B104" s="332" t="s">
        <v>533</v>
      </c>
      <c r="C104" s="333" t="s">
        <v>1786</v>
      </c>
      <c r="D104" s="348" t="s">
        <v>1788</v>
      </c>
      <c r="E104" s="334" t="s">
        <v>1787</v>
      </c>
      <c r="F104" s="335" t="s">
        <v>1163</v>
      </c>
    </row>
    <row r="105" spans="1:6" s="336" customFormat="1" ht="45" x14ac:dyDescent="0.25">
      <c r="A105" s="203" t="s">
        <v>523</v>
      </c>
      <c r="B105" s="332" t="s">
        <v>1789</v>
      </c>
      <c r="C105" s="333"/>
      <c r="D105" s="348" t="s">
        <v>1791</v>
      </c>
      <c r="E105" s="334" t="s">
        <v>1790</v>
      </c>
      <c r="F105" s="335" t="s">
        <v>1163</v>
      </c>
    </row>
    <row r="106" spans="1:6" s="336" customFormat="1" ht="90" x14ac:dyDescent="0.25">
      <c r="A106" s="203" t="s">
        <v>523</v>
      </c>
      <c r="B106" s="332" t="s">
        <v>535</v>
      </c>
      <c r="C106" s="333" t="s">
        <v>1792</v>
      </c>
      <c r="D106" s="348" t="s">
        <v>1794</v>
      </c>
      <c r="E106" s="334" t="s">
        <v>1793</v>
      </c>
      <c r="F106" s="335" t="s">
        <v>1163</v>
      </c>
    </row>
    <row r="107" spans="1:6" s="336" customFormat="1" ht="45" x14ac:dyDescent="0.25">
      <c r="A107" s="203" t="s">
        <v>523</v>
      </c>
      <c r="B107" s="332" t="s">
        <v>530</v>
      </c>
      <c r="C107" s="333" t="s">
        <v>1795</v>
      </c>
      <c r="D107" s="348" t="s">
        <v>1797</v>
      </c>
      <c r="E107" s="334" t="s">
        <v>1796</v>
      </c>
      <c r="F107" s="335" t="s">
        <v>1163</v>
      </c>
    </row>
    <row r="108" spans="1:6" s="336" customFormat="1" ht="120" x14ac:dyDescent="0.25">
      <c r="A108" s="203" t="s">
        <v>523</v>
      </c>
      <c r="B108" s="332" t="s">
        <v>1798</v>
      </c>
      <c r="C108" s="333" t="s">
        <v>1799</v>
      </c>
      <c r="D108" s="348" t="s">
        <v>1801</v>
      </c>
      <c r="E108" s="334" t="s">
        <v>1800</v>
      </c>
      <c r="F108" s="335" t="s">
        <v>1163</v>
      </c>
    </row>
    <row r="109" spans="1:6" s="336" customFormat="1" ht="45" x14ac:dyDescent="0.25">
      <c r="A109" s="203" t="s">
        <v>523</v>
      </c>
      <c r="B109" s="332" t="s">
        <v>529</v>
      </c>
      <c r="C109" s="333" t="s">
        <v>1802</v>
      </c>
      <c r="D109" s="348" t="s">
        <v>1804</v>
      </c>
      <c r="E109" s="334" t="s">
        <v>1803</v>
      </c>
      <c r="F109" s="335" t="s">
        <v>1163</v>
      </c>
    </row>
    <row r="110" spans="1:6" s="336" customFormat="1" ht="105" x14ac:dyDescent="0.25">
      <c r="A110" s="203" t="s">
        <v>523</v>
      </c>
      <c r="B110" s="332" t="s">
        <v>528</v>
      </c>
      <c r="C110" s="333" t="s">
        <v>1805</v>
      </c>
      <c r="D110" s="348" t="s">
        <v>1807</v>
      </c>
      <c r="E110" s="334" t="s">
        <v>1806</v>
      </c>
      <c r="F110" s="335" t="s">
        <v>1163</v>
      </c>
    </row>
    <row r="111" spans="1:6" s="336" customFormat="1" ht="45" x14ac:dyDescent="0.25">
      <c r="A111" s="203" t="s">
        <v>523</v>
      </c>
      <c r="B111" s="332" t="s">
        <v>531</v>
      </c>
      <c r="C111" s="333" t="s">
        <v>1808</v>
      </c>
      <c r="D111" s="348" t="s">
        <v>1810</v>
      </c>
      <c r="E111" s="334" t="s">
        <v>1809</v>
      </c>
      <c r="F111" s="335" t="s">
        <v>1163</v>
      </c>
    </row>
    <row r="112" spans="1:6" s="336" customFormat="1" ht="60" x14ac:dyDescent="0.25">
      <c r="A112" s="203" t="s">
        <v>523</v>
      </c>
      <c r="B112" s="332" t="s">
        <v>534</v>
      </c>
      <c r="C112" s="333" t="s">
        <v>1811</v>
      </c>
      <c r="D112" s="348" t="s">
        <v>1813</v>
      </c>
      <c r="E112" s="334" t="s">
        <v>1812</v>
      </c>
      <c r="F112" s="335" t="s">
        <v>1163</v>
      </c>
    </row>
    <row r="113" spans="1:6" s="336" customFormat="1" ht="120" x14ac:dyDescent="0.25">
      <c r="A113" s="203" t="s">
        <v>523</v>
      </c>
      <c r="B113" s="332" t="s">
        <v>524</v>
      </c>
      <c r="C113" s="338" t="s">
        <v>1814</v>
      </c>
      <c r="D113" s="348" t="s">
        <v>1816</v>
      </c>
      <c r="E113" s="334" t="s">
        <v>1815</v>
      </c>
      <c r="F113" s="335" t="s">
        <v>1163</v>
      </c>
    </row>
    <row r="114" spans="1:6" s="336" customFormat="1" ht="60" x14ac:dyDescent="0.25">
      <c r="A114" s="203" t="s">
        <v>523</v>
      </c>
      <c r="B114" s="332" t="s">
        <v>526</v>
      </c>
      <c r="C114" s="333" t="s">
        <v>1817</v>
      </c>
      <c r="D114" s="348" t="s">
        <v>1816</v>
      </c>
      <c r="E114" s="334" t="s">
        <v>1815</v>
      </c>
      <c r="F114" s="335" t="s">
        <v>1163</v>
      </c>
    </row>
    <row r="115" spans="1:6" s="336" customFormat="1" ht="60" x14ac:dyDescent="0.25">
      <c r="A115" s="203" t="s">
        <v>523</v>
      </c>
      <c r="B115" s="332" t="s">
        <v>527</v>
      </c>
      <c r="C115" s="333" t="s">
        <v>1818</v>
      </c>
      <c r="D115" s="348" t="s">
        <v>1816</v>
      </c>
      <c r="E115" s="334" t="s">
        <v>1815</v>
      </c>
      <c r="F115" s="335" t="s">
        <v>1163</v>
      </c>
    </row>
    <row r="116" spans="1:6" s="336" customFormat="1" ht="45" x14ac:dyDescent="0.25">
      <c r="A116" s="203" t="s">
        <v>536</v>
      </c>
      <c r="B116" s="339" t="s">
        <v>1819</v>
      </c>
      <c r="C116" s="333" t="s">
        <v>1820</v>
      </c>
      <c r="D116" s="348" t="s">
        <v>1822</v>
      </c>
      <c r="E116" s="334" t="s">
        <v>1821</v>
      </c>
      <c r="F116" s="335" t="s">
        <v>1163</v>
      </c>
    </row>
    <row r="117" spans="1:6" s="336" customFormat="1" ht="60" x14ac:dyDescent="0.25">
      <c r="A117" s="203" t="s">
        <v>536</v>
      </c>
      <c r="B117" s="339" t="s">
        <v>1823</v>
      </c>
      <c r="C117" s="333" t="s">
        <v>1824</v>
      </c>
      <c r="D117" s="348" t="s">
        <v>1826</v>
      </c>
      <c r="E117" s="334" t="s">
        <v>1825</v>
      </c>
      <c r="F117" s="335" t="s">
        <v>1163</v>
      </c>
    </row>
    <row r="118" spans="1:6" s="336" customFormat="1" ht="75" x14ac:dyDescent="0.25">
      <c r="A118" s="203" t="s">
        <v>536</v>
      </c>
      <c r="B118" s="332" t="s">
        <v>537</v>
      </c>
      <c r="C118" s="333" t="s">
        <v>1827</v>
      </c>
      <c r="D118" s="348" t="s">
        <v>1829</v>
      </c>
      <c r="E118" s="334" t="s">
        <v>1828</v>
      </c>
      <c r="F118" s="335" t="s">
        <v>1163</v>
      </c>
    </row>
    <row r="119" spans="1:6" s="336" customFormat="1" ht="60" x14ac:dyDescent="0.25">
      <c r="A119" s="203" t="s">
        <v>536</v>
      </c>
      <c r="B119" s="339" t="s">
        <v>539</v>
      </c>
      <c r="C119" s="333" t="s">
        <v>1830</v>
      </c>
      <c r="D119" s="348" t="s">
        <v>1832</v>
      </c>
      <c r="E119" s="334" t="s">
        <v>1831</v>
      </c>
      <c r="F119" s="335" t="s">
        <v>1163</v>
      </c>
    </row>
    <row r="120" spans="1:6" s="336" customFormat="1" ht="45" x14ac:dyDescent="0.25">
      <c r="A120" s="203" t="s">
        <v>536</v>
      </c>
      <c r="B120" s="339" t="s">
        <v>543</v>
      </c>
      <c r="C120" s="333" t="s">
        <v>1833</v>
      </c>
      <c r="D120" s="348" t="s">
        <v>1835</v>
      </c>
      <c r="E120" s="334" t="s">
        <v>1834</v>
      </c>
      <c r="F120" s="335" t="s">
        <v>1163</v>
      </c>
    </row>
    <row r="121" spans="1:6" s="336" customFormat="1" ht="45" x14ac:dyDescent="0.25">
      <c r="A121" s="203" t="s">
        <v>536</v>
      </c>
      <c r="B121" s="339" t="s">
        <v>1836</v>
      </c>
      <c r="C121" s="333" t="s">
        <v>1837</v>
      </c>
      <c r="D121" s="348" t="s">
        <v>1839</v>
      </c>
      <c r="E121" s="334" t="s">
        <v>1838</v>
      </c>
      <c r="F121" s="335" t="s">
        <v>1163</v>
      </c>
    </row>
    <row r="122" spans="1:6" s="336" customFormat="1" ht="45" x14ac:dyDescent="0.25">
      <c r="A122" s="203" t="s">
        <v>536</v>
      </c>
      <c r="B122" s="339" t="s">
        <v>541</v>
      </c>
      <c r="C122" s="333" t="s">
        <v>1840</v>
      </c>
      <c r="D122" s="348" t="s">
        <v>1842</v>
      </c>
      <c r="E122" s="334" t="s">
        <v>1841</v>
      </c>
      <c r="F122" s="335" t="s">
        <v>1163</v>
      </c>
    </row>
    <row r="123" spans="1:6" s="336" customFormat="1" ht="75" x14ac:dyDescent="0.25">
      <c r="A123" s="203" t="s">
        <v>536</v>
      </c>
      <c r="B123" s="339" t="s">
        <v>542</v>
      </c>
      <c r="C123" s="333" t="s">
        <v>1843</v>
      </c>
      <c r="D123" s="348" t="s">
        <v>1845</v>
      </c>
      <c r="E123" s="334" t="s">
        <v>1844</v>
      </c>
      <c r="F123" s="335" t="s">
        <v>1163</v>
      </c>
    </row>
    <row r="124" spans="1:6" s="336" customFormat="1" ht="45" x14ac:dyDescent="0.25">
      <c r="A124" s="203" t="s">
        <v>536</v>
      </c>
      <c r="B124" s="339" t="s">
        <v>545</v>
      </c>
      <c r="C124" s="333" t="s">
        <v>1846</v>
      </c>
      <c r="D124" s="348" t="s">
        <v>1848</v>
      </c>
      <c r="E124" s="334" t="s">
        <v>1847</v>
      </c>
      <c r="F124" s="335" t="s">
        <v>1163</v>
      </c>
    </row>
    <row r="125" spans="1:6" s="336" customFormat="1" ht="45" x14ac:dyDescent="0.25">
      <c r="A125" s="203" t="s">
        <v>536</v>
      </c>
      <c r="B125" s="339" t="s">
        <v>351</v>
      </c>
      <c r="C125" s="333" t="s">
        <v>1849</v>
      </c>
      <c r="D125" s="348" t="s">
        <v>1851</v>
      </c>
      <c r="E125" s="334" t="s">
        <v>1850</v>
      </c>
      <c r="F125" s="335" t="s">
        <v>1163</v>
      </c>
    </row>
    <row r="126" spans="1:6" s="336" customFormat="1" ht="45" x14ac:dyDescent="0.25">
      <c r="A126" s="203" t="s">
        <v>536</v>
      </c>
      <c r="B126" s="339" t="s">
        <v>350</v>
      </c>
      <c r="C126" s="333" t="s">
        <v>1852</v>
      </c>
      <c r="D126" s="348" t="s">
        <v>1854</v>
      </c>
      <c r="E126" s="334" t="s">
        <v>1853</v>
      </c>
      <c r="F126" s="335" t="s">
        <v>1163</v>
      </c>
    </row>
    <row r="127" spans="1:6" s="336" customFormat="1" ht="45" x14ac:dyDescent="0.25">
      <c r="A127" s="203" t="s">
        <v>536</v>
      </c>
      <c r="B127" s="339" t="s">
        <v>538</v>
      </c>
      <c r="C127" s="333" t="s">
        <v>1855</v>
      </c>
      <c r="D127" s="348" t="s">
        <v>1857</v>
      </c>
      <c r="E127" s="334" t="s">
        <v>1856</v>
      </c>
      <c r="F127" s="335" t="s">
        <v>1163</v>
      </c>
    </row>
    <row r="128" spans="1:6" s="336" customFormat="1" ht="45" x14ac:dyDescent="0.25">
      <c r="A128" s="203" t="s">
        <v>536</v>
      </c>
      <c r="B128" s="339" t="s">
        <v>1858</v>
      </c>
      <c r="C128" s="333" t="s">
        <v>1859</v>
      </c>
      <c r="D128" s="348" t="s">
        <v>1861</v>
      </c>
      <c r="E128" s="334" t="s">
        <v>1860</v>
      </c>
      <c r="F128" s="335" t="s">
        <v>1163</v>
      </c>
    </row>
    <row r="129" spans="1:6" s="336" customFormat="1" ht="45" x14ac:dyDescent="0.25">
      <c r="A129" s="203" t="s">
        <v>536</v>
      </c>
      <c r="B129" s="339" t="s">
        <v>540</v>
      </c>
      <c r="C129" s="333" t="s">
        <v>1862</v>
      </c>
      <c r="D129" s="348" t="s">
        <v>1864</v>
      </c>
      <c r="E129" s="334" t="s">
        <v>1863</v>
      </c>
      <c r="F129" s="335" t="s">
        <v>1163</v>
      </c>
    </row>
    <row r="130" spans="1:6" s="336" customFormat="1" ht="60" x14ac:dyDescent="0.25">
      <c r="A130" s="203" t="s">
        <v>536</v>
      </c>
      <c r="B130" s="339" t="s">
        <v>546</v>
      </c>
      <c r="C130" s="333" t="s">
        <v>1865</v>
      </c>
      <c r="D130" s="348" t="s">
        <v>1867</v>
      </c>
      <c r="E130" s="334" t="s">
        <v>1866</v>
      </c>
      <c r="F130" s="335" t="s">
        <v>1163</v>
      </c>
    </row>
    <row r="131" spans="1:6" s="336" customFormat="1" ht="45" x14ac:dyDescent="0.25">
      <c r="A131" s="203" t="s">
        <v>536</v>
      </c>
      <c r="B131" s="339" t="s">
        <v>544</v>
      </c>
      <c r="C131" s="333" t="s">
        <v>1868</v>
      </c>
      <c r="D131" s="348" t="s">
        <v>1870</v>
      </c>
      <c r="E131" s="334" t="s">
        <v>1869</v>
      </c>
      <c r="F131" s="335" t="s">
        <v>1163</v>
      </c>
    </row>
    <row r="132" spans="1:6" s="336" customFormat="1" ht="45" x14ac:dyDescent="0.25">
      <c r="A132" s="203" t="s">
        <v>495</v>
      </c>
      <c r="B132" s="332" t="s">
        <v>325</v>
      </c>
      <c r="C132" s="333" t="s">
        <v>1871</v>
      </c>
      <c r="D132" s="348" t="s">
        <v>1873</v>
      </c>
      <c r="E132" s="334" t="s">
        <v>1872</v>
      </c>
      <c r="F132" s="335" t="s">
        <v>1163</v>
      </c>
    </row>
    <row r="133" spans="1:6" s="336" customFormat="1" ht="45" x14ac:dyDescent="0.25">
      <c r="A133" s="203" t="s">
        <v>495</v>
      </c>
      <c r="B133" s="332" t="s">
        <v>508</v>
      </c>
      <c r="C133" s="333" t="s">
        <v>1874</v>
      </c>
      <c r="D133" s="348" t="s">
        <v>1876</v>
      </c>
      <c r="E133" s="334" t="s">
        <v>1875</v>
      </c>
      <c r="F133" s="335" t="s">
        <v>1163</v>
      </c>
    </row>
    <row r="134" spans="1:6" s="336" customFormat="1" ht="45" x14ac:dyDescent="0.25">
      <c r="A134" s="203" t="s">
        <v>495</v>
      </c>
      <c r="B134" s="332" t="s">
        <v>1877</v>
      </c>
      <c r="C134" s="342" t="s">
        <v>1878</v>
      </c>
      <c r="D134" s="348" t="s">
        <v>1880</v>
      </c>
      <c r="E134" s="334" t="s">
        <v>1879</v>
      </c>
      <c r="F134" s="335" t="s">
        <v>1163</v>
      </c>
    </row>
    <row r="135" spans="1:6" s="336" customFormat="1" ht="210" x14ac:dyDescent="0.25">
      <c r="A135" s="203" t="s">
        <v>495</v>
      </c>
      <c r="B135" s="332" t="s">
        <v>496</v>
      </c>
      <c r="C135" s="333" t="s">
        <v>1881</v>
      </c>
      <c r="D135" s="348" t="s">
        <v>1883</v>
      </c>
      <c r="E135" s="334" t="s">
        <v>1882</v>
      </c>
      <c r="F135" s="335" t="s">
        <v>1163</v>
      </c>
    </row>
    <row r="136" spans="1:6" s="336" customFormat="1" ht="60" x14ac:dyDescent="0.25">
      <c r="A136" s="203" t="s">
        <v>495</v>
      </c>
      <c r="B136" s="332" t="s">
        <v>507</v>
      </c>
      <c r="C136" s="333" t="s">
        <v>1884</v>
      </c>
      <c r="D136" s="348" t="s">
        <v>1886</v>
      </c>
      <c r="E136" s="334" t="s">
        <v>1885</v>
      </c>
      <c r="F136" s="335" t="s">
        <v>1163</v>
      </c>
    </row>
    <row r="137" spans="1:6" s="336" customFormat="1" ht="60" x14ac:dyDescent="0.25">
      <c r="A137" s="203" t="s">
        <v>495</v>
      </c>
      <c r="B137" s="332" t="s">
        <v>504</v>
      </c>
      <c r="C137" s="333" t="s">
        <v>505</v>
      </c>
      <c r="D137" s="348" t="s">
        <v>1888</v>
      </c>
      <c r="E137" s="334" t="s">
        <v>1887</v>
      </c>
      <c r="F137" s="335" t="s">
        <v>1163</v>
      </c>
    </row>
    <row r="138" spans="1:6" s="336" customFormat="1" ht="105" x14ac:dyDescent="0.25">
      <c r="A138" s="203" t="s">
        <v>495</v>
      </c>
      <c r="B138" s="332" t="s">
        <v>497</v>
      </c>
      <c r="C138" s="333" t="s">
        <v>1889</v>
      </c>
      <c r="D138" s="348" t="s">
        <v>1891</v>
      </c>
      <c r="E138" s="334" t="s">
        <v>1890</v>
      </c>
      <c r="F138" s="335" t="s">
        <v>1163</v>
      </c>
    </row>
    <row r="139" spans="1:6" s="336" customFormat="1" ht="45" x14ac:dyDescent="0.25">
      <c r="A139" s="203" t="s">
        <v>495</v>
      </c>
      <c r="B139" s="332" t="s">
        <v>503</v>
      </c>
      <c r="C139" s="333" t="s">
        <v>1892</v>
      </c>
      <c r="D139" s="348" t="s">
        <v>1894</v>
      </c>
      <c r="E139" s="334" t="s">
        <v>1893</v>
      </c>
      <c r="F139" s="335" t="s">
        <v>1163</v>
      </c>
    </row>
    <row r="140" spans="1:6" s="336" customFormat="1" ht="45" x14ac:dyDescent="0.25">
      <c r="A140" s="203" t="s">
        <v>495</v>
      </c>
      <c r="B140" s="332" t="s">
        <v>1895</v>
      </c>
      <c r="C140" s="333" t="s">
        <v>1896</v>
      </c>
      <c r="D140" s="348" t="s">
        <v>1898</v>
      </c>
      <c r="E140" s="334" t="s">
        <v>1897</v>
      </c>
      <c r="F140" s="335" t="s">
        <v>1163</v>
      </c>
    </row>
    <row r="141" spans="1:6" s="336" customFormat="1" ht="45" x14ac:dyDescent="0.25">
      <c r="A141" s="203" t="s">
        <v>495</v>
      </c>
      <c r="B141" s="332" t="s">
        <v>498</v>
      </c>
      <c r="C141" s="333" t="s">
        <v>499</v>
      </c>
      <c r="D141" s="348" t="s">
        <v>1900</v>
      </c>
      <c r="E141" s="334" t="s">
        <v>1899</v>
      </c>
      <c r="F141" s="335" t="s">
        <v>1163</v>
      </c>
    </row>
    <row r="142" spans="1:6" s="336" customFormat="1" ht="45" x14ac:dyDescent="0.25">
      <c r="A142" s="203" t="s">
        <v>495</v>
      </c>
      <c r="B142" s="332" t="s">
        <v>502</v>
      </c>
      <c r="C142" s="333" t="s">
        <v>1901</v>
      </c>
      <c r="D142" s="348" t="s">
        <v>1903</v>
      </c>
      <c r="E142" s="334" t="s">
        <v>1902</v>
      </c>
      <c r="F142" s="335" t="s">
        <v>1163</v>
      </c>
    </row>
    <row r="143" spans="1:6" s="336" customFormat="1" ht="45" x14ac:dyDescent="0.25">
      <c r="A143" s="203" t="s">
        <v>495</v>
      </c>
      <c r="B143" s="332" t="s">
        <v>457</v>
      </c>
      <c r="C143" s="333" t="s">
        <v>1904</v>
      </c>
      <c r="D143" s="348" t="s">
        <v>1906</v>
      </c>
      <c r="E143" s="334" t="s">
        <v>1905</v>
      </c>
      <c r="F143" s="335" t="s">
        <v>1163</v>
      </c>
    </row>
    <row r="144" spans="1:6" s="336" customFormat="1" ht="45" x14ac:dyDescent="0.25">
      <c r="A144" s="203" t="s">
        <v>495</v>
      </c>
      <c r="B144" s="332" t="s">
        <v>500</v>
      </c>
      <c r="C144" s="333" t="s">
        <v>1907</v>
      </c>
      <c r="D144" s="348" t="s">
        <v>1909</v>
      </c>
      <c r="E144" s="334" t="s">
        <v>1908</v>
      </c>
      <c r="F144" s="335" t="s">
        <v>1163</v>
      </c>
    </row>
    <row r="145" spans="1:6" s="336" customFormat="1" ht="60" x14ac:dyDescent="0.25">
      <c r="A145" s="203" t="s">
        <v>495</v>
      </c>
      <c r="B145" s="332" t="s">
        <v>506</v>
      </c>
      <c r="C145" s="333" t="s">
        <v>1910</v>
      </c>
      <c r="D145" s="348" t="s">
        <v>1912</v>
      </c>
      <c r="E145" s="334" t="s">
        <v>1911</v>
      </c>
      <c r="F145" s="335" t="s">
        <v>1163</v>
      </c>
    </row>
    <row r="146" spans="1:6" s="336" customFormat="1" ht="75" x14ac:dyDescent="0.25">
      <c r="A146" s="203" t="s">
        <v>495</v>
      </c>
      <c r="B146" s="332" t="s">
        <v>501</v>
      </c>
      <c r="C146" s="333" t="s">
        <v>1913</v>
      </c>
      <c r="D146" s="348" t="s">
        <v>1915</v>
      </c>
      <c r="E146" s="334" t="s">
        <v>1914</v>
      </c>
      <c r="F146" s="335" t="s">
        <v>1163</v>
      </c>
    </row>
    <row r="147" spans="1:6" s="336" customFormat="1" ht="120" x14ac:dyDescent="0.25">
      <c r="A147" s="203" t="s">
        <v>445</v>
      </c>
      <c r="B147" s="332" t="s">
        <v>417</v>
      </c>
      <c r="C147" s="333" t="s">
        <v>1916</v>
      </c>
      <c r="D147" s="348" t="s">
        <v>1918</v>
      </c>
      <c r="E147" s="334" t="s">
        <v>1917</v>
      </c>
      <c r="F147" s="335" t="s">
        <v>1163</v>
      </c>
    </row>
    <row r="148" spans="1:6" s="336" customFormat="1" ht="45" x14ac:dyDescent="0.25">
      <c r="A148" s="203" t="s">
        <v>445</v>
      </c>
      <c r="B148" s="332" t="s">
        <v>452</v>
      </c>
      <c r="C148" s="333" t="s">
        <v>1919</v>
      </c>
      <c r="D148" s="348" t="s">
        <v>1921</v>
      </c>
      <c r="E148" s="334" t="s">
        <v>1920</v>
      </c>
      <c r="F148" s="335" t="s">
        <v>1163</v>
      </c>
    </row>
    <row r="149" spans="1:6" s="336" customFormat="1" ht="45" x14ac:dyDescent="0.25">
      <c r="A149" s="203" t="s">
        <v>445</v>
      </c>
      <c r="B149" s="332" t="s">
        <v>456</v>
      </c>
      <c r="C149" s="333" t="s">
        <v>1922</v>
      </c>
      <c r="D149" s="348" t="s">
        <v>1923</v>
      </c>
      <c r="E149" s="334" t="s">
        <v>1920</v>
      </c>
      <c r="F149" s="335" t="s">
        <v>1163</v>
      </c>
    </row>
    <row r="150" spans="1:6" s="336" customFormat="1" ht="45" x14ac:dyDescent="0.25">
      <c r="A150" s="203" t="s">
        <v>445</v>
      </c>
      <c r="B150" s="332" t="s">
        <v>1924</v>
      </c>
      <c r="C150" s="333" t="s">
        <v>1925</v>
      </c>
      <c r="D150" s="348" t="s">
        <v>1923</v>
      </c>
      <c r="E150" s="334" t="s">
        <v>1920</v>
      </c>
      <c r="F150" s="335" t="s">
        <v>1163</v>
      </c>
    </row>
    <row r="151" spans="1:6" s="336" customFormat="1" ht="75" x14ac:dyDescent="0.25">
      <c r="A151" s="203" t="s">
        <v>445</v>
      </c>
      <c r="B151" s="332" t="s">
        <v>453</v>
      </c>
      <c r="C151" s="333" t="s">
        <v>1926</v>
      </c>
      <c r="D151" s="348" t="s">
        <v>1928</v>
      </c>
      <c r="E151" s="334" t="s">
        <v>1927</v>
      </c>
      <c r="F151" s="335" t="s">
        <v>1163</v>
      </c>
    </row>
    <row r="152" spans="1:6" s="336" customFormat="1" ht="60" x14ac:dyDescent="0.25">
      <c r="A152" s="203" t="s">
        <v>445</v>
      </c>
      <c r="B152" s="332" t="s">
        <v>454</v>
      </c>
      <c r="C152" s="333" t="s">
        <v>1929</v>
      </c>
      <c r="D152" s="348" t="s">
        <v>1931</v>
      </c>
      <c r="E152" s="334" t="s">
        <v>1930</v>
      </c>
      <c r="F152" s="335" t="s">
        <v>1163</v>
      </c>
    </row>
    <row r="153" spans="1:6" s="336" customFormat="1" ht="120" x14ac:dyDescent="0.25">
      <c r="A153" s="203" t="s">
        <v>445</v>
      </c>
      <c r="B153" s="332" t="s">
        <v>446</v>
      </c>
      <c r="C153" s="341" t="s">
        <v>1932</v>
      </c>
      <c r="D153" s="348" t="s">
        <v>1934</v>
      </c>
      <c r="E153" s="334" t="s">
        <v>1933</v>
      </c>
      <c r="F153" s="335" t="s">
        <v>1163</v>
      </c>
    </row>
    <row r="154" spans="1:6" s="336" customFormat="1" ht="60" x14ac:dyDescent="0.25">
      <c r="A154" s="203" t="s">
        <v>445</v>
      </c>
      <c r="B154" s="332" t="s">
        <v>447</v>
      </c>
      <c r="C154" s="333" t="s">
        <v>1935</v>
      </c>
      <c r="D154" s="348" t="s">
        <v>1937</v>
      </c>
      <c r="E154" s="334" t="s">
        <v>1936</v>
      </c>
      <c r="F154" s="335" t="s">
        <v>1163</v>
      </c>
    </row>
    <row r="155" spans="1:6" s="336" customFormat="1" ht="45" x14ac:dyDescent="0.25">
      <c r="A155" s="203" t="s">
        <v>445</v>
      </c>
      <c r="B155" s="332" t="s">
        <v>455</v>
      </c>
      <c r="C155" s="333" t="s">
        <v>1938</v>
      </c>
      <c r="D155" s="348" t="s">
        <v>1940</v>
      </c>
      <c r="E155" s="334" t="s">
        <v>1939</v>
      </c>
      <c r="F155" s="335" t="s">
        <v>1163</v>
      </c>
    </row>
    <row r="156" spans="1:6" s="336" customFormat="1" ht="60" x14ac:dyDescent="0.25">
      <c r="A156" s="203" t="s">
        <v>445</v>
      </c>
      <c r="B156" s="332" t="s">
        <v>448</v>
      </c>
      <c r="C156" s="333" t="s">
        <v>1941</v>
      </c>
      <c r="D156" s="348" t="s">
        <v>1943</v>
      </c>
      <c r="E156" s="334" t="s">
        <v>1942</v>
      </c>
      <c r="F156" s="335" t="s">
        <v>1163</v>
      </c>
    </row>
    <row r="157" spans="1:6" s="336" customFormat="1" ht="45" x14ac:dyDescent="0.25">
      <c r="A157" s="203" t="s">
        <v>445</v>
      </c>
      <c r="B157" s="332" t="s">
        <v>450</v>
      </c>
      <c r="C157" s="333" t="s">
        <v>1944</v>
      </c>
      <c r="D157" s="348" t="s">
        <v>1946</v>
      </c>
      <c r="E157" s="334" t="s">
        <v>1945</v>
      </c>
      <c r="F157" s="335" t="s">
        <v>1163</v>
      </c>
    </row>
    <row r="158" spans="1:6" s="336" customFormat="1" ht="60" x14ac:dyDescent="0.25">
      <c r="A158" s="203" t="s">
        <v>445</v>
      </c>
      <c r="B158" s="332" t="s">
        <v>449</v>
      </c>
      <c r="C158" s="333" t="s">
        <v>1947</v>
      </c>
      <c r="D158" s="348" t="s">
        <v>1949</v>
      </c>
      <c r="E158" s="334" t="s">
        <v>1948</v>
      </c>
      <c r="F158" s="335" t="s">
        <v>1163</v>
      </c>
    </row>
    <row r="159" spans="1:6" s="336" customFormat="1" ht="75" x14ac:dyDescent="0.25">
      <c r="A159" s="203" t="s">
        <v>445</v>
      </c>
      <c r="B159" s="332" t="s">
        <v>451</v>
      </c>
      <c r="C159" s="333" t="s">
        <v>1950</v>
      </c>
      <c r="D159" s="348" t="s">
        <v>1952</v>
      </c>
      <c r="E159" s="334" t="s">
        <v>1951</v>
      </c>
      <c r="F159" s="335" t="s">
        <v>1163</v>
      </c>
    </row>
    <row r="160" spans="1:6" s="336" customFormat="1" ht="45" x14ac:dyDescent="0.25">
      <c r="A160" s="203" t="s">
        <v>445</v>
      </c>
      <c r="B160" s="332" t="s">
        <v>457</v>
      </c>
      <c r="C160" s="333" t="s">
        <v>1953</v>
      </c>
      <c r="D160" s="348" t="s">
        <v>1952</v>
      </c>
      <c r="E160" s="334" t="s">
        <v>1951</v>
      </c>
      <c r="F160" s="335" t="s">
        <v>1163</v>
      </c>
    </row>
    <row r="161" spans="1:6" s="336" customFormat="1" ht="45" x14ac:dyDescent="0.25">
      <c r="A161" s="203" t="s">
        <v>445</v>
      </c>
      <c r="B161" s="332" t="s">
        <v>458</v>
      </c>
      <c r="C161" s="333" t="s">
        <v>1954</v>
      </c>
      <c r="D161" s="348" t="s">
        <v>1952</v>
      </c>
      <c r="E161" s="334" t="s">
        <v>1951</v>
      </c>
      <c r="F161" s="335" t="s">
        <v>1163</v>
      </c>
    </row>
    <row r="162" spans="1:6" s="336" customFormat="1" ht="225" x14ac:dyDescent="0.25">
      <c r="A162" s="203" t="s">
        <v>557</v>
      </c>
      <c r="B162" s="332" t="s">
        <v>564</v>
      </c>
      <c r="C162" s="333" t="s">
        <v>1955</v>
      </c>
      <c r="D162" s="348" t="s">
        <v>1957</v>
      </c>
      <c r="E162" s="334" t="s">
        <v>1956</v>
      </c>
      <c r="F162" s="335" t="s">
        <v>1163</v>
      </c>
    </row>
    <row r="163" spans="1:6" s="336" customFormat="1" ht="45" x14ac:dyDescent="0.25">
      <c r="A163" s="203" t="s">
        <v>557</v>
      </c>
      <c r="B163" s="332" t="s">
        <v>562</v>
      </c>
      <c r="C163" s="333" t="s">
        <v>1958</v>
      </c>
      <c r="D163" s="348" t="s">
        <v>1960</v>
      </c>
      <c r="E163" s="334" t="s">
        <v>1959</v>
      </c>
      <c r="F163" s="335" t="s">
        <v>1163</v>
      </c>
    </row>
    <row r="164" spans="1:6" s="336" customFormat="1" ht="105" x14ac:dyDescent="0.25">
      <c r="A164" s="203" t="s">
        <v>557</v>
      </c>
      <c r="B164" s="332" t="s">
        <v>563</v>
      </c>
      <c r="C164" s="333" t="s">
        <v>1961</v>
      </c>
      <c r="D164" s="348" t="s">
        <v>1962</v>
      </c>
      <c r="E164" s="334" t="s">
        <v>1959</v>
      </c>
      <c r="F164" s="335" t="s">
        <v>1163</v>
      </c>
    </row>
    <row r="165" spans="1:6" s="336" customFormat="1" ht="60" x14ac:dyDescent="0.25">
      <c r="A165" s="203" t="s">
        <v>557</v>
      </c>
      <c r="B165" s="332" t="s">
        <v>561</v>
      </c>
      <c r="C165" s="333" t="s">
        <v>1963</v>
      </c>
      <c r="D165" s="348" t="s">
        <v>1965</v>
      </c>
      <c r="E165" s="334" t="s">
        <v>1964</v>
      </c>
      <c r="F165" s="335" t="s">
        <v>1163</v>
      </c>
    </row>
    <row r="166" spans="1:6" s="336" customFormat="1" ht="120" x14ac:dyDescent="0.25">
      <c r="A166" s="203" t="s">
        <v>557</v>
      </c>
      <c r="B166" s="332" t="s">
        <v>565</v>
      </c>
      <c r="C166" s="333" t="s">
        <v>1966</v>
      </c>
      <c r="D166" s="348" t="s">
        <v>1968</v>
      </c>
      <c r="E166" s="334" t="s">
        <v>1967</v>
      </c>
      <c r="F166" s="335" t="s">
        <v>1163</v>
      </c>
    </row>
    <row r="167" spans="1:6" s="336" customFormat="1" ht="60" x14ac:dyDescent="0.25">
      <c r="A167" s="203" t="s">
        <v>557</v>
      </c>
      <c r="B167" s="332" t="s">
        <v>325</v>
      </c>
      <c r="C167" s="333" t="s">
        <v>1969</v>
      </c>
      <c r="D167" s="348" t="s">
        <v>1971</v>
      </c>
      <c r="E167" s="334" t="s">
        <v>1970</v>
      </c>
      <c r="F167" s="335" t="s">
        <v>1163</v>
      </c>
    </row>
    <row r="168" spans="1:6" s="336" customFormat="1" ht="60" x14ac:dyDescent="0.25">
      <c r="A168" s="203" t="s">
        <v>557</v>
      </c>
      <c r="B168" s="332" t="s">
        <v>1972</v>
      </c>
      <c r="C168" s="333" t="s">
        <v>1973</v>
      </c>
      <c r="D168" s="348" t="s">
        <v>1975</v>
      </c>
      <c r="E168" s="334" t="s">
        <v>1974</v>
      </c>
      <c r="F168" s="335" t="s">
        <v>1163</v>
      </c>
    </row>
    <row r="169" spans="1:6" s="336" customFormat="1" ht="90" x14ac:dyDescent="0.25">
      <c r="A169" s="203" t="s">
        <v>557</v>
      </c>
      <c r="B169" s="332" t="s">
        <v>1976</v>
      </c>
      <c r="C169" s="333" t="s">
        <v>1977</v>
      </c>
      <c r="D169" s="348" t="s">
        <v>1979</v>
      </c>
      <c r="E169" s="334" t="s">
        <v>1978</v>
      </c>
      <c r="F169" s="335" t="s">
        <v>1163</v>
      </c>
    </row>
    <row r="170" spans="1:6" s="336" customFormat="1" ht="60" x14ac:dyDescent="0.25">
      <c r="A170" s="203" t="s">
        <v>557</v>
      </c>
      <c r="B170" s="332" t="s">
        <v>559</v>
      </c>
      <c r="C170" s="333" t="s">
        <v>1980</v>
      </c>
      <c r="D170" s="348" t="s">
        <v>1982</v>
      </c>
      <c r="E170" s="334" t="s">
        <v>1981</v>
      </c>
      <c r="F170" s="335" t="s">
        <v>1163</v>
      </c>
    </row>
    <row r="171" spans="1:6" s="336" customFormat="1" ht="135" x14ac:dyDescent="0.25">
      <c r="A171" s="203" t="s">
        <v>557</v>
      </c>
      <c r="B171" s="332" t="s">
        <v>558</v>
      </c>
      <c r="C171" s="333" t="s">
        <v>1983</v>
      </c>
      <c r="D171" s="348" t="s">
        <v>1985</v>
      </c>
      <c r="E171" s="334" t="s">
        <v>1984</v>
      </c>
      <c r="F171" s="335" t="s">
        <v>1163</v>
      </c>
    </row>
    <row r="172" spans="1:6" s="336" customFormat="1" ht="45" x14ac:dyDescent="0.25">
      <c r="A172" s="203" t="s">
        <v>557</v>
      </c>
      <c r="B172" s="332" t="s">
        <v>560</v>
      </c>
      <c r="C172" s="333" t="s">
        <v>1986</v>
      </c>
      <c r="D172" s="348" t="s">
        <v>1988</v>
      </c>
      <c r="E172" s="334" t="s">
        <v>1987</v>
      </c>
      <c r="F172" s="335" t="s">
        <v>1163</v>
      </c>
    </row>
    <row r="173" spans="1:6" s="336" customFormat="1" ht="60" x14ac:dyDescent="0.25">
      <c r="A173" s="203" t="s">
        <v>557</v>
      </c>
      <c r="B173" s="332" t="s">
        <v>1989</v>
      </c>
      <c r="C173" s="333" t="s">
        <v>1990</v>
      </c>
      <c r="D173" s="348" t="s">
        <v>1992</v>
      </c>
      <c r="E173" s="334" t="s">
        <v>1991</v>
      </c>
      <c r="F173" s="335" t="s">
        <v>1163</v>
      </c>
    </row>
    <row r="174" spans="1:6" s="336" customFormat="1" ht="60" x14ac:dyDescent="0.25">
      <c r="A174" s="203" t="s">
        <v>479</v>
      </c>
      <c r="B174" s="332" t="s">
        <v>482</v>
      </c>
      <c r="C174" s="333" t="s">
        <v>1993</v>
      </c>
      <c r="D174" s="348" t="s">
        <v>1995</v>
      </c>
      <c r="E174" s="334" t="s">
        <v>1994</v>
      </c>
      <c r="F174" s="335" t="s">
        <v>1163</v>
      </c>
    </row>
    <row r="175" spans="1:6" s="336" customFormat="1" ht="345" x14ac:dyDescent="0.25">
      <c r="A175" s="203" t="s">
        <v>479</v>
      </c>
      <c r="B175" s="332" t="s">
        <v>355</v>
      </c>
      <c r="C175" s="333" t="s">
        <v>1996</v>
      </c>
      <c r="D175" s="348" t="s">
        <v>1998</v>
      </c>
      <c r="E175" s="334" t="s">
        <v>1997</v>
      </c>
      <c r="F175" s="335" t="s">
        <v>1163</v>
      </c>
    </row>
    <row r="176" spans="1:6" s="336" customFormat="1" ht="105" x14ac:dyDescent="0.25">
      <c r="A176" s="203" t="s">
        <v>479</v>
      </c>
      <c r="B176" s="332" t="s">
        <v>483</v>
      </c>
      <c r="C176" s="333" t="s">
        <v>1999</v>
      </c>
      <c r="D176" s="348" t="s">
        <v>2001</v>
      </c>
      <c r="E176" s="334" t="s">
        <v>2000</v>
      </c>
      <c r="F176" s="335" t="s">
        <v>1163</v>
      </c>
    </row>
    <row r="177" spans="1:6" s="336" customFormat="1" ht="90" x14ac:dyDescent="0.25">
      <c r="A177" s="203" t="s">
        <v>479</v>
      </c>
      <c r="B177" s="332" t="s">
        <v>381</v>
      </c>
      <c r="C177" s="333" t="s">
        <v>2002</v>
      </c>
      <c r="D177" s="348" t="s">
        <v>2004</v>
      </c>
      <c r="E177" s="334" t="s">
        <v>2003</v>
      </c>
      <c r="F177" s="335" t="s">
        <v>1163</v>
      </c>
    </row>
    <row r="178" spans="1:6" s="336" customFormat="1" ht="75" x14ac:dyDescent="0.25">
      <c r="A178" s="203" t="s">
        <v>479</v>
      </c>
      <c r="B178" s="332" t="s">
        <v>481</v>
      </c>
      <c r="C178" s="333" t="s">
        <v>2005</v>
      </c>
      <c r="D178" s="348" t="s">
        <v>2007</v>
      </c>
      <c r="E178" s="334" t="s">
        <v>2006</v>
      </c>
      <c r="F178" s="335" t="s">
        <v>1163</v>
      </c>
    </row>
    <row r="179" spans="1:6" s="336" customFormat="1" ht="90" x14ac:dyDescent="0.25">
      <c r="A179" s="203" t="s">
        <v>479</v>
      </c>
      <c r="B179" s="332" t="s">
        <v>480</v>
      </c>
      <c r="C179" s="333" t="s">
        <v>2008</v>
      </c>
      <c r="D179" s="348" t="s">
        <v>2010</v>
      </c>
      <c r="E179" s="334" t="s">
        <v>2009</v>
      </c>
      <c r="F179" s="335" t="s">
        <v>1163</v>
      </c>
    </row>
    <row r="180" spans="1:6" s="336" customFormat="1" ht="45" x14ac:dyDescent="0.25">
      <c r="A180" s="203" t="s">
        <v>687</v>
      </c>
      <c r="B180" s="332" t="s">
        <v>688</v>
      </c>
      <c r="C180" s="333" t="s">
        <v>2011</v>
      </c>
      <c r="D180" s="348" t="s">
        <v>2013</v>
      </c>
      <c r="E180" s="334" t="s">
        <v>2012</v>
      </c>
      <c r="F180" s="335" t="s">
        <v>1163</v>
      </c>
    </row>
    <row r="181" spans="1:6" s="336" customFormat="1" ht="45" x14ac:dyDescent="0.25">
      <c r="A181" s="203" t="s">
        <v>687</v>
      </c>
      <c r="B181" s="332" t="s">
        <v>689</v>
      </c>
      <c r="C181" s="333" t="s">
        <v>2014</v>
      </c>
      <c r="D181" s="348" t="s">
        <v>2015</v>
      </c>
      <c r="E181" s="334" t="s">
        <v>2012</v>
      </c>
      <c r="F181" s="335" t="s">
        <v>1163</v>
      </c>
    </row>
    <row r="182" spans="1:6" s="336" customFormat="1" ht="120" x14ac:dyDescent="0.25">
      <c r="A182" s="203" t="s">
        <v>687</v>
      </c>
      <c r="B182" s="332" t="s">
        <v>428</v>
      </c>
      <c r="C182" s="333" t="s">
        <v>2016</v>
      </c>
      <c r="D182" s="348" t="s">
        <v>2015</v>
      </c>
      <c r="E182" s="334" t="s">
        <v>2012</v>
      </c>
      <c r="F182" s="335" t="s">
        <v>1163</v>
      </c>
    </row>
    <row r="183" spans="1:6" s="336" customFormat="1" ht="45" x14ac:dyDescent="0.25">
      <c r="A183" s="203" t="s">
        <v>687</v>
      </c>
      <c r="B183" s="332" t="s">
        <v>691</v>
      </c>
      <c r="C183" s="333" t="s">
        <v>2017</v>
      </c>
      <c r="D183" s="348" t="s">
        <v>2015</v>
      </c>
      <c r="E183" s="334" t="s">
        <v>2012</v>
      </c>
      <c r="F183" s="335" t="s">
        <v>1163</v>
      </c>
    </row>
    <row r="184" spans="1:6" s="336" customFormat="1" ht="45" x14ac:dyDescent="0.25">
      <c r="A184" s="203" t="s">
        <v>687</v>
      </c>
      <c r="B184" s="332" t="s">
        <v>692</v>
      </c>
      <c r="C184" s="333" t="s">
        <v>2018</v>
      </c>
      <c r="D184" s="348" t="s">
        <v>2015</v>
      </c>
      <c r="E184" s="334" t="s">
        <v>2012</v>
      </c>
      <c r="F184" s="335" t="s">
        <v>1163</v>
      </c>
    </row>
    <row r="185" spans="1:6" s="336" customFormat="1" ht="60" x14ac:dyDescent="0.25">
      <c r="A185" s="203" t="s">
        <v>687</v>
      </c>
      <c r="B185" s="332" t="s">
        <v>690</v>
      </c>
      <c r="C185" s="333" t="s">
        <v>2019</v>
      </c>
      <c r="D185" s="348" t="s">
        <v>2021</v>
      </c>
      <c r="E185" s="334" t="s">
        <v>2020</v>
      </c>
      <c r="F185" s="335" t="s">
        <v>1163</v>
      </c>
    </row>
    <row r="186" spans="1:6" s="336" customFormat="1" ht="60" x14ac:dyDescent="0.25">
      <c r="A186" s="203" t="s">
        <v>642</v>
      </c>
      <c r="B186" s="332" t="s">
        <v>646</v>
      </c>
      <c r="C186" s="333" t="s">
        <v>2022</v>
      </c>
      <c r="D186" s="348" t="s">
        <v>1676</v>
      </c>
      <c r="E186" s="334" t="s">
        <v>2023</v>
      </c>
      <c r="F186" s="335" t="s">
        <v>1163</v>
      </c>
    </row>
    <row r="187" spans="1:6" s="336" customFormat="1" ht="75" x14ac:dyDescent="0.25">
      <c r="A187" s="203" t="s">
        <v>642</v>
      </c>
      <c r="B187" s="332" t="s">
        <v>643</v>
      </c>
      <c r="C187" s="333" t="s">
        <v>2024</v>
      </c>
      <c r="D187" s="348" t="s">
        <v>2026</v>
      </c>
      <c r="E187" s="334" t="s">
        <v>2025</v>
      </c>
      <c r="F187" s="335" t="s">
        <v>1163</v>
      </c>
    </row>
    <row r="188" spans="1:6" s="336" customFormat="1" ht="45" x14ac:dyDescent="0.25">
      <c r="A188" s="203" t="s">
        <v>642</v>
      </c>
      <c r="B188" s="332" t="s">
        <v>644</v>
      </c>
      <c r="C188" s="333" t="s">
        <v>2027</v>
      </c>
      <c r="D188" s="348" t="s">
        <v>2029</v>
      </c>
      <c r="E188" s="334" t="s">
        <v>2028</v>
      </c>
      <c r="F188" s="335" t="s">
        <v>1163</v>
      </c>
    </row>
    <row r="189" spans="1:6" s="336" customFormat="1" ht="45" x14ac:dyDescent="0.25">
      <c r="A189" s="203" t="s">
        <v>642</v>
      </c>
      <c r="B189" s="332" t="s">
        <v>2030</v>
      </c>
      <c r="C189" s="333"/>
      <c r="D189" s="348" t="s">
        <v>2032</v>
      </c>
      <c r="E189" s="334" t="s">
        <v>2031</v>
      </c>
      <c r="F189" s="335" t="s">
        <v>1163</v>
      </c>
    </row>
    <row r="190" spans="1:6" s="336" customFormat="1" ht="60" x14ac:dyDescent="0.25">
      <c r="A190" s="203" t="s">
        <v>642</v>
      </c>
      <c r="B190" s="332" t="s">
        <v>645</v>
      </c>
      <c r="C190" s="333" t="s">
        <v>2033</v>
      </c>
      <c r="D190" s="348" t="s">
        <v>2035</v>
      </c>
      <c r="E190" s="334" t="s">
        <v>2034</v>
      </c>
      <c r="F190" s="335" t="s">
        <v>1163</v>
      </c>
    </row>
    <row r="191" spans="1:6" s="336" customFormat="1" ht="45" x14ac:dyDescent="0.25">
      <c r="A191" s="203" t="s">
        <v>671</v>
      </c>
      <c r="B191" s="332" t="s">
        <v>674</v>
      </c>
      <c r="C191" s="333" t="s">
        <v>2036</v>
      </c>
      <c r="D191" s="348" t="s">
        <v>2038</v>
      </c>
      <c r="E191" s="334" t="s">
        <v>2037</v>
      </c>
      <c r="F191" s="335" t="s">
        <v>1163</v>
      </c>
    </row>
    <row r="192" spans="1:6" s="336" customFormat="1" ht="45" x14ac:dyDescent="0.25">
      <c r="A192" s="203" t="s">
        <v>671</v>
      </c>
      <c r="B192" s="332" t="s">
        <v>676</v>
      </c>
      <c r="C192" s="333" t="s">
        <v>2039</v>
      </c>
      <c r="D192" s="348" t="s">
        <v>2040</v>
      </c>
      <c r="E192" s="334" t="s">
        <v>2037</v>
      </c>
      <c r="F192" s="335" t="s">
        <v>1163</v>
      </c>
    </row>
    <row r="193" spans="1:6" s="336" customFormat="1" ht="120" x14ac:dyDescent="0.25">
      <c r="A193" s="203" t="s">
        <v>671</v>
      </c>
      <c r="B193" s="332" t="s">
        <v>392</v>
      </c>
      <c r="C193" s="333" t="s">
        <v>2041</v>
      </c>
      <c r="D193" s="348" t="s">
        <v>2040</v>
      </c>
      <c r="E193" s="334" t="s">
        <v>2037</v>
      </c>
      <c r="F193" s="335" t="s">
        <v>1163</v>
      </c>
    </row>
    <row r="194" spans="1:6" s="336" customFormat="1" ht="75" x14ac:dyDescent="0.25">
      <c r="A194" s="203" t="s">
        <v>671</v>
      </c>
      <c r="B194" s="332" t="s">
        <v>2042</v>
      </c>
      <c r="C194" s="333" t="s">
        <v>2043</v>
      </c>
      <c r="D194" s="348" t="s">
        <v>2040</v>
      </c>
      <c r="E194" s="334" t="s">
        <v>2037</v>
      </c>
      <c r="F194" s="335" t="s">
        <v>1163</v>
      </c>
    </row>
    <row r="195" spans="1:6" s="336" customFormat="1" ht="45" x14ac:dyDescent="0.25">
      <c r="A195" s="203" t="s">
        <v>671</v>
      </c>
      <c r="B195" s="332" t="s">
        <v>672</v>
      </c>
      <c r="C195" s="333" t="s">
        <v>2044</v>
      </c>
      <c r="D195" s="348" t="s">
        <v>2046</v>
      </c>
      <c r="E195" s="334" t="s">
        <v>2045</v>
      </c>
      <c r="F195" s="335" t="s">
        <v>1163</v>
      </c>
    </row>
    <row r="196" spans="1:6" s="336" customFormat="1" ht="120" x14ac:dyDescent="0.25">
      <c r="A196" s="203" t="s">
        <v>671</v>
      </c>
      <c r="B196" s="332" t="s">
        <v>675</v>
      </c>
      <c r="C196" s="333" t="s">
        <v>2047</v>
      </c>
      <c r="D196" s="348" t="s">
        <v>2048</v>
      </c>
      <c r="E196" s="334" t="s">
        <v>2045</v>
      </c>
      <c r="F196" s="335" t="s">
        <v>1163</v>
      </c>
    </row>
    <row r="197" spans="1:6" s="336" customFormat="1" ht="60" x14ac:dyDescent="0.25">
      <c r="A197" s="203" t="s">
        <v>671</v>
      </c>
      <c r="B197" s="332" t="s">
        <v>673</v>
      </c>
      <c r="C197" s="333" t="s">
        <v>2049</v>
      </c>
      <c r="D197" s="348" t="s">
        <v>2051</v>
      </c>
      <c r="E197" s="334" t="s">
        <v>2050</v>
      </c>
      <c r="F197" s="335" t="s">
        <v>1163</v>
      </c>
    </row>
    <row r="198" spans="1:6" s="336" customFormat="1" ht="60" x14ac:dyDescent="0.25">
      <c r="A198" s="203" t="s">
        <v>547</v>
      </c>
      <c r="B198" s="332" t="s">
        <v>548</v>
      </c>
      <c r="C198" s="333" t="s">
        <v>2052</v>
      </c>
      <c r="D198" s="348" t="s">
        <v>2054</v>
      </c>
      <c r="E198" s="334" t="s">
        <v>2053</v>
      </c>
      <c r="F198" s="335" t="s">
        <v>1163</v>
      </c>
    </row>
    <row r="199" spans="1:6" s="336" customFormat="1" ht="60" x14ac:dyDescent="0.25">
      <c r="A199" s="203" t="s">
        <v>547</v>
      </c>
      <c r="B199" s="332" t="s">
        <v>549</v>
      </c>
      <c r="C199" s="333" t="s">
        <v>2055</v>
      </c>
      <c r="D199" s="348" t="s">
        <v>2057</v>
      </c>
      <c r="E199" s="334" t="s">
        <v>2056</v>
      </c>
      <c r="F199" s="335" t="s">
        <v>1163</v>
      </c>
    </row>
    <row r="200" spans="1:6" s="336" customFormat="1" ht="45" x14ac:dyDescent="0.25">
      <c r="A200" s="203" t="s">
        <v>509</v>
      </c>
      <c r="B200" s="332" t="s">
        <v>515</v>
      </c>
      <c r="C200" s="333" t="s">
        <v>2058</v>
      </c>
      <c r="D200" s="348" t="s">
        <v>2060</v>
      </c>
      <c r="E200" s="334" t="s">
        <v>2059</v>
      </c>
      <c r="F200" s="335" t="s">
        <v>1163</v>
      </c>
    </row>
    <row r="201" spans="1:6" s="336" customFormat="1" ht="45" x14ac:dyDescent="0.25">
      <c r="A201" s="203" t="s">
        <v>509</v>
      </c>
      <c r="B201" s="332" t="s">
        <v>351</v>
      </c>
      <c r="C201" s="333" t="s">
        <v>2061</v>
      </c>
      <c r="D201" s="348" t="s">
        <v>2063</v>
      </c>
      <c r="E201" s="334" t="s">
        <v>2062</v>
      </c>
      <c r="F201" s="335" t="s">
        <v>1163</v>
      </c>
    </row>
    <row r="202" spans="1:6" s="336" customFormat="1" ht="45" x14ac:dyDescent="0.25">
      <c r="A202" s="203" t="s">
        <v>509</v>
      </c>
      <c r="B202" s="332" t="s">
        <v>515</v>
      </c>
      <c r="C202" s="342" t="s">
        <v>2064</v>
      </c>
      <c r="D202" s="348" t="s">
        <v>2066</v>
      </c>
      <c r="E202" s="334" t="s">
        <v>2065</v>
      </c>
      <c r="F202" s="335" t="s">
        <v>1163</v>
      </c>
    </row>
    <row r="203" spans="1:6" s="336" customFormat="1" ht="75" x14ac:dyDescent="0.25">
      <c r="A203" s="203" t="s">
        <v>509</v>
      </c>
      <c r="B203" s="332" t="s">
        <v>325</v>
      </c>
      <c r="C203" s="333" t="s">
        <v>2067</v>
      </c>
      <c r="D203" s="348" t="s">
        <v>2069</v>
      </c>
      <c r="E203" s="334" t="s">
        <v>2068</v>
      </c>
      <c r="F203" s="335" t="s">
        <v>1163</v>
      </c>
    </row>
    <row r="204" spans="1:6" s="336" customFormat="1" ht="45" x14ac:dyDescent="0.25">
      <c r="A204" s="203" t="s">
        <v>509</v>
      </c>
      <c r="B204" s="332" t="s">
        <v>510</v>
      </c>
      <c r="C204" s="333" t="s">
        <v>2070</v>
      </c>
      <c r="D204" s="348" t="s">
        <v>2072</v>
      </c>
      <c r="E204" s="334" t="s">
        <v>2071</v>
      </c>
      <c r="F204" s="335" t="s">
        <v>1163</v>
      </c>
    </row>
    <row r="205" spans="1:6" s="336" customFormat="1" ht="75" x14ac:dyDescent="0.25">
      <c r="A205" s="203" t="s">
        <v>509</v>
      </c>
      <c r="B205" s="332" t="s">
        <v>392</v>
      </c>
      <c r="C205" s="333" t="s">
        <v>2073</v>
      </c>
      <c r="D205" s="348" t="s">
        <v>2075</v>
      </c>
      <c r="E205" s="334" t="s">
        <v>2074</v>
      </c>
      <c r="F205" s="335" t="s">
        <v>1163</v>
      </c>
    </row>
    <row r="206" spans="1:6" s="336" customFormat="1" ht="135" x14ac:dyDescent="0.25">
      <c r="A206" s="203" t="s">
        <v>509</v>
      </c>
      <c r="B206" s="332" t="s">
        <v>512</v>
      </c>
      <c r="C206" s="333" t="s">
        <v>2076</v>
      </c>
      <c r="D206" s="348" t="s">
        <v>2078</v>
      </c>
      <c r="E206" s="334" t="s">
        <v>2077</v>
      </c>
      <c r="F206" s="335" t="s">
        <v>1163</v>
      </c>
    </row>
    <row r="207" spans="1:6" s="336" customFormat="1" ht="60" x14ac:dyDescent="0.25">
      <c r="A207" s="203" t="s">
        <v>509</v>
      </c>
      <c r="B207" s="332" t="s">
        <v>350</v>
      </c>
      <c r="C207" s="333" t="s">
        <v>2079</v>
      </c>
      <c r="D207" s="348" t="s">
        <v>1854</v>
      </c>
      <c r="E207" s="334" t="s">
        <v>2080</v>
      </c>
      <c r="F207" s="335" t="s">
        <v>1163</v>
      </c>
    </row>
    <row r="208" spans="1:6" s="336" customFormat="1" ht="75" x14ac:dyDescent="0.25">
      <c r="A208" s="203" t="s">
        <v>509</v>
      </c>
      <c r="B208" s="332" t="s">
        <v>514</v>
      </c>
      <c r="C208" s="333" t="s">
        <v>2081</v>
      </c>
      <c r="D208" s="348" t="s">
        <v>2083</v>
      </c>
      <c r="E208" s="334" t="s">
        <v>2082</v>
      </c>
      <c r="F208" s="335" t="s">
        <v>1163</v>
      </c>
    </row>
    <row r="209" spans="1:6" s="336" customFormat="1" ht="60" x14ac:dyDescent="0.25">
      <c r="A209" s="203" t="s">
        <v>509</v>
      </c>
      <c r="B209" s="332" t="s">
        <v>511</v>
      </c>
      <c r="C209" s="333" t="s">
        <v>2084</v>
      </c>
      <c r="D209" s="348" t="s">
        <v>2086</v>
      </c>
      <c r="E209" s="334" t="s">
        <v>2085</v>
      </c>
      <c r="F209" s="335" t="s">
        <v>1163</v>
      </c>
    </row>
    <row r="210" spans="1:6" s="336" customFormat="1" ht="135" x14ac:dyDescent="0.25">
      <c r="A210" s="203" t="s">
        <v>509</v>
      </c>
      <c r="B210" s="332" t="s">
        <v>2087</v>
      </c>
      <c r="C210" s="333" t="s">
        <v>2088</v>
      </c>
      <c r="D210" s="348" t="s">
        <v>2090</v>
      </c>
      <c r="E210" s="334" t="s">
        <v>2089</v>
      </c>
      <c r="F210" s="335" t="s">
        <v>1163</v>
      </c>
    </row>
    <row r="211" spans="1:6" s="336" customFormat="1" ht="60" x14ac:dyDescent="0.25">
      <c r="A211" s="203" t="s">
        <v>509</v>
      </c>
      <c r="B211" s="332" t="s">
        <v>443</v>
      </c>
      <c r="C211" s="333" t="s">
        <v>2091</v>
      </c>
      <c r="D211" s="348" t="s">
        <v>2093</v>
      </c>
      <c r="E211" s="334" t="s">
        <v>2092</v>
      </c>
      <c r="F211" s="335" t="s">
        <v>1163</v>
      </c>
    </row>
    <row r="212" spans="1:6" s="336" customFormat="1" ht="60" x14ac:dyDescent="0.25">
      <c r="A212" s="203" t="s">
        <v>509</v>
      </c>
      <c r="B212" s="332" t="s">
        <v>513</v>
      </c>
      <c r="C212" s="333" t="s">
        <v>2094</v>
      </c>
      <c r="D212" s="348" t="s">
        <v>2093</v>
      </c>
      <c r="E212" s="334" t="s">
        <v>2092</v>
      </c>
      <c r="F212" s="335" t="s">
        <v>1163</v>
      </c>
    </row>
    <row r="213" spans="1:6" s="336" customFormat="1" ht="75" x14ac:dyDescent="0.25">
      <c r="A213" s="203" t="s">
        <v>572</v>
      </c>
      <c r="B213" s="332" t="s">
        <v>573</v>
      </c>
      <c r="C213" s="333" t="s">
        <v>2095</v>
      </c>
      <c r="D213" s="348" t="s">
        <v>2097</v>
      </c>
      <c r="E213" s="334" t="s">
        <v>2096</v>
      </c>
      <c r="F213" s="335" t="s">
        <v>1163</v>
      </c>
    </row>
    <row r="214" spans="1:6" s="336" customFormat="1" ht="75" x14ac:dyDescent="0.25">
      <c r="A214" s="203" t="s">
        <v>572</v>
      </c>
      <c r="B214" s="332" t="s">
        <v>574</v>
      </c>
      <c r="C214" s="333" t="s">
        <v>2098</v>
      </c>
      <c r="D214" s="348" t="s">
        <v>2100</v>
      </c>
      <c r="E214" s="334" t="s">
        <v>2099</v>
      </c>
      <c r="F214" s="335" t="s">
        <v>1163</v>
      </c>
    </row>
    <row r="215" spans="1:6" s="336" customFormat="1" ht="60" x14ac:dyDescent="0.25">
      <c r="A215" s="203" t="s">
        <v>572</v>
      </c>
      <c r="B215" s="332" t="s">
        <v>2101</v>
      </c>
      <c r="C215" s="333" t="s">
        <v>2102</v>
      </c>
      <c r="D215" s="348" t="s">
        <v>2104</v>
      </c>
      <c r="E215" s="334" t="s">
        <v>2103</v>
      </c>
      <c r="F215" s="335" t="s">
        <v>1163</v>
      </c>
    </row>
    <row r="216" spans="1:6" s="336" customFormat="1" ht="105" x14ac:dyDescent="0.25">
      <c r="A216" s="203" t="s">
        <v>572</v>
      </c>
      <c r="B216" s="332" t="s">
        <v>575</v>
      </c>
      <c r="C216" s="333" t="s">
        <v>2105</v>
      </c>
      <c r="D216" s="348" t="s">
        <v>2107</v>
      </c>
      <c r="E216" s="334" t="s">
        <v>2106</v>
      </c>
      <c r="F216" s="335" t="s">
        <v>1163</v>
      </c>
    </row>
    <row r="217" spans="1:6" s="336" customFormat="1" ht="45" x14ac:dyDescent="0.25">
      <c r="A217" s="203" t="s">
        <v>572</v>
      </c>
      <c r="B217" s="332" t="s">
        <v>468</v>
      </c>
      <c r="C217" s="333" t="s">
        <v>2108</v>
      </c>
      <c r="D217" s="348" t="s">
        <v>2110</v>
      </c>
      <c r="E217" s="334" t="s">
        <v>2109</v>
      </c>
      <c r="F217" s="335" t="s">
        <v>1163</v>
      </c>
    </row>
    <row r="218" spans="1:6" s="336" customFormat="1" ht="225" x14ac:dyDescent="0.25">
      <c r="A218" s="203" t="s">
        <v>489</v>
      </c>
      <c r="B218" s="332" t="s">
        <v>447</v>
      </c>
      <c r="C218" s="333" t="s">
        <v>2111</v>
      </c>
      <c r="D218" s="348" t="s">
        <v>2113</v>
      </c>
      <c r="E218" s="334" t="s">
        <v>2112</v>
      </c>
      <c r="F218" s="335" t="s">
        <v>1163</v>
      </c>
    </row>
    <row r="219" spans="1:6" s="336" customFormat="1" ht="60" x14ac:dyDescent="0.25">
      <c r="A219" s="203" t="s">
        <v>489</v>
      </c>
      <c r="B219" s="332" t="s">
        <v>2114</v>
      </c>
      <c r="C219" s="333" t="s">
        <v>2115</v>
      </c>
      <c r="D219" s="348" t="s">
        <v>2117</v>
      </c>
      <c r="E219" s="334" t="s">
        <v>2116</v>
      </c>
      <c r="F219" s="335" t="s">
        <v>1163</v>
      </c>
    </row>
    <row r="220" spans="1:6" s="336" customFormat="1" ht="180" x14ac:dyDescent="0.25">
      <c r="A220" s="203" t="s">
        <v>489</v>
      </c>
      <c r="B220" s="332" t="s">
        <v>490</v>
      </c>
      <c r="C220" s="333" t="s">
        <v>2118</v>
      </c>
      <c r="D220" s="348" t="s">
        <v>2120</v>
      </c>
      <c r="E220" s="334" t="s">
        <v>2119</v>
      </c>
      <c r="F220" s="335" t="s">
        <v>1163</v>
      </c>
    </row>
    <row r="221" spans="1:6" s="336" customFormat="1" ht="45" x14ac:dyDescent="0.25">
      <c r="A221" s="203" t="s">
        <v>489</v>
      </c>
      <c r="B221" s="332" t="s">
        <v>491</v>
      </c>
      <c r="C221" s="333" t="s">
        <v>2121</v>
      </c>
      <c r="D221" s="348" t="s">
        <v>2120</v>
      </c>
      <c r="E221" s="334" t="s">
        <v>2119</v>
      </c>
      <c r="F221" s="335" t="s">
        <v>1163</v>
      </c>
    </row>
    <row r="222" spans="1:6" s="336" customFormat="1" ht="45" x14ac:dyDescent="0.25">
      <c r="A222" s="203" t="s">
        <v>489</v>
      </c>
      <c r="B222" s="332" t="s">
        <v>492</v>
      </c>
      <c r="C222" s="333" t="s">
        <v>2122</v>
      </c>
      <c r="D222" s="348" t="s">
        <v>2120</v>
      </c>
      <c r="E222" s="334" t="s">
        <v>2119</v>
      </c>
      <c r="F222" s="335" t="s">
        <v>1163</v>
      </c>
    </row>
    <row r="223" spans="1:6" s="336" customFormat="1" ht="45" x14ac:dyDescent="0.25">
      <c r="A223" s="203" t="s">
        <v>489</v>
      </c>
      <c r="B223" s="332" t="s">
        <v>2123</v>
      </c>
      <c r="C223" s="333" t="s">
        <v>493</v>
      </c>
      <c r="D223" s="348" t="s">
        <v>2120</v>
      </c>
      <c r="E223" s="334" t="s">
        <v>2119</v>
      </c>
      <c r="F223" s="335" t="s">
        <v>1163</v>
      </c>
    </row>
    <row r="224" spans="1:6" s="336" customFormat="1" ht="60" x14ac:dyDescent="0.25">
      <c r="A224" s="203" t="s">
        <v>489</v>
      </c>
      <c r="B224" s="332" t="s">
        <v>1559</v>
      </c>
      <c r="C224" s="333" t="s">
        <v>2124</v>
      </c>
      <c r="D224" s="348" t="s">
        <v>2120</v>
      </c>
      <c r="E224" s="334" t="s">
        <v>2119</v>
      </c>
      <c r="F224" s="335" t="s">
        <v>1163</v>
      </c>
    </row>
    <row r="225" spans="1:6" s="336" customFormat="1" ht="45" x14ac:dyDescent="0.25">
      <c r="A225" s="203" t="s">
        <v>489</v>
      </c>
      <c r="B225" s="332" t="s">
        <v>418</v>
      </c>
      <c r="C225" s="333" t="s">
        <v>2125</v>
      </c>
      <c r="D225" s="348" t="s">
        <v>2120</v>
      </c>
      <c r="E225" s="334" t="s">
        <v>2119</v>
      </c>
      <c r="F225" s="335" t="s">
        <v>1163</v>
      </c>
    </row>
    <row r="226" spans="1:6" s="336" customFormat="1" ht="75" x14ac:dyDescent="0.25">
      <c r="A226" s="203" t="s">
        <v>489</v>
      </c>
      <c r="B226" s="332" t="s">
        <v>494</v>
      </c>
      <c r="C226" s="333" t="s">
        <v>2126</v>
      </c>
      <c r="D226" s="348" t="s">
        <v>2120</v>
      </c>
      <c r="E226" s="334" t="s">
        <v>2119</v>
      </c>
      <c r="F226" s="335" t="s">
        <v>1163</v>
      </c>
    </row>
    <row r="227" spans="1:6" s="336" customFormat="1" ht="45" x14ac:dyDescent="0.25">
      <c r="A227" s="203" t="s">
        <v>410</v>
      </c>
      <c r="B227" s="206" t="s">
        <v>416</v>
      </c>
      <c r="C227" s="338" t="s">
        <v>2127</v>
      </c>
      <c r="D227" s="348" t="s">
        <v>2129</v>
      </c>
      <c r="E227" s="334" t="s">
        <v>2128</v>
      </c>
      <c r="F227" s="335" t="s">
        <v>1163</v>
      </c>
    </row>
    <row r="228" spans="1:6" s="336" customFormat="1" ht="75" x14ac:dyDescent="0.25">
      <c r="A228" s="203" t="s">
        <v>410</v>
      </c>
      <c r="B228" s="206" t="s">
        <v>411</v>
      </c>
      <c r="C228" s="338" t="s">
        <v>2130</v>
      </c>
      <c r="D228" s="348" t="s">
        <v>2132</v>
      </c>
      <c r="E228" s="334" t="s">
        <v>2131</v>
      </c>
      <c r="F228" s="335" t="s">
        <v>1163</v>
      </c>
    </row>
    <row r="229" spans="1:6" s="336" customFormat="1" ht="75" x14ac:dyDescent="0.25">
      <c r="A229" s="203" t="s">
        <v>410</v>
      </c>
      <c r="B229" s="206" t="s">
        <v>412</v>
      </c>
      <c r="C229" s="338" t="s">
        <v>2133</v>
      </c>
      <c r="D229" s="348" t="s">
        <v>2135</v>
      </c>
      <c r="E229" s="334" t="s">
        <v>2134</v>
      </c>
      <c r="F229" s="335" t="s">
        <v>1163</v>
      </c>
    </row>
    <row r="230" spans="1:6" s="336" customFormat="1" ht="60" x14ac:dyDescent="0.25">
      <c r="A230" s="203" t="s">
        <v>410</v>
      </c>
      <c r="B230" s="206" t="s">
        <v>414</v>
      </c>
      <c r="C230" s="338" t="s">
        <v>2136</v>
      </c>
      <c r="D230" s="348" t="s">
        <v>2138</v>
      </c>
      <c r="E230" s="334" t="s">
        <v>2137</v>
      </c>
      <c r="F230" s="335" t="s">
        <v>1163</v>
      </c>
    </row>
    <row r="231" spans="1:6" s="336" customFormat="1" ht="105" x14ac:dyDescent="0.25">
      <c r="A231" s="203" t="s">
        <v>410</v>
      </c>
      <c r="B231" s="206" t="s">
        <v>417</v>
      </c>
      <c r="C231" s="338" t="s">
        <v>2139</v>
      </c>
      <c r="D231" s="348" t="s">
        <v>2141</v>
      </c>
      <c r="E231" s="334" t="s">
        <v>2140</v>
      </c>
      <c r="F231" s="335" t="s">
        <v>1163</v>
      </c>
    </row>
    <row r="232" spans="1:6" s="336" customFormat="1" ht="60" x14ac:dyDescent="0.25">
      <c r="A232" s="203" t="s">
        <v>410</v>
      </c>
      <c r="B232" s="206" t="s">
        <v>415</v>
      </c>
      <c r="C232" s="338" t="s">
        <v>2142</v>
      </c>
      <c r="D232" s="348" t="s">
        <v>2144</v>
      </c>
      <c r="E232" s="334" t="s">
        <v>2143</v>
      </c>
      <c r="F232" s="335" t="s">
        <v>1163</v>
      </c>
    </row>
    <row r="233" spans="1:6" s="336" customFormat="1" ht="75" x14ac:dyDescent="0.25">
      <c r="A233" s="203" t="s">
        <v>410</v>
      </c>
      <c r="B233" s="206" t="s">
        <v>2145</v>
      </c>
      <c r="C233" s="338" t="s">
        <v>2146</v>
      </c>
      <c r="D233" s="348" t="s">
        <v>2148</v>
      </c>
      <c r="E233" s="334" t="s">
        <v>2147</v>
      </c>
      <c r="F233" s="335" t="s">
        <v>1163</v>
      </c>
    </row>
    <row r="234" spans="1:6" s="336" customFormat="1" ht="45" x14ac:dyDescent="0.25">
      <c r="A234" s="203" t="s">
        <v>410</v>
      </c>
      <c r="B234" s="206" t="s">
        <v>413</v>
      </c>
      <c r="C234" s="338" t="s">
        <v>2149</v>
      </c>
      <c r="D234" s="348" t="s">
        <v>2151</v>
      </c>
      <c r="E234" s="334" t="s">
        <v>2150</v>
      </c>
      <c r="F234" s="335" t="s">
        <v>1163</v>
      </c>
    </row>
    <row r="235" spans="1:6" s="336" customFormat="1" ht="45" x14ac:dyDescent="0.25">
      <c r="A235" s="203" t="s">
        <v>410</v>
      </c>
      <c r="B235" s="206" t="s">
        <v>336</v>
      </c>
      <c r="C235" s="338" t="s">
        <v>2152</v>
      </c>
      <c r="D235" s="348" t="s">
        <v>2154</v>
      </c>
      <c r="E235" s="334" t="s">
        <v>2153</v>
      </c>
      <c r="F235" s="335" t="s">
        <v>1163</v>
      </c>
    </row>
    <row r="236" spans="1:6" s="336" customFormat="1" ht="75" x14ac:dyDescent="0.25">
      <c r="A236" s="203" t="s">
        <v>410</v>
      </c>
      <c r="B236" s="206" t="s">
        <v>418</v>
      </c>
      <c r="C236" s="338" t="s">
        <v>2155</v>
      </c>
      <c r="D236" s="348" t="s">
        <v>2157</v>
      </c>
      <c r="E236" s="334" t="s">
        <v>2156</v>
      </c>
      <c r="F236" s="335" t="s">
        <v>1163</v>
      </c>
    </row>
    <row r="237" spans="1:6" s="336" customFormat="1" ht="171" x14ac:dyDescent="0.25">
      <c r="A237" s="203" t="s">
        <v>441</v>
      </c>
      <c r="B237" s="340" t="s">
        <v>2158</v>
      </c>
      <c r="C237" s="343" t="s">
        <v>2159</v>
      </c>
      <c r="D237" s="348" t="s">
        <v>2161</v>
      </c>
      <c r="E237" s="334" t="s">
        <v>2160</v>
      </c>
      <c r="F237" s="335" t="s">
        <v>1163</v>
      </c>
    </row>
    <row r="238" spans="1:6" s="336" customFormat="1" ht="45" x14ac:dyDescent="0.25">
      <c r="A238" s="203" t="s">
        <v>441</v>
      </c>
      <c r="B238" s="332" t="s">
        <v>444</v>
      </c>
      <c r="C238" s="343" t="s">
        <v>2162</v>
      </c>
      <c r="D238" s="348" t="s">
        <v>2164</v>
      </c>
      <c r="E238" s="334" t="s">
        <v>2163</v>
      </c>
      <c r="F238" s="335" t="s">
        <v>1163</v>
      </c>
    </row>
    <row r="239" spans="1:6" s="336" customFormat="1" ht="60" x14ac:dyDescent="0.25">
      <c r="A239" s="203" t="s">
        <v>441</v>
      </c>
      <c r="B239" s="332" t="s">
        <v>442</v>
      </c>
      <c r="C239" s="333" t="s">
        <v>2165</v>
      </c>
      <c r="D239" s="348" t="s">
        <v>2167</v>
      </c>
      <c r="E239" s="334" t="s">
        <v>2166</v>
      </c>
      <c r="F239" s="335" t="s">
        <v>1163</v>
      </c>
    </row>
    <row r="240" spans="1:6" s="336" customFormat="1" ht="71.25" x14ac:dyDescent="0.25">
      <c r="A240" s="203" t="s">
        <v>441</v>
      </c>
      <c r="B240" s="332" t="s">
        <v>443</v>
      </c>
      <c r="C240" s="343" t="s">
        <v>2168</v>
      </c>
      <c r="D240" s="348" t="s">
        <v>2170</v>
      </c>
      <c r="E240" s="334" t="s">
        <v>2169</v>
      </c>
      <c r="F240" s="335" t="s">
        <v>1163</v>
      </c>
    </row>
    <row r="241" spans="1:6" s="336" customFormat="1" ht="45" x14ac:dyDescent="0.25">
      <c r="A241" s="203" t="s">
        <v>359</v>
      </c>
      <c r="B241" s="206" t="s">
        <v>360</v>
      </c>
      <c r="C241" s="338" t="s">
        <v>2171</v>
      </c>
      <c r="D241" s="348" t="s">
        <v>2173</v>
      </c>
      <c r="E241" s="334" t="s">
        <v>2172</v>
      </c>
      <c r="F241" s="335" t="s">
        <v>1163</v>
      </c>
    </row>
    <row r="242" spans="1:6" s="336" customFormat="1" ht="75" x14ac:dyDescent="0.25">
      <c r="A242" s="203" t="s">
        <v>359</v>
      </c>
      <c r="B242" s="206" t="s">
        <v>361</v>
      </c>
      <c r="C242" s="338" t="s">
        <v>2174</v>
      </c>
      <c r="D242" s="348" t="s">
        <v>2175</v>
      </c>
      <c r="E242" s="334" t="s">
        <v>2172</v>
      </c>
      <c r="F242" s="335" t="s">
        <v>1163</v>
      </c>
    </row>
    <row r="243" spans="1:6" s="336" customFormat="1" ht="45" x14ac:dyDescent="0.25">
      <c r="A243" s="203" t="s">
        <v>359</v>
      </c>
      <c r="B243" s="206" t="s">
        <v>362</v>
      </c>
      <c r="C243" s="338" t="s">
        <v>2176</v>
      </c>
      <c r="D243" s="348" t="s">
        <v>1870</v>
      </c>
      <c r="E243" s="334" t="s">
        <v>2177</v>
      </c>
      <c r="F243" s="335" t="s">
        <v>1163</v>
      </c>
    </row>
    <row r="244" spans="1:6" s="336" customFormat="1" ht="90" x14ac:dyDescent="0.25">
      <c r="A244" s="203" t="s">
        <v>359</v>
      </c>
      <c r="B244" s="206" t="s">
        <v>363</v>
      </c>
      <c r="C244" s="338" t="s">
        <v>2178</v>
      </c>
      <c r="D244" s="348" t="s">
        <v>1870</v>
      </c>
      <c r="E244" s="334" t="s">
        <v>2177</v>
      </c>
      <c r="F244" s="335" t="s">
        <v>1163</v>
      </c>
    </row>
    <row r="245" spans="1:6" s="336" customFormat="1" ht="45" x14ac:dyDescent="0.25">
      <c r="A245" s="203" t="s">
        <v>682</v>
      </c>
      <c r="B245" s="332" t="s">
        <v>683</v>
      </c>
      <c r="C245" s="333" t="s">
        <v>2179</v>
      </c>
      <c r="D245" s="348" t="s">
        <v>2181</v>
      </c>
      <c r="E245" s="334" t="s">
        <v>2180</v>
      </c>
      <c r="F245" s="335" t="s">
        <v>1163</v>
      </c>
    </row>
    <row r="246" spans="1:6" s="336" customFormat="1" ht="60" x14ac:dyDescent="0.25">
      <c r="A246" s="203" t="s">
        <v>682</v>
      </c>
      <c r="B246" s="332" t="s">
        <v>684</v>
      </c>
      <c r="C246" s="333" t="s">
        <v>2182</v>
      </c>
      <c r="D246" s="348" t="s">
        <v>2181</v>
      </c>
      <c r="E246" s="334" t="s">
        <v>2180</v>
      </c>
      <c r="F246" s="335" t="s">
        <v>1163</v>
      </c>
    </row>
    <row r="247" spans="1:6" s="336" customFormat="1" ht="60" x14ac:dyDescent="0.25">
      <c r="A247" s="203" t="s">
        <v>682</v>
      </c>
      <c r="B247" s="332" t="s">
        <v>685</v>
      </c>
      <c r="C247" s="333" t="s">
        <v>2183</v>
      </c>
      <c r="D247" s="348" t="s">
        <v>2181</v>
      </c>
      <c r="E247" s="334" t="s">
        <v>2180</v>
      </c>
      <c r="F247" s="335" t="s">
        <v>1163</v>
      </c>
    </row>
    <row r="248" spans="1:6" s="336" customFormat="1" ht="60" x14ac:dyDescent="0.25">
      <c r="A248" s="203" t="s">
        <v>682</v>
      </c>
      <c r="B248" s="332" t="s">
        <v>686</v>
      </c>
      <c r="C248" s="333" t="s">
        <v>2184</v>
      </c>
      <c r="D248" s="348" t="s">
        <v>2181</v>
      </c>
      <c r="E248" s="334" t="s">
        <v>2180</v>
      </c>
      <c r="F248" s="335" t="s">
        <v>1163</v>
      </c>
    </row>
    <row r="249" spans="1:6" s="336" customFormat="1" ht="45" x14ac:dyDescent="0.25">
      <c r="A249" s="203" t="s">
        <v>682</v>
      </c>
      <c r="B249" s="332" t="s">
        <v>350</v>
      </c>
      <c r="C249" s="333" t="s">
        <v>2185</v>
      </c>
      <c r="D249" s="348" t="s">
        <v>2181</v>
      </c>
      <c r="E249" s="334" t="s">
        <v>2180</v>
      </c>
      <c r="F249" s="335" t="s">
        <v>1163</v>
      </c>
    </row>
    <row r="250" spans="1:6" s="336" customFormat="1" ht="60" x14ac:dyDescent="0.25">
      <c r="A250" s="203" t="s">
        <v>651</v>
      </c>
      <c r="B250" s="332" t="s">
        <v>652</v>
      </c>
      <c r="C250" s="333" t="s">
        <v>2186</v>
      </c>
      <c r="D250" s="348" t="s">
        <v>2188</v>
      </c>
      <c r="E250" s="334" t="s">
        <v>2187</v>
      </c>
      <c r="F250" s="335" t="s">
        <v>1163</v>
      </c>
    </row>
    <row r="251" spans="1:6" s="336" customFormat="1" ht="60" x14ac:dyDescent="0.25">
      <c r="A251" s="203" t="s">
        <v>651</v>
      </c>
      <c r="B251" s="332" t="s">
        <v>653</v>
      </c>
      <c r="C251" s="333" t="s">
        <v>2189</v>
      </c>
      <c r="D251" s="348" t="s">
        <v>2190</v>
      </c>
      <c r="E251" s="334" t="s">
        <v>2187</v>
      </c>
      <c r="F251" s="335" t="s">
        <v>1163</v>
      </c>
    </row>
    <row r="252" spans="1:6" s="336" customFormat="1" ht="45" x14ac:dyDescent="0.25">
      <c r="A252" s="203" t="s">
        <v>651</v>
      </c>
      <c r="B252" s="332" t="s">
        <v>654</v>
      </c>
      <c r="C252" s="333" t="s">
        <v>2191</v>
      </c>
      <c r="D252" s="348" t="s">
        <v>2193</v>
      </c>
      <c r="E252" s="334" t="s">
        <v>2192</v>
      </c>
      <c r="F252" s="335" t="s">
        <v>1163</v>
      </c>
    </row>
    <row r="253" spans="1:6" s="336" customFormat="1" ht="45" x14ac:dyDescent="0.25">
      <c r="A253" s="203" t="s">
        <v>651</v>
      </c>
      <c r="B253" s="332" t="s">
        <v>646</v>
      </c>
      <c r="C253" s="333" t="s">
        <v>655</v>
      </c>
      <c r="D253" s="348" t="s">
        <v>2194</v>
      </c>
      <c r="E253" s="334" t="s">
        <v>2192</v>
      </c>
      <c r="F253" s="335" t="s">
        <v>1163</v>
      </c>
    </row>
    <row r="254" spans="1:6" s="336" customFormat="1" ht="60" x14ac:dyDescent="0.25">
      <c r="A254" s="203" t="s">
        <v>651</v>
      </c>
      <c r="B254" s="332" t="s">
        <v>595</v>
      </c>
      <c r="C254" s="333" t="s">
        <v>2195</v>
      </c>
      <c r="D254" s="348" t="s">
        <v>2197</v>
      </c>
      <c r="E254" s="334" t="s">
        <v>2196</v>
      </c>
      <c r="F254" s="335" t="s">
        <v>1163</v>
      </c>
    </row>
    <row r="255" spans="1:6" s="336" customFormat="1" ht="60" x14ac:dyDescent="0.25">
      <c r="A255" s="203" t="s">
        <v>384</v>
      </c>
      <c r="B255" s="206" t="s">
        <v>391</v>
      </c>
      <c r="C255" s="338" t="s">
        <v>2198</v>
      </c>
      <c r="D255" s="348" t="s">
        <v>2200</v>
      </c>
      <c r="E255" s="334" t="s">
        <v>2199</v>
      </c>
      <c r="F255" s="335" t="s">
        <v>1163</v>
      </c>
    </row>
    <row r="256" spans="1:6" s="336" customFormat="1" ht="45" x14ac:dyDescent="0.25">
      <c r="A256" s="203" t="s">
        <v>384</v>
      </c>
      <c r="B256" s="206" t="s">
        <v>392</v>
      </c>
      <c r="C256" s="338" t="s">
        <v>2201</v>
      </c>
      <c r="D256" s="348" t="s">
        <v>2202</v>
      </c>
      <c r="E256" s="334" t="s">
        <v>2199</v>
      </c>
      <c r="F256" s="335" t="s">
        <v>1163</v>
      </c>
    </row>
    <row r="257" spans="1:6" s="336" customFormat="1" ht="45" x14ac:dyDescent="0.25">
      <c r="A257" s="203" t="s">
        <v>384</v>
      </c>
      <c r="B257" s="206" t="s">
        <v>386</v>
      </c>
      <c r="C257" s="338" t="s">
        <v>2203</v>
      </c>
      <c r="D257" s="348" t="s">
        <v>2205</v>
      </c>
      <c r="E257" s="334" t="s">
        <v>2204</v>
      </c>
      <c r="F257" s="335" t="s">
        <v>1163</v>
      </c>
    </row>
    <row r="258" spans="1:6" s="336" customFormat="1" ht="45" x14ac:dyDescent="0.25">
      <c r="A258" s="203" t="s">
        <v>384</v>
      </c>
      <c r="B258" s="206" t="s">
        <v>388</v>
      </c>
      <c r="C258" s="338" t="s">
        <v>389</v>
      </c>
      <c r="D258" s="348" t="s">
        <v>2207</v>
      </c>
      <c r="E258" s="334" t="s">
        <v>2206</v>
      </c>
      <c r="F258" s="335" t="s">
        <v>1163</v>
      </c>
    </row>
    <row r="259" spans="1:6" s="336" customFormat="1" ht="120" x14ac:dyDescent="0.25">
      <c r="A259" s="203" t="s">
        <v>384</v>
      </c>
      <c r="B259" s="206" t="s">
        <v>393</v>
      </c>
      <c r="C259" s="338" t="s">
        <v>2208</v>
      </c>
      <c r="D259" s="348" t="s">
        <v>2210</v>
      </c>
      <c r="E259" s="334" t="s">
        <v>2209</v>
      </c>
      <c r="F259" s="335" t="s">
        <v>1163</v>
      </c>
    </row>
    <row r="260" spans="1:6" s="336" customFormat="1" ht="60" x14ac:dyDescent="0.25">
      <c r="A260" s="203" t="s">
        <v>384</v>
      </c>
      <c r="B260" s="206" t="s">
        <v>273</v>
      </c>
      <c r="C260" s="338" t="s">
        <v>2211</v>
      </c>
      <c r="D260" s="348" t="s">
        <v>2213</v>
      </c>
      <c r="E260" s="334" t="s">
        <v>2212</v>
      </c>
      <c r="F260" s="335" t="s">
        <v>1163</v>
      </c>
    </row>
    <row r="261" spans="1:6" s="336" customFormat="1" ht="45" x14ac:dyDescent="0.25">
      <c r="A261" s="203" t="s">
        <v>384</v>
      </c>
      <c r="B261" s="206" t="s">
        <v>385</v>
      </c>
      <c r="C261" s="338" t="s">
        <v>2214</v>
      </c>
      <c r="D261" s="348" t="s">
        <v>2216</v>
      </c>
      <c r="E261" s="334" t="s">
        <v>2215</v>
      </c>
      <c r="F261" s="335" t="s">
        <v>1163</v>
      </c>
    </row>
    <row r="262" spans="1:6" s="336" customFormat="1" ht="45" x14ac:dyDescent="0.25">
      <c r="A262" s="203" t="s">
        <v>384</v>
      </c>
      <c r="B262" s="206" t="s">
        <v>387</v>
      </c>
      <c r="C262" s="338" t="s">
        <v>2217</v>
      </c>
      <c r="D262" s="348" t="s">
        <v>2219</v>
      </c>
      <c r="E262" s="334" t="s">
        <v>2218</v>
      </c>
      <c r="F262" s="335" t="s">
        <v>1163</v>
      </c>
    </row>
    <row r="263" spans="1:6" s="336" customFormat="1" ht="60" x14ac:dyDescent="0.25">
      <c r="A263" s="203" t="s">
        <v>384</v>
      </c>
      <c r="B263" s="206" t="s">
        <v>390</v>
      </c>
      <c r="C263" s="338" t="s">
        <v>2220</v>
      </c>
      <c r="D263" s="348" t="s">
        <v>2222</v>
      </c>
      <c r="E263" s="334" t="s">
        <v>2221</v>
      </c>
      <c r="F263" s="335" t="s">
        <v>1163</v>
      </c>
    </row>
    <row r="264" spans="1:6" s="336" customFormat="1" ht="60" x14ac:dyDescent="0.25">
      <c r="A264" s="203" t="s">
        <v>384</v>
      </c>
      <c r="B264" s="206" t="s">
        <v>394</v>
      </c>
      <c r="C264" s="338" t="s">
        <v>2223</v>
      </c>
      <c r="D264" s="348" t="s">
        <v>2222</v>
      </c>
      <c r="E264" s="334" t="s">
        <v>2221</v>
      </c>
      <c r="F264" s="335" t="s">
        <v>1163</v>
      </c>
    </row>
    <row r="265" spans="1:6" s="336" customFormat="1" ht="30" x14ac:dyDescent="0.25">
      <c r="A265" s="203" t="s">
        <v>656</v>
      </c>
      <c r="B265" s="332" t="s">
        <v>2224</v>
      </c>
      <c r="C265" s="333" t="s">
        <v>2225</v>
      </c>
      <c r="D265" s="348" t="s">
        <v>2227</v>
      </c>
      <c r="E265" s="334" t="s">
        <v>2226</v>
      </c>
      <c r="F265" s="335" t="s">
        <v>1163</v>
      </c>
    </row>
    <row r="266" spans="1:6" s="336" customFormat="1" ht="60" x14ac:dyDescent="0.25">
      <c r="A266" s="203" t="s">
        <v>656</v>
      </c>
      <c r="B266" s="332" t="s">
        <v>646</v>
      </c>
      <c r="C266" s="333" t="s">
        <v>2228</v>
      </c>
      <c r="D266" s="348" t="s">
        <v>1676</v>
      </c>
      <c r="E266" s="334" t="s">
        <v>2229</v>
      </c>
      <c r="F266" s="335" t="s">
        <v>1163</v>
      </c>
    </row>
    <row r="267" spans="1:6" s="336" customFormat="1" ht="60" x14ac:dyDescent="0.25">
      <c r="A267" s="203" t="s">
        <v>656</v>
      </c>
      <c r="B267" s="332" t="s">
        <v>657</v>
      </c>
      <c r="C267" s="333" t="s">
        <v>2230</v>
      </c>
      <c r="D267" s="348" t="s">
        <v>2232</v>
      </c>
      <c r="E267" s="334" t="s">
        <v>2231</v>
      </c>
      <c r="F267" s="335" t="s">
        <v>1163</v>
      </c>
    </row>
    <row r="268" spans="1:6" s="336" customFormat="1" ht="60" x14ac:dyDescent="0.25">
      <c r="A268" s="203" t="s">
        <v>656</v>
      </c>
      <c r="B268" s="332" t="s">
        <v>658</v>
      </c>
      <c r="C268" s="333" t="s">
        <v>2233</v>
      </c>
      <c r="D268" s="348" t="s">
        <v>2235</v>
      </c>
      <c r="E268" s="334" t="s">
        <v>2234</v>
      </c>
      <c r="F268" s="335" t="s">
        <v>1163</v>
      </c>
    </row>
    <row r="269" spans="1:6" s="336" customFormat="1" ht="60" x14ac:dyDescent="0.25">
      <c r="A269" s="203" t="s">
        <v>656</v>
      </c>
      <c r="B269" s="332" t="s">
        <v>2236</v>
      </c>
      <c r="C269" s="333" t="s">
        <v>2237</v>
      </c>
      <c r="D269" s="348" t="s">
        <v>1870</v>
      </c>
      <c r="E269" s="334" t="s">
        <v>2238</v>
      </c>
      <c r="F269" s="335" t="s">
        <v>1163</v>
      </c>
    </row>
    <row r="270" spans="1:6" s="336" customFormat="1" ht="45" x14ac:dyDescent="0.25">
      <c r="A270" s="203" t="s">
        <v>607</v>
      </c>
      <c r="B270" s="332" t="s">
        <v>610</v>
      </c>
      <c r="C270" s="333" t="s">
        <v>611</v>
      </c>
      <c r="D270" s="348" t="s">
        <v>2240</v>
      </c>
      <c r="E270" s="334" t="s">
        <v>2239</v>
      </c>
      <c r="F270" s="335" t="s">
        <v>1163</v>
      </c>
    </row>
    <row r="271" spans="1:6" s="336" customFormat="1" ht="45" x14ac:dyDescent="0.25">
      <c r="A271" s="203" t="s">
        <v>607</v>
      </c>
      <c r="B271" s="332" t="s">
        <v>613</v>
      </c>
      <c r="C271" s="333" t="s">
        <v>2241</v>
      </c>
      <c r="D271" s="348" t="s">
        <v>2242</v>
      </c>
      <c r="E271" s="334" t="s">
        <v>2239</v>
      </c>
      <c r="F271" s="335" t="s">
        <v>1163</v>
      </c>
    </row>
    <row r="272" spans="1:6" s="336" customFormat="1" ht="45" x14ac:dyDescent="0.25">
      <c r="A272" s="203" t="s">
        <v>607</v>
      </c>
      <c r="B272" s="332" t="s">
        <v>2243</v>
      </c>
      <c r="C272" s="333" t="s">
        <v>2244</v>
      </c>
      <c r="D272" s="348" t="s">
        <v>2242</v>
      </c>
      <c r="E272" s="334" t="s">
        <v>2239</v>
      </c>
      <c r="F272" s="335" t="s">
        <v>1163</v>
      </c>
    </row>
    <row r="273" spans="1:6" s="336" customFormat="1" ht="45" x14ac:dyDescent="0.25">
      <c r="A273" s="203" t="s">
        <v>607</v>
      </c>
      <c r="B273" s="332" t="s">
        <v>617</v>
      </c>
      <c r="C273" s="333" t="s">
        <v>2245</v>
      </c>
      <c r="D273" s="348" t="s">
        <v>2242</v>
      </c>
      <c r="E273" s="334" t="s">
        <v>2239</v>
      </c>
      <c r="F273" s="335" t="s">
        <v>1163</v>
      </c>
    </row>
    <row r="274" spans="1:6" s="336" customFormat="1" ht="45" x14ac:dyDescent="0.25">
      <c r="A274" s="203" t="s">
        <v>607</v>
      </c>
      <c r="B274" s="332" t="s">
        <v>614</v>
      </c>
      <c r="C274" s="333" t="s">
        <v>2246</v>
      </c>
      <c r="D274" s="348" t="s">
        <v>2248</v>
      </c>
      <c r="E274" s="334" t="s">
        <v>2247</v>
      </c>
      <c r="F274" s="335" t="s">
        <v>1163</v>
      </c>
    </row>
    <row r="275" spans="1:6" s="336" customFormat="1" ht="45" x14ac:dyDescent="0.25">
      <c r="A275" s="203" t="s">
        <v>607</v>
      </c>
      <c r="B275" s="332" t="s">
        <v>615</v>
      </c>
      <c r="C275" s="333" t="s">
        <v>616</v>
      </c>
      <c r="D275" s="348" t="s">
        <v>2248</v>
      </c>
      <c r="E275" s="334" t="s">
        <v>2247</v>
      </c>
      <c r="F275" s="335" t="s">
        <v>1163</v>
      </c>
    </row>
    <row r="276" spans="1:6" s="336" customFormat="1" ht="45" x14ac:dyDescent="0.25">
      <c r="A276" s="203" t="s">
        <v>607</v>
      </c>
      <c r="B276" s="332" t="s">
        <v>618</v>
      </c>
      <c r="C276" s="333" t="s">
        <v>2249</v>
      </c>
      <c r="D276" s="348" t="s">
        <v>2251</v>
      </c>
      <c r="E276" s="334" t="s">
        <v>2250</v>
      </c>
      <c r="F276" s="335" t="s">
        <v>1163</v>
      </c>
    </row>
    <row r="277" spans="1:6" s="336" customFormat="1" ht="45" x14ac:dyDescent="0.25">
      <c r="A277" s="203" t="s">
        <v>607</v>
      </c>
      <c r="B277" s="332" t="s">
        <v>387</v>
      </c>
      <c r="C277" s="333" t="s">
        <v>2252</v>
      </c>
      <c r="D277" s="348" t="s">
        <v>2219</v>
      </c>
      <c r="E277" s="334" t="s">
        <v>2253</v>
      </c>
      <c r="F277" s="335" t="s">
        <v>1163</v>
      </c>
    </row>
    <row r="278" spans="1:6" s="336" customFormat="1" ht="90" x14ac:dyDescent="0.25">
      <c r="A278" s="203" t="s">
        <v>607</v>
      </c>
      <c r="B278" s="332" t="s">
        <v>608</v>
      </c>
      <c r="C278" s="333" t="s">
        <v>2254</v>
      </c>
      <c r="D278" s="348" t="s">
        <v>2256</v>
      </c>
      <c r="E278" s="334" t="s">
        <v>2255</v>
      </c>
      <c r="F278" s="335" t="s">
        <v>1163</v>
      </c>
    </row>
    <row r="279" spans="1:6" s="336" customFormat="1" ht="60" x14ac:dyDescent="0.25">
      <c r="A279" s="203" t="s">
        <v>607</v>
      </c>
      <c r="B279" s="332" t="s">
        <v>609</v>
      </c>
      <c r="C279" s="333" t="s">
        <v>2257</v>
      </c>
      <c r="D279" s="348" t="s">
        <v>2259</v>
      </c>
      <c r="E279" s="334" t="s">
        <v>2258</v>
      </c>
      <c r="F279" s="335" t="s">
        <v>1163</v>
      </c>
    </row>
    <row r="280" spans="1:6" s="336" customFormat="1" ht="45" x14ac:dyDescent="0.25">
      <c r="A280" s="203" t="s">
        <v>607</v>
      </c>
      <c r="B280" s="332" t="s">
        <v>336</v>
      </c>
      <c r="C280" s="333" t="s">
        <v>2260</v>
      </c>
      <c r="D280" s="348" t="s">
        <v>2262</v>
      </c>
      <c r="E280" s="334" t="s">
        <v>2261</v>
      </c>
      <c r="F280" s="335" t="s">
        <v>1163</v>
      </c>
    </row>
    <row r="281" spans="1:6" s="336" customFormat="1" ht="45" x14ac:dyDescent="0.25">
      <c r="A281" s="203" t="s">
        <v>607</v>
      </c>
      <c r="B281" s="332" t="s">
        <v>612</v>
      </c>
      <c r="C281" s="333" t="s">
        <v>2263</v>
      </c>
      <c r="D281" s="348" t="s">
        <v>2265</v>
      </c>
      <c r="E281" s="334" t="s">
        <v>2264</v>
      </c>
      <c r="F281" s="335" t="s">
        <v>1163</v>
      </c>
    </row>
    <row r="282" spans="1:6" s="336" customFormat="1" ht="90" x14ac:dyDescent="0.25">
      <c r="A282" s="203" t="s">
        <v>419</v>
      </c>
      <c r="B282" s="206" t="s">
        <v>424</v>
      </c>
      <c r="C282" s="338" t="s">
        <v>2266</v>
      </c>
      <c r="D282" s="348" t="s">
        <v>2268</v>
      </c>
      <c r="E282" s="334" t="s">
        <v>2267</v>
      </c>
      <c r="F282" s="335" t="s">
        <v>1163</v>
      </c>
    </row>
    <row r="283" spans="1:6" s="336" customFormat="1" ht="90" x14ac:dyDescent="0.25">
      <c r="A283" s="203" t="s">
        <v>419</v>
      </c>
      <c r="B283" s="206" t="s">
        <v>417</v>
      </c>
      <c r="C283" s="338" t="s">
        <v>2269</v>
      </c>
      <c r="D283" s="348" t="s">
        <v>2271</v>
      </c>
      <c r="E283" s="334" t="s">
        <v>2270</v>
      </c>
      <c r="F283" s="335" t="s">
        <v>1163</v>
      </c>
    </row>
    <row r="284" spans="1:6" s="336" customFormat="1" ht="45" x14ac:dyDescent="0.25">
      <c r="A284" s="203" t="s">
        <v>419</v>
      </c>
      <c r="B284" s="206" t="s">
        <v>426</v>
      </c>
      <c r="C284" s="338" t="s">
        <v>2272</v>
      </c>
      <c r="D284" s="348" t="s">
        <v>2274</v>
      </c>
      <c r="E284" s="334" t="s">
        <v>2273</v>
      </c>
      <c r="F284" s="335" t="s">
        <v>1163</v>
      </c>
    </row>
    <row r="285" spans="1:6" s="336" customFormat="1" ht="45" x14ac:dyDescent="0.25">
      <c r="A285" s="203" t="s">
        <v>419</v>
      </c>
      <c r="B285" s="206" t="s">
        <v>423</v>
      </c>
      <c r="C285" s="338" t="s">
        <v>2275</v>
      </c>
      <c r="D285" s="348" t="s">
        <v>2277</v>
      </c>
      <c r="E285" s="334" t="s">
        <v>2276</v>
      </c>
      <c r="F285" s="335" t="s">
        <v>1163</v>
      </c>
    </row>
    <row r="286" spans="1:6" s="336" customFormat="1" ht="120" x14ac:dyDescent="0.25">
      <c r="A286" s="203" t="s">
        <v>419</v>
      </c>
      <c r="B286" s="206" t="s">
        <v>421</v>
      </c>
      <c r="C286" s="338" t="s">
        <v>2278</v>
      </c>
      <c r="D286" s="348" t="s">
        <v>2280</v>
      </c>
      <c r="E286" s="334" t="s">
        <v>2279</v>
      </c>
      <c r="F286" s="335" t="s">
        <v>1163</v>
      </c>
    </row>
    <row r="287" spans="1:6" s="336" customFormat="1" ht="45" x14ac:dyDescent="0.25">
      <c r="A287" s="203" t="s">
        <v>419</v>
      </c>
      <c r="B287" s="206" t="s">
        <v>428</v>
      </c>
      <c r="C287" s="338" t="s">
        <v>2281</v>
      </c>
      <c r="D287" s="348" t="s">
        <v>2283</v>
      </c>
      <c r="E287" s="334" t="s">
        <v>2282</v>
      </c>
      <c r="F287" s="335" t="s">
        <v>1163</v>
      </c>
    </row>
    <row r="288" spans="1:6" s="336" customFormat="1" ht="60" x14ac:dyDescent="0.25">
      <c r="A288" s="203" t="s">
        <v>419</v>
      </c>
      <c r="B288" s="206" t="s">
        <v>427</v>
      </c>
      <c r="C288" s="338" t="s">
        <v>2284</v>
      </c>
      <c r="D288" s="348" t="s">
        <v>2286</v>
      </c>
      <c r="E288" s="334" t="s">
        <v>2285</v>
      </c>
      <c r="F288" s="335" t="s">
        <v>1163</v>
      </c>
    </row>
    <row r="289" spans="1:6" s="336" customFormat="1" ht="45" x14ac:dyDescent="0.25">
      <c r="A289" s="203" t="s">
        <v>419</v>
      </c>
      <c r="B289" s="206" t="s">
        <v>431</v>
      </c>
      <c r="C289" s="338" t="s">
        <v>2287</v>
      </c>
      <c r="D289" s="348" t="s">
        <v>2289</v>
      </c>
      <c r="E289" s="334" t="s">
        <v>2288</v>
      </c>
      <c r="F289" s="335" t="s">
        <v>1163</v>
      </c>
    </row>
    <row r="290" spans="1:6" s="336" customFormat="1" ht="75" x14ac:dyDescent="0.25">
      <c r="A290" s="203" t="s">
        <v>419</v>
      </c>
      <c r="B290" s="206" t="s">
        <v>429</v>
      </c>
      <c r="C290" s="338" t="s">
        <v>2290</v>
      </c>
      <c r="D290" s="348" t="s">
        <v>2291</v>
      </c>
      <c r="E290" s="334" t="s">
        <v>1379</v>
      </c>
      <c r="F290" s="335" t="s">
        <v>1163</v>
      </c>
    </row>
    <row r="291" spans="1:6" s="336" customFormat="1" ht="90" x14ac:dyDescent="0.25">
      <c r="A291" s="203" t="s">
        <v>419</v>
      </c>
      <c r="B291" s="206" t="s">
        <v>420</v>
      </c>
      <c r="C291" s="338" t="s">
        <v>2292</v>
      </c>
      <c r="D291" s="348" t="s">
        <v>2294</v>
      </c>
      <c r="E291" s="334" t="s">
        <v>2293</v>
      </c>
      <c r="F291" s="335" t="s">
        <v>1163</v>
      </c>
    </row>
    <row r="292" spans="1:6" s="336" customFormat="1" ht="75" x14ac:dyDescent="0.25">
      <c r="A292" s="203" t="s">
        <v>419</v>
      </c>
      <c r="B292" s="206" t="s">
        <v>422</v>
      </c>
      <c r="C292" s="338" t="s">
        <v>2295</v>
      </c>
      <c r="D292" s="348" t="s">
        <v>2297</v>
      </c>
      <c r="E292" s="334" t="s">
        <v>2296</v>
      </c>
      <c r="F292" s="335" t="s">
        <v>1163</v>
      </c>
    </row>
    <row r="293" spans="1:6" s="336" customFormat="1" ht="60" x14ac:dyDescent="0.25">
      <c r="A293" s="203" t="s">
        <v>419</v>
      </c>
      <c r="B293" s="206" t="s">
        <v>425</v>
      </c>
      <c r="C293" s="338" t="s">
        <v>1124</v>
      </c>
      <c r="D293" s="348" t="s">
        <v>2299</v>
      </c>
      <c r="E293" s="334" t="s">
        <v>2298</v>
      </c>
      <c r="F293" s="335" t="s">
        <v>1163</v>
      </c>
    </row>
    <row r="294" spans="1:6" s="336" customFormat="1" ht="45" x14ac:dyDescent="0.25">
      <c r="A294" s="203" t="s">
        <v>419</v>
      </c>
      <c r="B294" s="206" t="s">
        <v>430</v>
      </c>
      <c r="C294" s="338" t="s">
        <v>2300</v>
      </c>
      <c r="D294" s="348" t="s">
        <v>2302</v>
      </c>
      <c r="E294" s="334" t="s">
        <v>2301</v>
      </c>
      <c r="F294" s="335" t="s">
        <v>1163</v>
      </c>
    </row>
    <row r="295" spans="1:6" s="336" customFormat="1" ht="45" x14ac:dyDescent="0.25">
      <c r="A295" s="203" t="s">
        <v>550</v>
      </c>
      <c r="B295" s="332" t="s">
        <v>555</v>
      </c>
      <c r="C295" s="333" t="s">
        <v>2303</v>
      </c>
      <c r="D295" s="348" t="s">
        <v>2305</v>
      </c>
      <c r="E295" s="334" t="s">
        <v>2304</v>
      </c>
      <c r="F295" s="335" t="s">
        <v>1163</v>
      </c>
    </row>
    <row r="296" spans="1:6" s="336" customFormat="1" ht="45" x14ac:dyDescent="0.25">
      <c r="A296" s="203" t="s">
        <v>550</v>
      </c>
      <c r="B296" s="332" t="s">
        <v>488</v>
      </c>
      <c r="C296" s="333" t="s">
        <v>556</v>
      </c>
      <c r="D296" s="348" t="s">
        <v>2305</v>
      </c>
      <c r="E296" s="334" t="s">
        <v>2304</v>
      </c>
      <c r="F296" s="335" t="s">
        <v>1163</v>
      </c>
    </row>
    <row r="297" spans="1:6" s="336" customFormat="1" ht="45" x14ac:dyDescent="0.25">
      <c r="A297" s="203" t="s">
        <v>550</v>
      </c>
      <c r="B297" s="332" t="s">
        <v>552</v>
      </c>
      <c r="C297" s="333" t="s">
        <v>2306</v>
      </c>
      <c r="D297" s="348" t="s">
        <v>2308</v>
      </c>
      <c r="E297" s="334" t="s">
        <v>2307</v>
      </c>
      <c r="F297" s="335" t="s">
        <v>1163</v>
      </c>
    </row>
    <row r="298" spans="1:6" s="336" customFormat="1" ht="45" x14ac:dyDescent="0.25">
      <c r="A298" s="203" t="s">
        <v>550</v>
      </c>
      <c r="B298" s="332" t="s">
        <v>553</v>
      </c>
      <c r="C298" s="333" t="s">
        <v>2309</v>
      </c>
      <c r="D298" s="348" t="s">
        <v>2311</v>
      </c>
      <c r="E298" s="334" t="s">
        <v>2310</v>
      </c>
      <c r="F298" s="335" t="s">
        <v>1163</v>
      </c>
    </row>
    <row r="299" spans="1:6" s="336" customFormat="1" ht="60" x14ac:dyDescent="0.25">
      <c r="A299" s="203" t="s">
        <v>550</v>
      </c>
      <c r="B299" s="332" t="s">
        <v>554</v>
      </c>
      <c r="C299" s="333" t="s">
        <v>2312</v>
      </c>
      <c r="D299" s="348" t="s">
        <v>2314</v>
      </c>
      <c r="E299" s="334" t="s">
        <v>2313</v>
      </c>
      <c r="F299" s="335" t="s">
        <v>1163</v>
      </c>
    </row>
    <row r="300" spans="1:6" s="336" customFormat="1" ht="120" x14ac:dyDescent="0.25">
      <c r="A300" s="203" t="s">
        <v>550</v>
      </c>
      <c r="B300" s="332" t="s">
        <v>551</v>
      </c>
      <c r="C300" s="333" t="s">
        <v>2315</v>
      </c>
      <c r="D300" s="348" t="s">
        <v>2317</v>
      </c>
      <c r="E300" s="334" t="s">
        <v>2316</v>
      </c>
      <c r="F300" s="335" t="s">
        <v>1163</v>
      </c>
    </row>
    <row r="301" spans="1:6" s="336" customFormat="1" ht="90" x14ac:dyDescent="0.25">
      <c r="A301" s="203" t="s">
        <v>550</v>
      </c>
      <c r="B301" s="332" t="s">
        <v>2318</v>
      </c>
      <c r="C301" s="333" t="s">
        <v>2319</v>
      </c>
      <c r="D301" s="348" t="s">
        <v>2321</v>
      </c>
      <c r="E301" s="334" t="s">
        <v>2320</v>
      </c>
      <c r="F301" s="335" t="s">
        <v>1163</v>
      </c>
    </row>
    <row r="302" spans="1:6" s="336" customFormat="1" ht="60" x14ac:dyDescent="0.25">
      <c r="A302" s="203" t="s">
        <v>459</v>
      </c>
      <c r="B302" s="339" t="s">
        <v>465</v>
      </c>
      <c r="C302" s="333" t="s">
        <v>2322</v>
      </c>
      <c r="D302" s="348" t="s">
        <v>2324</v>
      </c>
      <c r="E302" s="334" t="s">
        <v>2323</v>
      </c>
      <c r="F302" s="335" t="s">
        <v>1163</v>
      </c>
    </row>
    <row r="303" spans="1:6" s="336" customFormat="1" ht="75" x14ac:dyDescent="0.25">
      <c r="A303" s="203" t="s">
        <v>459</v>
      </c>
      <c r="B303" s="339" t="s">
        <v>453</v>
      </c>
      <c r="C303" s="333" t="s">
        <v>2325</v>
      </c>
      <c r="D303" s="348" t="s">
        <v>2327</v>
      </c>
      <c r="E303" s="334" t="s">
        <v>2326</v>
      </c>
      <c r="F303" s="335" t="s">
        <v>1163</v>
      </c>
    </row>
    <row r="304" spans="1:6" s="336" customFormat="1" ht="45" x14ac:dyDescent="0.25">
      <c r="A304" s="203" t="s">
        <v>459</v>
      </c>
      <c r="B304" s="339" t="s">
        <v>462</v>
      </c>
      <c r="C304" s="333" t="s">
        <v>2328</v>
      </c>
      <c r="D304" s="348" t="s">
        <v>2330</v>
      </c>
      <c r="E304" s="334" t="s">
        <v>2329</v>
      </c>
      <c r="F304" s="335" t="s">
        <v>1163</v>
      </c>
    </row>
    <row r="305" spans="1:6" s="336" customFormat="1" ht="45" x14ac:dyDescent="0.25">
      <c r="A305" s="203" t="s">
        <v>459</v>
      </c>
      <c r="B305" s="339" t="s">
        <v>460</v>
      </c>
      <c r="C305" s="333" t="s">
        <v>2331</v>
      </c>
      <c r="D305" s="348" t="s">
        <v>2333</v>
      </c>
      <c r="E305" s="334" t="s">
        <v>2332</v>
      </c>
      <c r="F305" s="335" t="s">
        <v>1163</v>
      </c>
    </row>
    <row r="306" spans="1:6" s="336" customFormat="1" ht="60" x14ac:dyDescent="0.25">
      <c r="A306" s="203" t="s">
        <v>459</v>
      </c>
      <c r="B306" s="339" t="s">
        <v>467</v>
      </c>
      <c r="C306" s="333" t="s">
        <v>2334</v>
      </c>
      <c r="D306" s="348" t="s">
        <v>2336</v>
      </c>
      <c r="E306" s="334" t="s">
        <v>2335</v>
      </c>
      <c r="F306" s="335" t="s">
        <v>1163</v>
      </c>
    </row>
    <row r="307" spans="1:6" s="336" customFormat="1" ht="75" x14ac:dyDescent="0.25">
      <c r="A307" s="203" t="s">
        <v>459</v>
      </c>
      <c r="B307" s="339" t="s">
        <v>466</v>
      </c>
      <c r="C307" s="333" t="s">
        <v>2337</v>
      </c>
      <c r="D307" s="348" t="s">
        <v>2339</v>
      </c>
      <c r="E307" s="334" t="s">
        <v>2338</v>
      </c>
      <c r="F307" s="335" t="s">
        <v>1163</v>
      </c>
    </row>
    <row r="308" spans="1:6" s="336" customFormat="1" ht="75" x14ac:dyDescent="0.25">
      <c r="A308" s="203" t="s">
        <v>459</v>
      </c>
      <c r="B308" s="339" t="s">
        <v>470</v>
      </c>
      <c r="C308" s="333" t="s">
        <v>2340</v>
      </c>
      <c r="D308" s="348" t="s">
        <v>2342</v>
      </c>
      <c r="E308" s="334" t="s">
        <v>2341</v>
      </c>
      <c r="F308" s="335" t="s">
        <v>1163</v>
      </c>
    </row>
    <row r="309" spans="1:6" s="336" customFormat="1" ht="90" x14ac:dyDescent="0.25">
      <c r="A309" s="203" t="s">
        <v>459</v>
      </c>
      <c r="B309" s="339" t="s">
        <v>458</v>
      </c>
      <c r="C309" s="333" t="s">
        <v>2343</v>
      </c>
      <c r="D309" s="348" t="s">
        <v>2345</v>
      </c>
      <c r="E309" s="334" t="s">
        <v>2344</v>
      </c>
      <c r="F309" s="335" t="s">
        <v>1163</v>
      </c>
    </row>
    <row r="310" spans="1:6" s="336" customFormat="1" ht="90" x14ac:dyDescent="0.25">
      <c r="A310" s="203" t="s">
        <v>459</v>
      </c>
      <c r="B310" s="339" t="s">
        <v>446</v>
      </c>
      <c r="C310" s="333" t="s">
        <v>2346</v>
      </c>
      <c r="D310" s="348" t="s">
        <v>2348</v>
      </c>
      <c r="E310" s="334" t="s">
        <v>2347</v>
      </c>
      <c r="F310" s="335" t="s">
        <v>1163</v>
      </c>
    </row>
    <row r="311" spans="1:6" s="336" customFormat="1" ht="45" x14ac:dyDescent="0.25">
      <c r="A311" s="203" t="s">
        <v>459</v>
      </c>
      <c r="B311" s="339" t="s">
        <v>463</v>
      </c>
      <c r="C311" s="333" t="s">
        <v>2349</v>
      </c>
      <c r="D311" s="348" t="s">
        <v>2351</v>
      </c>
      <c r="E311" s="334" t="s">
        <v>2350</v>
      </c>
      <c r="F311" s="335" t="s">
        <v>1163</v>
      </c>
    </row>
    <row r="312" spans="1:6" s="336" customFormat="1" ht="45" x14ac:dyDescent="0.25">
      <c r="A312" s="203" t="s">
        <v>459</v>
      </c>
      <c r="B312" s="339" t="s">
        <v>461</v>
      </c>
      <c r="C312" s="333" t="s">
        <v>2352</v>
      </c>
      <c r="D312" s="348" t="s">
        <v>2354</v>
      </c>
      <c r="E312" s="334" t="s">
        <v>2353</v>
      </c>
      <c r="F312" s="335" t="s">
        <v>1163</v>
      </c>
    </row>
    <row r="313" spans="1:6" s="336" customFormat="1" ht="90" x14ac:dyDescent="0.25">
      <c r="A313" s="203" t="s">
        <v>459</v>
      </c>
      <c r="B313" s="339" t="s">
        <v>468</v>
      </c>
      <c r="C313" s="333" t="s">
        <v>2355</v>
      </c>
      <c r="D313" s="348" t="s">
        <v>2110</v>
      </c>
      <c r="E313" s="334" t="s">
        <v>2356</v>
      </c>
      <c r="F313" s="335" t="s">
        <v>1163</v>
      </c>
    </row>
    <row r="314" spans="1:6" s="336" customFormat="1" ht="60" x14ac:dyDescent="0.25">
      <c r="A314" s="203" t="s">
        <v>459</v>
      </c>
      <c r="B314" s="339" t="s">
        <v>471</v>
      </c>
      <c r="C314" s="333" t="s">
        <v>2357</v>
      </c>
      <c r="D314" s="348" t="s">
        <v>2359</v>
      </c>
      <c r="E314" s="334" t="s">
        <v>2358</v>
      </c>
      <c r="F314" s="335" t="s">
        <v>1163</v>
      </c>
    </row>
    <row r="315" spans="1:6" s="336" customFormat="1" ht="45" x14ac:dyDescent="0.25">
      <c r="A315" s="203" t="s">
        <v>459</v>
      </c>
      <c r="B315" s="339" t="s">
        <v>469</v>
      </c>
      <c r="C315" s="333" t="s">
        <v>2360</v>
      </c>
      <c r="D315" s="348" t="s">
        <v>2362</v>
      </c>
      <c r="E315" s="334" t="s">
        <v>2361</v>
      </c>
      <c r="F315" s="335" t="s">
        <v>1163</v>
      </c>
    </row>
    <row r="316" spans="1:6" s="336" customFormat="1" ht="60" x14ac:dyDescent="0.25">
      <c r="A316" s="203" t="s">
        <v>459</v>
      </c>
      <c r="B316" s="339" t="s">
        <v>464</v>
      </c>
      <c r="C316" s="333" t="s">
        <v>2363</v>
      </c>
      <c r="D316" s="348" t="s">
        <v>2365</v>
      </c>
      <c r="E316" s="334" t="s">
        <v>2364</v>
      </c>
      <c r="F316" s="335" t="s">
        <v>1163</v>
      </c>
    </row>
    <row r="317" spans="1:6" s="336" customFormat="1" ht="45" x14ac:dyDescent="0.25">
      <c r="A317" s="203" t="s">
        <v>332</v>
      </c>
      <c r="B317" s="206" t="s">
        <v>336</v>
      </c>
      <c r="C317" s="338" t="s">
        <v>2366</v>
      </c>
      <c r="D317" s="348" t="s">
        <v>2368</v>
      </c>
      <c r="E317" s="334" t="s">
        <v>2367</v>
      </c>
      <c r="F317" s="335" t="s">
        <v>1163</v>
      </c>
    </row>
    <row r="318" spans="1:6" s="336" customFormat="1" ht="120" x14ac:dyDescent="0.25">
      <c r="A318" s="203" t="s">
        <v>332</v>
      </c>
      <c r="B318" s="206" t="s">
        <v>340</v>
      </c>
      <c r="C318" s="338" t="s">
        <v>2369</v>
      </c>
      <c r="D318" s="348" t="s">
        <v>2368</v>
      </c>
      <c r="E318" s="334" t="s">
        <v>2367</v>
      </c>
      <c r="F318" s="335" t="s">
        <v>1163</v>
      </c>
    </row>
    <row r="319" spans="1:6" s="336" customFormat="1" ht="60" x14ac:dyDescent="0.25">
      <c r="A319" s="203" t="s">
        <v>332</v>
      </c>
      <c r="B319" s="206" t="s">
        <v>341</v>
      </c>
      <c r="C319" s="338" t="s">
        <v>2370</v>
      </c>
      <c r="D319" s="348" t="s">
        <v>2368</v>
      </c>
      <c r="E319" s="334" t="s">
        <v>2367</v>
      </c>
      <c r="F319" s="335" t="s">
        <v>1163</v>
      </c>
    </row>
    <row r="320" spans="1:6" s="336" customFormat="1" ht="45" x14ac:dyDescent="0.25">
      <c r="A320" s="203" t="s">
        <v>332</v>
      </c>
      <c r="B320" s="206" t="s">
        <v>335</v>
      </c>
      <c r="C320" s="338" t="s">
        <v>2371</v>
      </c>
      <c r="D320" s="348" t="s">
        <v>2373</v>
      </c>
      <c r="E320" s="334" t="s">
        <v>2372</v>
      </c>
      <c r="F320" s="335" t="s">
        <v>1163</v>
      </c>
    </row>
    <row r="321" spans="1:6" s="336" customFormat="1" ht="135" x14ac:dyDescent="0.25">
      <c r="A321" s="203" t="s">
        <v>332</v>
      </c>
      <c r="B321" s="206" t="s">
        <v>2374</v>
      </c>
      <c r="C321" s="338" t="s">
        <v>2375</v>
      </c>
      <c r="D321" s="348" t="s">
        <v>2376</v>
      </c>
      <c r="E321" s="334" t="s">
        <v>2372</v>
      </c>
      <c r="F321" s="335" t="s">
        <v>1163</v>
      </c>
    </row>
    <row r="322" spans="1:6" s="336" customFormat="1" ht="60" x14ac:dyDescent="0.25">
      <c r="A322" s="203" t="s">
        <v>332</v>
      </c>
      <c r="B322" s="206" t="s">
        <v>338</v>
      </c>
      <c r="C322" s="338" t="s">
        <v>2377</v>
      </c>
      <c r="D322" s="348" t="s">
        <v>2379</v>
      </c>
      <c r="E322" s="334" t="s">
        <v>2378</v>
      </c>
      <c r="F322" s="335" t="s">
        <v>1163</v>
      </c>
    </row>
    <row r="323" spans="1:6" s="336" customFormat="1" ht="45" x14ac:dyDescent="0.25">
      <c r="A323" s="203" t="s">
        <v>332</v>
      </c>
      <c r="B323" s="206" t="s">
        <v>333</v>
      </c>
      <c r="C323" s="338" t="s">
        <v>2380</v>
      </c>
      <c r="D323" s="348" t="s">
        <v>2382</v>
      </c>
      <c r="E323" s="334" t="s">
        <v>2381</v>
      </c>
      <c r="F323" s="335" t="s">
        <v>1163</v>
      </c>
    </row>
    <row r="324" spans="1:6" s="336" customFormat="1" ht="60" x14ac:dyDescent="0.25">
      <c r="A324" s="203" t="s">
        <v>332</v>
      </c>
      <c r="B324" s="206" t="s">
        <v>342</v>
      </c>
      <c r="C324" s="338" t="s">
        <v>2383</v>
      </c>
      <c r="D324" s="348" t="s">
        <v>2385</v>
      </c>
      <c r="E324" s="334" t="s">
        <v>2384</v>
      </c>
      <c r="F324" s="335" t="s">
        <v>1163</v>
      </c>
    </row>
    <row r="325" spans="1:6" s="336" customFormat="1" ht="105" x14ac:dyDescent="0.25">
      <c r="A325" s="203" t="s">
        <v>332</v>
      </c>
      <c r="B325" s="206" t="s">
        <v>2386</v>
      </c>
      <c r="C325" s="338" t="s">
        <v>2387</v>
      </c>
      <c r="D325" s="348" t="s">
        <v>2388</v>
      </c>
      <c r="E325" s="334" t="s">
        <v>1722</v>
      </c>
      <c r="F325" s="335" t="s">
        <v>1163</v>
      </c>
    </row>
    <row r="326" spans="1:6" s="336" customFormat="1" ht="75" x14ac:dyDescent="0.25">
      <c r="A326" s="203" t="s">
        <v>332</v>
      </c>
      <c r="B326" s="206" t="s">
        <v>334</v>
      </c>
      <c r="C326" s="338" t="s">
        <v>2389</v>
      </c>
      <c r="D326" s="348" t="s">
        <v>2391</v>
      </c>
      <c r="E326" s="334" t="s">
        <v>2390</v>
      </c>
      <c r="F326" s="335" t="s">
        <v>1163</v>
      </c>
    </row>
    <row r="327" spans="1:6" s="336" customFormat="1" ht="75" x14ac:dyDescent="0.25">
      <c r="A327" s="203" t="s">
        <v>332</v>
      </c>
      <c r="B327" s="206" t="s">
        <v>337</v>
      </c>
      <c r="C327" s="338" t="s">
        <v>2392</v>
      </c>
      <c r="D327" s="348" t="s">
        <v>2391</v>
      </c>
      <c r="E327" s="334" t="s">
        <v>2390</v>
      </c>
      <c r="F327" s="335" t="s">
        <v>1163</v>
      </c>
    </row>
    <row r="328" spans="1:6" s="336" customFormat="1" ht="105" x14ac:dyDescent="0.25">
      <c r="A328" s="203" t="s">
        <v>332</v>
      </c>
      <c r="B328" s="206" t="s">
        <v>339</v>
      </c>
      <c r="C328" s="338" t="s">
        <v>2393</v>
      </c>
      <c r="D328" s="348" t="s">
        <v>2395</v>
      </c>
      <c r="E328" s="334" t="s">
        <v>2394</v>
      </c>
      <c r="F328" s="335" t="s">
        <v>1163</v>
      </c>
    </row>
    <row r="329" spans="1:6" s="336" customFormat="1" ht="105" x14ac:dyDescent="0.25">
      <c r="A329" s="203" t="s">
        <v>647</v>
      </c>
      <c r="B329" s="332" t="s">
        <v>648</v>
      </c>
      <c r="C329" s="333" t="s">
        <v>2396</v>
      </c>
      <c r="D329" s="348" t="s">
        <v>2398</v>
      </c>
      <c r="E329" s="334" t="s">
        <v>2397</v>
      </c>
      <c r="F329" s="335" t="s">
        <v>1163</v>
      </c>
    </row>
    <row r="330" spans="1:6" s="336" customFormat="1" ht="120" x14ac:dyDescent="0.25">
      <c r="A330" s="203" t="s">
        <v>647</v>
      </c>
      <c r="B330" s="332" t="s">
        <v>340</v>
      </c>
      <c r="C330" s="333" t="s">
        <v>2399</v>
      </c>
      <c r="D330" s="348" t="s">
        <v>2401</v>
      </c>
      <c r="E330" s="334" t="s">
        <v>2400</v>
      </c>
      <c r="F330" s="335" t="s">
        <v>1163</v>
      </c>
    </row>
    <row r="331" spans="1:6" s="336" customFormat="1" ht="45" x14ac:dyDescent="0.25">
      <c r="A331" s="203" t="s">
        <v>647</v>
      </c>
      <c r="B331" s="332" t="s">
        <v>639</v>
      </c>
      <c r="C331" s="333" t="s">
        <v>2402</v>
      </c>
      <c r="D331" s="348" t="s">
        <v>2404</v>
      </c>
      <c r="E331" s="334" t="s">
        <v>2403</v>
      </c>
      <c r="F331" s="335" t="s">
        <v>1163</v>
      </c>
    </row>
    <row r="332" spans="1:6" s="336" customFormat="1" ht="45" x14ac:dyDescent="0.25">
      <c r="A332" s="203" t="s">
        <v>647</v>
      </c>
      <c r="B332" s="332" t="s">
        <v>646</v>
      </c>
      <c r="C332" s="333" t="s">
        <v>2405</v>
      </c>
      <c r="D332" s="348" t="s">
        <v>2406</v>
      </c>
      <c r="E332" s="334" t="s">
        <v>2403</v>
      </c>
      <c r="F332" s="335" t="s">
        <v>1163</v>
      </c>
    </row>
    <row r="333" spans="1:6" s="336" customFormat="1" ht="45" x14ac:dyDescent="0.25">
      <c r="A333" s="203" t="s">
        <v>667</v>
      </c>
      <c r="B333" s="332" t="s">
        <v>336</v>
      </c>
      <c r="C333" s="333" t="s">
        <v>2407</v>
      </c>
      <c r="D333" s="348" t="s">
        <v>2409</v>
      </c>
      <c r="E333" s="334" t="s">
        <v>2408</v>
      </c>
      <c r="F333" s="335" t="s">
        <v>1163</v>
      </c>
    </row>
    <row r="334" spans="1:6" s="336" customFormat="1" ht="90" x14ac:dyDescent="0.25">
      <c r="A334" s="203" t="s">
        <v>667</v>
      </c>
      <c r="B334" s="332" t="s">
        <v>668</v>
      </c>
      <c r="C334" s="333" t="s">
        <v>2410</v>
      </c>
      <c r="D334" s="348" t="s">
        <v>2409</v>
      </c>
      <c r="E334" s="334" t="s">
        <v>2408</v>
      </c>
      <c r="F334" s="335" t="s">
        <v>1163</v>
      </c>
    </row>
    <row r="335" spans="1:6" s="336" customFormat="1" ht="135" x14ac:dyDescent="0.25">
      <c r="A335" s="203" t="s">
        <v>667</v>
      </c>
      <c r="B335" s="332" t="s">
        <v>669</v>
      </c>
      <c r="C335" s="333" t="s">
        <v>2411</v>
      </c>
      <c r="D335" s="348" t="s">
        <v>2409</v>
      </c>
      <c r="E335" s="334" t="s">
        <v>2408</v>
      </c>
      <c r="F335" s="335" t="s">
        <v>1163</v>
      </c>
    </row>
    <row r="336" spans="1:6" s="336" customFormat="1" ht="60" x14ac:dyDescent="0.25">
      <c r="A336" s="203" t="s">
        <v>667</v>
      </c>
      <c r="B336" s="332" t="s">
        <v>670</v>
      </c>
      <c r="C336" s="333" t="s">
        <v>2412</v>
      </c>
      <c r="D336" s="348" t="s">
        <v>2414</v>
      </c>
      <c r="E336" s="334" t="s">
        <v>2413</v>
      </c>
      <c r="F336" s="335" t="s">
        <v>1163</v>
      </c>
    </row>
    <row r="337" spans="1:6" s="336" customFormat="1" ht="90" x14ac:dyDescent="0.25">
      <c r="A337" s="203" t="s">
        <v>598</v>
      </c>
      <c r="B337" s="332" t="s">
        <v>600</v>
      </c>
      <c r="C337" s="333" t="s">
        <v>2415</v>
      </c>
      <c r="D337" s="348" t="s">
        <v>2417</v>
      </c>
      <c r="E337" s="334" t="s">
        <v>2416</v>
      </c>
      <c r="F337" s="335" t="s">
        <v>1163</v>
      </c>
    </row>
    <row r="338" spans="1:6" s="336" customFormat="1" ht="75" x14ac:dyDescent="0.25">
      <c r="A338" s="203" t="s">
        <v>598</v>
      </c>
      <c r="B338" s="332" t="s">
        <v>602</v>
      </c>
      <c r="C338" s="333" t="s">
        <v>2418</v>
      </c>
      <c r="D338" s="348" t="s">
        <v>2417</v>
      </c>
      <c r="E338" s="334" t="s">
        <v>2416</v>
      </c>
      <c r="F338" s="335" t="s">
        <v>1163</v>
      </c>
    </row>
    <row r="339" spans="1:6" s="336" customFormat="1" ht="60" x14ac:dyDescent="0.25">
      <c r="A339" s="203" t="s">
        <v>598</v>
      </c>
      <c r="B339" s="332" t="s">
        <v>599</v>
      </c>
      <c r="C339" s="333" t="s">
        <v>2419</v>
      </c>
      <c r="D339" s="348" t="s">
        <v>2421</v>
      </c>
      <c r="E339" s="334" t="s">
        <v>2420</v>
      </c>
      <c r="F339" s="335" t="s">
        <v>1163</v>
      </c>
    </row>
    <row r="340" spans="1:6" s="336" customFormat="1" ht="75" x14ac:dyDescent="0.25">
      <c r="A340" s="203" t="s">
        <v>598</v>
      </c>
      <c r="B340" s="332" t="s">
        <v>601</v>
      </c>
      <c r="C340" s="333" t="s">
        <v>2422</v>
      </c>
      <c r="D340" s="348" t="s">
        <v>2423</v>
      </c>
      <c r="E340" s="334" t="s">
        <v>2420</v>
      </c>
      <c r="F340" s="335" t="s">
        <v>1163</v>
      </c>
    </row>
    <row r="341" spans="1:6" s="336" customFormat="1" ht="45" x14ac:dyDescent="0.25">
      <c r="A341" s="203" t="s">
        <v>598</v>
      </c>
      <c r="B341" s="332" t="s">
        <v>606</v>
      </c>
      <c r="C341" s="333" t="s">
        <v>2424</v>
      </c>
      <c r="D341" s="348" t="s">
        <v>2426</v>
      </c>
      <c r="E341" s="334" t="s">
        <v>2425</v>
      </c>
      <c r="F341" s="335" t="s">
        <v>1163</v>
      </c>
    </row>
    <row r="342" spans="1:6" s="336" customFormat="1" ht="45" x14ac:dyDescent="0.25">
      <c r="A342" s="203" t="s">
        <v>598</v>
      </c>
      <c r="B342" s="332" t="s">
        <v>2427</v>
      </c>
      <c r="C342" s="333" t="s">
        <v>2428</v>
      </c>
      <c r="D342" s="348" t="s">
        <v>2430</v>
      </c>
      <c r="E342" s="334" t="s">
        <v>2429</v>
      </c>
      <c r="F342" s="335" t="s">
        <v>1163</v>
      </c>
    </row>
    <row r="343" spans="1:6" s="336" customFormat="1" ht="60" x14ac:dyDescent="0.25">
      <c r="A343" s="203" t="s">
        <v>598</v>
      </c>
      <c r="B343" s="332" t="s">
        <v>604</v>
      </c>
      <c r="C343" s="333" t="s">
        <v>2431</v>
      </c>
      <c r="D343" s="348" t="s">
        <v>2433</v>
      </c>
      <c r="E343" s="334" t="s">
        <v>2432</v>
      </c>
      <c r="F343" s="335" t="s">
        <v>1163</v>
      </c>
    </row>
    <row r="344" spans="1:6" s="336" customFormat="1" ht="75" x14ac:dyDescent="0.25">
      <c r="A344" s="203" t="s">
        <v>598</v>
      </c>
      <c r="B344" s="332" t="s">
        <v>603</v>
      </c>
      <c r="C344" s="333" t="s">
        <v>2434</v>
      </c>
      <c r="D344" s="348" t="s">
        <v>2436</v>
      </c>
      <c r="E344" s="334" t="s">
        <v>2435</v>
      </c>
      <c r="F344" s="335" t="s">
        <v>1163</v>
      </c>
    </row>
    <row r="345" spans="1:6" s="336" customFormat="1" ht="60" x14ac:dyDescent="0.25">
      <c r="A345" s="203" t="s">
        <v>598</v>
      </c>
      <c r="B345" s="332" t="s">
        <v>605</v>
      </c>
      <c r="C345" s="333" t="s">
        <v>2437</v>
      </c>
      <c r="D345" s="348" t="s">
        <v>1870</v>
      </c>
      <c r="E345" s="334" t="s">
        <v>2438</v>
      </c>
      <c r="F345" s="335" t="s">
        <v>1163</v>
      </c>
    </row>
    <row r="346" spans="1:6" s="336" customFormat="1" ht="75" x14ac:dyDescent="0.25">
      <c r="A346" s="203" t="s">
        <v>432</v>
      </c>
      <c r="B346" s="206" t="s">
        <v>433</v>
      </c>
      <c r="C346" s="338" t="s">
        <v>2439</v>
      </c>
      <c r="D346" s="348" t="s">
        <v>2441</v>
      </c>
      <c r="E346" s="334" t="s">
        <v>2440</v>
      </c>
      <c r="F346" s="335" t="s">
        <v>1163</v>
      </c>
    </row>
    <row r="347" spans="1:6" s="336" customFormat="1" ht="45" x14ac:dyDescent="0.25">
      <c r="A347" s="203" t="s">
        <v>432</v>
      </c>
      <c r="B347" s="206" t="s">
        <v>434</v>
      </c>
      <c r="C347" s="338" t="s">
        <v>2442</v>
      </c>
      <c r="D347" s="348" t="s">
        <v>2441</v>
      </c>
      <c r="E347" s="334" t="s">
        <v>2440</v>
      </c>
      <c r="F347" s="335" t="s">
        <v>1163</v>
      </c>
    </row>
    <row r="348" spans="1:6" s="336" customFormat="1" ht="45" x14ac:dyDescent="0.25">
      <c r="A348" s="203" t="s">
        <v>432</v>
      </c>
      <c r="B348" s="206" t="s">
        <v>2443</v>
      </c>
      <c r="C348" s="338" t="s">
        <v>2444</v>
      </c>
      <c r="D348" s="348" t="s">
        <v>2441</v>
      </c>
      <c r="E348" s="334" t="s">
        <v>2440</v>
      </c>
      <c r="F348" s="335" t="s">
        <v>1163</v>
      </c>
    </row>
    <row r="349" spans="1:6" s="336" customFormat="1" ht="45" x14ac:dyDescent="0.25">
      <c r="A349" s="203" t="s">
        <v>432</v>
      </c>
      <c r="B349" s="206" t="s">
        <v>400</v>
      </c>
      <c r="C349" s="338" t="s">
        <v>2445</v>
      </c>
      <c r="D349" s="348" t="s">
        <v>2441</v>
      </c>
      <c r="E349" s="334" t="s">
        <v>2440</v>
      </c>
      <c r="F349" s="335" t="s">
        <v>1163</v>
      </c>
    </row>
    <row r="350" spans="1:6" s="336" customFormat="1" ht="105" x14ac:dyDescent="0.25">
      <c r="A350" s="203" t="s">
        <v>432</v>
      </c>
      <c r="B350" s="206" t="s">
        <v>435</v>
      </c>
      <c r="C350" s="338" t="s">
        <v>2446</v>
      </c>
      <c r="D350" s="348" t="s">
        <v>2441</v>
      </c>
      <c r="E350" s="334" t="s">
        <v>2440</v>
      </c>
      <c r="F350" s="335" t="s">
        <v>1163</v>
      </c>
    </row>
    <row r="351" spans="1:6" s="336" customFormat="1" ht="60" x14ac:dyDescent="0.25">
      <c r="A351" s="203" t="s">
        <v>432</v>
      </c>
      <c r="B351" s="206" t="s">
        <v>436</v>
      </c>
      <c r="C351" s="338" t="s">
        <v>2447</v>
      </c>
      <c r="D351" s="348" t="s">
        <v>2441</v>
      </c>
      <c r="E351" s="334" t="s">
        <v>2440</v>
      </c>
      <c r="F351" s="335" t="s">
        <v>1163</v>
      </c>
    </row>
    <row r="352" spans="1:6" s="336" customFormat="1" ht="75" x14ac:dyDescent="0.25">
      <c r="A352" s="203" t="s">
        <v>432</v>
      </c>
      <c r="B352" s="206" t="s">
        <v>437</v>
      </c>
      <c r="C352" s="338" t="s">
        <v>2448</v>
      </c>
      <c r="D352" s="348" t="s">
        <v>2449</v>
      </c>
      <c r="E352" s="334" t="s">
        <v>2440</v>
      </c>
      <c r="F352" s="335" t="s">
        <v>1163</v>
      </c>
    </row>
    <row r="353" spans="1:6" s="336" customFormat="1" ht="45" x14ac:dyDescent="0.25">
      <c r="A353" s="203" t="s">
        <v>432</v>
      </c>
      <c r="B353" s="206" t="s">
        <v>438</v>
      </c>
      <c r="C353" s="338" t="s">
        <v>2450</v>
      </c>
      <c r="D353" s="348" t="s">
        <v>2451</v>
      </c>
      <c r="E353" s="334" t="s">
        <v>2440</v>
      </c>
      <c r="F353" s="335" t="s">
        <v>1163</v>
      </c>
    </row>
    <row r="354" spans="1:6" s="336" customFormat="1" ht="45" x14ac:dyDescent="0.25">
      <c r="A354" s="203" t="s">
        <v>432</v>
      </c>
      <c r="B354" s="206" t="s">
        <v>439</v>
      </c>
      <c r="C354" s="338" t="s">
        <v>2452</v>
      </c>
      <c r="D354" s="348" t="s">
        <v>2449</v>
      </c>
      <c r="E354" s="334" t="s">
        <v>2440</v>
      </c>
      <c r="F354" s="335" t="s">
        <v>1163</v>
      </c>
    </row>
    <row r="355" spans="1:6" s="336" customFormat="1" ht="90" x14ac:dyDescent="0.25">
      <c r="A355" s="203" t="s">
        <v>432</v>
      </c>
      <c r="B355" s="206" t="s">
        <v>440</v>
      </c>
      <c r="C355" s="338" t="s">
        <v>2453</v>
      </c>
      <c r="D355" s="348" t="s">
        <v>2449</v>
      </c>
      <c r="E355" s="334" t="s">
        <v>2440</v>
      </c>
      <c r="F355" s="335" t="s">
        <v>1163</v>
      </c>
    </row>
    <row r="356" spans="1:6" s="336" customFormat="1" ht="165" x14ac:dyDescent="0.25">
      <c r="A356" s="203" t="s">
        <v>566</v>
      </c>
      <c r="B356" s="332" t="s">
        <v>2454</v>
      </c>
      <c r="C356" s="333" t="s">
        <v>2455</v>
      </c>
      <c r="D356" s="348" t="s">
        <v>2457</v>
      </c>
      <c r="E356" s="334" t="s">
        <v>2456</v>
      </c>
      <c r="F356" s="335" t="s">
        <v>1163</v>
      </c>
    </row>
    <row r="357" spans="1:6" s="336" customFormat="1" ht="60" x14ac:dyDescent="0.25">
      <c r="A357" s="203" t="s">
        <v>566</v>
      </c>
      <c r="B357" s="332" t="s">
        <v>570</v>
      </c>
      <c r="C357" s="333" t="s">
        <v>2458</v>
      </c>
      <c r="D357" s="348" t="s">
        <v>2460</v>
      </c>
      <c r="E357" s="334" t="s">
        <v>2459</v>
      </c>
      <c r="F357" s="335" t="s">
        <v>1163</v>
      </c>
    </row>
    <row r="358" spans="1:6" s="336" customFormat="1" ht="60" x14ac:dyDescent="0.25">
      <c r="A358" s="203" t="s">
        <v>566</v>
      </c>
      <c r="B358" s="332" t="s">
        <v>568</v>
      </c>
      <c r="C358" s="333" t="s">
        <v>569</v>
      </c>
      <c r="D358" s="348" t="s">
        <v>2462</v>
      </c>
      <c r="E358" s="334" t="s">
        <v>2461</v>
      </c>
      <c r="F358" s="335" t="s">
        <v>1163</v>
      </c>
    </row>
    <row r="359" spans="1:6" s="336" customFormat="1" ht="45" x14ac:dyDescent="0.25">
      <c r="A359" s="203" t="s">
        <v>566</v>
      </c>
      <c r="B359" s="332" t="s">
        <v>571</v>
      </c>
      <c r="C359" s="333" t="s">
        <v>2463</v>
      </c>
      <c r="D359" s="348" t="s">
        <v>2465</v>
      </c>
      <c r="E359" s="334" t="s">
        <v>2464</v>
      </c>
      <c r="F359" s="335" t="s">
        <v>1163</v>
      </c>
    </row>
    <row r="360" spans="1:6" s="336" customFormat="1" ht="60" x14ac:dyDescent="0.25">
      <c r="A360" s="203" t="s">
        <v>566</v>
      </c>
      <c r="B360" s="332" t="s">
        <v>567</v>
      </c>
      <c r="C360" s="333" t="s">
        <v>2466</v>
      </c>
      <c r="D360" s="348" t="s">
        <v>2468</v>
      </c>
      <c r="E360" s="334" t="s">
        <v>2467</v>
      </c>
      <c r="F360" s="335" t="s">
        <v>1163</v>
      </c>
    </row>
    <row r="361" spans="1:6" s="336" customFormat="1" ht="90" x14ac:dyDescent="0.25">
      <c r="A361" s="203" t="s">
        <v>472</v>
      </c>
      <c r="B361" s="332" t="s">
        <v>473</v>
      </c>
      <c r="C361" s="333" t="s">
        <v>2469</v>
      </c>
      <c r="D361" s="348" t="s">
        <v>2471</v>
      </c>
      <c r="E361" s="334" t="s">
        <v>2470</v>
      </c>
      <c r="F361" s="335" t="s">
        <v>1163</v>
      </c>
    </row>
    <row r="362" spans="1:6" s="336" customFormat="1" ht="45" x14ac:dyDescent="0.25">
      <c r="A362" s="203" t="s">
        <v>472</v>
      </c>
      <c r="B362" s="332" t="s">
        <v>477</v>
      </c>
      <c r="C362" s="333" t="s">
        <v>2472</v>
      </c>
      <c r="D362" s="348" t="s">
        <v>2474</v>
      </c>
      <c r="E362" s="334" t="s">
        <v>2473</v>
      </c>
      <c r="F362" s="335" t="s">
        <v>1163</v>
      </c>
    </row>
    <row r="363" spans="1:6" s="336" customFormat="1" ht="45" x14ac:dyDescent="0.25">
      <c r="A363" s="203" t="s">
        <v>472</v>
      </c>
      <c r="B363" s="332" t="s">
        <v>2475</v>
      </c>
      <c r="C363" s="333" t="s">
        <v>2476</v>
      </c>
      <c r="D363" s="348" t="s">
        <v>2476</v>
      </c>
      <c r="E363" s="334" t="s">
        <v>2473</v>
      </c>
      <c r="F363" s="335" t="s">
        <v>1163</v>
      </c>
    </row>
    <row r="364" spans="1:6" s="336" customFormat="1" ht="135" x14ac:dyDescent="0.25">
      <c r="A364" s="203" t="s">
        <v>472</v>
      </c>
      <c r="B364" s="332" t="s">
        <v>478</v>
      </c>
      <c r="C364" s="333" t="s">
        <v>2477</v>
      </c>
      <c r="D364" s="348" t="s">
        <v>2476</v>
      </c>
      <c r="E364" s="334" t="s">
        <v>2473</v>
      </c>
      <c r="F364" s="335" t="s">
        <v>1163</v>
      </c>
    </row>
    <row r="365" spans="1:6" s="336" customFormat="1" ht="90" x14ac:dyDescent="0.25">
      <c r="A365" s="203" t="s">
        <v>472</v>
      </c>
      <c r="B365" s="332" t="s">
        <v>2478</v>
      </c>
      <c r="C365" s="333" t="s">
        <v>2479</v>
      </c>
      <c r="D365" s="348" t="s">
        <v>2481</v>
      </c>
      <c r="E365" s="334" t="s">
        <v>2480</v>
      </c>
      <c r="F365" s="335" t="s">
        <v>1163</v>
      </c>
    </row>
    <row r="366" spans="1:6" s="336" customFormat="1" ht="90" x14ac:dyDescent="0.25">
      <c r="A366" s="203" t="s">
        <v>472</v>
      </c>
      <c r="B366" s="332" t="s">
        <v>473</v>
      </c>
      <c r="C366" s="333" t="s">
        <v>2469</v>
      </c>
      <c r="D366" s="348" t="s">
        <v>2481</v>
      </c>
      <c r="E366" s="334" t="s">
        <v>2480</v>
      </c>
      <c r="F366" s="335" t="s">
        <v>1163</v>
      </c>
    </row>
    <row r="367" spans="1:6" s="336" customFormat="1" ht="60" x14ac:dyDescent="0.25">
      <c r="A367" s="203" t="s">
        <v>472</v>
      </c>
      <c r="B367" s="332" t="s">
        <v>474</v>
      </c>
      <c r="C367" s="333" t="s">
        <v>2482</v>
      </c>
      <c r="D367" s="348" t="s">
        <v>2481</v>
      </c>
      <c r="E367" s="334" t="s">
        <v>2480</v>
      </c>
      <c r="F367" s="335" t="s">
        <v>1163</v>
      </c>
    </row>
    <row r="368" spans="1:6" s="336" customFormat="1" ht="90" x14ac:dyDescent="0.25">
      <c r="A368" s="203" t="s">
        <v>472</v>
      </c>
      <c r="B368" s="332" t="s">
        <v>476</v>
      </c>
      <c r="C368" s="333" t="s">
        <v>2483</v>
      </c>
      <c r="D368" s="348" t="s">
        <v>2484</v>
      </c>
      <c r="E368" s="334" t="s">
        <v>2480</v>
      </c>
      <c r="F368" s="335" t="s">
        <v>1163</v>
      </c>
    </row>
    <row r="369" spans="1:6" s="336" customFormat="1" ht="45" x14ac:dyDescent="0.25">
      <c r="A369" s="203" t="s">
        <v>472</v>
      </c>
      <c r="B369" s="332" t="s">
        <v>475</v>
      </c>
      <c r="C369" s="333" t="s">
        <v>2485</v>
      </c>
      <c r="D369" s="348" t="s">
        <v>2487</v>
      </c>
      <c r="E369" s="334" t="s">
        <v>2486</v>
      </c>
      <c r="F369" s="335" t="s">
        <v>1163</v>
      </c>
    </row>
    <row r="370" spans="1:6" s="336" customFormat="1" ht="60" x14ac:dyDescent="0.25">
      <c r="A370" s="203" t="s">
        <v>371</v>
      </c>
      <c r="B370" s="206" t="s">
        <v>2488</v>
      </c>
      <c r="C370" s="338" t="s">
        <v>372</v>
      </c>
      <c r="D370" s="348" t="s">
        <v>2490</v>
      </c>
      <c r="E370" s="334" t="s">
        <v>2489</v>
      </c>
      <c r="F370" s="335" t="s">
        <v>1163</v>
      </c>
    </row>
    <row r="371" spans="1:6" s="336" customFormat="1" ht="60" x14ac:dyDescent="0.25">
      <c r="A371" s="203" t="s">
        <v>371</v>
      </c>
      <c r="B371" s="206" t="s">
        <v>2491</v>
      </c>
      <c r="C371" s="338" t="s">
        <v>2492</v>
      </c>
      <c r="D371" s="348" t="s">
        <v>2494</v>
      </c>
      <c r="E371" s="334" t="s">
        <v>2493</v>
      </c>
      <c r="F371" s="335" t="s">
        <v>1163</v>
      </c>
    </row>
    <row r="372" spans="1:6" s="336" customFormat="1" ht="75" x14ac:dyDescent="0.25">
      <c r="A372" s="203" t="s">
        <v>371</v>
      </c>
      <c r="B372" s="206" t="s">
        <v>374</v>
      </c>
      <c r="C372" s="338" t="s">
        <v>2495</v>
      </c>
      <c r="D372" s="348" t="s">
        <v>2497</v>
      </c>
      <c r="E372" s="334" t="s">
        <v>2496</v>
      </c>
      <c r="F372" s="335" t="s">
        <v>1163</v>
      </c>
    </row>
    <row r="373" spans="1:6" s="336" customFormat="1" ht="105" x14ac:dyDescent="0.25">
      <c r="A373" s="203" t="s">
        <v>371</v>
      </c>
      <c r="B373" s="206" t="s">
        <v>373</v>
      </c>
      <c r="C373" s="338" t="s">
        <v>2498</v>
      </c>
      <c r="D373" s="348" t="s">
        <v>2500</v>
      </c>
      <c r="E373" s="334" t="s">
        <v>2499</v>
      </c>
      <c r="F373" s="335" t="s">
        <v>1163</v>
      </c>
    </row>
    <row r="374" spans="1:6" s="336" customFormat="1" ht="45" x14ac:dyDescent="0.25">
      <c r="A374" s="203" t="s">
        <v>677</v>
      </c>
      <c r="B374" s="332" t="s">
        <v>680</v>
      </c>
      <c r="C374" s="333" t="s">
        <v>2501</v>
      </c>
      <c r="D374" s="348" t="s">
        <v>2503</v>
      </c>
      <c r="E374" s="334" t="s">
        <v>2502</v>
      </c>
      <c r="F374" s="335" t="s">
        <v>1163</v>
      </c>
    </row>
    <row r="375" spans="1:6" s="336" customFormat="1" ht="45" x14ac:dyDescent="0.25">
      <c r="A375" s="203" t="s">
        <v>677</v>
      </c>
      <c r="B375" s="332" t="s">
        <v>458</v>
      </c>
      <c r="C375" s="333" t="s">
        <v>681</v>
      </c>
      <c r="D375" s="348" t="s">
        <v>2505</v>
      </c>
      <c r="E375" s="334" t="s">
        <v>2504</v>
      </c>
      <c r="F375" s="335" t="s">
        <v>1163</v>
      </c>
    </row>
    <row r="376" spans="1:6" s="336" customFormat="1" ht="75" x14ac:dyDescent="0.25">
      <c r="A376" s="203" t="s">
        <v>677</v>
      </c>
      <c r="B376" s="332" t="s">
        <v>679</v>
      </c>
      <c r="C376" s="333" t="s">
        <v>2506</v>
      </c>
      <c r="D376" s="348" t="s">
        <v>2508</v>
      </c>
      <c r="E376" s="334" t="s">
        <v>2507</v>
      </c>
      <c r="F376" s="335" t="s">
        <v>1163</v>
      </c>
    </row>
    <row r="377" spans="1:6" s="336" customFormat="1" ht="60" x14ac:dyDescent="0.25">
      <c r="A377" s="203" t="s">
        <v>677</v>
      </c>
      <c r="B377" s="332" t="s">
        <v>678</v>
      </c>
      <c r="C377" s="333" t="s">
        <v>2509</v>
      </c>
      <c r="D377" s="348" t="s">
        <v>2511</v>
      </c>
      <c r="E377" s="334" t="s">
        <v>2510</v>
      </c>
      <c r="F377" s="335" t="s">
        <v>1163</v>
      </c>
    </row>
    <row r="378" spans="1:6" s="336" customFormat="1" ht="45" x14ac:dyDescent="0.25">
      <c r="A378" s="203" t="s">
        <v>619</v>
      </c>
      <c r="B378" s="339" t="s">
        <v>628</v>
      </c>
      <c r="C378" s="333" t="s">
        <v>2512</v>
      </c>
      <c r="D378" s="348" t="s">
        <v>2514</v>
      </c>
      <c r="E378" s="334" t="s">
        <v>2513</v>
      </c>
      <c r="F378" s="335" t="s">
        <v>1163</v>
      </c>
    </row>
    <row r="379" spans="1:6" s="336" customFormat="1" ht="45" x14ac:dyDescent="0.25">
      <c r="A379" s="203" t="s">
        <v>619</v>
      </c>
      <c r="B379" s="339" t="s">
        <v>623</v>
      </c>
      <c r="C379" s="333" t="s">
        <v>2515</v>
      </c>
      <c r="D379" s="348" t="s">
        <v>2517</v>
      </c>
      <c r="E379" s="334" t="s">
        <v>2516</v>
      </c>
      <c r="F379" s="335" t="s">
        <v>1163</v>
      </c>
    </row>
    <row r="380" spans="1:6" s="336" customFormat="1" ht="60" x14ac:dyDescent="0.25">
      <c r="A380" s="203" t="s">
        <v>619</v>
      </c>
      <c r="B380" s="339" t="s">
        <v>626</v>
      </c>
      <c r="C380" s="333" t="s">
        <v>2518</v>
      </c>
      <c r="D380" s="348" t="s">
        <v>2520</v>
      </c>
      <c r="E380" s="334" t="s">
        <v>2519</v>
      </c>
      <c r="F380" s="335" t="s">
        <v>1163</v>
      </c>
    </row>
    <row r="381" spans="1:6" s="336" customFormat="1" ht="60" x14ac:dyDescent="0.25">
      <c r="A381" s="203" t="s">
        <v>619</v>
      </c>
      <c r="B381" s="339" t="s">
        <v>630</v>
      </c>
      <c r="C381" s="333" t="s">
        <v>2521</v>
      </c>
      <c r="D381" s="348" t="s">
        <v>2523</v>
      </c>
      <c r="E381" s="334" t="s">
        <v>2522</v>
      </c>
      <c r="F381" s="335" t="s">
        <v>1163</v>
      </c>
    </row>
    <row r="382" spans="1:6" s="336" customFormat="1" ht="45" x14ac:dyDescent="0.25">
      <c r="A382" s="203" t="s">
        <v>619</v>
      </c>
      <c r="B382" s="339" t="s">
        <v>387</v>
      </c>
      <c r="C382" s="333" t="s">
        <v>2524</v>
      </c>
      <c r="D382" s="348" t="s">
        <v>2526</v>
      </c>
      <c r="E382" s="334" t="s">
        <v>2525</v>
      </c>
      <c r="F382" s="335" t="s">
        <v>1163</v>
      </c>
    </row>
    <row r="383" spans="1:6" s="336" customFormat="1" ht="45" x14ac:dyDescent="0.25">
      <c r="A383" s="203" t="s">
        <v>619</v>
      </c>
      <c r="B383" s="339" t="s">
        <v>631</v>
      </c>
      <c r="C383" s="333" t="s">
        <v>2527</v>
      </c>
      <c r="D383" s="348" t="s">
        <v>1965</v>
      </c>
      <c r="E383" s="334" t="s">
        <v>2528</v>
      </c>
      <c r="F383" s="335" t="s">
        <v>1163</v>
      </c>
    </row>
    <row r="384" spans="1:6" s="336" customFormat="1" ht="60" x14ac:dyDescent="0.25">
      <c r="A384" s="203" t="s">
        <v>619</v>
      </c>
      <c r="B384" s="339" t="s">
        <v>625</v>
      </c>
      <c r="C384" s="333" t="s">
        <v>2529</v>
      </c>
      <c r="D384" s="348" t="s">
        <v>2531</v>
      </c>
      <c r="E384" s="334" t="s">
        <v>2530</v>
      </c>
      <c r="F384" s="335" t="s">
        <v>1163</v>
      </c>
    </row>
    <row r="385" spans="1:6" s="336" customFormat="1" ht="45" x14ac:dyDescent="0.25">
      <c r="A385" s="203" t="s">
        <v>619</v>
      </c>
      <c r="B385" s="339" t="s">
        <v>518</v>
      </c>
      <c r="C385" s="333" t="s">
        <v>2532</v>
      </c>
      <c r="D385" s="348" t="s">
        <v>2534</v>
      </c>
      <c r="E385" s="334" t="s">
        <v>2533</v>
      </c>
      <c r="F385" s="335" t="s">
        <v>1163</v>
      </c>
    </row>
    <row r="386" spans="1:6" s="336" customFormat="1" ht="60" x14ac:dyDescent="0.25">
      <c r="A386" s="203" t="s">
        <v>619</v>
      </c>
      <c r="B386" s="339" t="s">
        <v>632</v>
      </c>
      <c r="C386" s="333" t="s">
        <v>2535</v>
      </c>
      <c r="D386" s="348" t="s">
        <v>2537</v>
      </c>
      <c r="E386" s="334" t="s">
        <v>2536</v>
      </c>
      <c r="F386" s="335" t="s">
        <v>1163</v>
      </c>
    </row>
    <row r="387" spans="1:6" s="336" customFormat="1" ht="75" x14ac:dyDescent="0.25">
      <c r="A387" s="203" t="s">
        <v>619</v>
      </c>
      <c r="B387" s="339" t="s">
        <v>492</v>
      </c>
      <c r="C387" s="333" t="s">
        <v>2538</v>
      </c>
      <c r="D387" s="348" t="s">
        <v>2540</v>
      </c>
      <c r="E387" s="334" t="s">
        <v>2539</v>
      </c>
      <c r="F387" s="335" t="s">
        <v>1163</v>
      </c>
    </row>
    <row r="388" spans="1:6" s="336" customFormat="1" ht="60" x14ac:dyDescent="0.25">
      <c r="A388" s="203" t="s">
        <v>619</v>
      </c>
      <c r="B388" s="339" t="s">
        <v>2541</v>
      </c>
      <c r="C388" s="333" t="s">
        <v>2542</v>
      </c>
      <c r="D388" s="348" t="s">
        <v>2302</v>
      </c>
      <c r="E388" s="334" t="s">
        <v>2543</v>
      </c>
      <c r="F388" s="335" t="s">
        <v>1163</v>
      </c>
    </row>
    <row r="389" spans="1:6" s="336" customFormat="1" ht="60" x14ac:dyDescent="0.25">
      <c r="A389" s="203" t="s">
        <v>619</v>
      </c>
      <c r="B389" s="339" t="s">
        <v>633</v>
      </c>
      <c r="C389" s="337" t="s">
        <v>2544</v>
      </c>
      <c r="D389" s="348" t="s">
        <v>2545</v>
      </c>
      <c r="E389" s="334" t="s">
        <v>2543</v>
      </c>
      <c r="F389" s="335" t="s">
        <v>1163</v>
      </c>
    </row>
    <row r="390" spans="1:6" s="336" customFormat="1" ht="60" x14ac:dyDescent="0.25">
      <c r="A390" s="203" t="s">
        <v>619</v>
      </c>
      <c r="B390" s="339" t="s">
        <v>255</v>
      </c>
      <c r="C390" s="333" t="s">
        <v>2546</v>
      </c>
      <c r="D390" s="348" t="s">
        <v>2547</v>
      </c>
      <c r="E390" s="334" t="s">
        <v>1332</v>
      </c>
      <c r="F390" s="335" t="s">
        <v>1163</v>
      </c>
    </row>
    <row r="391" spans="1:6" s="336" customFormat="1" ht="45" x14ac:dyDescent="0.25">
      <c r="A391" s="203" t="s">
        <v>619</v>
      </c>
      <c r="B391" s="339" t="s">
        <v>624</v>
      </c>
      <c r="C391" s="333" t="s">
        <v>2548</v>
      </c>
      <c r="D391" s="348" t="s">
        <v>2550</v>
      </c>
      <c r="E391" s="334" t="s">
        <v>2549</v>
      </c>
      <c r="F391" s="335" t="s">
        <v>1163</v>
      </c>
    </row>
    <row r="392" spans="1:6" s="336" customFormat="1" ht="75" x14ac:dyDescent="0.25">
      <c r="A392" s="203" t="s">
        <v>619</v>
      </c>
      <c r="B392" s="339" t="s">
        <v>629</v>
      </c>
      <c r="C392" s="333" t="s">
        <v>2551</v>
      </c>
      <c r="D392" s="348" t="s">
        <v>2553</v>
      </c>
      <c r="E392" s="334" t="s">
        <v>2552</v>
      </c>
      <c r="F392" s="335" t="s">
        <v>1163</v>
      </c>
    </row>
    <row r="393" spans="1:6" s="336" customFormat="1" ht="45" x14ac:dyDescent="0.25">
      <c r="A393" s="203" t="s">
        <v>619</v>
      </c>
      <c r="B393" s="339" t="s">
        <v>627</v>
      </c>
      <c r="C393" s="333" t="s">
        <v>2554</v>
      </c>
      <c r="D393" s="348" t="s">
        <v>2556</v>
      </c>
      <c r="E393" s="334" t="s">
        <v>2555</v>
      </c>
      <c r="F393" s="335" t="s">
        <v>1163</v>
      </c>
    </row>
    <row r="394" spans="1:6" s="336" customFormat="1" ht="60" x14ac:dyDescent="0.25">
      <c r="A394" s="203" t="s">
        <v>619</v>
      </c>
      <c r="B394" s="339" t="s">
        <v>622</v>
      </c>
      <c r="C394" s="333" t="s">
        <v>2557</v>
      </c>
      <c r="D394" s="348" t="s">
        <v>2559</v>
      </c>
      <c r="E394" s="334" t="s">
        <v>2558</v>
      </c>
      <c r="F394" s="335" t="s">
        <v>1163</v>
      </c>
    </row>
    <row r="395" spans="1:6" s="336" customFormat="1" ht="45" x14ac:dyDescent="0.25">
      <c r="A395" s="203" t="s">
        <v>619</v>
      </c>
      <c r="B395" s="339" t="s">
        <v>621</v>
      </c>
      <c r="C395" s="333" t="s">
        <v>2560</v>
      </c>
      <c r="D395" s="348" t="s">
        <v>1870</v>
      </c>
      <c r="E395" s="334" t="s">
        <v>2561</v>
      </c>
      <c r="F395" s="335" t="s">
        <v>1163</v>
      </c>
    </row>
    <row r="396" spans="1:6" s="336" customFormat="1" ht="30" x14ac:dyDescent="0.25">
      <c r="A396" s="203" t="s">
        <v>619</v>
      </c>
      <c r="B396" s="332" t="s">
        <v>620</v>
      </c>
      <c r="C396" s="333" t="s">
        <v>2562</v>
      </c>
      <c r="D396" s="348" t="s">
        <v>2564</v>
      </c>
      <c r="E396" s="334" t="s">
        <v>2563</v>
      </c>
      <c r="F396" s="335" t="s">
        <v>1163</v>
      </c>
    </row>
    <row r="397" spans="1:6" s="336" customFormat="1" ht="45" x14ac:dyDescent="0.25">
      <c r="A397" s="206" t="s">
        <v>343</v>
      </c>
      <c r="B397" s="206" t="s">
        <v>346</v>
      </c>
      <c r="C397" s="338" t="s">
        <v>2565</v>
      </c>
      <c r="D397" s="348" t="s">
        <v>2567</v>
      </c>
      <c r="E397" s="334" t="s">
        <v>2566</v>
      </c>
      <c r="F397" s="335" t="s">
        <v>1163</v>
      </c>
    </row>
    <row r="398" spans="1:6" s="336" customFormat="1" ht="120" x14ac:dyDescent="0.25">
      <c r="A398" s="206" t="s">
        <v>343</v>
      </c>
      <c r="B398" s="206" t="s">
        <v>355</v>
      </c>
      <c r="C398" s="338" t="s">
        <v>2568</v>
      </c>
      <c r="D398" s="348" t="s">
        <v>2570</v>
      </c>
      <c r="E398" s="334" t="s">
        <v>2569</v>
      </c>
      <c r="F398" s="335" t="s">
        <v>1163</v>
      </c>
    </row>
    <row r="399" spans="1:6" s="336" customFormat="1" ht="75" x14ac:dyDescent="0.25">
      <c r="A399" s="206" t="s">
        <v>343</v>
      </c>
      <c r="B399" s="206" t="s">
        <v>1559</v>
      </c>
      <c r="C399" s="338" t="s">
        <v>2571</v>
      </c>
      <c r="D399" s="348" t="s">
        <v>2570</v>
      </c>
      <c r="E399" s="334" t="s">
        <v>2569</v>
      </c>
      <c r="F399" s="335" t="s">
        <v>1163</v>
      </c>
    </row>
    <row r="400" spans="1:6" s="336" customFormat="1" ht="60" x14ac:dyDescent="0.25">
      <c r="A400" s="206" t="s">
        <v>343</v>
      </c>
      <c r="B400" s="206" t="s">
        <v>347</v>
      </c>
      <c r="C400" s="338" t="s">
        <v>2572</v>
      </c>
      <c r="D400" s="348" t="s">
        <v>2574</v>
      </c>
      <c r="E400" s="334" t="s">
        <v>2573</v>
      </c>
      <c r="F400" s="335" t="s">
        <v>1163</v>
      </c>
    </row>
    <row r="401" spans="1:6" s="336" customFormat="1" ht="45" x14ac:dyDescent="0.25">
      <c r="A401" s="206" t="s">
        <v>343</v>
      </c>
      <c r="B401" s="206" t="s">
        <v>354</v>
      </c>
      <c r="C401" s="338" t="s">
        <v>2575</v>
      </c>
      <c r="D401" s="348" t="s">
        <v>2577</v>
      </c>
      <c r="E401" s="334" t="s">
        <v>2576</v>
      </c>
      <c r="F401" s="335" t="s">
        <v>1163</v>
      </c>
    </row>
    <row r="402" spans="1:6" s="336" customFormat="1" ht="45" x14ac:dyDescent="0.25">
      <c r="A402" s="206" t="s">
        <v>343</v>
      </c>
      <c r="B402" s="206" t="s">
        <v>317</v>
      </c>
      <c r="C402" s="338" t="s">
        <v>1581</v>
      </c>
      <c r="D402" s="348" t="s">
        <v>2579</v>
      </c>
      <c r="E402" s="334" t="s">
        <v>2578</v>
      </c>
      <c r="F402" s="335" t="s">
        <v>1163</v>
      </c>
    </row>
    <row r="403" spans="1:6" s="336" customFormat="1" ht="45" x14ac:dyDescent="0.25">
      <c r="A403" s="206" t="s">
        <v>343</v>
      </c>
      <c r="B403" s="206" t="s">
        <v>345</v>
      </c>
      <c r="C403" s="338" t="s">
        <v>2580</v>
      </c>
      <c r="D403" s="348" t="s">
        <v>2582</v>
      </c>
      <c r="E403" s="334" t="s">
        <v>2581</v>
      </c>
      <c r="F403" s="335" t="s">
        <v>1163</v>
      </c>
    </row>
    <row r="404" spans="1:6" s="336" customFormat="1" ht="75" x14ac:dyDescent="0.25">
      <c r="A404" s="206" t="s">
        <v>343</v>
      </c>
      <c r="B404" s="206" t="s">
        <v>348</v>
      </c>
      <c r="C404" s="338" t="s">
        <v>2583</v>
      </c>
      <c r="D404" s="348" t="s">
        <v>2582</v>
      </c>
      <c r="E404" s="334" t="s">
        <v>2581</v>
      </c>
      <c r="F404" s="335" t="s">
        <v>1163</v>
      </c>
    </row>
    <row r="405" spans="1:6" s="336" customFormat="1" ht="45" x14ac:dyDescent="0.25">
      <c r="A405" s="206" t="s">
        <v>343</v>
      </c>
      <c r="B405" s="206" t="s">
        <v>349</v>
      </c>
      <c r="C405" s="338" t="s">
        <v>2584</v>
      </c>
      <c r="D405" s="348" t="s">
        <v>2582</v>
      </c>
      <c r="E405" s="334" t="s">
        <v>2581</v>
      </c>
      <c r="F405" s="335" t="s">
        <v>1163</v>
      </c>
    </row>
    <row r="406" spans="1:6" s="336" customFormat="1" ht="150" x14ac:dyDescent="0.25">
      <c r="A406" s="206" t="s">
        <v>343</v>
      </c>
      <c r="B406" s="206" t="s">
        <v>2030</v>
      </c>
      <c r="C406" s="338" t="s">
        <v>2585</v>
      </c>
      <c r="D406" s="348" t="s">
        <v>2582</v>
      </c>
      <c r="E406" s="334" t="s">
        <v>2581</v>
      </c>
      <c r="F406" s="335" t="s">
        <v>1163</v>
      </c>
    </row>
    <row r="407" spans="1:6" s="336" customFormat="1" ht="45" x14ac:dyDescent="0.25">
      <c r="A407" s="206" t="s">
        <v>343</v>
      </c>
      <c r="B407" s="206" t="s">
        <v>350</v>
      </c>
      <c r="C407" s="338" t="s">
        <v>2586</v>
      </c>
      <c r="D407" s="348" t="s">
        <v>2582</v>
      </c>
      <c r="E407" s="334" t="s">
        <v>2581</v>
      </c>
      <c r="F407" s="335" t="s">
        <v>1163</v>
      </c>
    </row>
    <row r="408" spans="1:6" s="336" customFormat="1" ht="45" x14ac:dyDescent="0.25">
      <c r="A408" s="206" t="s">
        <v>343</v>
      </c>
      <c r="B408" s="206" t="s">
        <v>351</v>
      </c>
      <c r="C408" s="338" t="s">
        <v>2587</v>
      </c>
      <c r="D408" s="348" t="s">
        <v>2582</v>
      </c>
      <c r="E408" s="334" t="s">
        <v>2581</v>
      </c>
      <c r="F408" s="335" t="s">
        <v>1163</v>
      </c>
    </row>
    <row r="409" spans="1:6" s="336" customFormat="1" ht="60" x14ac:dyDescent="0.25">
      <c r="A409" s="206" t="s">
        <v>343</v>
      </c>
      <c r="B409" s="206" t="s">
        <v>352</v>
      </c>
      <c r="C409" s="338" t="s">
        <v>2588</v>
      </c>
      <c r="D409" s="348" t="s">
        <v>2582</v>
      </c>
      <c r="E409" s="334" t="s">
        <v>2581</v>
      </c>
      <c r="F409" s="335" t="s">
        <v>1163</v>
      </c>
    </row>
    <row r="410" spans="1:6" s="336" customFormat="1" ht="120" x14ac:dyDescent="0.25">
      <c r="A410" s="206" t="s">
        <v>343</v>
      </c>
      <c r="B410" s="206" t="s">
        <v>344</v>
      </c>
      <c r="C410" s="338" t="s">
        <v>2589</v>
      </c>
      <c r="D410" s="348" t="s">
        <v>2591</v>
      </c>
      <c r="E410" s="334" t="s">
        <v>2590</v>
      </c>
      <c r="F410" s="335" t="s">
        <v>1163</v>
      </c>
    </row>
    <row r="411" spans="1:6" s="336" customFormat="1" ht="60" x14ac:dyDescent="0.25">
      <c r="A411" s="206" t="s">
        <v>343</v>
      </c>
      <c r="B411" s="206" t="s">
        <v>353</v>
      </c>
      <c r="C411" s="338" t="s">
        <v>2592</v>
      </c>
      <c r="D411" s="348" t="s">
        <v>2591</v>
      </c>
      <c r="E411" s="334" t="s">
        <v>2590</v>
      </c>
      <c r="F411" s="335" t="s">
        <v>1163</v>
      </c>
    </row>
    <row r="412" spans="1:6" s="336" customFormat="1" ht="45" x14ac:dyDescent="0.25">
      <c r="A412" s="203" t="s">
        <v>634</v>
      </c>
      <c r="B412" s="332" t="s">
        <v>637</v>
      </c>
      <c r="C412" s="333" t="s">
        <v>2593</v>
      </c>
      <c r="D412" s="348" t="s">
        <v>2595</v>
      </c>
      <c r="E412" s="334" t="s">
        <v>2594</v>
      </c>
      <c r="F412" s="335" t="s">
        <v>1163</v>
      </c>
    </row>
    <row r="413" spans="1:6" s="336" customFormat="1" ht="75" x14ac:dyDescent="0.25">
      <c r="A413" s="335" t="s">
        <v>634</v>
      </c>
      <c r="B413" s="332" t="s">
        <v>638</v>
      </c>
      <c r="C413" s="333" t="s">
        <v>2596</v>
      </c>
      <c r="D413" s="348" t="s">
        <v>2597</v>
      </c>
      <c r="E413" s="334" t="s">
        <v>2594</v>
      </c>
      <c r="F413" s="335" t="s">
        <v>1163</v>
      </c>
    </row>
    <row r="414" spans="1:6" s="336" customFormat="1" ht="45" x14ac:dyDescent="0.25">
      <c r="A414" s="203" t="s">
        <v>634</v>
      </c>
      <c r="B414" s="332" t="s">
        <v>639</v>
      </c>
      <c r="C414" s="333" t="s">
        <v>2598</v>
      </c>
      <c r="D414" s="348" t="s">
        <v>2595</v>
      </c>
      <c r="E414" s="334" t="s">
        <v>2594</v>
      </c>
      <c r="F414" s="335" t="s">
        <v>1163</v>
      </c>
    </row>
    <row r="415" spans="1:6" s="336" customFormat="1" ht="45" x14ac:dyDescent="0.25">
      <c r="A415" s="203" t="s">
        <v>634</v>
      </c>
      <c r="B415" s="332" t="s">
        <v>635</v>
      </c>
      <c r="C415" s="333" t="s">
        <v>2599</v>
      </c>
      <c r="D415" s="348" t="s">
        <v>2601</v>
      </c>
      <c r="E415" s="334" t="s">
        <v>2600</v>
      </c>
      <c r="F415" s="335" t="s">
        <v>1163</v>
      </c>
    </row>
    <row r="416" spans="1:6" s="336" customFormat="1" ht="45" x14ac:dyDescent="0.25">
      <c r="A416" s="203" t="s">
        <v>634</v>
      </c>
      <c r="B416" s="332" t="s">
        <v>2030</v>
      </c>
      <c r="C416" s="333" t="s">
        <v>636</v>
      </c>
      <c r="D416" s="348" t="s">
        <v>2603</v>
      </c>
      <c r="E416" s="334" t="s">
        <v>2602</v>
      </c>
      <c r="F416" s="335" t="s">
        <v>1163</v>
      </c>
    </row>
    <row r="417" spans="1:7" s="336" customFormat="1" ht="60" x14ac:dyDescent="0.25">
      <c r="A417" s="203" t="s">
        <v>634</v>
      </c>
      <c r="B417" s="332" t="s">
        <v>446</v>
      </c>
      <c r="C417" s="333" t="s">
        <v>2604</v>
      </c>
      <c r="D417" s="348" t="s">
        <v>2606</v>
      </c>
      <c r="E417" s="334" t="s">
        <v>2605</v>
      </c>
      <c r="F417" s="335" t="s">
        <v>1163</v>
      </c>
    </row>
    <row r="418" spans="1:7" s="336" customFormat="1" ht="30" x14ac:dyDescent="0.25">
      <c r="A418" s="203" t="s">
        <v>634</v>
      </c>
      <c r="B418" s="332" t="s">
        <v>1121</v>
      </c>
      <c r="C418" s="333" t="s">
        <v>2607</v>
      </c>
      <c r="D418" s="348" t="s">
        <v>2609</v>
      </c>
      <c r="E418" s="334" t="s">
        <v>2608</v>
      </c>
      <c r="F418" s="335" t="s">
        <v>1163</v>
      </c>
    </row>
    <row r="419" spans="1:7" s="336" customFormat="1" ht="30" x14ac:dyDescent="0.25">
      <c r="A419" s="203" t="s">
        <v>516</v>
      </c>
      <c r="B419" s="332" t="s">
        <v>519</v>
      </c>
      <c r="C419" s="333" t="s">
        <v>2610</v>
      </c>
      <c r="D419" s="348" t="s">
        <v>2612</v>
      </c>
      <c r="E419" s="334" t="s">
        <v>2611</v>
      </c>
      <c r="F419" s="335" t="s">
        <v>1163</v>
      </c>
    </row>
    <row r="420" spans="1:7" s="336" customFormat="1" ht="45" x14ac:dyDescent="0.25">
      <c r="A420" s="203" t="s">
        <v>516</v>
      </c>
      <c r="B420" s="332" t="s">
        <v>2613</v>
      </c>
      <c r="C420" s="333" t="s">
        <v>2614</v>
      </c>
      <c r="D420" s="348" t="s">
        <v>2616</v>
      </c>
      <c r="E420" s="334" t="s">
        <v>2615</v>
      </c>
      <c r="F420" s="335" t="s">
        <v>1163</v>
      </c>
    </row>
    <row r="421" spans="1:7" s="336" customFormat="1" ht="60" x14ac:dyDescent="0.25">
      <c r="A421" s="203" t="s">
        <v>516</v>
      </c>
      <c r="B421" s="332" t="s">
        <v>2617</v>
      </c>
      <c r="C421" s="333" t="s">
        <v>2618</v>
      </c>
      <c r="D421" s="348" t="s">
        <v>2620</v>
      </c>
      <c r="E421" s="334" t="s">
        <v>2619</v>
      </c>
      <c r="F421" s="335" t="s">
        <v>1163</v>
      </c>
    </row>
    <row r="422" spans="1:7" s="336" customFormat="1" ht="45" x14ac:dyDescent="0.25">
      <c r="A422" s="203" t="s">
        <v>516</v>
      </c>
      <c r="B422" s="332" t="s">
        <v>387</v>
      </c>
      <c r="C422" s="333" t="s">
        <v>2621</v>
      </c>
      <c r="D422" s="348" t="s">
        <v>2219</v>
      </c>
      <c r="E422" s="334" t="s">
        <v>2622</v>
      </c>
      <c r="F422" s="335" t="s">
        <v>1163</v>
      </c>
    </row>
    <row r="423" spans="1:7" s="336" customFormat="1" ht="45" x14ac:dyDescent="0.25">
      <c r="A423" s="203" t="s">
        <v>516</v>
      </c>
      <c r="B423" s="332" t="s">
        <v>518</v>
      </c>
      <c r="C423" s="333" t="s">
        <v>2623</v>
      </c>
      <c r="D423" s="348" t="s">
        <v>2534</v>
      </c>
      <c r="E423" s="334" t="s">
        <v>2624</v>
      </c>
      <c r="F423" s="335" t="s">
        <v>1163</v>
      </c>
    </row>
    <row r="424" spans="1:7" s="336" customFormat="1" ht="45" x14ac:dyDescent="0.25">
      <c r="A424" s="203" t="s">
        <v>516</v>
      </c>
      <c r="B424" s="332" t="s">
        <v>520</v>
      </c>
      <c r="C424" s="333" t="s">
        <v>2625</v>
      </c>
      <c r="D424" s="348" t="s">
        <v>2627</v>
      </c>
      <c r="E424" s="334" t="s">
        <v>2626</v>
      </c>
      <c r="F424" s="335" t="s">
        <v>1163</v>
      </c>
    </row>
    <row r="425" spans="1:7" s="336" customFormat="1" ht="45" x14ac:dyDescent="0.25">
      <c r="A425" s="203" t="s">
        <v>516</v>
      </c>
      <c r="B425" s="332" t="s">
        <v>350</v>
      </c>
      <c r="C425" s="333" t="s">
        <v>2628</v>
      </c>
      <c r="D425" s="348" t="s">
        <v>1854</v>
      </c>
      <c r="E425" s="334" t="s">
        <v>2629</v>
      </c>
      <c r="F425" s="335" t="s">
        <v>1163</v>
      </c>
    </row>
    <row r="426" spans="1:7" s="336" customFormat="1" ht="60" x14ac:dyDescent="0.25">
      <c r="A426" s="203" t="s">
        <v>516</v>
      </c>
      <c r="B426" s="332" t="s">
        <v>517</v>
      </c>
      <c r="C426" s="333" t="s">
        <v>2630</v>
      </c>
      <c r="D426" s="348" t="s">
        <v>2632</v>
      </c>
      <c r="E426" s="334" t="s">
        <v>2631</v>
      </c>
      <c r="F426" s="335" t="s">
        <v>1163</v>
      </c>
    </row>
    <row r="427" spans="1:7" s="336" customFormat="1" ht="45" x14ac:dyDescent="0.25">
      <c r="A427" s="203" t="s">
        <v>516</v>
      </c>
      <c r="B427" s="332" t="s">
        <v>521</v>
      </c>
      <c r="C427" s="333" t="s">
        <v>2633</v>
      </c>
      <c r="D427" s="348" t="s">
        <v>2635</v>
      </c>
      <c r="E427" s="334" t="s">
        <v>2634</v>
      </c>
      <c r="F427" s="335" t="s">
        <v>1163</v>
      </c>
    </row>
    <row r="428" spans="1:7" s="336" customFormat="1" ht="90" x14ac:dyDescent="0.25">
      <c r="A428" s="203" t="s">
        <v>516</v>
      </c>
      <c r="B428" s="332" t="s">
        <v>522</v>
      </c>
      <c r="C428" s="333" t="s">
        <v>2636</v>
      </c>
      <c r="D428" s="348" t="s">
        <v>2638</v>
      </c>
      <c r="E428" s="334" t="s">
        <v>2637</v>
      </c>
      <c r="F428" s="335" t="s">
        <v>1163</v>
      </c>
    </row>
    <row r="429" spans="1:7" s="336" customFormat="1" ht="45" x14ac:dyDescent="0.25">
      <c r="A429" s="203" t="s">
        <v>516</v>
      </c>
      <c r="B429" s="332" t="s">
        <v>2639</v>
      </c>
      <c r="C429" s="333" t="s">
        <v>2640</v>
      </c>
      <c r="D429" s="348" t="s">
        <v>2642</v>
      </c>
      <c r="E429" s="334" t="s">
        <v>2641</v>
      </c>
      <c r="F429" s="335" t="s">
        <v>1163</v>
      </c>
    </row>
    <row r="430" spans="1:7" s="336" customFormat="1" ht="45" x14ac:dyDescent="0.25">
      <c r="A430" s="203" t="s">
        <v>407</v>
      </c>
      <c r="B430" s="206" t="s">
        <v>408</v>
      </c>
      <c r="C430" s="338" t="s">
        <v>2643</v>
      </c>
      <c r="D430" s="348" t="s">
        <v>2645</v>
      </c>
      <c r="E430" s="334" t="s">
        <v>2644</v>
      </c>
      <c r="F430" s="335" t="s">
        <v>1163</v>
      </c>
    </row>
    <row r="431" spans="1:7" s="336" customFormat="1" ht="45" x14ac:dyDescent="0.3">
      <c r="A431" s="203" t="s">
        <v>407</v>
      </c>
      <c r="B431" s="206" t="s">
        <v>377</v>
      </c>
      <c r="C431" s="338" t="s">
        <v>2646</v>
      </c>
      <c r="D431" s="348" t="s">
        <v>1747</v>
      </c>
      <c r="E431" s="334" t="s">
        <v>2647</v>
      </c>
      <c r="F431" s="335" t="s">
        <v>1163</v>
      </c>
      <c r="G431" s="344"/>
    </row>
    <row r="432" spans="1:7" s="336" customFormat="1" ht="45" x14ac:dyDescent="0.3">
      <c r="A432" s="203" t="s">
        <v>407</v>
      </c>
      <c r="B432" s="206" t="s">
        <v>409</v>
      </c>
      <c r="C432" s="338" t="s">
        <v>2648</v>
      </c>
      <c r="D432" s="348" t="s">
        <v>2650</v>
      </c>
      <c r="E432" s="334" t="s">
        <v>2649</v>
      </c>
      <c r="F432" s="335" t="s">
        <v>1163</v>
      </c>
      <c r="G432" s="345"/>
    </row>
    <row r="433" spans="1:77" s="336" customFormat="1" ht="45" x14ac:dyDescent="0.3">
      <c r="A433" s="203" t="s">
        <v>407</v>
      </c>
      <c r="B433" s="206" t="s">
        <v>273</v>
      </c>
      <c r="C433" s="338" t="s">
        <v>2651</v>
      </c>
      <c r="D433" s="348" t="s">
        <v>2213</v>
      </c>
      <c r="E433" s="334" t="s">
        <v>2652</v>
      </c>
      <c r="F433" s="335" t="s">
        <v>1163</v>
      </c>
      <c r="G433" s="345"/>
    </row>
    <row r="434" spans="1:77" ht="18.75" x14ac:dyDescent="0.25">
      <c r="A434" s="184" t="s">
        <v>2839</v>
      </c>
      <c r="B434" s="120"/>
      <c r="C434" s="120"/>
      <c r="D434" s="347"/>
      <c r="E434" s="120"/>
      <c r="F434" s="185"/>
      <c r="G434" s="5"/>
      <c r="H434" s="183"/>
    </row>
    <row r="435" spans="1:77" x14ac:dyDescent="0.25">
      <c r="A435" s="29" t="s">
        <v>171</v>
      </c>
      <c r="B435" s="35" t="s">
        <v>172</v>
      </c>
      <c r="C435" s="35" t="s">
        <v>173</v>
      </c>
      <c r="D435" s="35" t="s">
        <v>765</v>
      </c>
      <c r="E435" s="29" t="s">
        <v>766</v>
      </c>
      <c r="F435" s="29" t="s">
        <v>58</v>
      </c>
    </row>
    <row r="436" spans="1:77" s="2" customFormat="1" ht="45" x14ac:dyDescent="0.25">
      <c r="A436" s="330" t="s">
        <v>296</v>
      </c>
      <c r="B436" s="37">
        <v>2008</v>
      </c>
      <c r="C436" s="24" t="s">
        <v>297</v>
      </c>
      <c r="D436" s="37" t="s">
        <v>1511</v>
      </c>
      <c r="E436" s="13" t="s">
        <v>298</v>
      </c>
      <c r="F436" s="214" t="s">
        <v>1163</v>
      </c>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s="20"/>
    </row>
    <row r="437" spans="1:77" ht="135" x14ac:dyDescent="0.25">
      <c r="A437" s="42" t="s">
        <v>299</v>
      </c>
      <c r="B437" s="37">
        <v>2009</v>
      </c>
      <c r="C437" s="206" t="s">
        <v>1490</v>
      </c>
      <c r="D437" s="206" t="s">
        <v>1488</v>
      </c>
      <c r="E437" s="309" t="s">
        <v>1489</v>
      </c>
      <c r="F437" s="214" t="s">
        <v>1163</v>
      </c>
    </row>
    <row r="438" spans="1:77" ht="120" x14ac:dyDescent="0.25">
      <c r="A438" s="42" t="s">
        <v>300</v>
      </c>
      <c r="B438" s="37">
        <v>2010</v>
      </c>
      <c r="C438" s="206" t="s">
        <v>1491</v>
      </c>
      <c r="D438" s="206" t="s">
        <v>1492</v>
      </c>
      <c r="E438" s="309" t="s">
        <v>301</v>
      </c>
      <c r="F438" s="214" t="s">
        <v>1163</v>
      </c>
    </row>
    <row r="439" spans="1:77" ht="90" customHeight="1" x14ac:dyDescent="0.25">
      <c r="A439" s="331" t="s">
        <v>302</v>
      </c>
      <c r="B439" s="10">
        <v>2013</v>
      </c>
      <c r="C439" s="292" t="s">
        <v>1493</v>
      </c>
      <c r="D439" s="10" t="s">
        <v>1494</v>
      </c>
      <c r="E439" s="329" t="s">
        <v>303</v>
      </c>
      <c r="F439" s="214" t="s">
        <v>1163</v>
      </c>
    </row>
    <row r="440" spans="1:77" ht="75" x14ac:dyDescent="0.25">
      <c r="A440" s="42" t="s">
        <v>304</v>
      </c>
      <c r="B440" s="37">
        <v>2013</v>
      </c>
      <c r="C440" s="206" t="s">
        <v>1495</v>
      </c>
      <c r="D440" s="206" t="s">
        <v>1496</v>
      </c>
      <c r="E440" s="309" t="s">
        <v>298</v>
      </c>
      <c r="F440" s="214" t="s">
        <v>1163</v>
      </c>
    </row>
    <row r="441" spans="1:77" ht="120" x14ac:dyDescent="0.25">
      <c r="A441" s="42" t="s">
        <v>305</v>
      </c>
      <c r="B441" s="37">
        <v>2016</v>
      </c>
      <c r="C441" s="206" t="s">
        <v>1497</v>
      </c>
      <c r="D441" s="206" t="s">
        <v>1498</v>
      </c>
      <c r="E441" s="311" t="s">
        <v>1499</v>
      </c>
      <c r="F441" s="214" t="s">
        <v>1163</v>
      </c>
    </row>
    <row r="442" spans="1:77" ht="120" x14ac:dyDescent="0.25">
      <c r="A442" s="282" t="s">
        <v>1500</v>
      </c>
      <c r="B442" s="206"/>
      <c r="C442" s="206" t="s">
        <v>1501</v>
      </c>
      <c r="D442" s="206" t="s">
        <v>1502</v>
      </c>
      <c r="E442" s="309" t="s">
        <v>1503</v>
      </c>
      <c r="F442" s="214" t="s">
        <v>1163</v>
      </c>
    </row>
    <row r="443" spans="1:77" ht="90" x14ac:dyDescent="0.25">
      <c r="A443" s="282" t="s">
        <v>1504</v>
      </c>
      <c r="B443" s="206"/>
      <c r="C443" s="206" t="s">
        <v>1505</v>
      </c>
      <c r="D443" s="206" t="s">
        <v>1504</v>
      </c>
      <c r="E443" s="309" t="s">
        <v>1506</v>
      </c>
      <c r="F443" s="214" t="s">
        <v>1163</v>
      </c>
    </row>
    <row r="444" spans="1:77" ht="60" x14ac:dyDescent="0.25">
      <c r="A444" s="282" t="s">
        <v>1507</v>
      </c>
      <c r="B444" s="206"/>
      <c r="C444" s="206" t="s">
        <v>1508</v>
      </c>
      <c r="D444" s="206" t="s">
        <v>1509</v>
      </c>
      <c r="E444" s="309" t="s">
        <v>1510</v>
      </c>
      <c r="F444" s="214" t="s">
        <v>1163</v>
      </c>
    </row>
  </sheetData>
  <mergeCells count="1">
    <mergeCell ref="A1:A2"/>
  </mergeCells>
  <hyperlinks>
    <hyperlink ref="E43" r:id="rId1" xr:uid="{D7077A69-C486-496D-A61F-E238F6A94CB6}"/>
    <hyperlink ref="E265" r:id="rId2" xr:uid="{A7E17B2F-8C62-419B-AB38-645BF30229E5}"/>
    <hyperlink ref="E60" r:id="rId3" xr:uid="{B14C9134-A914-4160-8D1E-25A6754ED38B}"/>
    <hyperlink ref="E64" r:id="rId4" xr:uid="{F2F75E79-7D1F-431B-BB82-72BA60E881DB}"/>
    <hyperlink ref="E36" r:id="rId5" xr:uid="{4FD26C88-76D4-48F8-94AE-703AF6E00DF7}"/>
    <hyperlink ref="E44" r:id="rId6" xr:uid="{0A802953-67C5-4227-86F5-A801FD6AD318}"/>
    <hyperlink ref="E46" r:id="rId7" xr:uid="{03DACB5E-A79B-43EB-91B1-CDFBFD22049F}"/>
    <hyperlink ref="E34" r:id="rId8" xr:uid="{A66CA57D-3C87-40DA-83DE-26C000958AF8}"/>
    <hyperlink ref="E30" r:id="rId9" xr:uid="{5930573B-377B-4091-A17C-E96CF0F8F55F}"/>
    <hyperlink ref="E24" r:id="rId10" xr:uid="{DFF7188C-07ED-43B6-8AA6-B5B8B8369096}"/>
    <hyperlink ref="E27" r:id="rId11" xr:uid="{DB2FF930-4258-40C3-9DC3-BED6D633A504}"/>
    <hyperlink ref="E39" r:id="rId12" xr:uid="{168B20A5-A268-48A5-B49E-3E4E85A9D1BD}"/>
    <hyperlink ref="E41" r:id="rId13" xr:uid="{553588A5-E286-454C-A080-B0015E674DD9}"/>
    <hyperlink ref="E26" r:id="rId14" xr:uid="{810F4FA7-BDD1-4A32-AD92-A529BA468A96}"/>
    <hyperlink ref="E325" r:id="rId15" xr:uid="{0C1416D1-015B-4863-9154-975463F32C2E}"/>
    <hyperlink ref="E326" r:id="rId16" xr:uid="{C849E4CA-797C-4993-9C00-068BDD96A6CD}"/>
    <hyperlink ref="E323" r:id="rId17" xr:uid="{3B6FE2D8-6E51-45A2-9355-1D9D35ACEC83}"/>
    <hyperlink ref="E40" r:id="rId18" xr:uid="{4007AF7F-1D04-4630-A5D3-26B94E63E38E}"/>
    <hyperlink ref="E31" r:id="rId19" xr:uid="{BAE71746-4703-4E40-951B-DCA3148BC8D5}"/>
    <hyperlink ref="E400" r:id="rId20" xr:uid="{2E9F6915-D6F3-47DA-AEA4-73DEF1909C19}"/>
    <hyperlink ref="E404" r:id="rId21" xr:uid="{C9063ECE-D652-4AC4-993D-BD54C8EE6656}"/>
    <hyperlink ref="E405" r:id="rId22" xr:uid="{11E523A1-DA83-4A7D-9D27-0936484EF417}"/>
    <hyperlink ref="E406" r:id="rId23" xr:uid="{912E512E-526B-4695-94D6-6AE6D6248089}"/>
    <hyperlink ref="E407" r:id="rId24" xr:uid="{978FB5E8-F0B1-41DB-A82E-063DE6444E63}"/>
    <hyperlink ref="E408" r:id="rId25" xr:uid="{3324FF81-90D2-44B5-BE20-103BF2162576}"/>
    <hyperlink ref="E409" r:id="rId26" xr:uid="{B55F2731-3EE2-497B-8E35-B811AA828207}"/>
    <hyperlink ref="E411" r:id="rId27" xr:uid="{F5F7DAB0-C31C-453D-BC5A-E6CF2458130E}"/>
    <hyperlink ref="E401" r:id="rId28" xr:uid="{27CBCDFC-6E3E-4C75-B183-6ACE648CD097}"/>
    <hyperlink ref="E398" r:id="rId29" xr:uid="{45C0B741-41FE-429F-A829-573EC6AF1EE7}"/>
    <hyperlink ref="E399" r:id="rId30" xr:uid="{C74AD5D3-7F56-4919-9676-C4BA23CC92C4}"/>
    <hyperlink ref="E155" r:id="rId31" xr:uid="{BA882ACA-44A8-4C02-AA5E-90DBAB2B0783}"/>
    <hyperlink ref="E152" r:id="rId32" xr:uid="{2EA4C6EE-A505-4543-9A97-09919838065B}"/>
    <hyperlink ref="E151" r:id="rId33" xr:uid="{89EE2A3B-53BB-47CF-8332-1390EC158E69}"/>
    <hyperlink ref="E148" r:id="rId34" xr:uid="{2796C9CB-3D30-405F-BE8D-EF62C33362D2}"/>
    <hyperlink ref="E159" r:id="rId35" xr:uid="{8DB2CA70-42EB-456D-89D0-666743F59023}"/>
    <hyperlink ref="E397" r:id="rId36" xr:uid="{759A2B53-B949-4109-AC90-F800BE14FE68}"/>
    <hyperlink ref="E402" r:id="rId37" xr:uid="{BB9067DA-5465-4F80-AEA8-05DEF0D8F90F}"/>
    <hyperlink ref="E403" r:id="rId38" xr:uid="{D94A3BE1-8BE0-42DD-8043-5356E10F38AA}"/>
    <hyperlink ref="E410" r:id="rId39" xr:uid="{D74496F8-D4DC-45C1-B2A8-19D7317ED6F5}"/>
    <hyperlink ref="E25" r:id="rId40" xr:uid="{5624D783-07A0-4A8D-83D3-DD8FF86E7773}"/>
    <hyperlink ref="E42" r:id="rId41" xr:uid="{C7ECE92F-F5C0-42C7-BEE2-8023BB18491E}"/>
    <hyperlink ref="E29" r:id="rId42" xr:uid="{3D824E55-C769-4253-81E1-361B6BAD866C}"/>
    <hyperlink ref="E28" r:id="rId43" xr:uid="{F6E4E9A3-1827-4360-A766-5154F4303670}"/>
    <hyperlink ref="E38" r:id="rId44" xr:uid="{6EED368D-7506-4476-B13C-BF6E09D3A587}"/>
    <hyperlink ref="E33" r:id="rId45" xr:uid="{DBA4C4AD-ED8F-40A8-B8C3-FE0A7E929DD7}"/>
    <hyperlink ref="E37" r:id="rId46" xr:uid="{01AC1E19-41B7-4D2A-82AB-F8DF746DD904}"/>
    <hyperlink ref="E35" r:id="rId47" xr:uid="{987DF449-D19D-4814-B61F-C5C5D3E13935}"/>
    <hyperlink ref="E32" r:id="rId48" xr:uid="{55296412-AECD-47FC-9043-096E12BBF647}"/>
    <hyperlink ref="E78" r:id="rId49" xr:uid="{DA67CEEC-C35A-4345-9835-EF4564AB3A44}"/>
    <hyperlink ref="E79" r:id="rId50" xr:uid="{545B81F8-3F0E-49CC-B415-083517778BCA}"/>
    <hyperlink ref="E81" r:id="rId51" xr:uid="{92524D7E-F4A8-4BCB-927A-8BEFC48F9E98}"/>
    <hyperlink ref="E82" r:id="rId52" xr:uid="{0A5FE9BE-60D3-4364-89D6-1E8F53BEA5B1}"/>
    <hyperlink ref="E73" r:id="rId53" xr:uid="{1FA5F4DC-0147-4834-9274-B1DA037669EF}"/>
    <hyperlink ref="E74" r:id="rId54" xr:uid="{F977F60A-F159-49B5-A59E-FB097D21730E}"/>
    <hyperlink ref="E116" r:id="rId55" xr:uid="{E5DE10F9-4342-4F1B-8BC8-B6023F5099F5}"/>
    <hyperlink ref="E130" r:id="rId56" xr:uid="{BD6159BB-4257-4043-ACD9-3C2AEC5888C0}"/>
    <hyperlink ref="E198" r:id="rId57" xr:uid="{95283E87-4E37-4DCE-AC50-ED214A76662B}"/>
    <hyperlink ref="E199" r:id="rId58" xr:uid="{1DA87E95-5D55-4E90-84FE-CF2DF15A26EB}"/>
    <hyperlink ref="E300" r:id="rId59" xr:uid="{E8DF2799-70E8-4307-B071-F4842CF099B3}"/>
    <hyperlink ref="E297" r:id="rId60" xr:uid="{21E4E330-E99F-4303-ADE9-C025CEABB5E8}"/>
    <hyperlink ref="E298" r:id="rId61" xr:uid="{B48316B8-ADF0-41D8-A8C6-BFBA1A91CC72}"/>
    <hyperlink ref="E299" r:id="rId62" xr:uid="{2534379E-D8D4-4B32-BA04-53467AA794E1}"/>
    <hyperlink ref="E301" r:id="rId63" xr:uid="{EB234AC2-3DE2-46AF-B93A-92EDDCA8F91E}"/>
    <hyperlink ref="E295" r:id="rId64" xr:uid="{7588D386-B14C-4F0E-BD65-EF2B05496ACB}"/>
    <hyperlink ref="E296" r:id="rId65" xr:uid="{230E8172-F61A-4C15-8C6C-AEF684CDF8F8}"/>
    <hyperlink ref="E320" r:id="rId66" xr:uid="{8DFD70E3-4E24-43FF-9E24-E65DB8342317}"/>
    <hyperlink ref="E317" r:id="rId67" xr:uid="{3D3C3144-B8F6-448A-830D-932BB2FC1017}"/>
    <hyperlink ref="E324" r:id="rId68" xr:uid="{438538BA-993D-4F97-B52A-EC9DE5DD78BB}"/>
    <hyperlink ref="E319" r:id="rId69" xr:uid="{812F517C-B643-458D-9F92-0FE79080266B}"/>
    <hyperlink ref="E318" r:id="rId70" xr:uid="{8385A3DB-3039-4AAD-B9A8-83FA1EAD561E}"/>
    <hyperlink ref="E173" r:id="rId71" xr:uid="{AD3D40A0-A523-449B-9A6B-0F42CEC63B7E}"/>
    <hyperlink ref="E356" r:id="rId72" xr:uid="{AD1A9A34-38B2-4C68-AF5E-8F70708B046F}"/>
    <hyperlink ref="E186" r:id="rId73" xr:uid="{CE9EF046-56D4-4897-8D99-C53251DF5C5A}"/>
    <hyperlink ref="E189" r:id="rId74" xr:uid="{42B2F1BB-CB4C-4528-9A00-C2FA0161EC2B}"/>
    <hyperlink ref="E188" r:id="rId75" xr:uid="{D2FFD9AB-3297-458B-B709-A3C845788066}"/>
    <hyperlink ref="E190" r:id="rId76" xr:uid="{66FFD02D-BA47-4CB7-87A8-20704E72A50A}"/>
    <hyperlink ref="E329" r:id="rId77" xr:uid="{5659A21E-1EE5-4D18-B930-63729BBFDFAD}"/>
    <hyperlink ref="E330" r:id="rId78" xr:uid="{22B06D74-6573-4A83-8999-1E2F20922E09}"/>
    <hyperlink ref="E280" r:id="rId79" xr:uid="{018E858E-104E-4051-9B0E-CA6C30DA7F3B}"/>
    <hyperlink ref="E270" r:id="rId80" xr:uid="{F70343BD-9F9A-49AA-80D8-0C6E2ACD4268}"/>
    <hyperlink ref="E281" r:id="rId81" xr:uid="{1292E7A2-E5C2-464C-A00A-4E751156A636}"/>
    <hyperlink ref="E271" r:id="rId82" xr:uid="{B373C513-77DA-465F-B68C-25ADED40DB1F}"/>
    <hyperlink ref="E274" r:id="rId83" xr:uid="{74FDD4D6-181D-4FC0-A590-778F4EF153D4}"/>
    <hyperlink ref="E275" r:id="rId84" xr:uid="{3B6841F8-5C9D-4CC7-9963-482C36E6ADFC}"/>
    <hyperlink ref="E272" r:id="rId85" xr:uid="{9C63C896-9459-4BCF-97C9-E90E743B4097}"/>
    <hyperlink ref="E273" r:id="rId86" xr:uid="{47DC68C1-3680-4488-A42F-7CD78B35519B}"/>
    <hyperlink ref="E276" r:id="rId87" xr:uid="{D7F80FC4-671A-43B1-A773-A57A24265E5C}"/>
    <hyperlink ref="E396" r:id="rId88" xr:uid="{C501DE0B-C0BA-4B30-BDF5-41BC0FF446DE}"/>
    <hyperlink ref="E383" r:id="rId89" xr:uid="{7A30F17B-A6F9-4A1B-B945-E861D9B9E466}"/>
    <hyperlink ref="E381" r:id="rId90" xr:uid="{0DA5CDB2-157A-4D33-B849-A4146F6E48D3}"/>
    <hyperlink ref="E380" r:id="rId91" xr:uid="{523087FB-F1DD-4358-ACD3-FB22340D8712}"/>
    <hyperlink ref="E393" r:id="rId92" xr:uid="{37139F07-32DA-48A4-AF4C-88D88BC96222}"/>
    <hyperlink ref="E378" r:id="rId93" xr:uid="{FA1CE496-70E0-4D52-89BB-D4C0C8363710}"/>
    <hyperlink ref="E392" r:id="rId94" xr:uid="{7EA84D85-3973-4BAF-A2E6-C2111F59BCC9}"/>
    <hyperlink ref="E388" r:id="rId95" xr:uid="{798B3B58-07E4-45B6-9B7A-BFFE727D2E2F}"/>
    <hyperlink ref="E76" r:id="rId96" xr:uid="{C3672991-FFED-4709-A796-A0A851C53183}"/>
    <hyperlink ref="E77" r:id="rId97" xr:uid="{321113D8-2350-4480-BB74-56A241A6C0CD}"/>
    <hyperlink ref="E80" r:id="rId98" xr:uid="{1A256D7E-56AF-45C4-A219-CFA383294341}"/>
    <hyperlink ref="E339" r:id="rId99" xr:uid="{FF7F7952-EE44-4344-B730-9144CF632356}"/>
    <hyperlink ref="E340" r:id="rId100" xr:uid="{32180796-73FF-4F2F-BCDE-CABC47AE669F}"/>
    <hyperlink ref="E337" r:id="rId101" xr:uid="{6EBFB775-BAAC-4406-8077-2424521A3C25}"/>
    <hyperlink ref="E279" r:id="rId102" xr:uid="{F49D8123-E154-4B7E-AACE-71584FAC7DAF}"/>
    <hyperlink ref="E278" r:id="rId103" xr:uid="{C1A7178E-7B00-4ED5-B002-85C50B7F7E2D}"/>
    <hyperlink ref="E338" r:id="rId104" xr:uid="{48ADCDBA-BDE3-4635-88A5-EEAA0F9534B6}"/>
    <hyperlink ref="E344" r:id="rId105" xr:uid="{A99B8923-E58F-42EC-8DC2-F6AE7BCD46CB}"/>
    <hyperlink ref="E343" r:id="rId106" xr:uid="{A7BE8C69-31E8-4BCC-8AF2-0916EBF30C3D}"/>
    <hyperlink ref="E345" r:id="rId107" xr:uid="{3812A3AC-E4A3-49FE-A98A-56629903C7D1}"/>
    <hyperlink ref="E327" r:id="rId108" xr:uid="{0F037128-74BD-48A1-9A74-1474A460483E}"/>
    <hyperlink ref="E322" r:id="rId109" xr:uid="{7C9D6F71-E550-435F-AC80-510D034EE6D7}"/>
    <hyperlink ref="E328" r:id="rId110" xr:uid="{E2DFE1E6-33ED-4781-BA40-C3B049309F14}"/>
    <hyperlink ref="E321" r:id="rId111" xr:uid="{8C7546F7-BBFD-4EE0-83BC-043BEA08AB01}"/>
    <hyperlink ref="E99" r:id="rId112" xr:uid="{D59875AC-D8A9-46A2-8DB8-5075E22EB289}"/>
    <hyperlink ref="E97" r:id="rId113" xr:uid="{ABD83837-3DC8-4388-87EE-B65086526518}"/>
    <hyperlink ref="E96" r:id="rId114" xr:uid="{5584FCD7-5FEC-4557-A4EC-7DA6A0AF65FA}"/>
    <hyperlink ref="E98" r:id="rId115" xr:uid="{1E0CA92F-F7C3-48D4-9410-1C92404F9155}"/>
    <hyperlink ref="E241" r:id="rId116" xr:uid="{3DB18601-A5C7-485A-934D-C78CD0F99259}"/>
    <hyperlink ref="E242" r:id="rId117" xr:uid="{709B0AF0-6BAF-46A5-A115-F9ADA1060289}"/>
    <hyperlink ref="E11" r:id="rId118" xr:uid="{FA4DE2FC-D47E-40E0-BCA6-CE5845EBDFEF}"/>
    <hyperlink ref="E10" r:id="rId119" xr:uid="{7849282F-5D3C-482A-B1D9-BABB9DAD70B2}"/>
    <hyperlink ref="E184" r:id="rId120" xr:uid="{CC4D0ECF-7833-4438-94D0-C8726848F808}"/>
    <hyperlink ref="E183" r:id="rId121" xr:uid="{6EA03005-A9F8-4A8B-BB28-69C652DC4697}"/>
    <hyperlink ref="E180" r:id="rId122" xr:uid="{987F8DA6-4327-4F6E-8D46-0FECDAE8A009}"/>
    <hyperlink ref="E181" r:id="rId123" xr:uid="{7CFABD16-47E2-4B3F-A2CF-3F736206B30C}"/>
    <hyperlink ref="E185" r:id="rId124" xr:uid="{F858B104-5C52-4D8B-AF4D-9BD9BBD8BECC}"/>
    <hyperlink ref="E182" r:id="rId125" xr:uid="{5F3612A1-6C26-4D7F-917E-2CAB28D306B5}"/>
    <hyperlink ref="E63" r:id="rId126" xr:uid="{8D7B996F-E35F-4523-9D6C-3D25D423203A}"/>
    <hyperlink ref="E65" r:id="rId127" xr:uid="{347BBCEA-3B0D-44FA-90EE-0A49E63CCD9E}"/>
    <hyperlink ref="E61" r:id="rId128" xr:uid="{8443870B-7D98-4CA5-8A52-87C918F86C89}"/>
    <hyperlink ref="E66" r:id="rId129" xr:uid="{AD4AA988-2A3A-4E6E-82C7-3F73E5E5A263}"/>
    <hyperlink ref="E62" r:id="rId130" xr:uid="{4C498F37-CA1F-4058-ADEA-5627D7640E89}"/>
    <hyperlink ref="E333" r:id="rId131" xr:uid="{3463AB66-CF96-4806-97EF-53D328524247}"/>
    <hyperlink ref="E334" r:id="rId132" xr:uid="{25B95FF5-4AFE-48C7-94FF-C54F8BF3772F}"/>
    <hyperlink ref="E335" r:id="rId133" xr:uid="{86A1276F-6D1D-4BAB-A8DB-682BAD05E097}"/>
    <hyperlink ref="E336" r:id="rId134" xr:uid="{A5E3055B-4415-4048-9158-048CBC7C3187}"/>
    <hyperlink ref="E195" r:id="rId135" xr:uid="{14FB8F4D-D52C-479D-A48F-EED4303F23C8}"/>
    <hyperlink ref="E196" r:id="rId136" xr:uid="{4ACC98F3-8D4C-4EFE-9481-65F39038A9C3}"/>
    <hyperlink ref="E197" r:id="rId137" xr:uid="{A91BC7BB-F0B8-46A9-9B2D-8F4A56E027A1}"/>
    <hyperlink ref="E191" r:id="rId138" xr:uid="{999EDA97-6408-49CF-8BE8-14EB4CB2018C}"/>
    <hyperlink ref="E192" r:id="rId139" xr:uid="{AFEDBDC0-D9D5-42B2-BD0F-871069CE47C9}"/>
    <hyperlink ref="E193" r:id="rId140" xr:uid="{CADEE3B8-362A-4829-A3F3-8E9080BC21C2}"/>
    <hyperlink ref="E194" r:id="rId141" xr:uid="{69850C32-EB27-42E8-8374-D6C0E91DA223}"/>
    <hyperlink ref="E377" r:id="rId142" xr:uid="{5F1BFEF7-F5E9-4BE9-B9D9-2164E8DD391D}"/>
    <hyperlink ref="E376" r:id="rId143" xr:uid="{096833FD-4E48-4BE9-A30C-6A2BBDA7CD6D}"/>
    <hyperlink ref="E374" r:id="rId144" xr:uid="{7068E38C-0B48-4DE2-B884-E1944A9D243A}"/>
    <hyperlink ref="E375" r:id="rId145" xr:uid="{26311C0E-3397-4CC8-9C25-D82D86BDAA35}"/>
    <hyperlink ref="E245" r:id="rId146" xr:uid="{857B58D6-714C-4816-9AFE-E91DCCF0A028}"/>
    <hyperlink ref="E246" r:id="rId147" xr:uid="{E08543FA-FF60-40E5-A21D-09A183DEA0F7}"/>
    <hyperlink ref="E247" r:id="rId148" xr:uid="{799B4BA9-E61E-4884-B174-64D2D09204C9}"/>
    <hyperlink ref="E248" r:id="rId149" xr:uid="{1E58858B-8BFA-45F3-900F-288C8BEA0AA2}"/>
    <hyperlink ref="E249" r:id="rId150" xr:uid="{5F6EB507-CFEE-45EA-8055-049D97EADCA5}"/>
    <hyperlink ref="E71" r:id="rId151" xr:uid="{0A2CAC82-417E-4398-959C-C215AF7426A8}"/>
    <hyperlink ref="E70" r:id="rId152" xr:uid="{0FA2006F-5B76-4395-9C25-9176D5D2FFDF}"/>
    <hyperlink ref="E72" r:id="rId153" xr:uid="{7CEA50F0-2C6F-447B-8A8F-55F28E38CE9C}"/>
    <hyperlink ref="E332" r:id="rId154" xr:uid="{97026AD8-0822-4537-8BCA-987EC399AF36}"/>
    <hyperlink ref="E331" r:id="rId155" xr:uid="{950374E5-39A6-44A0-BBC6-58710B8C8F7A}"/>
    <hyperlink ref="E187" r:id="rId156" xr:uid="{BBC0C34D-E65C-44F4-BDE2-14295712A27E}"/>
    <hyperlink ref="E268" r:id="rId157" xr:uid="{BDE93592-33DC-4AC6-B1F3-D8896C79124D}"/>
    <hyperlink ref="E269" r:id="rId158" xr:uid="{D083687A-B977-43F5-81C2-2DF1E923B65E}"/>
    <hyperlink ref="E266" r:id="rId159" xr:uid="{623773A5-DB11-49F1-96E8-DADA26F39A3C}"/>
    <hyperlink ref="E267" r:id="rId160" xr:uid="{F464656E-63E1-4CC9-B6E2-2775458AA8FB}"/>
    <hyperlink ref="E253" r:id="rId161" xr:uid="{31ACF6DA-7B58-4866-88DD-B7C0762DD511}"/>
    <hyperlink ref="E252" r:id="rId162" xr:uid="{190814CB-5652-4081-A341-925221CF2F1E}"/>
    <hyperlink ref="E254" r:id="rId163" xr:uid="{5DA7939A-CEF3-4BC1-9CC0-EEE1ADB22A7C}"/>
    <hyperlink ref="E251" r:id="rId164" xr:uid="{26645A4D-42EF-460C-ADC8-4C95204E051E}"/>
    <hyperlink ref="E250" r:id="rId165" xr:uid="{7C76DA12-5560-4FC2-A640-ABBB5BF0B6E2}"/>
    <hyperlink ref="E67" r:id="rId166" xr:uid="{D8E18931-85F7-44D4-AD6C-FF3EF90BF0EB}"/>
    <hyperlink ref="E68" r:id="rId167" xr:uid="{227E859F-7663-4F67-A08E-65F4A38A68CB}"/>
    <hyperlink ref="E69" r:id="rId168" xr:uid="{14916EA8-C9B9-404F-88A1-9912D288C168}"/>
    <hyperlink ref="E415" r:id="rId169" xr:uid="{63DEE2E7-FECE-465A-B70C-AFC7C3433A5A}"/>
    <hyperlink ref="E416" r:id="rId170" xr:uid="{72922222-384F-404B-9C51-A8A591F4925E}"/>
    <hyperlink ref="E243" r:id="rId171" xr:uid="{63E901CE-8462-4878-8054-0E6518A1FD1F}"/>
    <hyperlink ref="E244" r:id="rId172" xr:uid="{49F46F5A-40D2-4A50-88D2-461BBCEEB50D}"/>
    <hyperlink ref="E15" r:id="rId173" xr:uid="{59606245-4A22-4671-8454-A959EBBE3A18}"/>
    <hyperlink ref="E14" r:id="rId174" xr:uid="{F9567D39-3AD4-4276-99B6-EC4AA73BF0E8}"/>
    <hyperlink ref="E13" r:id="rId175" xr:uid="{3B60DB24-8012-4962-88FC-92BA7E7FA9AE}"/>
    <hyperlink ref="E16" r:id="rId176" xr:uid="{098A74EB-0C84-486E-8423-61CF5CD9F304}"/>
    <hyperlink ref="E12" r:id="rId177" xr:uid="{932FB455-03D3-4303-B379-DEDF81B0E26D}"/>
    <hyperlink ref="E17" r:id="rId178" xr:uid="{C0CE8751-0D16-4218-83E1-E83DAF62C8D4}"/>
    <hyperlink ref="E370" r:id="rId179" xr:uid="{73C0740A-172C-422E-B576-D05AB5CEA3A2}"/>
    <hyperlink ref="E372" r:id="rId180" xr:uid="{6E28596D-EE1D-46EA-B4DE-02E7BCCFEC82}"/>
    <hyperlink ref="E371" r:id="rId181" xr:uid="{DC3656E4-D2E3-418B-AC0C-732BA2BE1D47}"/>
    <hyperlink ref="E373" r:id="rId182" xr:uid="{062FE723-1A5D-43AB-A5DB-87BC2A318144}"/>
    <hyperlink ref="E90" r:id="rId183" xr:uid="{58FDA9AE-BC04-4CBB-A212-19D3CDCA8541}"/>
    <hyperlink ref="E91" r:id="rId184" xr:uid="{6B0738A3-019A-4C1C-9C28-6E0B5CE04457}"/>
    <hyperlink ref="E94" r:id="rId185" xr:uid="{AD46B0DC-D154-44AD-BD9C-480F5664C407}"/>
    <hyperlink ref="E95" r:id="rId186" xr:uid="{5D2A37AE-BDC7-491C-90ED-C920D6CAD338}"/>
    <hyperlink ref="E92" r:id="rId187" xr:uid="{79E82269-845B-4429-A38D-8F3CB50C6B5B}"/>
    <hyperlink ref="E89" r:id="rId188" xr:uid="{164EB21F-4708-48F4-AB63-7E70B86B86C2}"/>
    <hyperlink ref="E93" r:id="rId189" xr:uid="{9583163B-4B89-44DE-A451-704DDDCA033C}"/>
    <hyperlink ref="E88" r:id="rId190" xr:uid="{287813C7-2469-4B9E-ADDA-5C9125273260}"/>
    <hyperlink ref="E261" r:id="rId191" xr:uid="{74823308-4C9D-42FB-AD9B-4F7873D58090}"/>
    <hyperlink ref="E257" r:id="rId192" xr:uid="{491CA40B-DD52-4D1E-AD34-C7944067FA57}"/>
    <hyperlink ref="E262" r:id="rId193" xr:uid="{42EE34DE-D16D-4E82-B056-971E78328A9B}"/>
    <hyperlink ref="E258" r:id="rId194" xr:uid="{F7A4F73D-2270-420F-9002-33C624ABCF6A}"/>
    <hyperlink ref="E260" r:id="rId195" xr:uid="{17742848-E0D9-4839-86DD-8F0EF6A03BD8}"/>
    <hyperlink ref="E259" r:id="rId196" xr:uid="{19905C28-25F5-4B9B-867F-8443AA7CCE11}"/>
    <hyperlink ref="E264" r:id="rId197" xr:uid="{9826AD48-A5F5-4098-970A-E3527FC215B8}"/>
    <hyperlink ref="E263" r:id="rId198" xr:uid="{32D4FE9E-65D6-4ED6-BED8-24692494F0B9}"/>
    <hyperlink ref="E255" r:id="rId199" xr:uid="{AF3C933F-7CCB-4FA0-AF1D-3E1216789D43}"/>
    <hyperlink ref="E256" r:id="rId200" xr:uid="{9DC7799C-16EB-4A7C-BFED-A58C6448E0EB}"/>
    <hyperlink ref="E52" r:id="rId201" xr:uid="{D19F3811-41A2-47A4-828E-B2771CF1C3C9}"/>
    <hyperlink ref="E55" r:id="rId202" xr:uid="{D8B0C799-1769-4CD4-A158-A6F7AFF4CA3E}"/>
    <hyperlink ref="E56" r:id="rId203" xr:uid="{54DE975F-4F75-4016-81C0-F0DAE16E96B8}"/>
    <hyperlink ref="E53" r:id="rId204" xr:uid="{B945A641-9715-45D0-990F-A5540B56488B}"/>
    <hyperlink ref="E54" r:id="rId205" xr:uid="{0F39DB62-BD82-4BCE-9C4C-9A7459BB2A6E}"/>
    <hyperlink ref="E59" r:id="rId206" xr:uid="{3328E14B-FD0F-469F-8194-5A9F978125E7}"/>
    <hyperlink ref="E57" r:id="rId207" xr:uid="{490739AF-DCF5-4DF1-9874-C7FE52C74BCD}"/>
    <hyperlink ref="E48" r:id="rId208" xr:uid="{DBA0342D-13DA-4F18-BBDC-24134B3CE59A}"/>
    <hyperlink ref="E51" r:id="rId209" xr:uid="{BBABEBFC-90B9-491C-BE07-966C63234EA0}"/>
    <hyperlink ref="E50" r:id="rId210" xr:uid="{6BAA23B8-602B-4448-B6E4-CF910FA51AA7}"/>
    <hyperlink ref="E58" r:id="rId211" xr:uid="{98698C9C-E1FC-4DF7-9661-2723A0C6C607}"/>
    <hyperlink ref="E49" r:id="rId212" xr:uid="{3217E32E-9A68-4CF7-85E5-AA93B21F688E}"/>
    <hyperlink ref="E412" r:id="rId213" xr:uid="{6FFAFCB3-D5D1-4ED3-A69F-1D999CD6B123}"/>
    <hyperlink ref="E413" r:id="rId214" xr:uid="{A116B5FE-5AE3-4E00-A080-ECEC3EFFDD79}"/>
    <hyperlink ref="E414" r:id="rId215" xr:uid="{70A26C1C-0922-4281-A5F3-38CA3AB61D31}"/>
    <hyperlink ref="E417" r:id="rId216" xr:uid="{ED54F921-39B6-4545-A819-D5741F3D0575}"/>
    <hyperlink ref="E387" r:id="rId217" xr:uid="{6022CF00-03EA-44AD-8018-A1CE61B2809E}"/>
    <hyperlink ref="E385" r:id="rId218" xr:uid="{067AEA0B-3C79-41CD-B0F2-7283993E7DAB}"/>
    <hyperlink ref="E386" r:id="rId219" xr:uid="{76038EFF-056A-42F0-BCB3-7C8B557853E0}"/>
    <hyperlink ref="E389" r:id="rId220" xr:uid="{106DA411-C8E2-4C55-B27A-FDBB0871279F}"/>
    <hyperlink ref="E395" r:id="rId221" xr:uid="{E11D22C3-BBA7-4622-BA9B-E5F26B51D0AF}"/>
    <hyperlink ref="E394" r:id="rId222" xr:uid="{5F5F16BE-D406-403B-A7E3-71092DE795E1}"/>
    <hyperlink ref="E379" r:id="rId223" xr:uid="{BF167EF8-DA11-467D-8E0F-8E34A7D9AD3F}"/>
    <hyperlink ref="E390" r:id="rId224" xr:uid="{14791411-3F3D-4002-A91E-1D1C1090B731}"/>
    <hyperlink ref="E382" r:id="rId225" xr:uid="{3673D94D-DE29-46F1-8BFF-8AF4DC9AF669}"/>
    <hyperlink ref="E391" r:id="rId226" xr:uid="{F5F0C42E-B123-4902-8870-E7F95F5E13EE}"/>
    <hyperlink ref="E384" r:id="rId227" xr:uid="{B1869CEA-3361-471D-A4AD-A1AB7B86F133}"/>
    <hyperlink ref="E432" r:id="rId228" xr:uid="{EE29E1D6-99F4-4B7D-8D9D-91361559CE7E}"/>
    <hyperlink ref="E433" r:id="rId229" xr:uid="{E8460550-5F05-4FB5-B82C-F588D42C19AB}"/>
    <hyperlink ref="E430" r:id="rId230" xr:uid="{DF35E85A-7402-40FC-A42E-814C04B7B1B5}"/>
    <hyperlink ref="E431" r:id="rId231" xr:uid="{65908BA4-3794-4E10-A7F5-62EC645A1B4E}"/>
    <hyperlink ref="E228" r:id="rId232" xr:uid="{ED8D2CD2-C7E7-413C-919B-DF7A3DB8B894}"/>
    <hyperlink ref="E229" r:id="rId233" xr:uid="{EAE9B24A-7CF6-4E5A-A452-905C7C4C5E82}"/>
    <hyperlink ref="E234" r:id="rId234" xr:uid="{1C236468-62A2-41E3-BAD2-B3BC93A0347C}"/>
    <hyperlink ref="E235" r:id="rId235" xr:uid="{99EE38FD-715D-43E6-87B4-D8F17FC3BA7A}"/>
    <hyperlink ref="E227" r:id="rId236" xr:uid="{76FD40C7-1691-43A0-BDEA-16A1A3349ED1}"/>
    <hyperlink ref="E232" r:id="rId237" xr:uid="{0656C038-B974-48DF-A98D-B057AD048C8B}"/>
    <hyperlink ref="E230" r:id="rId238" xr:uid="{C9CFF3DE-4A29-43F7-83BB-DDAA81B0994C}"/>
    <hyperlink ref="E231" r:id="rId239" xr:uid="{0064DC7B-F556-4AA1-B348-6759876D3D2F}"/>
    <hyperlink ref="E233" r:id="rId240" xr:uid="{BE021E34-12AE-4A42-8102-7B634A97D552}"/>
    <hyperlink ref="E236" r:id="rId241" xr:uid="{601ED27A-C0D0-4958-B635-4B19CBE0958D}"/>
    <hyperlink ref="E291" r:id="rId242" xr:uid="{6DCF8AE0-AD8C-413F-A3E1-4F5857FAE8CC}"/>
    <hyperlink ref="E286" r:id="rId243" xr:uid="{9F6F8C5E-D9A0-4D20-8E66-27113C3E8225}"/>
    <hyperlink ref="E292" r:id="rId244" xr:uid="{AA7F3CF4-FE75-48F1-81E4-BE066913AA4A}"/>
    <hyperlink ref="E285" r:id="rId245" xr:uid="{190D44D0-E789-44DC-A35C-0AA857DF9B57}"/>
    <hyperlink ref="E282" r:id="rId246" xr:uid="{250D1E69-0F36-4A53-ADD1-41402AFF9ABC}"/>
    <hyperlink ref="E293" r:id="rId247" xr:uid="{8BF0E798-6B77-4A43-8A5E-AF1326402662}"/>
    <hyperlink ref="E284" r:id="rId248" xr:uid="{42D3F042-D006-43AE-8DEA-96A00B89CF75}"/>
    <hyperlink ref="E164" r:id="rId249" xr:uid="{15689440-1BA5-4751-8F63-5DF260B5B587}"/>
    <hyperlink ref="E163" r:id="rId250" xr:uid="{6203EE5F-5541-4EDF-96F4-6A5526632C3A}"/>
    <hyperlink ref="E168" r:id="rId251" xr:uid="{76287E66-3DA8-4B5C-9427-EFAFC74F6971}"/>
    <hyperlink ref="E169" r:id="rId252" xr:uid="{69BB0B43-DC11-4AD1-B48E-6373CE7FC698}"/>
    <hyperlink ref="E171" r:id="rId253" xr:uid="{6D4413E6-0404-49A1-9D53-E265F06609D8}"/>
    <hyperlink ref="E170" r:id="rId254" xr:uid="{F1F76ABE-6831-417D-85DA-5623D25F79D7}"/>
    <hyperlink ref="E172" r:id="rId255" xr:uid="{35F88912-4F43-45BA-887C-B4DE5D03C605}"/>
    <hyperlink ref="E165" r:id="rId256" xr:uid="{B53DC185-A160-460B-AE24-4BFD259E24FA}"/>
    <hyperlink ref="E166" r:id="rId257" xr:uid="{2A7C635D-48F7-41E5-A120-06148DAEAE8F}"/>
    <hyperlink ref="E162" r:id="rId258" xr:uid="{5FA63A68-C7D2-4729-8E66-6FA72C0F5EEB}"/>
    <hyperlink ref="E357" r:id="rId259" xr:uid="{80BDA3DF-0AC8-4DE9-93D6-7CFD708EC84E}"/>
    <hyperlink ref="E358" r:id="rId260" xr:uid="{4770A146-9543-4CD4-944E-33EECC87402C}"/>
    <hyperlink ref="E359" r:id="rId261" xr:uid="{A085A215-6447-47DD-B95E-E5094A136FDA}"/>
    <hyperlink ref="E213" r:id="rId262" xr:uid="{D92D4F23-8D33-4D62-B65E-E592D8566461}"/>
    <hyperlink ref="E215" r:id="rId263" xr:uid="{E636D7E7-7B05-422F-AA4C-A8DB35DA0EC8}"/>
    <hyperlink ref="E214" r:id="rId264" xr:uid="{E3C80B7D-C4FA-4AA2-81C0-C57D02EDB226}"/>
    <hyperlink ref="E217" r:id="rId265" xr:uid="{4E483BDC-D337-4CD3-84AE-B627338F0CCC}"/>
    <hyperlink ref="E216" r:id="rId266" xr:uid="{3C3845F5-E9BE-4D7B-B116-034DB1EF4C05}"/>
    <hyperlink ref="E5" r:id="rId267" xr:uid="{6B2204C3-0894-4B7A-9F55-F56752EF31D6}"/>
    <hyperlink ref="E6" r:id="rId268" xr:uid="{FF4D2C59-904B-4547-AA45-DD2E46C5F2FD}"/>
    <hyperlink ref="E7" r:id="rId269" xr:uid="{0034FB8C-4DD6-4A1F-8702-D4C520B83EFC}"/>
    <hyperlink ref="E8" r:id="rId270" xr:uid="{C1557217-C215-44A2-8E6F-77B3B552DE4A}"/>
    <hyperlink ref="E87" r:id="rId271" xr:uid="{04A5F396-7C40-4BE5-8341-0742DD77406B}"/>
    <hyperlink ref="E85" r:id="rId272" xr:uid="{7297E526-C6B6-40D0-A293-5E666B12EC71}"/>
    <hyperlink ref="E84" r:id="rId273" xr:uid="{1596A359-E33C-4336-9444-82DA7E70BB6A}"/>
    <hyperlink ref="E86" r:id="rId274" xr:uid="{3DC4E21B-80B5-417D-84E2-1AD42DA5E6D6}"/>
    <hyperlink ref="E83" r:id="rId275" xr:uid="{94DC58E4-BA2C-4775-9529-0D8FEB057C2B}"/>
    <hyperlink ref="E342" r:id="rId276" xr:uid="{E186CBCA-933B-4EF7-883D-C81A54DB2F5A}"/>
    <hyperlink ref="E341" r:id="rId277" xr:uid="{650C5DE5-0BF1-46F9-8C0D-89A23D24CEB9}"/>
    <hyperlink ref="E277" r:id="rId278" xr:uid="{FCA75508-6DBE-4D35-8760-3BF599183609}"/>
    <hyperlink ref="E125" r:id="rId279" xr:uid="{7E59333C-D3B0-4C73-AB6E-1D4CE2F004E0}"/>
    <hyperlink ref="E124" r:id="rId280" xr:uid="{A956EBFF-0803-4A47-9257-3691D68FB906}"/>
    <hyperlink ref="E126" r:id="rId281" xr:uid="{A25059F0-F90A-470E-84F5-D4085263A654}"/>
    <hyperlink ref="E121" r:id="rId282" xr:uid="{4A498C43-7C12-483F-B234-F2E95F44131A}"/>
    <hyperlink ref="E120" r:id="rId283" xr:uid="{90C6E169-AF3F-4061-B421-FFB0F52AE8ED}"/>
    <hyperlink ref="E123" r:id="rId284" xr:uid="{79504812-77C1-462F-A094-998F289EBBA7}"/>
    <hyperlink ref="E122" r:id="rId285" xr:uid="{3AE67EBC-6643-4CEA-B9A8-AC5EC56E8179}"/>
    <hyperlink ref="E129" r:id="rId286" xr:uid="{FA6EA7B3-FA7A-4B46-BEDE-4B891A606050}"/>
    <hyperlink ref="E128" r:id="rId287" xr:uid="{812BE654-2BD2-4BF5-9E8E-7BE4DF50FAC2}"/>
    <hyperlink ref="E127" r:id="rId288" xr:uid="{5B421CEC-7F56-4E2A-9E67-068490A54BA5}"/>
    <hyperlink ref="E119" r:id="rId289" xr:uid="{DE5F450C-CE7A-4372-BFF0-25EF838C6630}"/>
    <hyperlink ref="E118" r:id="rId290" xr:uid="{834801E6-DA5C-43FB-ACD5-610B541E2643}"/>
    <hyperlink ref="E101" r:id="rId291" xr:uid="{DD65A08C-20C9-4A8D-9A12-98960D076C07}"/>
    <hyperlink ref="E105" r:id="rId292" xr:uid="{8C8410B4-8688-45D1-8024-4DDBB99DA8A2}"/>
    <hyperlink ref="E107" r:id="rId293" xr:uid="{5B27CC4B-0BC5-4FA9-BDA8-906F0C5329F8}"/>
    <hyperlink ref="E111" r:id="rId294" xr:uid="{27D04A12-195A-4D1E-9397-05825B6F4D87}"/>
    <hyperlink ref="E104" r:id="rId295" xr:uid="{D7829F0D-F1D2-418B-8BBF-2E4E7D8D07B8}"/>
    <hyperlink ref="E112" r:id="rId296" xr:uid="{4E294097-D307-46A6-B72D-891BC2CF9026}"/>
    <hyperlink ref="E106" r:id="rId297" xr:uid="{D2EA55AC-6123-4AC6-AF7D-7B0C9C76AC8C}"/>
    <hyperlink ref="E103" r:id="rId298" xr:uid="{2AE8850F-3353-41A7-B3D2-2CAD06C8E129}"/>
    <hyperlink ref="E110" r:id="rId299" xr:uid="{47059847-F1E9-447E-A396-3F2963926187}"/>
    <hyperlink ref="E109" r:id="rId300" xr:uid="{1B06BF99-5BD3-48B0-B31A-555DEE969622}"/>
    <hyperlink ref="E108" r:id="rId301" xr:uid="{9DED467A-27C9-4E90-AE32-CB452ADC4FCD}"/>
    <hyperlink ref="E114" r:id="rId302" xr:uid="{228F3A54-9EB3-4D75-B544-0DFB7A57A6A5}"/>
    <hyperlink ref="E115" r:id="rId303" xr:uid="{6A697FC0-88E0-4AB9-9A08-B6785A3D026C}"/>
    <hyperlink ref="E100" r:id="rId304" xr:uid="{5B477831-052A-4416-9FBC-122CE076480A}"/>
    <hyperlink ref="E102" r:id="rId305" xr:uid="{F34D642F-CB6E-4EE0-AA6C-6CE99CFE264D}"/>
    <hyperlink ref="E113" r:id="rId306" xr:uid="{994B120E-2AB3-40FA-87C4-BCCB55EF8C48}"/>
    <hyperlink ref="E288" r:id="rId307" xr:uid="{2F5E4257-68A1-4995-A9B2-C45A2183EBDC}"/>
    <hyperlink ref="E283" r:id="rId308" xr:uid="{B916FB35-298D-47E7-898B-3233AF70AE58}"/>
    <hyperlink ref="E287" r:id="rId309" xr:uid="{221E453B-39DC-42BA-A148-ADAC96CD48A2}"/>
    <hyperlink ref="E290" r:id="rId310" xr:uid="{DE3C2866-2CCF-4608-B2B8-480A4168A853}"/>
    <hyperlink ref="E294" r:id="rId311" xr:uid="{B328C602-6D50-4E3D-85AE-6EF86F8429D5}"/>
    <hyperlink ref="E289" r:id="rId312" xr:uid="{594FB6ED-2C3F-4B76-8AC9-1E793942DEE7}"/>
    <hyperlink ref="E346" r:id="rId313" xr:uid="{7CF288F0-078F-4D96-84F7-7BDADB264267}"/>
    <hyperlink ref="E347" r:id="rId314" xr:uid="{E47B7F33-235C-4F60-8B2E-666E312DF5B9}"/>
    <hyperlink ref="E349" r:id="rId315" xr:uid="{3AB9F6F7-D003-4A4E-9C39-2319D337F709}"/>
    <hyperlink ref="E348" r:id="rId316" xr:uid="{5A1DE89E-5A71-427C-978F-E5A54B5E39D4}"/>
    <hyperlink ref="E352" r:id="rId317" xr:uid="{3E1E0921-510E-4637-BB5F-AB21C7C6EF01}"/>
    <hyperlink ref="E350" r:id="rId318" xr:uid="{97C70926-03CD-435D-B0DB-22071BEE91C3}"/>
    <hyperlink ref="E351" r:id="rId319" xr:uid="{7C4F8B1C-5070-47CD-AD04-4285829AA077}"/>
    <hyperlink ref="E353" r:id="rId320" xr:uid="{84A8986B-A3D9-4A18-A629-438DC5097AEE}"/>
    <hyperlink ref="E354" r:id="rId321" xr:uid="{B29D47A6-166B-45EC-8BBB-EE334494AD0E}"/>
    <hyperlink ref="E355" r:id="rId322" xr:uid="{8939A7E7-B395-4F92-AB59-835014C7611E}"/>
    <hyperlink ref="E239" r:id="rId323" xr:uid="{FC24AB70-9B76-4FF3-8408-8BA1853DC487}"/>
    <hyperlink ref="E240" r:id="rId324" xr:uid="{009A3E11-A3DE-4F4C-B8BD-D26EA5FAAE67}"/>
    <hyperlink ref="E238" r:id="rId325" xr:uid="{D109A1E8-5045-4B78-BA00-C67BCD6F570C}"/>
    <hyperlink ref="E237" r:id="rId326" xr:uid="{21A799E6-71A5-4A65-A1B2-FCD98C229321}"/>
    <hyperlink ref="E153" r:id="rId327" xr:uid="{A9EB7593-D86A-488A-9259-6EE9C7A5F1B3}"/>
    <hyperlink ref="E154" r:id="rId328" xr:uid="{13950F7F-7CAE-4609-B8DB-54FE9E9E424B}"/>
    <hyperlink ref="E156" r:id="rId329" xr:uid="{3EF007B0-5206-4B45-B77F-575C49016E12}"/>
    <hyperlink ref="E158" r:id="rId330" xr:uid="{04702450-C973-47E4-86FB-3E05ECE3AFC9}"/>
    <hyperlink ref="E157" r:id="rId331" xr:uid="{787C150F-914B-4B56-A18E-DFAC3100D7C1}"/>
    <hyperlink ref="E150" r:id="rId332" xr:uid="{AABEAB02-430A-43B3-AB02-67772470BF3F}"/>
    <hyperlink ref="E149" r:id="rId333" xr:uid="{9793C87C-D832-4994-8EA8-4AD74BCBC41F}"/>
    <hyperlink ref="E160" r:id="rId334" xr:uid="{AFC5F20F-DBDB-4A04-91C3-E297AF1D6E7C}"/>
    <hyperlink ref="E161" r:id="rId335" xr:uid="{673B5B62-5E21-4840-B620-8E6C76F680E3}"/>
    <hyperlink ref="E147" r:id="rId336" xr:uid="{860E677F-0256-4AE6-B9D1-CB417D665233}"/>
    <hyperlink ref="E131" r:id="rId337" xr:uid="{DEBCF128-6B9C-497A-BFE0-0066454A48CA}"/>
    <hyperlink ref="E305" r:id="rId338" xr:uid="{38DEF9A7-9A18-4A77-AC7A-25D8C0D8A7A4}"/>
    <hyperlink ref="E312" r:id="rId339" xr:uid="{AB1E90DC-45CA-42C6-A398-84F13CBE071E}"/>
    <hyperlink ref="E304" r:id="rId340" xr:uid="{398574CA-3D69-41E9-B6F7-EB2EFA0F8AF7}"/>
    <hyperlink ref="E311" r:id="rId341" xr:uid="{D7380E2F-2282-4BF6-BF88-D8BFAB1E4E9E}"/>
    <hyperlink ref="E303" r:id="rId342" xr:uid="{F412D694-7C59-4375-A496-D31269D03D45}"/>
    <hyperlink ref="E310" r:id="rId343" xr:uid="{243CDF96-398A-4FC9-B2C6-7FD54F9408C6}"/>
    <hyperlink ref="E302" r:id="rId344" xr:uid="{88ED13F3-F85A-4E73-BC0A-EAD0A6242F5A}"/>
    <hyperlink ref="E307" r:id="rId345" xr:uid="{61B68613-4341-4AAD-AA43-456A1CC766A8}"/>
    <hyperlink ref="E306" r:id="rId346" xr:uid="{E24C5314-87E6-46C2-AC62-CE96A0AB9874}"/>
    <hyperlink ref="E313" r:id="rId347" xr:uid="{F1AA4D3B-BAAB-4DE4-89D6-F3FF26C941A1}"/>
    <hyperlink ref="E309" r:id="rId348" xr:uid="{0698E9C2-CBE2-486A-8495-6CCC1A1AD3E1}"/>
    <hyperlink ref="E315" r:id="rId349" xr:uid="{6AFBD6AD-321F-4717-8E82-8224A028169A}"/>
    <hyperlink ref="E308" r:id="rId350" xr:uid="{380061EB-F090-4B0A-B18D-FFC95C16735E}"/>
    <hyperlink ref="E314" r:id="rId351" xr:uid="{C0F38549-094B-489B-8272-A194B9714B4B}"/>
    <hyperlink ref="E316" r:id="rId352" xr:uid="{A97FD772-6FB6-40A8-9822-F64DF585CC0D}"/>
    <hyperlink ref="E368" r:id="rId353" xr:uid="{055B08F8-24F5-4F52-899E-05FC3FFA1E20}"/>
    <hyperlink ref="E367" r:id="rId354" xr:uid="{98D9705A-7AA4-4281-AEFD-9E331029B105}"/>
    <hyperlink ref="E366" r:id="rId355" xr:uid="{CD90B7B1-963C-4BDE-8873-82D12FA748FE}"/>
    <hyperlink ref="E365" r:id="rId356" xr:uid="{EEB3466A-1510-44D4-8F94-0873A742F191}"/>
    <hyperlink ref="E369" r:id="rId357" xr:uid="{ACC7D5E0-2D33-4113-92BB-DC2931A9537D}"/>
    <hyperlink ref="E361" r:id="rId358" xr:uid="{8B810E49-E4FC-4046-8BF9-7B7670E91BC1}"/>
    <hyperlink ref="E362" r:id="rId359" xr:uid="{B0651583-9F81-4F05-8F3C-1B0A859916F1}"/>
    <hyperlink ref="E363" r:id="rId360" xr:uid="{E5612FA7-7600-4F4A-A78D-BA440AE908DC}"/>
    <hyperlink ref="E364" r:id="rId361" xr:uid="{8A34AE45-2318-41F8-980B-2BA572366A53}"/>
    <hyperlink ref="E179" r:id="rId362" xr:uid="{3F256A68-A3EE-4C53-A438-E6F21BE648C6}"/>
    <hyperlink ref="E178" r:id="rId363" xr:uid="{236F6917-E061-4A18-B5A3-941BEDEA99A5}"/>
    <hyperlink ref="E175" r:id="rId364" xr:uid="{F82A5805-40E8-4903-B85F-D121DDA7BC1F}"/>
    <hyperlink ref="E177" r:id="rId365" xr:uid="{DB3D08CB-9A5C-4364-B9DE-A611691AE0CC}"/>
    <hyperlink ref="E174" r:id="rId366" xr:uid="{4422C4E4-F066-411A-B920-8C28D1DF4D30}"/>
    <hyperlink ref="E176" r:id="rId367" xr:uid="{30BECFD6-32E7-42BA-90C2-BC75E94CE810}"/>
    <hyperlink ref="E18" r:id="rId368" xr:uid="{F0E72EDD-3140-40E0-9E98-8FA30BD0EFC5}"/>
    <hyperlink ref="E19" r:id="rId369" xr:uid="{9DCEB8B4-5ECA-421A-A1A7-4BFC9A26092D}"/>
    <hyperlink ref="E20" r:id="rId370" xr:uid="{2F1C4435-8AA2-448D-B023-84C2F28C18E9}"/>
    <hyperlink ref="E21" r:id="rId371" xr:uid="{EC76DC7E-9AED-4001-A754-7A47683BDBAF}"/>
    <hyperlink ref="E22" r:id="rId372" xr:uid="{8555AC14-C4A0-448E-8888-D12BD128459C}"/>
    <hyperlink ref="E222" r:id="rId373" xr:uid="{3B41D53F-2BC7-4275-A1EC-016F64D39ABA}"/>
    <hyperlink ref="E225" r:id="rId374" xr:uid="{345FC192-6AAF-4672-97F5-B15BA3423899}"/>
    <hyperlink ref="E221" r:id="rId375" xr:uid="{21DB152E-BCEE-4EFA-89AC-0211EEAE5EEA}"/>
    <hyperlink ref="E224" r:id="rId376" xr:uid="{64967D61-52F0-4E92-91FE-B25E83336A75}"/>
    <hyperlink ref="E223" r:id="rId377" xr:uid="{F47F0C64-065B-4F0D-99D1-38060BEAFEB9}"/>
    <hyperlink ref="E226" r:id="rId378" xr:uid="{CB6F5F1D-E03B-45A1-B5CD-6D7CFB175D4A}"/>
    <hyperlink ref="E220" r:id="rId379" xr:uid="{39D1B15A-EF95-4A0C-AD39-96E307A7CF36}"/>
    <hyperlink ref="E218" r:id="rId380" xr:uid="{84C15DCD-1F4A-485D-AAFF-B50457F366D2}"/>
    <hyperlink ref="E219" r:id="rId381" xr:uid="{F098FF4E-CD0B-4AEA-AA0B-007C6EAE272D}"/>
    <hyperlink ref="E135" r:id="rId382" xr:uid="{7D0AB84D-87ED-4DD3-92BC-0380EC5C7DD7}"/>
    <hyperlink ref="E138" r:id="rId383" xr:uid="{AE4054CD-9542-4E15-A980-07EF7E80393E}"/>
    <hyperlink ref="E141" r:id="rId384" xr:uid="{84BEE215-3C1B-456A-B350-50D630EC0BA6}"/>
    <hyperlink ref="E144" r:id="rId385" xr:uid="{D367EEC2-F44A-47DF-B7D6-930BCEE5EC3E}"/>
    <hyperlink ref="E134" r:id="rId386" xr:uid="{D9B5FE53-BF51-4819-9432-A7503CC84B5B}"/>
    <hyperlink ref="E139" r:id="rId387" xr:uid="{58B70D94-BE9A-4E56-B7FD-5655566132CB}"/>
    <hyperlink ref="E142" r:id="rId388" xr:uid="{CAA4F82C-7307-4BDB-8F45-0E086015FB42}"/>
    <hyperlink ref="E143" r:id="rId389" xr:uid="{474D8290-82B3-49E4-8B95-A5AAFDB3A5F9}"/>
    <hyperlink ref="E137" r:id="rId390" xr:uid="{87B7C688-71F0-494B-93D8-9C41A2FB0230}"/>
    <hyperlink ref="E145" r:id="rId391" xr:uid="{17B6F4E7-E8FE-4002-8C6E-82742C0F8A1E}"/>
    <hyperlink ref="E132" r:id="rId392" xr:uid="{A219AAF0-903E-4320-A760-A02135E693BF}"/>
    <hyperlink ref="E136" r:id="rId393" xr:uid="{F4F4B510-9D52-4726-BF3B-C905D47406EF}"/>
    <hyperlink ref="E133" r:id="rId394" xr:uid="{9EAC36E2-5403-4A84-BDD1-5850BFA27165}"/>
    <hyperlink ref="E140" r:id="rId395" xr:uid="{580DF8A8-8C33-49BE-BB63-66ACF8795802}"/>
    <hyperlink ref="E146" r:id="rId396" xr:uid="{56A9CC06-2D43-4F7A-BB91-7A423048A9B6}"/>
    <hyperlink ref="E204" r:id="rId397" xr:uid="{32A07262-8979-4087-9336-5769DF87CD76}"/>
    <hyperlink ref="E207" r:id="rId398" xr:uid="{A3FAB20B-DCEE-4AB2-B841-19035CA987CE}"/>
    <hyperlink ref="E206" r:id="rId399" xr:uid="{BF113549-B18C-4B6C-8F0A-673065282B16}"/>
    <hyperlink ref="E209" r:id="rId400" xr:uid="{8A1CD370-EE34-412F-8C00-B76A635026FC}"/>
    <hyperlink ref="E210" r:id="rId401" xr:uid="{95C9D28D-7DDB-406F-A9E5-4B23D79D839E}"/>
    <hyperlink ref="E202" r:id="rId402" xr:uid="{2C45D9A8-F833-49F3-A549-01F14C301BCB}"/>
    <hyperlink ref="E203" r:id="rId403" xr:uid="{4876BDFB-6218-4112-AB6C-848C0CCD1EE4}"/>
    <hyperlink ref="E208" r:id="rId404" xr:uid="{C7B3A7CD-A91F-4E5C-BF54-4E249FAF69DB}"/>
    <hyperlink ref="E205" r:id="rId405" xr:uid="{50DDE21E-F2CF-4CB0-97DF-3CA818BA0E12}"/>
    <hyperlink ref="E201" r:id="rId406" xr:uid="{42527190-9DA3-4775-AC2B-FEFF76CACC07}"/>
    <hyperlink ref="E212" r:id="rId407" xr:uid="{9FB802B0-8E77-45E7-8DDC-7333C1183EDB}"/>
    <hyperlink ref="E200" r:id="rId408" xr:uid="{CE2F344B-6981-46E0-90B0-549D69065EDB}"/>
    <hyperlink ref="E211" r:id="rId409" xr:uid="{E429DC82-87DF-41F4-A303-7B88918AEA88}"/>
    <hyperlink ref="E424" r:id="rId410" xr:uid="{72504D31-EA6A-4576-8120-768CCCFAE810}"/>
    <hyperlink ref="E428" r:id="rId411" xr:uid="{AAB7DB9D-D626-4F90-9795-FBF5208AF175}"/>
    <hyperlink ref="E429" r:id="rId412" xr:uid="{B90B515D-23D3-4B31-86B3-7A5F6D461E66}"/>
    <hyperlink ref="E421" r:id="rId413" xr:uid="{FCA2DA34-57F8-4064-BF6B-9CA26DB0C290}"/>
    <hyperlink ref="E427" r:id="rId414" xr:uid="{2155BF9B-A47E-4BB5-9F03-87287913486C}"/>
    <hyperlink ref="E422" r:id="rId415" xr:uid="{CAEA8764-9366-4B81-8986-6BB7F5B85A77}"/>
    <hyperlink ref="E426" r:id="rId416" xr:uid="{CE0348B4-61CE-473B-B6A5-DE7A0E82AA2E}"/>
    <hyperlink ref="E425" r:id="rId417" xr:uid="{23028535-64CF-4763-8E48-348F96F1BE0E}"/>
    <hyperlink ref="E423" r:id="rId418" xr:uid="{AE09223F-6980-4367-B9AB-9D607093BE03}"/>
    <hyperlink ref="E419" r:id="rId419" xr:uid="{EAE7C1EA-5989-493E-B075-DF8DB0864CE1}"/>
    <hyperlink ref="E420" r:id="rId420" xr:uid="{69EE188B-1952-4B17-A169-6DB7D9012192}"/>
    <hyperlink ref="E117" r:id="rId421" xr:uid="{E225FC32-FE3D-43AC-A18C-30079D9115D7}"/>
    <hyperlink ref="E360" r:id="rId422" xr:uid="{92B291D2-4789-468F-A066-D8600568ED3C}"/>
    <hyperlink ref="E75" r:id="rId423" xr:uid="{FB65947A-A70F-4523-B615-ED461A60FAC1}"/>
    <hyperlink ref="E418" r:id="rId424" xr:uid="{51B06B86-55D7-405E-8E1E-F94DEACF2216}"/>
    <hyperlink ref="E47" r:id="rId425" xr:uid="{E7A548D6-BFE9-43ED-9F1E-261D4EB076D1}"/>
    <hyperlink ref="E45" r:id="rId426" xr:uid="{A94E8F5F-261A-4A31-8603-16CC4AEA3F28}"/>
    <hyperlink ref="E23" r:id="rId427" xr:uid="{20F54E44-BDFD-4275-BA1A-D96C1B479D29}"/>
    <hyperlink ref="E167" r:id="rId428" xr:uid="{465BAA59-15B3-475D-BAA9-F9804AACA77E}"/>
    <hyperlink ref="E9" r:id="rId429" xr:uid="{3E3513AE-B62E-4572-BCF7-4005184705F7}"/>
    <hyperlink ref="E436" r:id="rId430" xr:uid="{A0F73112-EB70-4714-AF8D-711C1C90E3CE}"/>
    <hyperlink ref="E437" r:id="rId431" display="http://www.mass.gov/anf/budget-taxes-and-procurement/procurement-info-and-res/procurement-prog-and-serv/epp-procurement-prog/" xr:uid="{85A1A148-3DF2-44CE-9909-EC51D47F2FB9}"/>
    <hyperlink ref="E438" r:id="rId432" xr:uid="{F96B4136-10CC-4D8A-BCF8-6ED13156D55F}"/>
    <hyperlink ref="E439" r:id="rId433" xr:uid="{39E6E0A7-F168-4B6B-9688-06AF5D1EB78A}"/>
    <hyperlink ref="E440" r:id="rId434" xr:uid="{9888E9E2-1BD6-4FB8-8145-9F3A3AF9A568}"/>
    <hyperlink ref="E441" r:id="rId435" display="http://www.biorenew.iastate.edu/2016/04/08/biotaxcredit/" xr:uid="{13492199-021F-4CC2-AB5D-A38161C14D19}"/>
    <hyperlink ref="E442" r:id="rId436" xr:uid="{2397FAD5-9379-4321-9CF2-B3A1372488CD}"/>
    <hyperlink ref="E443" r:id="rId437" xr:uid="{AB4A3F38-09E7-4848-9574-E1B9FDCFD7AB}"/>
    <hyperlink ref="E444" r:id="rId438" display="https://nifa.usda.gov/sustainable-bioproduct-initiative-project-subi#" xr:uid="{78D22E1D-3955-4D46-9C92-D99DF6A98245}"/>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0000"/>
  </sheetPr>
  <dimension ref="A1:G16"/>
  <sheetViews>
    <sheetView zoomScale="85" zoomScaleNormal="85" workbookViewId="0">
      <selection sqref="A1:A2"/>
    </sheetView>
  </sheetViews>
  <sheetFormatPr defaultColWidth="11.42578125" defaultRowHeight="15" x14ac:dyDescent="0.25"/>
  <cols>
    <col min="1" max="1" width="24.42578125" style="1" customWidth="1"/>
    <col min="2" max="2" width="5.5703125" style="336" bestFit="1" customWidth="1"/>
    <col min="3" max="3" width="138.42578125" customWidth="1"/>
    <col min="4" max="4" width="33.28515625" bestFit="1" customWidth="1"/>
    <col min="5" max="5" width="40.85546875" bestFit="1" customWidth="1"/>
    <col min="6" max="6" width="52.7109375" customWidth="1"/>
    <col min="7" max="7" width="18.28515625" style="30" bestFit="1" customWidth="1"/>
  </cols>
  <sheetData>
    <row r="1" spans="1:7" x14ac:dyDescent="0.25">
      <c r="A1" s="395" t="s">
        <v>717</v>
      </c>
      <c r="B1" s="40"/>
      <c r="C1" s="5"/>
      <c r="D1" s="5"/>
      <c r="E1" s="5"/>
      <c r="F1" s="5"/>
    </row>
    <row r="2" spans="1:7" x14ac:dyDescent="0.25">
      <c r="A2" s="395"/>
      <c r="B2" s="40"/>
      <c r="C2" s="5"/>
      <c r="D2" s="5"/>
      <c r="E2" s="5"/>
      <c r="F2" s="5"/>
    </row>
    <row r="3" spans="1:7" ht="18.75" x14ac:dyDescent="0.25">
      <c r="A3" s="186"/>
      <c r="B3" s="65"/>
      <c r="C3" s="120"/>
      <c r="D3" s="120"/>
      <c r="E3" s="120"/>
      <c r="F3" s="346"/>
      <c r="G3" s="187"/>
    </row>
    <row r="4" spans="1:7" x14ac:dyDescent="0.25">
      <c r="A4" s="4" t="s">
        <v>171</v>
      </c>
      <c r="B4" s="41" t="s">
        <v>172</v>
      </c>
      <c r="C4" s="4" t="s">
        <v>173</v>
      </c>
      <c r="D4" s="4" t="s">
        <v>174</v>
      </c>
      <c r="E4" s="4" t="s">
        <v>765</v>
      </c>
      <c r="F4" s="28" t="s">
        <v>766</v>
      </c>
      <c r="G4" s="275" t="s">
        <v>58</v>
      </c>
    </row>
    <row r="5" spans="1:7" ht="30" x14ac:dyDescent="0.25">
      <c r="A5" s="28" t="s">
        <v>718</v>
      </c>
      <c r="B5" s="37">
        <v>1994</v>
      </c>
      <c r="C5" s="203" t="s">
        <v>2717</v>
      </c>
      <c r="D5" s="203" t="s">
        <v>2718</v>
      </c>
      <c r="E5" s="206" t="s">
        <v>2719</v>
      </c>
      <c r="F5" s="350" t="s">
        <v>2720</v>
      </c>
      <c r="G5" s="214" t="s">
        <v>1163</v>
      </c>
    </row>
    <row r="6" spans="1:7" ht="60" x14ac:dyDescent="0.25">
      <c r="A6" s="28" t="s">
        <v>719</v>
      </c>
      <c r="B6" s="37"/>
      <c r="C6" s="352" t="s">
        <v>2721</v>
      </c>
      <c r="D6" s="352" t="s">
        <v>2722</v>
      </c>
      <c r="E6" s="352" t="s">
        <v>2719</v>
      </c>
      <c r="F6" s="353" t="s">
        <v>2723</v>
      </c>
      <c r="G6" s="214" t="s">
        <v>1163</v>
      </c>
    </row>
    <row r="7" spans="1:7" ht="105" x14ac:dyDescent="0.25">
      <c r="A7" s="4" t="s">
        <v>720</v>
      </c>
      <c r="B7" s="37"/>
      <c r="C7" s="206" t="s">
        <v>2724</v>
      </c>
      <c r="D7" s="206" t="s">
        <v>2725</v>
      </c>
      <c r="E7" s="206" t="s">
        <v>2726</v>
      </c>
      <c r="F7" s="350" t="s">
        <v>2727</v>
      </c>
      <c r="G7" s="214" t="s">
        <v>1163</v>
      </c>
    </row>
    <row r="8" spans="1:7" ht="105" x14ac:dyDescent="0.25">
      <c r="A8" s="4" t="s">
        <v>1125</v>
      </c>
      <c r="B8" s="203">
        <v>2000</v>
      </c>
      <c r="C8" s="206" t="s">
        <v>2728</v>
      </c>
      <c r="D8" s="206" t="s">
        <v>2729</v>
      </c>
      <c r="E8" s="206" t="s">
        <v>2730</v>
      </c>
      <c r="F8" s="350" t="s">
        <v>2731</v>
      </c>
      <c r="G8" s="214" t="s">
        <v>1163</v>
      </c>
    </row>
    <row r="9" spans="1:7" ht="45" x14ac:dyDescent="0.25">
      <c r="A9" s="4" t="s">
        <v>721</v>
      </c>
      <c r="B9" s="203">
        <v>1983</v>
      </c>
      <c r="C9" s="206" t="s">
        <v>2732</v>
      </c>
      <c r="D9" s="206" t="s">
        <v>2733</v>
      </c>
      <c r="E9" s="206" t="s">
        <v>2734</v>
      </c>
      <c r="F9" s="350" t="s">
        <v>2735</v>
      </c>
      <c r="G9" s="214" t="s">
        <v>1163</v>
      </c>
    </row>
    <row r="10" spans="1:7" ht="60" x14ac:dyDescent="0.25">
      <c r="A10" s="7" t="s">
        <v>722</v>
      </c>
      <c r="B10" s="206">
        <v>2015</v>
      </c>
      <c r="C10" s="206" t="s">
        <v>2736</v>
      </c>
      <c r="D10" s="203" t="s">
        <v>2737</v>
      </c>
      <c r="E10" s="203" t="s">
        <v>2738</v>
      </c>
      <c r="F10" s="350" t="s">
        <v>2739</v>
      </c>
      <c r="G10" s="214" t="s">
        <v>1163</v>
      </c>
    </row>
    <row r="11" spans="1:7" ht="30" x14ac:dyDescent="0.25">
      <c r="A11" s="242" t="s">
        <v>723</v>
      </c>
      <c r="B11" s="360">
        <v>2017</v>
      </c>
      <c r="C11" s="354" t="s">
        <v>2740</v>
      </c>
      <c r="D11" s="354" t="s">
        <v>2741</v>
      </c>
      <c r="E11" s="360" t="s">
        <v>2742</v>
      </c>
      <c r="F11" s="353" t="s">
        <v>724</v>
      </c>
      <c r="G11" s="214" t="s">
        <v>1163</v>
      </c>
    </row>
    <row r="12" spans="1:7" ht="255" x14ac:dyDescent="0.25">
      <c r="A12" s="361" t="s">
        <v>2743</v>
      </c>
      <c r="B12" s="203">
        <v>2018</v>
      </c>
      <c r="C12" s="359" t="s">
        <v>2744</v>
      </c>
      <c r="D12" s="359" t="s">
        <v>2745</v>
      </c>
      <c r="E12" s="206" t="s">
        <v>2746</v>
      </c>
      <c r="F12" s="356" t="s">
        <v>2747</v>
      </c>
      <c r="G12" s="214" t="s">
        <v>1163</v>
      </c>
    </row>
    <row r="13" spans="1:7" ht="45" x14ac:dyDescent="0.25">
      <c r="A13" s="363" t="s">
        <v>2748</v>
      </c>
      <c r="B13" s="364">
        <v>2017</v>
      </c>
      <c r="C13" s="357" t="s">
        <v>2749</v>
      </c>
      <c r="D13" s="357" t="s">
        <v>2750</v>
      </c>
      <c r="E13" s="364" t="s">
        <v>2748</v>
      </c>
      <c r="F13" s="355" t="s">
        <v>2751</v>
      </c>
      <c r="G13" s="214" t="s">
        <v>1163</v>
      </c>
    </row>
    <row r="14" spans="1:7" ht="60" x14ac:dyDescent="0.25">
      <c r="A14" s="361" t="s">
        <v>2752</v>
      </c>
      <c r="B14" s="203">
        <v>2013</v>
      </c>
      <c r="C14" s="359" t="s">
        <v>2753</v>
      </c>
      <c r="D14" s="359" t="s">
        <v>2754</v>
      </c>
      <c r="E14" s="203" t="s">
        <v>2752</v>
      </c>
      <c r="F14" s="362" t="s">
        <v>2755</v>
      </c>
      <c r="G14" s="214" t="s">
        <v>1163</v>
      </c>
    </row>
    <row r="15" spans="1:7" ht="165" x14ac:dyDescent="0.25">
      <c r="A15" s="361" t="s">
        <v>2756</v>
      </c>
      <c r="B15" s="203"/>
      <c r="C15" s="359" t="s">
        <v>2757</v>
      </c>
      <c r="D15" s="359" t="s">
        <v>2758</v>
      </c>
      <c r="E15" s="203" t="s">
        <v>2759</v>
      </c>
      <c r="F15" s="362" t="s">
        <v>2760</v>
      </c>
      <c r="G15" s="214" t="s">
        <v>1163</v>
      </c>
    </row>
    <row r="16" spans="1:7" ht="45" x14ac:dyDescent="0.25">
      <c r="A16" s="361" t="s">
        <v>2761</v>
      </c>
      <c r="B16" s="203"/>
      <c r="C16" s="359" t="s">
        <v>2762</v>
      </c>
      <c r="D16" s="358" t="s">
        <v>2763</v>
      </c>
      <c r="E16" s="203" t="s">
        <v>2761</v>
      </c>
      <c r="F16" s="362" t="s">
        <v>2764</v>
      </c>
      <c r="G16" s="214" t="s">
        <v>1163</v>
      </c>
    </row>
  </sheetData>
  <mergeCells count="1">
    <mergeCell ref="A1:A2"/>
  </mergeCells>
  <hyperlinks>
    <hyperlink ref="F5" r:id="rId1" xr:uid="{E1496E79-9503-4D61-AF35-C4A2A7BCBE80}"/>
    <hyperlink ref="F6" r:id="rId2" xr:uid="{3E730573-10D8-4E5E-9C10-9D6BAEF5CB8F}"/>
    <hyperlink ref="F7" r:id="rId3" xr:uid="{EF41CD87-D549-4F2F-98BB-62E023D0164C}"/>
    <hyperlink ref="F8" r:id="rId4" xr:uid="{9C16A7C8-3C27-4D93-913D-546C90820473}"/>
    <hyperlink ref="F9" r:id="rId5" xr:uid="{EA7B4E8C-087C-47AC-8C8E-D5C22F6168AC}"/>
    <hyperlink ref="F10" r:id="rId6" xr:uid="{D2CD3A8F-E8D9-4AB6-9953-BF33221B29F5}"/>
    <hyperlink ref="F11" r:id="rId7" xr:uid="{91CDFE8F-D168-4F3F-8BE5-A2425FE34BF6}"/>
    <hyperlink ref="F12" r:id="rId8" xr:uid="{E7E84F37-AD2B-42B0-A1BB-11E3A300E1E1}"/>
    <hyperlink ref="F13" r:id="rId9" xr:uid="{8B6F504C-36AA-4ACA-8D19-96AA8C32FF62}"/>
    <hyperlink ref="F14" r:id="rId10" xr:uid="{61862D71-5AA6-4426-87E7-E8CAD8A0A30D}"/>
    <hyperlink ref="F15" r:id="rId11" xr:uid="{2D49842E-299A-4F6D-B6F3-2307554DC087}"/>
    <hyperlink ref="F16" r:id="rId12" xr:uid="{6D944924-AB18-43C5-A2E7-0682791138E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00000"/>
  </sheetPr>
  <dimension ref="A1:G24"/>
  <sheetViews>
    <sheetView zoomScale="70" zoomScaleNormal="70" workbookViewId="0">
      <selection sqref="A1:A2"/>
    </sheetView>
  </sheetViews>
  <sheetFormatPr defaultColWidth="11.42578125" defaultRowHeight="15" x14ac:dyDescent="0.25"/>
  <cols>
    <col min="1" max="1" width="36.28515625" style="1" bestFit="1" customWidth="1"/>
    <col min="2" max="2" width="186.42578125" customWidth="1"/>
    <col min="3" max="3" width="40" customWidth="1"/>
    <col min="4" max="4" width="24.5703125" bestFit="1" customWidth="1"/>
    <col min="5" max="5" width="73.85546875" customWidth="1"/>
    <col min="6" max="6" width="18.28515625" bestFit="1" customWidth="1"/>
  </cols>
  <sheetData>
    <row r="1" spans="1:7" x14ac:dyDescent="0.25">
      <c r="A1" s="395" t="s">
        <v>696</v>
      </c>
      <c r="B1" s="5"/>
      <c r="C1" s="5"/>
      <c r="D1" s="5"/>
      <c r="E1" s="5"/>
    </row>
    <row r="2" spans="1:7" x14ac:dyDescent="0.25">
      <c r="A2" s="395"/>
      <c r="B2" s="5"/>
      <c r="C2" s="5"/>
      <c r="D2" s="5"/>
      <c r="E2" s="5"/>
    </row>
    <row r="3" spans="1:7" ht="18.75" x14ac:dyDescent="0.25">
      <c r="A3" s="186"/>
      <c r="B3" s="120"/>
      <c r="C3" s="120"/>
      <c r="D3" s="120"/>
      <c r="E3" s="346"/>
      <c r="F3" s="185"/>
    </row>
    <row r="4" spans="1:7" x14ac:dyDescent="0.25">
      <c r="A4" s="4" t="s">
        <v>171</v>
      </c>
      <c r="B4" s="4" t="s">
        <v>173</v>
      </c>
      <c r="C4" s="4" t="s">
        <v>174</v>
      </c>
      <c r="D4" s="4" t="s">
        <v>765</v>
      </c>
      <c r="E4" s="28" t="s">
        <v>766</v>
      </c>
      <c r="F4" s="275" t="s">
        <v>58</v>
      </c>
      <c r="G4" s="32"/>
    </row>
    <row r="5" spans="1:7" ht="30" x14ac:dyDescent="0.25">
      <c r="A5" s="282" t="s">
        <v>697</v>
      </c>
      <c r="B5" s="206" t="s">
        <v>698</v>
      </c>
      <c r="C5" s="206" t="s">
        <v>699</v>
      </c>
      <c r="D5" s="206" t="s">
        <v>700</v>
      </c>
      <c r="E5" s="350" t="s">
        <v>701</v>
      </c>
      <c r="F5" s="214" t="s">
        <v>1163</v>
      </c>
    </row>
    <row r="6" spans="1:7" ht="60" x14ac:dyDescent="0.25">
      <c r="A6" s="282" t="s">
        <v>702</v>
      </c>
      <c r="B6" s="206" t="s">
        <v>2653</v>
      </c>
      <c r="C6" s="206" t="s">
        <v>703</v>
      </c>
      <c r="D6" s="206" t="s">
        <v>2654</v>
      </c>
      <c r="E6" s="350" t="s">
        <v>704</v>
      </c>
      <c r="F6" s="214" t="s">
        <v>1163</v>
      </c>
    </row>
    <row r="7" spans="1:7" ht="30" x14ac:dyDescent="0.25">
      <c r="A7" s="282" t="s">
        <v>705</v>
      </c>
      <c r="B7" s="206" t="s">
        <v>2655</v>
      </c>
      <c r="C7" s="206" t="s">
        <v>703</v>
      </c>
      <c r="D7" s="206" t="s">
        <v>2656</v>
      </c>
      <c r="E7" s="350" t="s">
        <v>706</v>
      </c>
      <c r="F7" s="214" t="s">
        <v>1163</v>
      </c>
    </row>
    <row r="8" spans="1:7" ht="45" x14ac:dyDescent="0.25">
      <c r="A8" s="282" t="s">
        <v>707</v>
      </c>
      <c r="B8" s="206" t="s">
        <v>2657</v>
      </c>
      <c r="C8" s="206" t="s">
        <v>708</v>
      </c>
      <c r="D8" s="206"/>
      <c r="E8" s="350" t="s">
        <v>2658</v>
      </c>
      <c r="F8" s="214" t="s">
        <v>1163</v>
      </c>
    </row>
    <row r="9" spans="1:7" ht="45" x14ac:dyDescent="0.25">
      <c r="A9" s="282" t="s">
        <v>700</v>
      </c>
      <c r="B9" s="206" t="s">
        <v>2711</v>
      </c>
      <c r="C9" s="206" t="s">
        <v>2659</v>
      </c>
      <c r="D9" s="206" t="s">
        <v>700</v>
      </c>
      <c r="E9" s="350" t="s">
        <v>709</v>
      </c>
      <c r="F9" s="214" t="s">
        <v>1163</v>
      </c>
    </row>
    <row r="10" spans="1:7" ht="30" x14ac:dyDescent="0.25">
      <c r="A10" s="282" t="s">
        <v>710</v>
      </c>
      <c r="B10" s="206" t="s">
        <v>2660</v>
      </c>
      <c r="C10" s="206" t="s">
        <v>711</v>
      </c>
      <c r="D10" s="206" t="s">
        <v>710</v>
      </c>
      <c r="E10" s="350" t="s">
        <v>712</v>
      </c>
      <c r="F10" s="214" t="s">
        <v>1163</v>
      </c>
    </row>
    <row r="11" spans="1:7" ht="75" x14ac:dyDescent="0.25">
      <c r="A11" s="351" t="s">
        <v>713</v>
      </c>
      <c r="B11" s="352" t="s">
        <v>2661</v>
      </c>
      <c r="C11" s="352" t="s">
        <v>708</v>
      </c>
      <c r="D11" s="352" t="s">
        <v>2662</v>
      </c>
      <c r="E11" s="353" t="s">
        <v>714</v>
      </c>
      <c r="F11" s="214" t="s">
        <v>1163</v>
      </c>
    </row>
    <row r="12" spans="1:7" ht="90" x14ac:dyDescent="0.25">
      <c r="A12" s="351" t="s">
        <v>715</v>
      </c>
      <c r="B12" s="352" t="s">
        <v>2663</v>
      </c>
      <c r="C12" s="352" t="s">
        <v>2664</v>
      </c>
      <c r="D12" s="352" t="s">
        <v>2665</v>
      </c>
      <c r="E12" s="355" t="s">
        <v>716</v>
      </c>
      <c r="F12" s="214" t="s">
        <v>1163</v>
      </c>
    </row>
    <row r="13" spans="1:7" ht="45" x14ac:dyDescent="0.25">
      <c r="A13" s="282" t="s">
        <v>2666</v>
      </c>
      <c r="B13" s="206" t="s">
        <v>2667</v>
      </c>
      <c r="C13" s="206" t="s">
        <v>2668</v>
      </c>
      <c r="D13" s="206" t="s">
        <v>2669</v>
      </c>
      <c r="E13" s="356" t="s">
        <v>2658</v>
      </c>
      <c r="F13" s="214" t="s">
        <v>1163</v>
      </c>
    </row>
    <row r="14" spans="1:7" ht="105" x14ac:dyDescent="0.25">
      <c r="A14" s="282" t="s">
        <v>2670</v>
      </c>
      <c r="B14" s="206" t="s">
        <v>2712</v>
      </c>
      <c r="C14" s="206" t="s">
        <v>2671</v>
      </c>
      <c r="D14" s="206" t="s">
        <v>2672</v>
      </c>
      <c r="E14" s="356" t="s">
        <v>2673</v>
      </c>
      <c r="F14" s="214" t="s">
        <v>1163</v>
      </c>
    </row>
    <row r="15" spans="1:7" ht="90" x14ac:dyDescent="0.25">
      <c r="A15" s="282" t="s">
        <v>2674</v>
      </c>
      <c r="B15" s="206" t="s">
        <v>2675</v>
      </c>
      <c r="C15" s="206" t="s">
        <v>2676</v>
      </c>
      <c r="D15" s="206" t="s">
        <v>2677</v>
      </c>
      <c r="E15" s="356" t="s">
        <v>2678</v>
      </c>
      <c r="F15" s="214" t="s">
        <v>1163</v>
      </c>
    </row>
    <row r="16" spans="1:7" ht="90" x14ac:dyDescent="0.25">
      <c r="A16" s="282" t="s">
        <v>2679</v>
      </c>
      <c r="B16" s="206" t="s">
        <v>2680</v>
      </c>
      <c r="C16" s="206" t="s">
        <v>2681</v>
      </c>
      <c r="D16" s="206" t="s">
        <v>2677</v>
      </c>
      <c r="E16" s="356" t="s">
        <v>2678</v>
      </c>
      <c r="F16" s="214" t="s">
        <v>1163</v>
      </c>
    </row>
    <row r="17" spans="1:6" ht="60" x14ac:dyDescent="0.25">
      <c r="A17" s="282" t="s">
        <v>2682</v>
      </c>
      <c r="B17" s="206" t="s">
        <v>2683</v>
      </c>
      <c r="C17" s="206" t="s">
        <v>2684</v>
      </c>
      <c r="D17" s="206" t="s">
        <v>2677</v>
      </c>
      <c r="E17" s="356" t="s">
        <v>2678</v>
      </c>
      <c r="F17" s="214" t="s">
        <v>1163</v>
      </c>
    </row>
    <row r="18" spans="1:6" ht="30" x14ac:dyDescent="0.25">
      <c r="A18" s="282" t="s">
        <v>2685</v>
      </c>
      <c r="B18" s="206" t="s">
        <v>2686</v>
      </c>
      <c r="C18" s="206" t="s">
        <v>2687</v>
      </c>
      <c r="D18" s="206" t="s">
        <v>2677</v>
      </c>
      <c r="E18" s="356" t="s">
        <v>2678</v>
      </c>
      <c r="F18" s="214" t="s">
        <v>1163</v>
      </c>
    </row>
    <row r="19" spans="1:6" ht="225" x14ac:dyDescent="0.25">
      <c r="A19" s="282" t="s">
        <v>2688</v>
      </c>
      <c r="B19" s="206" t="s">
        <v>2713</v>
      </c>
      <c r="C19" s="206" t="s">
        <v>2689</v>
      </c>
      <c r="D19" s="206" t="s">
        <v>2690</v>
      </c>
      <c r="E19" s="356" t="s">
        <v>2691</v>
      </c>
      <c r="F19" s="214" t="s">
        <v>1163</v>
      </c>
    </row>
    <row r="20" spans="1:6" ht="120" x14ac:dyDescent="0.25">
      <c r="A20" s="282" t="s">
        <v>2692</v>
      </c>
      <c r="B20" s="206" t="s">
        <v>2693</v>
      </c>
      <c r="C20" s="206" t="s">
        <v>2694</v>
      </c>
      <c r="D20" s="206" t="s">
        <v>2690</v>
      </c>
      <c r="E20" s="356" t="s">
        <v>2695</v>
      </c>
      <c r="F20" s="214" t="s">
        <v>1163</v>
      </c>
    </row>
    <row r="21" spans="1:6" ht="120" x14ac:dyDescent="0.25">
      <c r="A21" s="282" t="s">
        <v>2696</v>
      </c>
      <c r="B21" s="206" t="s">
        <v>2697</v>
      </c>
      <c r="C21" s="206" t="s">
        <v>2698</v>
      </c>
      <c r="D21" s="213" t="s">
        <v>2696</v>
      </c>
      <c r="E21" s="316" t="s">
        <v>2716</v>
      </c>
      <c r="F21" s="214" t="s">
        <v>1163</v>
      </c>
    </row>
    <row r="22" spans="1:6" ht="225" x14ac:dyDescent="0.25">
      <c r="A22" s="351" t="s">
        <v>2699</v>
      </c>
      <c r="B22" s="352" t="s">
        <v>2700</v>
      </c>
      <c r="C22" s="352" t="s">
        <v>2701</v>
      </c>
      <c r="D22" s="357" t="s">
        <v>2714</v>
      </c>
      <c r="E22" s="349" t="s">
        <v>2715</v>
      </c>
      <c r="F22" s="214" t="s">
        <v>1163</v>
      </c>
    </row>
    <row r="23" spans="1:6" ht="90" x14ac:dyDescent="0.25">
      <c r="A23" s="282" t="s">
        <v>2702</v>
      </c>
      <c r="B23" s="206" t="s">
        <v>2703</v>
      </c>
      <c r="C23" s="206" t="s">
        <v>2704</v>
      </c>
      <c r="D23" s="206" t="s">
        <v>2705</v>
      </c>
      <c r="E23" s="356" t="s">
        <v>2706</v>
      </c>
      <c r="F23" s="214" t="s">
        <v>1163</v>
      </c>
    </row>
    <row r="24" spans="1:6" ht="90" x14ac:dyDescent="0.25">
      <c r="A24" s="282" t="s">
        <v>2707</v>
      </c>
      <c r="B24" s="206" t="s">
        <v>2708</v>
      </c>
      <c r="C24" s="206" t="s">
        <v>2709</v>
      </c>
      <c r="D24" s="206" t="s">
        <v>2707</v>
      </c>
      <c r="E24" s="356" t="s">
        <v>2710</v>
      </c>
      <c r="F24" s="214" t="s">
        <v>1163</v>
      </c>
    </row>
  </sheetData>
  <mergeCells count="1">
    <mergeCell ref="A1:A2"/>
  </mergeCells>
  <hyperlinks>
    <hyperlink ref="E5" r:id="rId1" xr:uid="{51943D81-C905-436F-8E26-2AB8610EE2A5}"/>
    <hyperlink ref="E6" r:id="rId2" xr:uid="{15AE7621-23B9-49CA-AF5B-4B1E7D60A2E0}"/>
    <hyperlink ref="E7" r:id="rId3" xr:uid="{3A7C2B2E-06E4-4096-9976-16B97A8FA029}"/>
    <hyperlink ref="E11" r:id="rId4" xr:uid="{28DE2D88-3AFB-47B8-B942-60950723667F}"/>
    <hyperlink ref="E8" r:id="rId5" xr:uid="{527EC8CC-7F3B-4C61-9D69-6E7B9E341762}"/>
    <hyperlink ref="E9" r:id="rId6" xr:uid="{FB08ACA0-D9ED-4BCF-9208-C48761C3CF64}"/>
    <hyperlink ref="E10" r:id="rId7" xr:uid="{D9AA9EAE-37DE-4403-AEB1-25D11F6F414E}"/>
    <hyperlink ref="E12" r:id="rId8" xr:uid="{0A502FD1-E7F9-4975-AAAA-804870F98182}"/>
    <hyperlink ref="E13" r:id="rId9" xr:uid="{31E1025E-5BE1-4216-926B-F979691A4F58}"/>
    <hyperlink ref="E14" r:id="rId10" xr:uid="{4C4C4B61-3957-4D99-9DCD-5D94CE0BBD37}"/>
    <hyperlink ref="E15" r:id="rId11" xr:uid="{E442EC59-0422-489B-A72A-FE942EC35EDE}"/>
    <hyperlink ref="E16" r:id="rId12" xr:uid="{68BE5CBE-7213-4205-9466-2045BB68C8F1}"/>
    <hyperlink ref="E17" r:id="rId13" xr:uid="{15449224-AE09-4340-A88E-6AEB3E9AA25E}"/>
    <hyperlink ref="E18" r:id="rId14" xr:uid="{2F9FA57D-13D3-4CD5-936F-CBA8128936A0}"/>
    <hyperlink ref="E19" r:id="rId15" xr:uid="{33D61262-5BB2-4905-B83E-0B3E15B908BC}"/>
    <hyperlink ref="E20" r:id="rId16" xr:uid="{B0EF5ABC-E844-45C4-9590-450DF4C39575}"/>
    <hyperlink ref="E23" r:id="rId17" xr:uid="{A73B1DA1-4E47-4EC5-81BC-98963540EC29}"/>
    <hyperlink ref="E24" r:id="rId18" xr:uid="{CB0BABE0-FF3C-465A-B864-7FA16E0CAE8F}"/>
    <hyperlink ref="E22" r:id="rId19" xr:uid="{3AC4C3F2-0AB7-4F21-AC35-C459FE1CA507}"/>
    <hyperlink ref="E21" r:id="rId20" xr:uid="{6C783792-C6CD-49AB-978A-236CD55303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CONTENTS</vt:lpstr>
      <vt:lpstr>AGRICULTURE SUMMARY</vt:lpstr>
      <vt:lpstr>CORN</vt:lpstr>
      <vt:lpstr>WHEAT</vt:lpstr>
      <vt:lpstr>BARLEY</vt:lpstr>
      <vt:lpstr>SORGHUM</vt:lpstr>
      <vt:lpstr>SOY</vt:lpstr>
      <vt:lpstr>COTTON</vt:lpstr>
      <vt:lpstr>PEANUTS</vt:lpstr>
      <vt:lpstr>SUNFLOWERS</vt:lpstr>
      <vt:lpstr>CANOLA</vt:lpstr>
      <vt:lpstr>ENERGY SUMMARY</vt:lpstr>
      <vt:lpstr>ETHANOL</vt:lpstr>
      <vt:lpstr>BIODIESEL</vt:lpstr>
      <vt:lpstr>WOOD PELLETS</vt:lpstr>
      <vt:lpstr>WASTE TO ENERGY</vt:lpstr>
      <vt:lpstr>BIOGAS</vt:lpstr>
      <vt:lpstr>BIOPRODUCTS</vt:lpstr>
      <vt:lpstr>BIOPLASTICS</vt:lpstr>
      <vt:lpstr>BIOCHEMICALS</vt:lpstr>
      <vt:lpstr>ENZYMES</vt:lpstr>
      <vt:lpstr>FOREST PRODUCTS</vt:lpstr>
      <vt:lpstr>APPAREL AND TEXTILES</vt:lpstr>
      <vt:lpstr>FEDERAL POLICY</vt:lpstr>
      <vt:lpstr>STATE POLICY</vt:lpstr>
      <vt:lpstr>INTERNATIONAL POLICY</vt:lpstr>
      <vt:lpstr>B2B POLICY</vt:lpstr>
      <vt:lpstr>'ENERGY SUMMARY'!_Toc520283330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 Golden, Ph.D.</dc:creator>
  <cp:keywords/>
  <dc:description/>
  <cp:lastModifiedBy>Janire Pascual Gonzalez</cp:lastModifiedBy>
  <cp:revision/>
  <cp:lastPrinted>2018-11-08T17:50:25Z</cp:lastPrinted>
  <dcterms:created xsi:type="dcterms:W3CDTF">2017-01-11T16:16:58Z</dcterms:created>
  <dcterms:modified xsi:type="dcterms:W3CDTF">2026-01-28T15:43:32Z</dcterms:modified>
  <cp:category/>
  <cp:contentStatus/>
</cp:coreProperties>
</file>